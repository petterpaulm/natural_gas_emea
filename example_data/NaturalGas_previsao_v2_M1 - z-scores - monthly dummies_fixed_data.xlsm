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901" codeName="{4D1C537B-E38A-612A-F078-A93A15B4B7F4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ython\INSEAD2\TTF_regression\Faire Value Gap\"/>
    </mc:Choice>
  </mc:AlternateContent>
  <xr:revisionPtr revIDLastSave="0" documentId="8_{89C1C43B-D2E1-400E-9CD9-588919A657BE}" xr6:coauthVersionLast="46" xr6:coauthVersionMax="46" xr10:uidLastSave="{00000000-0000-0000-0000-000000000000}"/>
  <bookViews>
    <workbookView xWindow="51480" yWindow="-120" windowWidth="51840" windowHeight="21240" tabRatio="500" xr2:uid="{00000000-000D-0000-FFFF-FFFF00000000}"/>
  </bookViews>
  <sheets>
    <sheet name="M1" sheetId="25" r:id="rId1"/>
    <sheet name="_xlwings.conf" sheetId="2" r:id="rId2"/>
  </sheets>
  <functionGroups builtInGroupCount="19">
    <functionGroup name="TR.CO.XllAddin"/>
  </functionGroups>
  <definedNames>
    <definedName name="_xlnm._FilterDatabase" localSheetId="0" hidden="1">'M1'!$C$1:$AC$1622</definedName>
  </definedNames>
  <calcPr calcId="191029" calcMode="manual" concurrentCalc="0"/>
  <extLst>
    <ext xmlns:x14="http://schemas.microsoft.com/office/spreadsheetml/2009/9/main" uri="{8193D73E-4604-4355-AFF4-8A2333D13BE4}">
      <x14:definedNames>
        <x14:definedName name="corr_matrix">
          <x14:argumentDescriptions count="1">
            <x14:argumentDescription index="0">Positional argument 1</x14:argumentDescription>
          </x14:argumentDescriptions>
        </x14:definedName>
        <x14:definedName name="fair_value_gap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foreca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forecast_reg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t_traindata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linear_regression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optimal_trades2">
          <x14:argumentDescriptions count="1">
            <x14:argumentDescription index="0">Positional argument 1</x14:argumentDescription>
          </x14:argumentDescriptions>
        </x14:definedName>
        <x14:definedName name="z_score">
          <x14:argumentDescriptions count="1">
            <x14:argumentDescription index="0">Positional argument 1</x14:argumentDescription>
          </x14:argumentDescriptions>
        </x14:definedName>
        <x14:definedName name="z_score_diff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U7" i="25" l="1" a="1"/>
  <c r="U7" i="25"/>
  <c r="V7" i="25"/>
  <c r="AA7" i="25"/>
  <c r="W7" i="25"/>
  <c r="AC7" i="25"/>
  <c r="U8" i="25" a="1"/>
  <c r="U8" i="25"/>
  <c r="V8" i="25"/>
  <c r="AA8" i="25"/>
  <c r="W8" i="25"/>
  <c r="AC8" i="25"/>
  <c r="U9" i="25" a="1"/>
  <c r="U9" i="25"/>
  <c r="V9" i="25"/>
  <c r="AA9" i="25"/>
  <c r="W9" i="25"/>
  <c r="AC9" i="25"/>
  <c r="U10" i="25" a="1"/>
  <c r="U10" i="25"/>
  <c r="V10" i="25"/>
  <c r="AA10" i="25"/>
  <c r="W10" i="25"/>
  <c r="AC10" i="25"/>
  <c r="U11" i="25" a="1"/>
  <c r="U11" i="25"/>
  <c r="V11" i="25"/>
  <c r="AA11" i="25"/>
  <c r="W11" i="25"/>
  <c r="AC11" i="25"/>
  <c r="U12" i="25" a="1"/>
  <c r="U12" i="25"/>
  <c r="V12" i="25"/>
  <c r="AA12" i="25"/>
  <c r="W12" i="25"/>
  <c r="AC12" i="25"/>
  <c r="U13" i="25" a="1"/>
  <c r="U13" i="25"/>
  <c r="V13" i="25"/>
  <c r="AA13" i="25"/>
  <c r="W13" i="25"/>
  <c r="AC13" i="25"/>
  <c r="U14" i="25" a="1"/>
  <c r="U14" i="25"/>
  <c r="V14" i="25"/>
  <c r="AA14" i="25"/>
  <c r="W14" i="25"/>
  <c r="AC14" i="25"/>
  <c r="U15" i="25" a="1"/>
  <c r="U15" i="25"/>
  <c r="V15" i="25"/>
  <c r="AA15" i="25"/>
  <c r="W15" i="25"/>
  <c r="AC15" i="25"/>
  <c r="U16" i="25" a="1"/>
  <c r="U16" i="25"/>
  <c r="V16" i="25"/>
  <c r="AA16" i="25"/>
  <c r="W16" i="25"/>
  <c r="AC16" i="25"/>
  <c r="U17" i="25" a="1"/>
  <c r="U17" i="25"/>
  <c r="V17" i="25"/>
  <c r="AA17" i="25"/>
  <c r="W17" i="25"/>
  <c r="AC17" i="25"/>
  <c r="U18" i="25" a="1"/>
  <c r="U18" i="25"/>
  <c r="V18" i="25"/>
  <c r="AA18" i="25"/>
  <c r="W18" i="25"/>
  <c r="AC18" i="25"/>
  <c r="U19" i="25" a="1"/>
  <c r="U19" i="25"/>
  <c r="V19" i="25"/>
  <c r="AA19" i="25"/>
  <c r="W19" i="25"/>
  <c r="AC19" i="25"/>
  <c r="U20" i="25" a="1"/>
  <c r="U20" i="25"/>
  <c r="V20" i="25"/>
  <c r="AA20" i="25"/>
  <c r="W20" i="25"/>
  <c r="AC20" i="25"/>
  <c r="U21" i="25" a="1"/>
  <c r="U21" i="25"/>
  <c r="V21" i="25"/>
  <c r="AA21" i="25"/>
  <c r="W21" i="25"/>
  <c r="AC21" i="25"/>
  <c r="U22" i="25" a="1"/>
  <c r="U22" i="25"/>
  <c r="V22" i="25"/>
  <c r="AA22" i="25"/>
  <c r="W22" i="25"/>
  <c r="AC22" i="25"/>
  <c r="U23" i="25" a="1"/>
  <c r="U23" i="25"/>
  <c r="V23" i="25"/>
  <c r="AA23" i="25"/>
  <c r="W23" i="25"/>
  <c r="AC23" i="25"/>
  <c r="U24" i="25" a="1"/>
  <c r="U24" i="25"/>
  <c r="V24" i="25"/>
  <c r="AA24" i="25"/>
  <c r="W24" i="25"/>
  <c r="AC24" i="25"/>
  <c r="U25" i="25" a="1"/>
  <c r="U25" i="25"/>
  <c r="V25" i="25"/>
  <c r="AA25" i="25"/>
  <c r="W25" i="25"/>
  <c r="AC25" i="25"/>
  <c r="U26" i="25" a="1"/>
  <c r="U26" i="25"/>
  <c r="V26" i="25"/>
  <c r="AA26" i="25"/>
  <c r="W26" i="25"/>
  <c r="AC26" i="25"/>
  <c r="U27" i="25" a="1"/>
  <c r="U27" i="25"/>
  <c r="V27" i="25"/>
  <c r="AA27" i="25"/>
  <c r="W27" i="25"/>
  <c r="AC27" i="25"/>
  <c r="U28" i="25" a="1"/>
  <c r="U28" i="25"/>
  <c r="V28" i="25"/>
  <c r="AA28" i="25"/>
  <c r="W28" i="25"/>
  <c r="AC28" i="25"/>
  <c r="U29" i="25" a="1"/>
  <c r="U29" i="25"/>
  <c r="V29" i="25"/>
  <c r="AA29" i="25"/>
  <c r="W29" i="25"/>
  <c r="AC29" i="25"/>
  <c r="U30" i="25" a="1"/>
  <c r="U30" i="25"/>
  <c r="V30" i="25"/>
  <c r="AA30" i="25"/>
  <c r="W30" i="25"/>
  <c r="AC30" i="25"/>
  <c r="U31" i="25" a="1"/>
  <c r="U31" i="25"/>
  <c r="V31" i="25"/>
  <c r="AA31" i="25"/>
  <c r="W31" i="25"/>
  <c r="AC31" i="25"/>
  <c r="U32" i="25" a="1"/>
  <c r="U32" i="25"/>
  <c r="V32" i="25"/>
  <c r="AA32" i="25"/>
  <c r="W32" i="25"/>
  <c r="AC32" i="25"/>
  <c r="U33" i="25" a="1"/>
  <c r="U33" i="25"/>
  <c r="V33" i="25"/>
  <c r="AA33" i="25"/>
  <c r="W33" i="25"/>
  <c r="AC33" i="25"/>
  <c r="U34" i="25" a="1"/>
  <c r="U34" i="25"/>
  <c r="V34" i="25"/>
  <c r="AA34" i="25"/>
  <c r="W34" i="25"/>
  <c r="AC34" i="25"/>
  <c r="U35" i="25" a="1"/>
  <c r="U35" i="25"/>
  <c r="V35" i="25"/>
  <c r="AA35" i="25"/>
  <c r="W35" i="25"/>
  <c r="AC35" i="25"/>
  <c r="U36" i="25" a="1"/>
  <c r="U36" i="25"/>
  <c r="V36" i="25"/>
  <c r="AA36" i="25"/>
  <c r="W36" i="25"/>
  <c r="AC36" i="25"/>
  <c r="U37" i="25" a="1"/>
  <c r="U37" i="25"/>
  <c r="V37" i="25"/>
  <c r="AA37" i="25"/>
  <c r="W37" i="25"/>
  <c r="AC37" i="25"/>
  <c r="U38" i="25" a="1"/>
  <c r="U38" i="25"/>
  <c r="V38" i="25"/>
  <c r="AA38" i="25"/>
  <c r="W38" i="25"/>
  <c r="AC38" i="25"/>
  <c r="U39" i="25" a="1"/>
  <c r="U39" i="25"/>
  <c r="V39" i="25"/>
  <c r="AA39" i="25"/>
  <c r="W39" i="25"/>
  <c r="AC39" i="25"/>
  <c r="U40" i="25" a="1"/>
  <c r="U40" i="25"/>
  <c r="V40" i="25"/>
  <c r="AA40" i="25"/>
  <c r="W40" i="25"/>
  <c r="AC40" i="25"/>
  <c r="U41" i="25" a="1"/>
  <c r="U41" i="25"/>
  <c r="V41" i="25"/>
  <c r="AA41" i="25"/>
  <c r="W41" i="25"/>
  <c r="AC41" i="25"/>
  <c r="U42" i="25" a="1"/>
  <c r="U42" i="25"/>
  <c r="V42" i="25"/>
  <c r="AA42" i="25"/>
  <c r="W42" i="25"/>
  <c r="AC42" i="25"/>
  <c r="U43" i="25" a="1"/>
  <c r="U43" i="25"/>
  <c r="V43" i="25"/>
  <c r="AA43" i="25"/>
  <c r="W43" i="25"/>
  <c r="AC43" i="25"/>
  <c r="U44" i="25" a="1"/>
  <c r="U44" i="25"/>
  <c r="V44" i="25"/>
  <c r="AA44" i="25"/>
  <c r="W44" i="25"/>
  <c r="AC44" i="25"/>
  <c r="U45" i="25" a="1"/>
  <c r="U45" i="25"/>
  <c r="V45" i="25"/>
  <c r="AA45" i="25"/>
  <c r="W45" i="25"/>
  <c r="AC45" i="25"/>
  <c r="U46" i="25" a="1"/>
  <c r="U46" i="25"/>
  <c r="V46" i="25"/>
  <c r="AA46" i="25"/>
  <c r="W46" i="25"/>
  <c r="AC46" i="25"/>
  <c r="U47" i="25" a="1"/>
  <c r="U47" i="25"/>
  <c r="V47" i="25"/>
  <c r="AA47" i="25"/>
  <c r="W47" i="25"/>
  <c r="AC47" i="25"/>
  <c r="U48" i="25" a="1"/>
  <c r="U48" i="25"/>
  <c r="V48" i="25"/>
  <c r="AA48" i="25"/>
  <c r="W48" i="25"/>
  <c r="AC48" i="25"/>
  <c r="U49" i="25" a="1"/>
  <c r="U49" i="25"/>
  <c r="V49" i="25"/>
  <c r="AA49" i="25"/>
  <c r="W49" i="25"/>
  <c r="AC49" i="25"/>
  <c r="U50" i="25" a="1"/>
  <c r="U50" i="25"/>
  <c r="V50" i="25"/>
  <c r="AA50" i="25"/>
  <c r="W50" i="25"/>
  <c r="AC50" i="25"/>
  <c r="U51" i="25" a="1"/>
  <c r="U51" i="25"/>
  <c r="V51" i="25"/>
  <c r="AA51" i="25"/>
  <c r="W51" i="25"/>
  <c r="AC51" i="25"/>
  <c r="U52" i="25" a="1"/>
  <c r="U52" i="25"/>
  <c r="V52" i="25"/>
  <c r="AA52" i="25"/>
  <c r="W52" i="25"/>
  <c r="AC52" i="25"/>
  <c r="U53" i="25" a="1"/>
  <c r="U53" i="25"/>
  <c r="V53" i="25"/>
  <c r="AA53" i="25"/>
  <c r="W53" i="25"/>
  <c r="AC53" i="25"/>
  <c r="U54" i="25" a="1"/>
  <c r="U54" i="25"/>
  <c r="V54" i="25"/>
  <c r="AA54" i="25"/>
  <c r="W54" i="25"/>
  <c r="AC54" i="25"/>
  <c r="U55" i="25" a="1"/>
  <c r="U55" i="25"/>
  <c r="V55" i="25"/>
  <c r="AA55" i="25"/>
  <c r="W55" i="25"/>
  <c r="AC55" i="25"/>
  <c r="U56" i="25" a="1"/>
  <c r="U56" i="25"/>
  <c r="V56" i="25"/>
  <c r="AA56" i="25"/>
  <c r="W56" i="25"/>
  <c r="AC56" i="25"/>
  <c r="U57" i="25" a="1"/>
  <c r="U57" i="25"/>
  <c r="V57" i="25"/>
  <c r="AA57" i="25"/>
  <c r="W57" i="25"/>
  <c r="AC57" i="25"/>
  <c r="U58" i="25" a="1"/>
  <c r="U58" i="25"/>
  <c r="V58" i="25"/>
  <c r="AA58" i="25"/>
  <c r="W58" i="25"/>
  <c r="AC58" i="25"/>
  <c r="U59" i="25" a="1"/>
  <c r="U59" i="25"/>
  <c r="V59" i="25"/>
  <c r="AA59" i="25"/>
  <c r="W59" i="25"/>
  <c r="AC59" i="25"/>
  <c r="U60" i="25" a="1"/>
  <c r="U60" i="25"/>
  <c r="V60" i="25"/>
  <c r="AA60" i="25"/>
  <c r="W60" i="25"/>
  <c r="AC60" i="25"/>
  <c r="U61" i="25" a="1"/>
  <c r="U61" i="25"/>
  <c r="V61" i="25"/>
  <c r="AA61" i="25"/>
  <c r="W61" i="25"/>
  <c r="AC61" i="25"/>
  <c r="U62" i="25" a="1"/>
  <c r="U62" i="25"/>
  <c r="V62" i="25"/>
  <c r="AA62" i="25"/>
  <c r="W62" i="25"/>
  <c r="AC62" i="25"/>
  <c r="U63" i="25" a="1"/>
  <c r="U63" i="25"/>
  <c r="V63" i="25"/>
  <c r="AA63" i="25"/>
  <c r="W63" i="25"/>
  <c r="AC63" i="25"/>
  <c r="U64" i="25" a="1"/>
  <c r="U64" i="25"/>
  <c r="V64" i="25"/>
  <c r="AA64" i="25"/>
  <c r="W64" i="25"/>
  <c r="AC64" i="25"/>
  <c r="U65" i="25" a="1"/>
  <c r="U65" i="25"/>
  <c r="V65" i="25"/>
  <c r="AA65" i="25"/>
  <c r="W65" i="25"/>
  <c r="AC65" i="25"/>
  <c r="U66" i="25" a="1"/>
  <c r="U66" i="25"/>
  <c r="V66" i="25"/>
  <c r="AA66" i="25"/>
  <c r="W66" i="25"/>
  <c r="AC66" i="25"/>
  <c r="U67" i="25" a="1"/>
  <c r="U67" i="25"/>
  <c r="V67" i="25"/>
  <c r="AA67" i="25"/>
  <c r="W67" i="25"/>
  <c r="AC67" i="25"/>
  <c r="U68" i="25" a="1"/>
  <c r="U68" i="25"/>
  <c r="V68" i="25"/>
  <c r="AA68" i="25"/>
  <c r="W68" i="25"/>
  <c r="AC68" i="25"/>
  <c r="U69" i="25" a="1"/>
  <c r="U69" i="25"/>
  <c r="V69" i="25"/>
  <c r="AA69" i="25"/>
  <c r="W69" i="25"/>
  <c r="AC69" i="25"/>
  <c r="U70" i="25" a="1"/>
  <c r="U70" i="25"/>
  <c r="V70" i="25"/>
  <c r="AA70" i="25"/>
  <c r="W70" i="25"/>
  <c r="AC70" i="25"/>
  <c r="U71" i="25" a="1"/>
  <c r="U71" i="25"/>
  <c r="V71" i="25"/>
  <c r="AA71" i="25"/>
  <c r="W71" i="25"/>
  <c r="AC71" i="25"/>
  <c r="U72" i="25" a="1"/>
  <c r="U72" i="25"/>
  <c r="V72" i="25"/>
  <c r="AA72" i="25"/>
  <c r="W72" i="25"/>
  <c r="AC72" i="25"/>
  <c r="U73" i="25" a="1"/>
  <c r="U73" i="25"/>
  <c r="V73" i="25"/>
  <c r="AA73" i="25"/>
  <c r="W73" i="25"/>
  <c r="AC73" i="25"/>
  <c r="U74" i="25" a="1"/>
  <c r="U74" i="25"/>
  <c r="V74" i="25"/>
  <c r="AA74" i="25"/>
  <c r="W74" i="25"/>
  <c r="AC74" i="25"/>
  <c r="U75" i="25" a="1"/>
  <c r="U75" i="25"/>
  <c r="V75" i="25"/>
  <c r="AA75" i="25"/>
  <c r="W75" i="25"/>
  <c r="AC75" i="25"/>
  <c r="U76" i="25" a="1"/>
  <c r="U76" i="25"/>
  <c r="V76" i="25"/>
  <c r="AA76" i="25"/>
  <c r="W76" i="25"/>
  <c r="AC76" i="25"/>
  <c r="U77" i="25" a="1"/>
  <c r="U77" i="25"/>
  <c r="V77" i="25"/>
  <c r="AA77" i="25"/>
  <c r="W77" i="25"/>
  <c r="AC77" i="25"/>
  <c r="U78" i="25" a="1"/>
  <c r="U78" i="25"/>
  <c r="V78" i="25"/>
  <c r="AA78" i="25"/>
  <c r="W78" i="25"/>
  <c r="AC78" i="25"/>
  <c r="U79" i="25" a="1"/>
  <c r="U79" i="25"/>
  <c r="V79" i="25"/>
  <c r="AA79" i="25"/>
  <c r="W79" i="25"/>
  <c r="AC79" i="25"/>
  <c r="U80" i="25" a="1"/>
  <c r="U80" i="25"/>
  <c r="V80" i="25"/>
  <c r="AA80" i="25"/>
  <c r="W80" i="25"/>
  <c r="AC80" i="25"/>
  <c r="U81" i="25" a="1"/>
  <c r="U81" i="25"/>
  <c r="V81" i="25"/>
  <c r="AA81" i="25"/>
  <c r="W81" i="25"/>
  <c r="AC81" i="25"/>
  <c r="U82" i="25" a="1"/>
  <c r="U82" i="25"/>
  <c r="V82" i="25"/>
  <c r="AA82" i="25"/>
  <c r="W82" i="25"/>
  <c r="AC82" i="25"/>
  <c r="U83" i="25" a="1"/>
  <c r="U83" i="25"/>
  <c r="V83" i="25"/>
  <c r="AA83" i="25"/>
  <c r="W83" i="25"/>
  <c r="AC83" i="25"/>
  <c r="U84" i="25" a="1"/>
  <c r="U84" i="25"/>
  <c r="V84" i="25"/>
  <c r="AA84" i="25"/>
  <c r="W84" i="25"/>
  <c r="AC84" i="25"/>
  <c r="U85" i="25" a="1"/>
  <c r="U85" i="25"/>
  <c r="V85" i="25"/>
  <c r="AA85" i="25"/>
  <c r="W85" i="25"/>
  <c r="AC85" i="25"/>
  <c r="U86" i="25" a="1"/>
  <c r="U86" i="25"/>
  <c r="V86" i="25"/>
  <c r="AA86" i="25"/>
  <c r="W86" i="25"/>
  <c r="AC86" i="25"/>
  <c r="U87" i="25" a="1"/>
  <c r="U87" i="25"/>
  <c r="V87" i="25"/>
  <c r="AA87" i="25"/>
  <c r="W87" i="25"/>
  <c r="AC87" i="25"/>
  <c r="U88" i="25" a="1"/>
  <c r="U88" i="25"/>
  <c r="V88" i="25"/>
  <c r="AA88" i="25"/>
  <c r="W88" i="25"/>
  <c r="AC88" i="25"/>
  <c r="U89" i="25" a="1"/>
  <c r="U89" i="25"/>
  <c r="V89" i="25"/>
  <c r="AA89" i="25"/>
  <c r="W89" i="25"/>
  <c r="AC89" i="25"/>
  <c r="U90" i="25" a="1"/>
  <c r="U90" i="25"/>
  <c r="V90" i="25"/>
  <c r="AA90" i="25"/>
  <c r="W90" i="25"/>
  <c r="AC90" i="25"/>
  <c r="U91" i="25" a="1"/>
  <c r="U91" i="25"/>
  <c r="V91" i="25"/>
  <c r="AA91" i="25"/>
  <c r="W91" i="25"/>
  <c r="AC91" i="25"/>
  <c r="U92" i="25" a="1"/>
  <c r="U92" i="25"/>
  <c r="V92" i="25"/>
  <c r="AA92" i="25"/>
  <c r="W92" i="25"/>
  <c r="AC92" i="25"/>
  <c r="U93" i="25" a="1"/>
  <c r="U93" i="25"/>
  <c r="V93" i="25"/>
  <c r="AA93" i="25"/>
  <c r="W93" i="25"/>
  <c r="AC93" i="25"/>
  <c r="U94" i="25" a="1"/>
  <c r="U94" i="25"/>
  <c r="V94" i="25"/>
  <c r="AA94" i="25"/>
  <c r="W94" i="25"/>
  <c r="AC94" i="25"/>
  <c r="U95" i="25" a="1"/>
  <c r="U95" i="25"/>
  <c r="V95" i="25"/>
  <c r="AA95" i="25"/>
  <c r="W95" i="25"/>
  <c r="AC95" i="25"/>
  <c r="U96" i="25" a="1"/>
  <c r="U96" i="25"/>
  <c r="V96" i="25"/>
  <c r="AA96" i="25"/>
  <c r="W96" i="25"/>
  <c r="AC96" i="25"/>
  <c r="U97" i="25" a="1"/>
  <c r="U97" i="25"/>
  <c r="V97" i="25"/>
  <c r="AA97" i="25"/>
  <c r="W97" i="25"/>
  <c r="AC97" i="25"/>
  <c r="U98" i="25" a="1"/>
  <c r="U98" i="25"/>
  <c r="V98" i="25"/>
  <c r="AA98" i="25"/>
  <c r="W98" i="25"/>
  <c r="AC98" i="25"/>
  <c r="U99" i="25" a="1"/>
  <c r="U99" i="25"/>
  <c r="V99" i="25"/>
  <c r="AA99" i="25"/>
  <c r="W99" i="25"/>
  <c r="AC99" i="25"/>
  <c r="U100" i="25" a="1"/>
  <c r="U100" i="25"/>
  <c r="V100" i="25"/>
  <c r="AA100" i="25"/>
  <c r="W100" i="25"/>
  <c r="AC100" i="25"/>
  <c r="U101" i="25" a="1"/>
  <c r="U101" i="25"/>
  <c r="V101" i="25"/>
  <c r="AA101" i="25"/>
  <c r="W101" i="25"/>
  <c r="AC101" i="25"/>
  <c r="U102" i="25" a="1"/>
  <c r="U102" i="25"/>
  <c r="V102" i="25"/>
  <c r="AA102" i="25"/>
  <c r="W102" i="25"/>
  <c r="AC102" i="25"/>
  <c r="U103" i="25" a="1"/>
  <c r="U103" i="25"/>
  <c r="V103" i="25"/>
  <c r="AA103" i="25"/>
  <c r="W103" i="25"/>
  <c r="AC103" i="25"/>
  <c r="U104" i="25" a="1"/>
  <c r="U104" i="25"/>
  <c r="V104" i="25"/>
  <c r="AA104" i="25"/>
  <c r="W104" i="25"/>
  <c r="AC104" i="25"/>
  <c r="U105" i="25" a="1"/>
  <c r="U105" i="25"/>
  <c r="V105" i="25"/>
  <c r="AA105" i="25"/>
  <c r="W105" i="25"/>
  <c r="AC105" i="25"/>
  <c r="U106" i="25" a="1"/>
  <c r="U106" i="25"/>
  <c r="V106" i="25"/>
  <c r="AA106" i="25"/>
  <c r="W106" i="25"/>
  <c r="AC106" i="25"/>
  <c r="U107" i="25" a="1"/>
  <c r="U107" i="25"/>
  <c r="V107" i="25"/>
  <c r="AA107" i="25"/>
  <c r="W107" i="25"/>
  <c r="AC107" i="25"/>
  <c r="U108" i="25" a="1"/>
  <c r="U108" i="25"/>
  <c r="V108" i="25"/>
  <c r="AA108" i="25"/>
  <c r="W108" i="25"/>
  <c r="AC108" i="25"/>
  <c r="U109" i="25" a="1"/>
  <c r="U109" i="25"/>
  <c r="V109" i="25"/>
  <c r="AA109" i="25"/>
  <c r="W109" i="25"/>
  <c r="AC109" i="25"/>
  <c r="U110" i="25" a="1"/>
  <c r="U110" i="25"/>
  <c r="V110" i="25"/>
  <c r="AA110" i="25"/>
  <c r="W110" i="25"/>
  <c r="AC110" i="25"/>
  <c r="U111" i="25" a="1"/>
  <c r="U111" i="25"/>
  <c r="V111" i="25"/>
  <c r="AA111" i="25"/>
  <c r="W111" i="25"/>
  <c r="AC111" i="25"/>
  <c r="U112" i="25" a="1"/>
  <c r="U112" i="25"/>
  <c r="V112" i="25"/>
  <c r="AA112" i="25"/>
  <c r="W112" i="25"/>
  <c r="AC112" i="25"/>
  <c r="U113" i="25" a="1"/>
  <c r="U113" i="25"/>
  <c r="V113" i="25"/>
  <c r="AA113" i="25"/>
  <c r="W113" i="25"/>
  <c r="AC113" i="25"/>
  <c r="U114" i="25" a="1"/>
  <c r="U114" i="25"/>
  <c r="V114" i="25"/>
  <c r="AA114" i="25"/>
  <c r="W114" i="25"/>
  <c r="AC114" i="25"/>
  <c r="U115" i="25" a="1"/>
  <c r="U115" i="25"/>
  <c r="V115" i="25"/>
  <c r="AA115" i="25"/>
  <c r="W115" i="25"/>
  <c r="AC115" i="25"/>
  <c r="U116" i="25" a="1"/>
  <c r="U116" i="25"/>
  <c r="V116" i="25"/>
  <c r="AA116" i="25"/>
  <c r="W116" i="25"/>
  <c r="AC116" i="25"/>
  <c r="U117" i="25" a="1"/>
  <c r="U117" i="25"/>
  <c r="V117" i="25"/>
  <c r="AA117" i="25"/>
  <c r="W117" i="25"/>
  <c r="AC117" i="25"/>
  <c r="U118" i="25" a="1"/>
  <c r="U118" i="25"/>
  <c r="V118" i="25"/>
  <c r="AA118" i="25"/>
  <c r="W118" i="25"/>
  <c r="AC118" i="25"/>
  <c r="U119" i="25" a="1"/>
  <c r="U119" i="25"/>
  <c r="V119" i="25"/>
  <c r="AA119" i="25"/>
  <c r="W119" i="25"/>
  <c r="AC119" i="25"/>
  <c r="U120" i="25" a="1"/>
  <c r="U120" i="25"/>
  <c r="V120" i="25"/>
  <c r="AA120" i="25"/>
  <c r="W120" i="25"/>
  <c r="AC120" i="25"/>
  <c r="U121" i="25" a="1"/>
  <c r="U121" i="25"/>
  <c r="V121" i="25"/>
  <c r="AA121" i="25"/>
  <c r="W121" i="25"/>
  <c r="AC121" i="25"/>
  <c r="U122" i="25" a="1"/>
  <c r="U122" i="25"/>
  <c r="V122" i="25"/>
  <c r="AA122" i="25"/>
  <c r="W122" i="25"/>
  <c r="AC122" i="25"/>
  <c r="U123" i="25" a="1"/>
  <c r="U123" i="25"/>
  <c r="V123" i="25"/>
  <c r="AA123" i="25"/>
  <c r="W123" i="25"/>
  <c r="AC123" i="25"/>
  <c r="U124" i="25" a="1"/>
  <c r="U124" i="25"/>
  <c r="V124" i="25"/>
  <c r="AA124" i="25"/>
  <c r="W124" i="25"/>
  <c r="AC124" i="25"/>
  <c r="Z1" i="25"/>
  <c r="T125" i="25" a="1"/>
  <c r="T125" i="25"/>
  <c r="T124" i="25" a="1"/>
  <c r="T124" i="25"/>
  <c r="T7" i="25" a="1"/>
  <c r="T8" i="25" a="1"/>
  <c r="T9" i="25" a="1"/>
  <c r="T10" i="25" a="1"/>
  <c r="T11" i="25" a="1"/>
  <c r="T12" i="25" a="1"/>
  <c r="T13" i="25" a="1"/>
  <c r="T14" i="25" a="1"/>
  <c r="T15" i="25" a="1"/>
  <c r="T16" i="25" a="1"/>
  <c r="T17" i="25" a="1"/>
  <c r="T18" i="25" a="1"/>
  <c r="T19" i="25" a="1"/>
  <c r="T20" i="25" a="1"/>
  <c r="T21" i="25" a="1"/>
  <c r="T22" i="25" a="1"/>
  <c r="T23" i="25" a="1"/>
  <c r="T24" i="25" a="1"/>
  <c r="T25" i="25" a="1"/>
  <c r="T26" i="25" a="1"/>
  <c r="T27" i="25" a="1"/>
  <c r="T28" i="25" a="1"/>
  <c r="T29" i="25" a="1"/>
  <c r="T30" i="25" a="1"/>
  <c r="T31" i="25" a="1"/>
  <c r="T32" i="25" a="1"/>
  <c r="T33" i="25" a="1"/>
  <c r="T34" i="25" a="1"/>
  <c r="T35" i="25" a="1"/>
  <c r="T36" i="25" a="1"/>
  <c r="T37" i="25" a="1"/>
  <c r="T38" i="25" a="1"/>
  <c r="T39" i="25" a="1"/>
  <c r="T40" i="25" a="1"/>
  <c r="T41" i="25" a="1"/>
  <c r="T42" i="25" a="1"/>
  <c r="T43" i="25" a="1"/>
  <c r="T44" i="25" a="1"/>
  <c r="T45" i="25" a="1"/>
  <c r="T46" i="25" a="1"/>
  <c r="T47" i="25" a="1"/>
  <c r="T48" i="25" a="1"/>
  <c r="T49" i="25" a="1"/>
  <c r="T50" i="25" a="1"/>
  <c r="T51" i="25" a="1"/>
  <c r="T52" i="25" a="1"/>
  <c r="T53" i="25" a="1"/>
  <c r="T54" i="25" a="1"/>
  <c r="T55" i="25" a="1"/>
  <c r="T56" i="25" a="1"/>
  <c r="T57" i="25" a="1"/>
  <c r="T58" i="25" a="1"/>
  <c r="T59" i="25" a="1"/>
  <c r="T60" i="25" a="1"/>
  <c r="T61" i="25" a="1"/>
  <c r="T62" i="25" a="1"/>
  <c r="T63" i="25" a="1"/>
  <c r="T64" i="25" a="1"/>
  <c r="T65" i="25" a="1"/>
  <c r="T66" i="25" a="1"/>
  <c r="T67" i="25" a="1"/>
  <c r="T68" i="25" a="1"/>
  <c r="T69" i="25" a="1"/>
  <c r="T70" i="25" a="1"/>
  <c r="T71" i="25" a="1"/>
  <c r="T72" i="25" a="1"/>
  <c r="T73" i="25" a="1"/>
  <c r="T74" i="25" a="1"/>
  <c r="T75" i="25" a="1"/>
  <c r="T76" i="25" a="1"/>
  <c r="T77" i="25" a="1"/>
  <c r="T78" i="25" a="1"/>
  <c r="T79" i="25" a="1"/>
  <c r="T80" i="25" a="1"/>
  <c r="T81" i="25" a="1"/>
  <c r="T82" i="25" a="1"/>
  <c r="T83" i="25" a="1"/>
  <c r="T84" i="25" a="1"/>
  <c r="T85" i="25" a="1"/>
  <c r="T86" i="25" a="1"/>
  <c r="T87" i="25" a="1"/>
  <c r="T88" i="25" a="1"/>
  <c r="T89" i="25" a="1"/>
  <c r="T90" i="25" a="1"/>
  <c r="T91" i="25" a="1"/>
  <c r="T92" i="25" a="1"/>
  <c r="T93" i="25" a="1"/>
  <c r="T94" i="25" a="1"/>
  <c r="T95" i="25" a="1"/>
  <c r="T96" i="25" a="1"/>
  <c r="T97" i="25" a="1"/>
  <c r="T98" i="25" a="1"/>
  <c r="T99" i="25" a="1"/>
  <c r="T100" i="25" a="1"/>
  <c r="T101" i="25" a="1"/>
  <c r="T102" i="25" a="1"/>
  <c r="T103" i="25" a="1"/>
  <c r="T104" i="25" a="1"/>
  <c r="T105" i="25" a="1"/>
  <c r="T106" i="25" a="1"/>
  <c r="T107" i="25" a="1"/>
  <c r="T108" i="25" a="1"/>
  <c r="T109" i="25" a="1"/>
  <c r="T110" i="25" a="1"/>
  <c r="T111" i="25" a="1"/>
  <c r="T112" i="25" a="1"/>
  <c r="T113" i="25" a="1"/>
  <c r="T114" i="25" a="1"/>
  <c r="T115" i="25" a="1"/>
  <c r="T116" i="25" a="1"/>
  <c r="T117" i="25" a="1"/>
  <c r="T118" i="25" a="1"/>
  <c r="T119" i="25" a="1"/>
  <c r="T120" i="25" a="1"/>
  <c r="T121" i="25" a="1"/>
  <c r="T122" i="25" a="1"/>
  <c r="T123" i="25" a="1"/>
  <c r="T7" i="25"/>
  <c r="T8" i="25"/>
  <c r="T9" i="25"/>
  <c r="T10" i="25"/>
  <c r="T11" i="25"/>
  <c r="T12" i="25"/>
  <c r="T13" i="25"/>
  <c r="T14" i="25"/>
  <c r="T15" i="25"/>
  <c r="T16" i="25"/>
  <c r="T17" i="25"/>
  <c r="T18" i="25"/>
  <c r="T19" i="25"/>
  <c r="T20" i="25"/>
  <c r="T21" i="25"/>
  <c r="T22" i="25"/>
  <c r="T23" i="25"/>
  <c r="T24" i="25"/>
  <c r="T25" i="25"/>
  <c r="T26" i="25"/>
  <c r="T27" i="25"/>
  <c r="T28" i="25"/>
  <c r="T29" i="25"/>
  <c r="T30" i="25"/>
  <c r="T31" i="25"/>
  <c r="T32" i="25"/>
  <c r="T33" i="25"/>
  <c r="T34" i="25"/>
  <c r="T35" i="25"/>
  <c r="T36" i="25"/>
  <c r="T37" i="25"/>
  <c r="T38" i="25"/>
  <c r="T39" i="25"/>
  <c r="T40" i="25"/>
  <c r="T41" i="25"/>
  <c r="T42" i="25"/>
  <c r="T43" i="25"/>
  <c r="T44" i="25"/>
  <c r="T45" i="25"/>
  <c r="T46" i="25"/>
  <c r="T47" i="25"/>
  <c r="T48" i="25"/>
  <c r="T49" i="25"/>
  <c r="T50" i="25"/>
  <c r="T51" i="25"/>
  <c r="T52" i="25"/>
  <c r="T53" i="25"/>
  <c r="T54" i="25"/>
  <c r="T55" i="25"/>
  <c r="T56" i="25"/>
  <c r="T57" i="25"/>
  <c r="T58" i="25"/>
  <c r="T59" i="25"/>
  <c r="T60" i="25"/>
  <c r="T61" i="25"/>
  <c r="T62" i="25"/>
  <c r="T63" i="25"/>
  <c r="T64" i="25"/>
  <c r="T65" i="25"/>
  <c r="T66" i="25"/>
  <c r="T67" i="25"/>
  <c r="T68" i="25"/>
  <c r="T69" i="25"/>
  <c r="T70" i="25"/>
  <c r="T71" i="25"/>
  <c r="T72" i="25"/>
  <c r="T73" i="25"/>
  <c r="T74" i="25"/>
  <c r="T75" i="25"/>
  <c r="T76" i="25"/>
  <c r="T77" i="25"/>
  <c r="T78" i="25"/>
  <c r="T79" i="25"/>
  <c r="T80" i="25"/>
  <c r="T81" i="25"/>
  <c r="T82" i="25"/>
  <c r="T83" i="25"/>
  <c r="T84" i="25"/>
  <c r="T85" i="25"/>
  <c r="T86" i="25"/>
  <c r="T87" i="25"/>
  <c r="T88" i="25"/>
  <c r="T89" i="25"/>
  <c r="T90" i="25"/>
  <c r="T91" i="25"/>
  <c r="T92" i="25"/>
  <c r="T93" i="25"/>
  <c r="T94" i="25"/>
  <c r="T95" i="25"/>
  <c r="T96" i="25"/>
  <c r="T97" i="25"/>
  <c r="T98" i="25"/>
  <c r="T99" i="25"/>
  <c r="T100" i="25"/>
  <c r="T101" i="25"/>
  <c r="T102" i="25"/>
  <c r="T103" i="25"/>
  <c r="T104" i="25"/>
  <c r="T105" i="25"/>
  <c r="T106" i="25"/>
  <c r="T107" i="25"/>
  <c r="T108" i="25"/>
  <c r="T109" i="25"/>
  <c r="T110" i="25"/>
  <c r="T111" i="25"/>
  <c r="T112" i="25"/>
  <c r="T113" i="25"/>
  <c r="T114" i="25"/>
  <c r="T115" i="25"/>
  <c r="T116" i="25"/>
  <c r="T117" i="25"/>
  <c r="T118" i="25"/>
  <c r="T119" i="25"/>
  <c r="T120" i="25"/>
  <c r="T121" i="25"/>
  <c r="T122" i="25"/>
  <c r="T123" i="25"/>
  <c r="U125" i="25" a="1"/>
  <c r="U125" i="25"/>
  <c r="V125" i="25"/>
  <c r="AA125" i="25"/>
  <c r="W125" i="25"/>
  <c r="AC125" i="25"/>
  <c r="T126" i="25" a="1"/>
  <c r="T126" i="25"/>
  <c r="U126" i="25" a="1"/>
  <c r="U126" i="25"/>
  <c r="V126" i="25"/>
  <c r="AA126" i="25"/>
  <c r="W126" i="25"/>
  <c r="AC126" i="25"/>
  <c r="T127" i="25" a="1"/>
  <c r="T127" i="25"/>
  <c r="U127" i="25" a="1"/>
  <c r="U127" i="25"/>
  <c r="V127" i="25"/>
  <c r="AA127" i="25"/>
  <c r="W127" i="25"/>
  <c r="AC127" i="25"/>
  <c r="T128" i="25" a="1"/>
  <c r="T128" i="25"/>
  <c r="U128" i="25" a="1"/>
  <c r="U128" i="25"/>
  <c r="V128" i="25"/>
  <c r="AA128" i="25"/>
  <c r="W128" i="25"/>
  <c r="AC128" i="25"/>
  <c r="T129" i="25" a="1"/>
  <c r="T129" i="25"/>
  <c r="U129" i="25" a="1"/>
  <c r="U129" i="25"/>
  <c r="V129" i="25"/>
  <c r="AA129" i="25"/>
  <c r="W129" i="25"/>
  <c r="AC129" i="25"/>
  <c r="T130" i="25" a="1"/>
  <c r="T130" i="25"/>
  <c r="U130" i="25" a="1"/>
  <c r="U130" i="25"/>
  <c r="V130" i="25"/>
  <c r="AA130" i="25"/>
  <c r="W130" i="25"/>
  <c r="AC130" i="25"/>
  <c r="T131" i="25" a="1"/>
  <c r="T131" i="25"/>
  <c r="U131" i="25" a="1"/>
  <c r="U131" i="25"/>
  <c r="V131" i="25"/>
  <c r="AA131" i="25"/>
  <c r="W131" i="25"/>
  <c r="AC131" i="25"/>
  <c r="T132" i="25" a="1"/>
  <c r="T132" i="25"/>
  <c r="U132" i="25" a="1"/>
  <c r="U132" i="25"/>
  <c r="V132" i="25"/>
  <c r="AA132" i="25"/>
  <c r="W132" i="25"/>
  <c r="AC132" i="25"/>
  <c r="T133" i="25" a="1"/>
  <c r="T133" i="25"/>
  <c r="U133" i="25" a="1"/>
  <c r="U133" i="25"/>
  <c r="V133" i="25"/>
  <c r="AA133" i="25"/>
  <c r="W133" i="25"/>
  <c r="AC133" i="25"/>
  <c r="T134" i="25" a="1"/>
  <c r="T134" i="25"/>
  <c r="U134" i="25" a="1"/>
  <c r="U134" i="25"/>
  <c r="V134" i="25"/>
  <c r="AA134" i="25"/>
  <c r="W134" i="25"/>
  <c r="AC134" i="25"/>
  <c r="T135" i="25" a="1"/>
  <c r="T135" i="25"/>
  <c r="U135" i="25" a="1"/>
  <c r="U135" i="25"/>
  <c r="V135" i="25"/>
  <c r="AA135" i="25"/>
  <c r="W135" i="25"/>
  <c r="AC135" i="25"/>
  <c r="T136" i="25" a="1"/>
  <c r="T136" i="25"/>
  <c r="U136" i="25" a="1"/>
  <c r="U136" i="25"/>
  <c r="V136" i="25"/>
  <c r="AA136" i="25"/>
  <c r="W136" i="25"/>
  <c r="AC136" i="25"/>
  <c r="T137" i="25" a="1"/>
  <c r="T137" i="25"/>
  <c r="U137" i="25" a="1"/>
  <c r="U137" i="25"/>
  <c r="V137" i="25"/>
  <c r="AA137" i="25"/>
  <c r="W137" i="25"/>
  <c r="AC137" i="25"/>
  <c r="T138" i="25" a="1"/>
  <c r="T138" i="25"/>
  <c r="U138" i="25" a="1"/>
  <c r="U138" i="25"/>
  <c r="V138" i="25"/>
  <c r="AA138" i="25"/>
  <c r="W138" i="25"/>
  <c r="AC138" i="25"/>
  <c r="T139" i="25" a="1"/>
  <c r="T139" i="25"/>
  <c r="U139" i="25" a="1"/>
  <c r="U139" i="25"/>
  <c r="V139" i="25"/>
  <c r="AA139" i="25"/>
  <c r="W139" i="25"/>
  <c r="AC139" i="25"/>
  <c r="T140" i="25" a="1"/>
  <c r="T140" i="25"/>
  <c r="U140" i="25" a="1"/>
  <c r="U140" i="25"/>
  <c r="V140" i="25"/>
  <c r="AA140" i="25"/>
  <c r="W140" i="25"/>
  <c r="AC140" i="25"/>
  <c r="T141" i="25" a="1"/>
  <c r="T141" i="25"/>
  <c r="U141" i="25" a="1"/>
  <c r="U141" i="25"/>
  <c r="V141" i="25"/>
  <c r="AA141" i="25"/>
  <c r="W141" i="25"/>
  <c r="AC141" i="25"/>
  <c r="T142" i="25" a="1"/>
  <c r="T142" i="25"/>
  <c r="U142" i="25" a="1"/>
  <c r="U142" i="25"/>
  <c r="V142" i="25"/>
  <c r="AA142" i="25"/>
  <c r="W142" i="25"/>
  <c r="AC142" i="25"/>
  <c r="T143" i="25" a="1"/>
  <c r="T143" i="25"/>
  <c r="U143" i="25" a="1"/>
  <c r="U143" i="25"/>
  <c r="V143" i="25"/>
  <c r="AA143" i="25"/>
  <c r="W143" i="25"/>
  <c r="AC143" i="25"/>
  <c r="T144" i="25" a="1"/>
  <c r="T144" i="25"/>
  <c r="U144" i="25" a="1"/>
  <c r="U144" i="25"/>
  <c r="V144" i="25"/>
  <c r="AA144" i="25"/>
  <c r="W144" i="25"/>
  <c r="AC144" i="25"/>
  <c r="T145" i="25" a="1"/>
  <c r="T145" i="25"/>
  <c r="U145" i="25" a="1"/>
  <c r="U145" i="25"/>
  <c r="V145" i="25"/>
  <c r="AA145" i="25"/>
  <c r="W145" i="25"/>
  <c r="AC145" i="25"/>
  <c r="T146" i="25" a="1"/>
  <c r="T146" i="25"/>
  <c r="U146" i="25" a="1"/>
  <c r="U146" i="25"/>
  <c r="V146" i="25"/>
  <c r="AA146" i="25"/>
  <c r="W146" i="25"/>
  <c r="AC146" i="25"/>
  <c r="T147" i="25" a="1"/>
  <c r="T147" i="25"/>
  <c r="U147" i="25" a="1"/>
  <c r="U147" i="25"/>
  <c r="V147" i="25"/>
  <c r="AA147" i="25"/>
  <c r="W147" i="25"/>
  <c r="AC147" i="25"/>
  <c r="T148" i="25" a="1"/>
  <c r="T148" i="25"/>
  <c r="U148" i="25" a="1"/>
  <c r="U148" i="25"/>
  <c r="V148" i="25"/>
  <c r="AA148" i="25"/>
  <c r="W148" i="25"/>
  <c r="AC148" i="25"/>
  <c r="T149" i="25" a="1"/>
  <c r="T149" i="25"/>
  <c r="U149" i="25" a="1"/>
  <c r="U149" i="25"/>
  <c r="V149" i="25"/>
  <c r="AA149" i="25"/>
  <c r="W149" i="25"/>
  <c r="AC149" i="25"/>
  <c r="T150" i="25" a="1"/>
  <c r="T150" i="25"/>
  <c r="U150" i="25" a="1"/>
  <c r="U150" i="25"/>
  <c r="V150" i="25"/>
  <c r="AA150" i="25"/>
  <c r="W150" i="25"/>
  <c r="AC150" i="25"/>
  <c r="T151" i="25" a="1"/>
  <c r="T151" i="25"/>
  <c r="U151" i="25" a="1"/>
  <c r="U151" i="25"/>
  <c r="V151" i="25"/>
  <c r="AA151" i="25"/>
  <c r="W151" i="25"/>
  <c r="AC151" i="25"/>
  <c r="T152" i="25" a="1"/>
  <c r="T152" i="25"/>
  <c r="U152" i="25" a="1"/>
  <c r="U152" i="25"/>
  <c r="V152" i="25"/>
  <c r="AA152" i="25"/>
  <c r="W152" i="25"/>
  <c r="AC152" i="25"/>
  <c r="T153" i="25" a="1"/>
  <c r="T153" i="25"/>
  <c r="U153" i="25" a="1"/>
  <c r="U153" i="25"/>
  <c r="V153" i="25"/>
  <c r="AA153" i="25"/>
  <c r="W153" i="25"/>
  <c r="AC153" i="25"/>
  <c r="T154" i="25" a="1"/>
  <c r="T154" i="25"/>
  <c r="U154" i="25" a="1"/>
  <c r="U154" i="25"/>
  <c r="V154" i="25"/>
  <c r="AA154" i="25"/>
  <c r="W154" i="25"/>
  <c r="AC154" i="25"/>
  <c r="T155" i="25" a="1"/>
  <c r="T155" i="25"/>
  <c r="U155" i="25" a="1"/>
  <c r="U155" i="25"/>
  <c r="V155" i="25"/>
  <c r="AA155" i="25"/>
  <c r="W155" i="25"/>
  <c r="AC155" i="25"/>
  <c r="T156" i="25" a="1"/>
  <c r="T156" i="25"/>
  <c r="U156" i="25" a="1"/>
  <c r="U156" i="25"/>
  <c r="V156" i="25"/>
  <c r="AA156" i="25"/>
  <c r="W156" i="25"/>
  <c r="AC156" i="25"/>
  <c r="T157" i="25" a="1"/>
  <c r="T157" i="25"/>
  <c r="U157" i="25" a="1"/>
  <c r="U157" i="25"/>
  <c r="V157" i="25"/>
  <c r="AA157" i="25"/>
  <c r="W157" i="25"/>
  <c r="AC157" i="25"/>
  <c r="T158" i="25" a="1"/>
  <c r="T158" i="25"/>
  <c r="U158" i="25" a="1"/>
  <c r="U158" i="25"/>
  <c r="V158" i="25"/>
  <c r="AA158" i="25"/>
  <c r="W158" i="25"/>
  <c r="AC158" i="25"/>
  <c r="T159" i="25" a="1"/>
  <c r="T159" i="25"/>
  <c r="U159" i="25" a="1"/>
  <c r="U159" i="25"/>
  <c r="V159" i="25"/>
  <c r="AA159" i="25"/>
  <c r="W159" i="25"/>
  <c r="AC159" i="25"/>
  <c r="T160" i="25" a="1"/>
  <c r="T160" i="25"/>
  <c r="U160" i="25" a="1"/>
  <c r="U160" i="25"/>
  <c r="V160" i="25"/>
  <c r="AA160" i="25"/>
  <c r="W160" i="25"/>
  <c r="AC160" i="25"/>
  <c r="T161" i="25" a="1"/>
  <c r="T161" i="25"/>
  <c r="U161" i="25" a="1"/>
  <c r="U161" i="25"/>
  <c r="V161" i="25"/>
  <c r="AA161" i="25"/>
  <c r="W161" i="25"/>
  <c r="AC161" i="25"/>
  <c r="T162" i="25" a="1"/>
  <c r="T162" i="25"/>
  <c r="U162" i="25" a="1"/>
  <c r="U162" i="25"/>
  <c r="V162" i="25"/>
  <c r="AA162" i="25"/>
  <c r="W162" i="25"/>
  <c r="AC162" i="25"/>
  <c r="T163" i="25" a="1"/>
  <c r="T163" i="25"/>
  <c r="U163" i="25" a="1"/>
  <c r="U163" i="25"/>
  <c r="V163" i="25"/>
  <c r="AA163" i="25"/>
  <c r="W163" i="25"/>
  <c r="AC163" i="25"/>
  <c r="T164" i="25" a="1"/>
  <c r="T164" i="25"/>
  <c r="U164" i="25" a="1"/>
  <c r="U164" i="25"/>
  <c r="V164" i="25"/>
  <c r="AA164" i="25"/>
  <c r="W164" i="25"/>
  <c r="AC164" i="25"/>
  <c r="T165" i="25" a="1"/>
  <c r="T165" i="25"/>
  <c r="U165" i="25" a="1"/>
  <c r="U165" i="25"/>
  <c r="V165" i="25"/>
  <c r="AA165" i="25"/>
  <c r="W165" i="25"/>
  <c r="AC165" i="25"/>
  <c r="T166" i="25" a="1"/>
  <c r="T166" i="25"/>
  <c r="U166" i="25" a="1"/>
  <c r="U166" i="25"/>
  <c r="V166" i="25"/>
  <c r="AA166" i="25"/>
  <c r="W166" i="25"/>
  <c r="AC166" i="25"/>
  <c r="T167" i="25" a="1"/>
  <c r="T167" i="25"/>
  <c r="U167" i="25" a="1"/>
  <c r="U167" i="25"/>
  <c r="V167" i="25"/>
  <c r="AA167" i="25"/>
  <c r="W167" i="25"/>
  <c r="AC167" i="25"/>
  <c r="T168" i="25" a="1"/>
  <c r="T168" i="25"/>
  <c r="U168" i="25" a="1"/>
  <c r="U168" i="25"/>
  <c r="V168" i="25"/>
  <c r="AA168" i="25"/>
  <c r="W168" i="25"/>
  <c r="AC168" i="25"/>
  <c r="T169" i="25" a="1"/>
  <c r="T169" i="25"/>
  <c r="U169" i="25" a="1"/>
  <c r="U169" i="25"/>
  <c r="V169" i="25"/>
  <c r="AA169" i="25"/>
  <c r="W169" i="25"/>
  <c r="AC169" i="25"/>
  <c r="T170" i="25" a="1"/>
  <c r="T170" i="25"/>
  <c r="U170" i="25" a="1"/>
  <c r="U170" i="25"/>
  <c r="V170" i="25"/>
  <c r="AA170" i="25"/>
  <c r="W170" i="25"/>
  <c r="AC170" i="25"/>
  <c r="T171" i="25" a="1"/>
  <c r="T171" i="25"/>
  <c r="U171" i="25" a="1"/>
  <c r="U171" i="25"/>
  <c r="V171" i="25"/>
  <c r="AA171" i="25"/>
  <c r="W171" i="25"/>
  <c r="AC171" i="25"/>
  <c r="T172" i="25" a="1"/>
  <c r="T172" i="25"/>
  <c r="U172" i="25" a="1"/>
  <c r="U172" i="25"/>
  <c r="V172" i="25"/>
  <c r="AA172" i="25"/>
  <c r="W172" i="25"/>
  <c r="AC172" i="25"/>
  <c r="T173" i="25" a="1"/>
  <c r="T173" i="25"/>
  <c r="U173" i="25" a="1"/>
  <c r="U173" i="25"/>
  <c r="V173" i="25"/>
  <c r="AA173" i="25"/>
  <c r="W173" i="25"/>
  <c r="AC173" i="25"/>
  <c r="T174" i="25" a="1"/>
  <c r="T174" i="25"/>
  <c r="U174" i="25" a="1"/>
  <c r="U174" i="25"/>
  <c r="V174" i="25"/>
  <c r="AA174" i="25"/>
  <c r="W174" i="25"/>
  <c r="AC174" i="25"/>
  <c r="T175" i="25" a="1"/>
  <c r="T175" i="25"/>
  <c r="U175" i="25" a="1"/>
  <c r="U175" i="25"/>
  <c r="V175" i="25"/>
  <c r="AA175" i="25"/>
  <c r="W175" i="25"/>
  <c r="AC175" i="25"/>
  <c r="T176" i="25" a="1"/>
  <c r="T176" i="25"/>
  <c r="U176" i="25" a="1"/>
  <c r="U176" i="25"/>
  <c r="V176" i="25"/>
  <c r="AA176" i="25"/>
  <c r="W176" i="25"/>
  <c r="AC176" i="25"/>
  <c r="T177" i="25" a="1"/>
  <c r="T177" i="25"/>
  <c r="U177" i="25" a="1"/>
  <c r="U177" i="25"/>
  <c r="V177" i="25"/>
  <c r="AA177" i="25"/>
  <c r="W177" i="25"/>
  <c r="AC177" i="25"/>
  <c r="T178" i="25" a="1"/>
  <c r="T178" i="25"/>
  <c r="U178" i="25" a="1"/>
  <c r="U178" i="25"/>
  <c r="V178" i="25"/>
  <c r="AA178" i="25"/>
  <c r="W178" i="25"/>
  <c r="AC178" i="25"/>
  <c r="T179" i="25" a="1"/>
  <c r="T179" i="25"/>
  <c r="U179" i="25" a="1"/>
  <c r="U179" i="25"/>
  <c r="V179" i="25"/>
  <c r="AA179" i="25"/>
  <c r="W179" i="25"/>
  <c r="AC179" i="25"/>
  <c r="T180" i="25" a="1"/>
  <c r="T180" i="25"/>
  <c r="U180" i="25" a="1"/>
  <c r="U180" i="25"/>
  <c r="V180" i="25"/>
  <c r="AA180" i="25"/>
  <c r="W180" i="25"/>
  <c r="AC180" i="25"/>
  <c r="T181" i="25" a="1"/>
  <c r="T181" i="25"/>
  <c r="U181" i="25" a="1"/>
  <c r="U181" i="25"/>
  <c r="V181" i="25"/>
  <c r="AA181" i="25"/>
  <c r="W181" i="25"/>
  <c r="AC181" i="25"/>
  <c r="T182" i="25" a="1"/>
  <c r="T182" i="25"/>
  <c r="U182" i="25" a="1"/>
  <c r="U182" i="25"/>
  <c r="V182" i="25"/>
  <c r="AA182" i="25"/>
  <c r="W182" i="25"/>
  <c r="AC182" i="25"/>
  <c r="T183" i="25" a="1"/>
  <c r="T183" i="25"/>
  <c r="U183" i="25" a="1"/>
  <c r="U183" i="25"/>
  <c r="V183" i="25"/>
  <c r="AA183" i="25"/>
  <c r="W183" i="25"/>
  <c r="AC183" i="25"/>
  <c r="T184" i="25" a="1"/>
  <c r="T184" i="25"/>
  <c r="U184" i="25" a="1"/>
  <c r="U184" i="25"/>
  <c r="V184" i="25"/>
  <c r="AA184" i="25"/>
  <c r="W184" i="25"/>
  <c r="AC184" i="25"/>
  <c r="T185" i="25" a="1"/>
  <c r="T185" i="25"/>
  <c r="U185" i="25" a="1"/>
  <c r="U185" i="25"/>
  <c r="V185" i="25"/>
  <c r="AA185" i="25"/>
  <c r="W185" i="25"/>
  <c r="AC185" i="25"/>
  <c r="T186" i="25" a="1"/>
  <c r="T186" i="25"/>
  <c r="U186" i="25" a="1"/>
  <c r="U186" i="25"/>
  <c r="V186" i="25"/>
  <c r="AA186" i="25"/>
  <c r="W186" i="25"/>
  <c r="AC186" i="25"/>
  <c r="T187" i="25" a="1"/>
  <c r="T187" i="25"/>
  <c r="U187" i="25" a="1"/>
  <c r="U187" i="25"/>
  <c r="V187" i="25"/>
  <c r="AA187" i="25"/>
  <c r="W187" i="25"/>
  <c r="AC187" i="25"/>
  <c r="T188" i="25" a="1"/>
  <c r="T188" i="25"/>
  <c r="U188" i="25" a="1"/>
  <c r="U188" i="25"/>
  <c r="V188" i="25"/>
  <c r="AA188" i="25"/>
  <c r="W188" i="25"/>
  <c r="AC188" i="25"/>
  <c r="T189" i="25" a="1"/>
  <c r="T189" i="25"/>
  <c r="U189" i="25" a="1"/>
  <c r="U189" i="25"/>
  <c r="V189" i="25"/>
  <c r="AA189" i="25"/>
  <c r="W189" i="25"/>
  <c r="AC189" i="25"/>
  <c r="T190" i="25" a="1"/>
  <c r="T190" i="25"/>
  <c r="U190" i="25" a="1"/>
  <c r="U190" i="25"/>
  <c r="V190" i="25"/>
  <c r="AA190" i="25"/>
  <c r="W190" i="25"/>
  <c r="AC190" i="25"/>
  <c r="T191" i="25" a="1"/>
  <c r="T191" i="25"/>
  <c r="U191" i="25" a="1"/>
  <c r="U191" i="25"/>
  <c r="V191" i="25"/>
  <c r="AA191" i="25"/>
  <c r="W191" i="25"/>
  <c r="AC191" i="25"/>
  <c r="T192" i="25" a="1"/>
  <c r="T192" i="25"/>
  <c r="U192" i="25" a="1"/>
  <c r="U192" i="25"/>
  <c r="V192" i="25"/>
  <c r="AA192" i="25"/>
  <c r="W192" i="25"/>
  <c r="AC192" i="25"/>
  <c r="T193" i="25" a="1"/>
  <c r="T193" i="25"/>
  <c r="U193" i="25" a="1"/>
  <c r="U193" i="25"/>
  <c r="V193" i="25"/>
  <c r="AA193" i="25"/>
  <c r="W193" i="25"/>
  <c r="AC193" i="25"/>
  <c r="T194" i="25" a="1"/>
  <c r="T194" i="25"/>
  <c r="U194" i="25" a="1"/>
  <c r="U194" i="25"/>
  <c r="V194" i="25"/>
  <c r="AA194" i="25"/>
  <c r="W194" i="25"/>
  <c r="AC194" i="25"/>
  <c r="T195" i="25" a="1"/>
  <c r="T195" i="25"/>
  <c r="U195" i="25" a="1"/>
  <c r="U195" i="25"/>
  <c r="V195" i="25"/>
  <c r="AA195" i="25"/>
  <c r="W195" i="25"/>
  <c r="AC195" i="25"/>
  <c r="T196" i="25" a="1"/>
  <c r="T196" i="25"/>
  <c r="U196" i="25" a="1"/>
  <c r="U196" i="25"/>
  <c r="V196" i="25"/>
  <c r="AA196" i="25"/>
  <c r="W196" i="25"/>
  <c r="AC196" i="25"/>
  <c r="T197" i="25" a="1"/>
  <c r="T197" i="25"/>
  <c r="U197" i="25" a="1"/>
  <c r="U197" i="25"/>
  <c r="V197" i="25"/>
  <c r="AA197" i="25"/>
  <c r="W197" i="25"/>
  <c r="AC197" i="25"/>
  <c r="T198" i="25" a="1"/>
  <c r="T198" i="25"/>
  <c r="U198" i="25" a="1"/>
  <c r="U198" i="25"/>
  <c r="V198" i="25"/>
  <c r="AA198" i="25"/>
  <c r="W198" i="25"/>
  <c r="AC198" i="25"/>
  <c r="T199" i="25" a="1"/>
  <c r="T199" i="25"/>
  <c r="U199" i="25" a="1"/>
  <c r="U199" i="25"/>
  <c r="V199" i="25"/>
  <c r="AA199" i="25"/>
  <c r="W199" i="25"/>
  <c r="AC199" i="25"/>
  <c r="T200" i="25" a="1"/>
  <c r="T200" i="25"/>
  <c r="U200" i="25" a="1"/>
  <c r="U200" i="25"/>
  <c r="V200" i="25"/>
  <c r="AA200" i="25"/>
  <c r="W200" i="25"/>
  <c r="AC200" i="25"/>
  <c r="T201" i="25" a="1"/>
  <c r="T201" i="25"/>
  <c r="U201" i="25" a="1"/>
  <c r="U201" i="25"/>
  <c r="V201" i="25"/>
  <c r="AA201" i="25"/>
  <c r="W201" i="25"/>
  <c r="AC201" i="25"/>
  <c r="T202" i="25" a="1"/>
  <c r="T202" i="25"/>
  <c r="U202" i="25" a="1"/>
  <c r="U202" i="25"/>
  <c r="V202" i="25"/>
  <c r="AA202" i="25"/>
  <c r="W202" i="25"/>
  <c r="AC202" i="25"/>
  <c r="T203" i="25" a="1"/>
  <c r="T203" i="25"/>
  <c r="U203" i="25" a="1"/>
  <c r="U203" i="25"/>
  <c r="V203" i="25"/>
  <c r="AA203" i="25"/>
  <c r="W203" i="25"/>
  <c r="AC203" i="25"/>
  <c r="T204" i="25" a="1"/>
  <c r="T204" i="25"/>
  <c r="U204" i="25" a="1"/>
  <c r="U204" i="25"/>
  <c r="V204" i="25"/>
  <c r="AA204" i="25"/>
  <c r="W204" i="25"/>
  <c r="AC204" i="25"/>
  <c r="T205" i="25" a="1"/>
  <c r="T205" i="25"/>
  <c r="U205" i="25" a="1"/>
  <c r="U205" i="25"/>
  <c r="V205" i="25"/>
  <c r="AA205" i="25"/>
  <c r="W205" i="25"/>
  <c r="AC205" i="25"/>
  <c r="T206" i="25" a="1"/>
  <c r="T206" i="25"/>
  <c r="U206" i="25" a="1"/>
  <c r="U206" i="25"/>
  <c r="V206" i="25"/>
  <c r="AA206" i="25"/>
  <c r="W206" i="25"/>
  <c r="AC206" i="25"/>
  <c r="T207" i="25" a="1"/>
  <c r="T207" i="25"/>
  <c r="U207" i="25" a="1"/>
  <c r="U207" i="25"/>
  <c r="V207" i="25"/>
  <c r="AA207" i="25"/>
  <c r="W207" i="25"/>
  <c r="AC207" i="25"/>
  <c r="T208" i="25" a="1"/>
  <c r="T208" i="25"/>
  <c r="U208" i="25" a="1"/>
  <c r="U208" i="25"/>
  <c r="V208" i="25"/>
  <c r="AA208" i="25"/>
  <c r="W208" i="25"/>
  <c r="AC208" i="25"/>
  <c r="T209" i="25" a="1"/>
  <c r="T209" i="25"/>
  <c r="U209" i="25" a="1"/>
  <c r="U209" i="25"/>
  <c r="V209" i="25"/>
  <c r="AA209" i="25"/>
  <c r="W209" i="25"/>
  <c r="AC209" i="25"/>
  <c r="T210" i="25" a="1"/>
  <c r="T210" i="25"/>
  <c r="U210" i="25" a="1"/>
  <c r="U210" i="25"/>
  <c r="V210" i="25"/>
  <c r="AA210" i="25"/>
  <c r="W210" i="25"/>
  <c r="AC210" i="25"/>
  <c r="T211" i="25" a="1"/>
  <c r="T211" i="25"/>
  <c r="U211" i="25" a="1"/>
  <c r="U211" i="25"/>
  <c r="V211" i="25"/>
  <c r="AA211" i="25"/>
  <c r="W211" i="25"/>
  <c r="AC211" i="25"/>
  <c r="T212" i="25" a="1"/>
  <c r="T212" i="25"/>
  <c r="U212" i="25" a="1"/>
  <c r="U212" i="25"/>
  <c r="V212" i="25"/>
  <c r="AA212" i="25"/>
  <c r="W212" i="25"/>
  <c r="AC212" i="25"/>
  <c r="T213" i="25" a="1"/>
  <c r="T213" i="25"/>
  <c r="U213" i="25" a="1"/>
  <c r="U213" i="25"/>
  <c r="V213" i="25"/>
  <c r="AA213" i="25"/>
  <c r="W213" i="25"/>
  <c r="AC213" i="25"/>
  <c r="T214" i="25" a="1"/>
  <c r="T214" i="25"/>
  <c r="U214" i="25" a="1"/>
  <c r="U214" i="25"/>
  <c r="V214" i="25"/>
  <c r="AA214" i="25"/>
  <c r="W214" i="25"/>
  <c r="AC214" i="25"/>
  <c r="T215" i="25" a="1"/>
  <c r="T215" i="25"/>
  <c r="U215" i="25" a="1"/>
  <c r="U215" i="25"/>
  <c r="V215" i="25"/>
  <c r="AA215" i="25"/>
  <c r="W215" i="25"/>
  <c r="AC215" i="25"/>
  <c r="T216" i="25" a="1"/>
  <c r="T216" i="25"/>
  <c r="U216" i="25" a="1"/>
  <c r="U216" i="25"/>
  <c r="V216" i="25"/>
  <c r="AA216" i="25"/>
  <c r="W216" i="25"/>
  <c r="AC216" i="25"/>
  <c r="T217" i="25" a="1"/>
  <c r="T217" i="25"/>
  <c r="U217" i="25" a="1"/>
  <c r="U217" i="25"/>
  <c r="V217" i="25"/>
  <c r="AA217" i="25"/>
  <c r="W217" i="25"/>
  <c r="AC217" i="25"/>
  <c r="T218" i="25" a="1"/>
  <c r="T218" i="25"/>
  <c r="U218" i="25" a="1"/>
  <c r="U218" i="25"/>
  <c r="V218" i="25"/>
  <c r="AA218" i="25"/>
  <c r="W218" i="25"/>
  <c r="AC218" i="25"/>
  <c r="T219" i="25" a="1"/>
  <c r="T219" i="25"/>
  <c r="U219" i="25" a="1"/>
  <c r="U219" i="25"/>
  <c r="V219" i="25"/>
  <c r="AA219" i="25"/>
  <c r="W219" i="25"/>
  <c r="AC219" i="25"/>
  <c r="T220" i="25" a="1"/>
  <c r="T220" i="25"/>
  <c r="U220" i="25" a="1"/>
  <c r="U220" i="25"/>
  <c r="V220" i="25"/>
  <c r="AA220" i="25"/>
  <c r="W220" i="25"/>
  <c r="AC220" i="25"/>
  <c r="T221" i="25" a="1"/>
  <c r="T221" i="25"/>
  <c r="U221" i="25" a="1"/>
  <c r="U221" i="25"/>
  <c r="V221" i="25"/>
  <c r="AA221" i="25"/>
  <c r="W221" i="25"/>
  <c r="AC221" i="25"/>
  <c r="T222" i="25" a="1"/>
  <c r="T222" i="25"/>
  <c r="U222" i="25" a="1"/>
  <c r="U222" i="25"/>
  <c r="V222" i="25"/>
  <c r="AA222" i="25"/>
  <c r="W222" i="25"/>
  <c r="AC222" i="25"/>
  <c r="T223" i="25" a="1"/>
  <c r="T223" i="25"/>
  <c r="U223" i="25" a="1"/>
  <c r="U223" i="25"/>
  <c r="V223" i="25"/>
  <c r="AA223" i="25"/>
  <c r="W223" i="25"/>
  <c r="AC223" i="25"/>
  <c r="T224" i="25" a="1"/>
  <c r="T224" i="25"/>
  <c r="U224" i="25" a="1"/>
  <c r="U224" i="25"/>
  <c r="V224" i="25"/>
  <c r="AA224" i="25"/>
  <c r="W224" i="25"/>
  <c r="AC224" i="25"/>
  <c r="T225" i="25" a="1"/>
  <c r="T225" i="25"/>
  <c r="U225" i="25" a="1"/>
  <c r="U225" i="25"/>
  <c r="V225" i="25"/>
  <c r="AA225" i="25"/>
  <c r="W225" i="25"/>
  <c r="AC225" i="25"/>
  <c r="T226" i="25" a="1"/>
  <c r="T226" i="25"/>
  <c r="U226" i="25" a="1"/>
  <c r="U226" i="25"/>
  <c r="V226" i="25"/>
  <c r="AA226" i="25"/>
  <c r="W226" i="25"/>
  <c r="AC226" i="25"/>
  <c r="T227" i="25" a="1"/>
  <c r="T227" i="25"/>
  <c r="U227" i="25" a="1"/>
  <c r="U227" i="25"/>
  <c r="V227" i="25"/>
  <c r="AA227" i="25"/>
  <c r="W227" i="25"/>
  <c r="AC227" i="25"/>
  <c r="T228" i="25" a="1"/>
  <c r="T228" i="25"/>
  <c r="U228" i="25" a="1"/>
  <c r="U228" i="25"/>
  <c r="V228" i="25"/>
  <c r="AA228" i="25"/>
  <c r="W228" i="25"/>
  <c r="AC228" i="25"/>
  <c r="T229" i="25" a="1"/>
  <c r="T229" i="25"/>
  <c r="U229" i="25" a="1"/>
  <c r="U229" i="25"/>
  <c r="V229" i="25"/>
  <c r="AA229" i="25"/>
  <c r="W229" i="25"/>
  <c r="AC229" i="25"/>
  <c r="T230" i="25" a="1"/>
  <c r="T230" i="25"/>
  <c r="U230" i="25" a="1"/>
  <c r="U230" i="25"/>
  <c r="V230" i="25"/>
  <c r="AA230" i="25"/>
  <c r="W230" i="25"/>
  <c r="AC230" i="25"/>
  <c r="T231" i="25" a="1"/>
  <c r="T231" i="25"/>
  <c r="U231" i="25" a="1"/>
  <c r="U231" i="25"/>
  <c r="V231" i="25"/>
  <c r="AA231" i="25"/>
  <c r="W231" i="25"/>
  <c r="AC231" i="25"/>
  <c r="T232" i="25" a="1"/>
  <c r="T232" i="25"/>
  <c r="U232" i="25" a="1"/>
  <c r="U232" i="25"/>
  <c r="V232" i="25"/>
  <c r="AA232" i="25"/>
  <c r="W232" i="25"/>
  <c r="AC232" i="25"/>
  <c r="T233" i="25" a="1"/>
  <c r="T233" i="25"/>
  <c r="U233" i="25" a="1"/>
  <c r="U233" i="25"/>
  <c r="V233" i="25"/>
  <c r="AA233" i="25"/>
  <c r="W233" i="25"/>
  <c r="AC233" i="25"/>
  <c r="T234" i="25" a="1"/>
  <c r="T234" i="25"/>
  <c r="U234" i="25" a="1"/>
  <c r="U234" i="25"/>
  <c r="V234" i="25"/>
  <c r="AA234" i="25"/>
  <c r="W234" i="25"/>
  <c r="AC234" i="25"/>
  <c r="T235" i="25" a="1"/>
  <c r="T235" i="25"/>
  <c r="U235" i="25" a="1"/>
  <c r="U235" i="25"/>
  <c r="V235" i="25"/>
  <c r="AA235" i="25"/>
  <c r="W235" i="25"/>
  <c r="AC235" i="25"/>
  <c r="T236" i="25" a="1"/>
  <c r="T236" i="25"/>
  <c r="U236" i="25" a="1"/>
  <c r="U236" i="25"/>
  <c r="V236" i="25"/>
  <c r="AA236" i="25"/>
  <c r="W236" i="25"/>
  <c r="AC236" i="25"/>
  <c r="T237" i="25" a="1"/>
  <c r="T237" i="25"/>
  <c r="U237" i="25" a="1"/>
  <c r="U237" i="25"/>
  <c r="V237" i="25"/>
  <c r="AA237" i="25"/>
  <c r="W237" i="25"/>
  <c r="AC237" i="25"/>
  <c r="T238" i="25" a="1"/>
  <c r="T238" i="25"/>
  <c r="U238" i="25" a="1"/>
  <c r="U238" i="25"/>
  <c r="V238" i="25"/>
  <c r="AA238" i="25"/>
  <c r="W238" i="25"/>
  <c r="AC238" i="25"/>
  <c r="T239" i="25" a="1"/>
  <c r="T239" i="25"/>
  <c r="U239" i="25" a="1"/>
  <c r="U239" i="25"/>
  <c r="V239" i="25"/>
  <c r="AA239" i="25"/>
  <c r="W239" i="25"/>
  <c r="AC239" i="25"/>
  <c r="T240" i="25" a="1"/>
  <c r="T240" i="25"/>
  <c r="U240" i="25" a="1"/>
  <c r="U240" i="25"/>
  <c r="V240" i="25"/>
  <c r="AA240" i="25"/>
  <c r="W240" i="25"/>
  <c r="AC240" i="25"/>
  <c r="T241" i="25" a="1"/>
  <c r="T241" i="25"/>
  <c r="U241" i="25" a="1"/>
  <c r="U241" i="25"/>
  <c r="V241" i="25"/>
  <c r="AA241" i="25"/>
  <c r="W241" i="25"/>
  <c r="AC241" i="25"/>
  <c r="T242" i="25" a="1"/>
  <c r="T242" i="25"/>
  <c r="U242" i="25" a="1"/>
  <c r="U242" i="25"/>
  <c r="V242" i="25"/>
  <c r="AA242" i="25"/>
  <c r="W242" i="25"/>
  <c r="AC242" i="25"/>
  <c r="T243" i="25" a="1"/>
  <c r="T243" i="25"/>
  <c r="U243" i="25" a="1"/>
  <c r="U243" i="25"/>
  <c r="V243" i="25"/>
  <c r="AA243" i="25"/>
  <c r="W243" i="25"/>
  <c r="AC243" i="25"/>
  <c r="T244" i="25" a="1"/>
  <c r="T244" i="25"/>
  <c r="U244" i="25" a="1"/>
  <c r="U244" i="25"/>
  <c r="V244" i="25"/>
  <c r="AA244" i="25"/>
  <c r="W244" i="25"/>
  <c r="AC244" i="25"/>
  <c r="T245" i="25" a="1"/>
  <c r="T245" i="25"/>
  <c r="U245" i="25" a="1"/>
  <c r="U245" i="25"/>
  <c r="V245" i="25"/>
  <c r="AA245" i="25"/>
  <c r="W245" i="25"/>
  <c r="AC245" i="25"/>
  <c r="T246" i="25" a="1"/>
  <c r="T246" i="25"/>
  <c r="U246" i="25" a="1"/>
  <c r="U246" i="25"/>
  <c r="V246" i="25"/>
  <c r="AA246" i="25"/>
  <c r="W246" i="25"/>
  <c r="AC246" i="25"/>
  <c r="T247" i="25" a="1"/>
  <c r="T247" i="25"/>
  <c r="U247" i="25" a="1"/>
  <c r="U247" i="25"/>
  <c r="V247" i="25"/>
  <c r="AA247" i="25"/>
  <c r="W247" i="25"/>
  <c r="AC247" i="25"/>
  <c r="T248" i="25" a="1"/>
  <c r="T248" i="25"/>
  <c r="U248" i="25" a="1"/>
  <c r="U248" i="25"/>
  <c r="V248" i="25"/>
  <c r="AA248" i="25"/>
  <c r="W248" i="25"/>
  <c r="AC248" i="25"/>
  <c r="T249" i="25" a="1"/>
  <c r="T249" i="25"/>
  <c r="U249" i="25" a="1"/>
  <c r="U249" i="25"/>
  <c r="V249" i="25"/>
  <c r="AA249" i="25"/>
  <c r="W249" i="25"/>
  <c r="AC249" i="25"/>
  <c r="T250" i="25" a="1"/>
  <c r="T250" i="25"/>
  <c r="U250" i="25" a="1"/>
  <c r="U250" i="25"/>
  <c r="V250" i="25"/>
  <c r="AA250" i="25"/>
  <c r="W250" i="25"/>
  <c r="AC250" i="25"/>
  <c r="T251" i="25" a="1"/>
  <c r="T251" i="25"/>
  <c r="U251" i="25" a="1"/>
  <c r="U251" i="25"/>
  <c r="V251" i="25"/>
  <c r="AA251" i="25"/>
  <c r="W251" i="25"/>
  <c r="AC251" i="25"/>
  <c r="T252" i="25" a="1"/>
  <c r="T252" i="25"/>
  <c r="U252" i="25" a="1"/>
  <c r="U252" i="25"/>
  <c r="V252" i="25"/>
  <c r="AA252" i="25"/>
  <c r="W252" i="25"/>
  <c r="AC252" i="25"/>
  <c r="T253" i="25" a="1"/>
  <c r="T253" i="25"/>
  <c r="U253" i="25" a="1"/>
  <c r="U253" i="25"/>
  <c r="V253" i="25"/>
  <c r="AA253" i="25"/>
  <c r="W253" i="25"/>
  <c r="AC253" i="25"/>
  <c r="T254" i="25" a="1"/>
  <c r="T254" i="25"/>
  <c r="U254" i="25" a="1"/>
  <c r="U254" i="25"/>
  <c r="V254" i="25"/>
  <c r="AA254" i="25"/>
  <c r="W254" i="25"/>
  <c r="AC254" i="25"/>
  <c r="T255" i="25" a="1"/>
  <c r="T255" i="25"/>
  <c r="U255" i="25" a="1"/>
  <c r="U255" i="25"/>
  <c r="V255" i="25"/>
  <c r="AA255" i="25"/>
  <c r="W255" i="25"/>
  <c r="AC255" i="25"/>
  <c r="T256" i="25" a="1"/>
  <c r="T256" i="25"/>
  <c r="U256" i="25" a="1"/>
  <c r="U256" i="25"/>
  <c r="V256" i="25"/>
  <c r="T257" i="25" a="1"/>
  <c r="T257" i="25"/>
  <c r="U257" i="25" a="1"/>
  <c r="U257" i="25"/>
  <c r="V257" i="25"/>
  <c r="T258" i="25" a="1"/>
  <c r="T258" i="25"/>
  <c r="U258" i="25" a="1"/>
  <c r="U258" i="25"/>
  <c r="V258" i="25"/>
  <c r="T259" i="25" a="1"/>
  <c r="T259" i="25"/>
  <c r="U259" i="25" a="1"/>
  <c r="U259" i="25"/>
  <c r="V259" i="25"/>
  <c r="T260" i="25" a="1"/>
  <c r="T260" i="25"/>
  <c r="U260" i="25" a="1"/>
  <c r="U260" i="25"/>
  <c r="V260" i="25"/>
  <c r="T261" i="25" a="1"/>
  <c r="T261" i="25"/>
  <c r="U261" i="25" a="1"/>
  <c r="U261" i="25"/>
  <c r="V261" i="25"/>
  <c r="T262" i="25" a="1"/>
  <c r="T262" i="25"/>
  <c r="U262" i="25" a="1"/>
  <c r="U262" i="25"/>
  <c r="V262" i="25"/>
  <c r="T263" i="25" a="1"/>
  <c r="T263" i="25"/>
  <c r="U263" i="25" a="1"/>
  <c r="U263" i="25"/>
  <c r="V263" i="25"/>
  <c r="T264" i="25" a="1"/>
  <c r="T264" i="25"/>
  <c r="U264" i="25" a="1"/>
  <c r="U264" i="25"/>
  <c r="V264" i="25"/>
  <c r="T265" i="25" a="1"/>
  <c r="T265" i="25"/>
  <c r="U265" i="25" a="1"/>
  <c r="U265" i="25"/>
  <c r="V265" i="25"/>
  <c r="T266" i="25" a="1"/>
  <c r="T266" i="25"/>
  <c r="U266" i="25" a="1"/>
  <c r="U266" i="25"/>
  <c r="V266" i="25"/>
  <c r="T267" i="25" a="1"/>
  <c r="T267" i="25"/>
  <c r="U267" i="25" a="1"/>
  <c r="U267" i="25"/>
  <c r="V267" i="25"/>
  <c r="T268" i="25" a="1"/>
  <c r="T268" i="25"/>
  <c r="U268" i="25" a="1"/>
  <c r="U268" i="25"/>
  <c r="V268" i="25"/>
  <c r="T269" i="25" a="1"/>
  <c r="T269" i="25"/>
  <c r="U269" i="25" a="1"/>
  <c r="U269" i="25"/>
  <c r="V269" i="25"/>
  <c r="T270" i="25" a="1"/>
  <c r="T270" i="25"/>
  <c r="U270" i="25" a="1"/>
  <c r="U270" i="25"/>
  <c r="V270" i="25"/>
  <c r="T271" i="25" a="1"/>
  <c r="T271" i="25"/>
  <c r="U271" i="25" a="1"/>
  <c r="U271" i="25"/>
  <c r="V271" i="25"/>
  <c r="T272" i="25" a="1"/>
  <c r="T272" i="25"/>
  <c r="U272" i="25" a="1"/>
  <c r="U272" i="25"/>
  <c r="V272" i="25"/>
  <c r="T273" i="25" a="1"/>
  <c r="T273" i="25"/>
  <c r="U273" i="25" a="1"/>
  <c r="U273" i="25"/>
  <c r="V273" i="25"/>
  <c r="T274" i="25" a="1"/>
  <c r="T274" i="25"/>
  <c r="U274" i="25" a="1"/>
  <c r="U274" i="25"/>
  <c r="V274" i="25"/>
  <c r="T275" i="25" a="1"/>
  <c r="T275" i="25"/>
  <c r="U275" i="25" a="1"/>
  <c r="U275" i="25"/>
  <c r="V275" i="25"/>
  <c r="T276" i="25" a="1"/>
  <c r="T276" i="25"/>
  <c r="U276" i="25" a="1"/>
  <c r="U276" i="25"/>
  <c r="V276" i="25"/>
  <c r="T277" i="25" a="1"/>
  <c r="T277" i="25"/>
  <c r="U277" i="25" a="1"/>
  <c r="U277" i="25"/>
  <c r="V277" i="25"/>
  <c r="T278" i="25" a="1"/>
  <c r="T278" i="25"/>
  <c r="U278" i="25" a="1"/>
  <c r="U278" i="25"/>
  <c r="V278" i="25"/>
  <c r="T279" i="25" a="1"/>
  <c r="T279" i="25"/>
  <c r="U279" i="25" a="1"/>
  <c r="U279" i="25"/>
  <c r="V279" i="25"/>
  <c r="T280" i="25" a="1"/>
  <c r="T280" i="25"/>
  <c r="U280" i="25" a="1"/>
  <c r="U280" i="25"/>
  <c r="V280" i="25"/>
  <c r="T281" i="25" a="1"/>
  <c r="T281" i="25"/>
  <c r="U281" i="25" a="1"/>
  <c r="U281" i="25"/>
  <c r="V281" i="25"/>
  <c r="T282" i="25" a="1"/>
  <c r="T282" i="25"/>
  <c r="U282" i="25" a="1"/>
  <c r="U282" i="25"/>
  <c r="V282" i="25"/>
  <c r="T283" i="25" a="1"/>
  <c r="T283" i="25"/>
  <c r="U283" i="25" a="1"/>
  <c r="U283" i="25"/>
  <c r="V283" i="25"/>
  <c r="T284" i="25" a="1"/>
  <c r="T284" i="25"/>
  <c r="U284" i="25" a="1"/>
  <c r="U284" i="25"/>
  <c r="V284" i="25"/>
  <c r="T285" i="25" a="1"/>
  <c r="T285" i="25"/>
  <c r="U285" i="25" a="1"/>
  <c r="U285" i="25"/>
  <c r="V285" i="25"/>
  <c r="T286" i="25" a="1"/>
  <c r="T286" i="25"/>
  <c r="U286" i="25" a="1"/>
  <c r="U286" i="25"/>
  <c r="V286" i="25"/>
  <c r="T287" i="25" a="1"/>
  <c r="T287" i="25"/>
  <c r="U287" i="25" a="1"/>
  <c r="U287" i="25"/>
  <c r="V287" i="25"/>
  <c r="T288" i="25" a="1"/>
  <c r="T288" i="25"/>
  <c r="U288" i="25" a="1"/>
  <c r="U288" i="25"/>
  <c r="V288" i="25"/>
  <c r="T289" i="25" a="1"/>
  <c r="T289" i="25"/>
  <c r="U289" i="25" a="1"/>
  <c r="U289" i="25"/>
  <c r="V289" i="25"/>
  <c r="T290" i="25" a="1"/>
  <c r="T290" i="25"/>
  <c r="U290" i="25" a="1"/>
  <c r="U290" i="25"/>
  <c r="V290" i="25"/>
  <c r="T291" i="25" a="1"/>
  <c r="T291" i="25"/>
  <c r="U291" i="25" a="1"/>
  <c r="U291" i="25"/>
  <c r="V291" i="25"/>
  <c r="T292" i="25" a="1"/>
  <c r="T292" i="25"/>
  <c r="U292" i="25" a="1"/>
  <c r="U292" i="25"/>
  <c r="V292" i="25"/>
  <c r="T293" i="25" a="1"/>
  <c r="T293" i="25"/>
  <c r="U293" i="25" a="1"/>
  <c r="U293" i="25"/>
  <c r="V293" i="25"/>
  <c r="T294" i="25" a="1"/>
  <c r="T294" i="25"/>
  <c r="U294" i="25" a="1"/>
  <c r="U294" i="25"/>
  <c r="V294" i="25"/>
  <c r="T295" i="25" a="1"/>
  <c r="T295" i="25"/>
  <c r="U295" i="25" a="1"/>
  <c r="U295" i="25"/>
  <c r="V295" i="25"/>
  <c r="T296" i="25" a="1"/>
  <c r="T296" i="25"/>
  <c r="U296" i="25" a="1"/>
  <c r="U296" i="25"/>
  <c r="V296" i="25"/>
  <c r="T297" i="25" a="1"/>
  <c r="T297" i="25"/>
  <c r="U297" i="25" a="1"/>
  <c r="U297" i="25"/>
  <c r="V297" i="25"/>
  <c r="T298" i="25" a="1"/>
  <c r="T298" i="25"/>
  <c r="U298" i="25" a="1"/>
  <c r="U298" i="25"/>
  <c r="V298" i="25"/>
  <c r="T299" i="25" a="1"/>
  <c r="T299" i="25"/>
  <c r="U299" i="25" a="1"/>
  <c r="U299" i="25"/>
  <c r="V299" i="25"/>
  <c r="T300" i="25" a="1"/>
  <c r="T300" i="25"/>
  <c r="U300" i="25" a="1"/>
  <c r="U300" i="25"/>
  <c r="V300" i="25"/>
  <c r="T301" i="25" a="1"/>
  <c r="T301" i="25"/>
  <c r="U301" i="25" a="1"/>
  <c r="U301" i="25"/>
  <c r="V301" i="25"/>
  <c r="T302" i="25" a="1"/>
  <c r="T302" i="25"/>
  <c r="U302" i="25" a="1"/>
  <c r="U302" i="25"/>
  <c r="V302" i="25"/>
  <c r="T303" i="25" a="1"/>
  <c r="T303" i="25"/>
  <c r="U303" i="25" a="1"/>
  <c r="U303" i="25"/>
  <c r="V303" i="25"/>
  <c r="T304" i="25" a="1"/>
  <c r="T304" i="25"/>
  <c r="U304" i="25" a="1"/>
  <c r="U304" i="25"/>
  <c r="V304" i="25"/>
  <c r="T305" i="25" a="1"/>
  <c r="T305" i="25"/>
  <c r="U305" i="25" a="1"/>
  <c r="U305" i="25"/>
  <c r="V305" i="25"/>
  <c r="T306" i="25" a="1"/>
  <c r="T306" i="25"/>
  <c r="U306" i="25" a="1"/>
  <c r="U306" i="25"/>
  <c r="V306" i="25"/>
  <c r="T307" i="25" a="1"/>
  <c r="T307" i="25"/>
  <c r="U307" i="25" a="1"/>
  <c r="U307" i="25"/>
  <c r="V307" i="25"/>
  <c r="T308" i="25" a="1"/>
  <c r="T308" i="25"/>
  <c r="U308" i="25" a="1"/>
  <c r="U308" i="25"/>
  <c r="V308" i="25"/>
  <c r="T309" i="25" a="1"/>
  <c r="T309" i="25"/>
  <c r="U309" i="25" a="1"/>
  <c r="U309" i="25"/>
  <c r="V309" i="25"/>
  <c r="T310" i="25" a="1"/>
  <c r="T310" i="25"/>
  <c r="U310" i="25" a="1"/>
  <c r="U310" i="25"/>
  <c r="V310" i="25"/>
  <c r="T311" i="25" a="1"/>
  <c r="T311" i="25"/>
  <c r="U311" i="25" a="1"/>
  <c r="U311" i="25"/>
  <c r="V311" i="25"/>
  <c r="T312" i="25" a="1"/>
  <c r="T312" i="25"/>
  <c r="U312" i="25" a="1"/>
  <c r="U312" i="25"/>
  <c r="V312" i="25"/>
  <c r="T313" i="25" a="1"/>
  <c r="T313" i="25"/>
  <c r="U313" i="25" a="1"/>
  <c r="U313" i="25"/>
  <c r="V313" i="25"/>
  <c r="T314" i="25" a="1"/>
  <c r="T314" i="25"/>
  <c r="U314" i="25" a="1"/>
  <c r="U314" i="25"/>
  <c r="V314" i="25"/>
  <c r="T315" i="25" a="1"/>
  <c r="T315" i="25"/>
  <c r="U315" i="25" a="1"/>
  <c r="U315" i="25"/>
  <c r="V315" i="25"/>
  <c r="T316" i="25" a="1"/>
  <c r="T316" i="25"/>
  <c r="U316" i="25" a="1"/>
  <c r="U316" i="25"/>
  <c r="V316" i="25"/>
  <c r="T317" i="25" a="1"/>
  <c r="T317" i="25"/>
  <c r="U317" i="25" a="1"/>
  <c r="U317" i="25"/>
  <c r="V317" i="25"/>
  <c r="T318" i="25" a="1"/>
  <c r="T318" i="25"/>
  <c r="U318" i="25" a="1"/>
  <c r="U318" i="25"/>
  <c r="V318" i="25"/>
  <c r="T319" i="25" a="1"/>
  <c r="T319" i="25"/>
  <c r="U319" i="25" a="1"/>
  <c r="U319" i="25"/>
  <c r="V319" i="25"/>
  <c r="T320" i="25" a="1"/>
  <c r="T320" i="25"/>
  <c r="U320" i="25" a="1"/>
  <c r="U320" i="25"/>
  <c r="V320" i="25"/>
  <c r="T321" i="25" a="1"/>
  <c r="T321" i="25"/>
  <c r="U321" i="25" a="1"/>
  <c r="U321" i="25"/>
  <c r="V321" i="25"/>
  <c r="T322" i="25" a="1"/>
  <c r="T322" i="25"/>
  <c r="U322" i="25" a="1"/>
  <c r="U322" i="25"/>
  <c r="V322" i="25"/>
  <c r="T323" i="25" a="1"/>
  <c r="T323" i="25"/>
  <c r="U323" i="25" a="1"/>
  <c r="U323" i="25"/>
  <c r="V323" i="25"/>
  <c r="T324" i="25" a="1"/>
  <c r="T324" i="25"/>
  <c r="U324" i="25" a="1"/>
  <c r="U324" i="25"/>
  <c r="V324" i="25"/>
  <c r="T325" i="25" a="1"/>
  <c r="T325" i="25"/>
  <c r="U325" i="25" a="1"/>
  <c r="U325" i="25"/>
  <c r="V325" i="25"/>
  <c r="T326" i="25" a="1"/>
  <c r="T326" i="25"/>
  <c r="U326" i="25" a="1"/>
  <c r="U326" i="25"/>
  <c r="V326" i="25"/>
  <c r="T327" i="25" a="1"/>
  <c r="T327" i="25"/>
  <c r="U327" i="25" a="1"/>
  <c r="U327" i="25"/>
  <c r="V327" i="25"/>
  <c r="T328" i="25" a="1"/>
  <c r="T328" i="25"/>
  <c r="U328" i="25" a="1"/>
  <c r="U328" i="25"/>
  <c r="V328" i="25"/>
  <c r="T329" i="25" a="1"/>
  <c r="T329" i="25"/>
  <c r="U329" i="25" a="1"/>
  <c r="U329" i="25"/>
  <c r="V329" i="25"/>
  <c r="T330" i="25" a="1"/>
  <c r="T330" i="25"/>
  <c r="U330" i="25" a="1"/>
  <c r="U330" i="25"/>
  <c r="V330" i="25"/>
  <c r="T331" i="25" a="1"/>
  <c r="T331" i="25"/>
  <c r="U331" i="25" a="1"/>
  <c r="U331" i="25"/>
  <c r="V331" i="25"/>
  <c r="T332" i="25" a="1"/>
  <c r="T332" i="25"/>
  <c r="U332" i="25" a="1"/>
  <c r="U332" i="25"/>
  <c r="V332" i="25"/>
  <c r="T333" i="25" a="1"/>
  <c r="T333" i="25"/>
  <c r="U333" i="25" a="1"/>
  <c r="U333" i="25"/>
  <c r="V333" i="25"/>
  <c r="T334" i="25" a="1"/>
  <c r="T334" i="25"/>
  <c r="U334" i="25" a="1"/>
  <c r="U334" i="25"/>
  <c r="V334" i="25"/>
  <c r="T335" i="25" a="1"/>
  <c r="T335" i="25"/>
  <c r="U335" i="25" a="1"/>
  <c r="U335" i="25"/>
  <c r="V335" i="25"/>
  <c r="T336" i="25" a="1"/>
  <c r="T336" i="25"/>
  <c r="U336" i="25" a="1"/>
  <c r="U336" i="25"/>
  <c r="V336" i="25"/>
  <c r="T337" i="25" a="1"/>
  <c r="T337" i="25"/>
  <c r="U337" i="25" a="1"/>
  <c r="U337" i="25"/>
  <c r="V337" i="25"/>
  <c r="T338" i="25" a="1"/>
  <c r="T338" i="25"/>
  <c r="U338" i="25" a="1"/>
  <c r="U338" i="25"/>
  <c r="V338" i="25"/>
  <c r="T339" i="25" a="1"/>
  <c r="T339" i="25"/>
  <c r="U339" i="25" a="1"/>
  <c r="U339" i="25"/>
  <c r="V339" i="25"/>
  <c r="T340" i="25" a="1"/>
  <c r="T340" i="25"/>
  <c r="U340" i="25" a="1"/>
  <c r="U340" i="25"/>
  <c r="V340" i="25"/>
  <c r="T341" i="25" a="1"/>
  <c r="T341" i="25"/>
  <c r="U341" i="25" a="1"/>
  <c r="U341" i="25"/>
  <c r="V341" i="25"/>
  <c r="T342" i="25" a="1"/>
  <c r="T342" i="25"/>
  <c r="U342" i="25" a="1"/>
  <c r="U342" i="25"/>
  <c r="V342" i="25"/>
  <c r="T343" i="25" a="1"/>
  <c r="T343" i="25"/>
  <c r="U343" i="25" a="1"/>
  <c r="U343" i="25"/>
  <c r="V343" i="25"/>
  <c r="T344" i="25" a="1"/>
  <c r="T344" i="25"/>
  <c r="U344" i="25" a="1"/>
  <c r="U344" i="25"/>
  <c r="V344" i="25"/>
  <c r="T345" i="25" a="1"/>
  <c r="T345" i="25"/>
  <c r="U345" i="25" a="1"/>
  <c r="U345" i="25"/>
  <c r="V345" i="25"/>
  <c r="T346" i="25" a="1"/>
  <c r="T346" i="25"/>
  <c r="U346" i="25" a="1"/>
  <c r="U346" i="25"/>
  <c r="V346" i="25"/>
  <c r="T347" i="25" a="1"/>
  <c r="T347" i="25"/>
  <c r="U347" i="25" a="1"/>
  <c r="U347" i="25"/>
  <c r="V347" i="25"/>
  <c r="T348" i="25" a="1"/>
  <c r="T348" i="25"/>
  <c r="U348" i="25" a="1"/>
  <c r="U348" i="25"/>
  <c r="V348" i="25"/>
  <c r="T349" i="25" a="1"/>
  <c r="T349" i="25"/>
  <c r="U349" i="25" a="1"/>
  <c r="U349" i="25"/>
  <c r="V349" i="25"/>
  <c r="T350" i="25" a="1"/>
  <c r="T350" i="25"/>
  <c r="U350" i="25" a="1"/>
  <c r="U350" i="25"/>
  <c r="V350" i="25"/>
  <c r="T351" i="25" a="1"/>
  <c r="T351" i="25"/>
  <c r="U351" i="25" a="1"/>
  <c r="U351" i="25"/>
  <c r="V351" i="25"/>
  <c r="T352" i="25" a="1"/>
  <c r="T352" i="25"/>
  <c r="U352" i="25" a="1"/>
  <c r="U352" i="25"/>
  <c r="V352" i="25"/>
  <c r="T353" i="25" a="1"/>
  <c r="T353" i="25"/>
  <c r="U353" i="25" a="1"/>
  <c r="U353" i="25"/>
  <c r="V353" i="25"/>
  <c r="T354" i="25" a="1"/>
  <c r="T354" i="25"/>
  <c r="U354" i="25" a="1"/>
  <c r="U354" i="25"/>
  <c r="V354" i="25"/>
  <c r="T355" i="25" a="1"/>
  <c r="T355" i="25"/>
  <c r="U355" i="25" a="1"/>
  <c r="U355" i="25"/>
  <c r="V355" i="25"/>
  <c r="T356" i="25" a="1"/>
  <c r="T356" i="25"/>
  <c r="U356" i="25" a="1"/>
  <c r="U356" i="25"/>
  <c r="V356" i="25"/>
  <c r="T357" i="25" a="1"/>
  <c r="T357" i="25"/>
  <c r="U357" i="25" a="1"/>
  <c r="U357" i="25"/>
  <c r="V357" i="25"/>
  <c r="T358" i="25" a="1"/>
  <c r="T358" i="25"/>
  <c r="U358" i="25" a="1"/>
  <c r="U358" i="25"/>
  <c r="V358" i="25"/>
  <c r="T359" i="25" a="1"/>
  <c r="T359" i="25"/>
  <c r="U359" i="25" a="1"/>
  <c r="U359" i="25"/>
  <c r="V359" i="25"/>
  <c r="T360" i="25" a="1"/>
  <c r="T360" i="25"/>
  <c r="U360" i="25" a="1"/>
  <c r="U360" i="25"/>
  <c r="V360" i="25"/>
  <c r="T361" i="25" a="1"/>
  <c r="T361" i="25"/>
  <c r="U361" i="25" a="1"/>
  <c r="U361" i="25"/>
  <c r="V361" i="25"/>
  <c r="T362" i="25" a="1"/>
  <c r="T362" i="25"/>
  <c r="U362" i="25" a="1"/>
  <c r="U362" i="25"/>
  <c r="V362" i="25"/>
  <c r="T363" i="25" a="1"/>
  <c r="T363" i="25"/>
  <c r="U363" i="25" a="1"/>
  <c r="U363" i="25"/>
  <c r="V363" i="25"/>
  <c r="T364" i="25" a="1"/>
  <c r="T364" i="25"/>
  <c r="U364" i="25" a="1"/>
  <c r="U364" i="25"/>
  <c r="V364" i="25"/>
  <c r="T365" i="25" a="1"/>
  <c r="T365" i="25"/>
  <c r="U365" i="25" a="1"/>
  <c r="U365" i="25"/>
  <c r="V365" i="25"/>
  <c r="T366" i="25" a="1"/>
  <c r="T366" i="25"/>
  <c r="U366" i="25" a="1"/>
  <c r="U366" i="25"/>
  <c r="V366" i="25"/>
  <c r="T367" i="25" a="1"/>
  <c r="T367" i="25"/>
  <c r="U367" i="25" a="1"/>
  <c r="U367" i="25"/>
  <c r="V367" i="25"/>
  <c r="T368" i="25" a="1"/>
  <c r="T368" i="25"/>
  <c r="U368" i="25" a="1"/>
  <c r="U368" i="25"/>
  <c r="V368" i="25"/>
  <c r="T369" i="25" a="1"/>
  <c r="T369" i="25"/>
  <c r="U369" i="25" a="1"/>
  <c r="U369" i="25"/>
  <c r="V369" i="25"/>
  <c r="T370" i="25" a="1"/>
  <c r="T370" i="25"/>
  <c r="U370" i="25" a="1"/>
  <c r="U370" i="25"/>
  <c r="V370" i="25"/>
  <c r="T371" i="25" a="1"/>
  <c r="T371" i="25"/>
  <c r="U371" i="25" a="1"/>
  <c r="U371" i="25"/>
  <c r="V371" i="25"/>
  <c r="T372" i="25" a="1"/>
  <c r="T372" i="25"/>
  <c r="U372" i="25" a="1"/>
  <c r="U372" i="25"/>
  <c r="V372" i="25"/>
  <c r="T373" i="25" a="1"/>
  <c r="T373" i="25"/>
  <c r="U373" i="25" a="1"/>
  <c r="U373" i="25"/>
  <c r="V373" i="25"/>
  <c r="T374" i="25" a="1"/>
  <c r="T374" i="25"/>
  <c r="U374" i="25" a="1"/>
  <c r="U374" i="25"/>
  <c r="V374" i="25"/>
  <c r="T375" i="25" a="1"/>
  <c r="T375" i="25"/>
  <c r="U375" i="25" a="1"/>
  <c r="U375" i="25"/>
  <c r="V375" i="25"/>
  <c r="T376" i="25" a="1"/>
  <c r="T376" i="25"/>
  <c r="U376" i="25" a="1"/>
  <c r="U376" i="25"/>
  <c r="V376" i="25"/>
  <c r="T377" i="25" a="1"/>
  <c r="T377" i="25"/>
  <c r="U377" i="25" a="1"/>
  <c r="U377" i="25"/>
  <c r="V377" i="25"/>
  <c r="T378" i="25" a="1"/>
  <c r="T378" i="25"/>
  <c r="U378" i="25" a="1"/>
  <c r="U378" i="25"/>
  <c r="V378" i="25"/>
  <c r="T379" i="25" a="1"/>
  <c r="T379" i="25"/>
  <c r="U379" i="25" a="1"/>
  <c r="U379" i="25"/>
  <c r="V379" i="25"/>
  <c r="T380" i="25" a="1"/>
  <c r="T380" i="25"/>
  <c r="U380" i="25" a="1"/>
  <c r="U380" i="25"/>
  <c r="V380" i="25"/>
  <c r="T381" i="25" a="1"/>
  <c r="T381" i="25"/>
  <c r="U381" i="25" a="1"/>
  <c r="U381" i="25"/>
  <c r="V381" i="25"/>
  <c r="T382" i="25" a="1"/>
  <c r="T382" i="25"/>
  <c r="U382" i="25" a="1"/>
  <c r="U382" i="25"/>
  <c r="V382" i="25"/>
  <c r="T383" i="25" a="1"/>
  <c r="T383" i="25"/>
  <c r="U383" i="25" a="1"/>
  <c r="U383" i="25"/>
  <c r="V383" i="25"/>
  <c r="T384" i="25" a="1"/>
  <c r="T384" i="25"/>
  <c r="U384" i="25" a="1"/>
  <c r="U384" i="25"/>
  <c r="V384" i="25"/>
  <c r="T385" i="25" a="1"/>
  <c r="T385" i="25"/>
  <c r="U385" i="25" a="1"/>
  <c r="U385" i="25"/>
  <c r="V385" i="25"/>
  <c r="T386" i="25" a="1"/>
  <c r="T386" i="25"/>
  <c r="U386" i="25" a="1"/>
  <c r="U386" i="25"/>
  <c r="V386" i="25"/>
  <c r="T387" i="25" a="1"/>
  <c r="T387" i="25"/>
  <c r="U387" i="25" a="1"/>
  <c r="U387" i="25"/>
  <c r="V387" i="25"/>
  <c r="T388" i="25" a="1"/>
  <c r="T388" i="25"/>
  <c r="U388" i="25" a="1"/>
  <c r="U388" i="25"/>
  <c r="V388" i="25"/>
  <c r="T389" i="25" a="1"/>
  <c r="T389" i="25"/>
  <c r="U389" i="25" a="1"/>
  <c r="U389" i="25"/>
  <c r="V389" i="25"/>
  <c r="T390" i="25" a="1"/>
  <c r="T390" i="25"/>
  <c r="U390" i="25" a="1"/>
  <c r="U390" i="25"/>
  <c r="V390" i="25"/>
  <c r="T391" i="25" a="1"/>
  <c r="T391" i="25"/>
  <c r="U391" i="25" a="1"/>
  <c r="U391" i="25"/>
  <c r="V391" i="25"/>
  <c r="T392" i="25" a="1"/>
  <c r="T392" i="25"/>
  <c r="U392" i="25" a="1"/>
  <c r="U392" i="25"/>
  <c r="V392" i="25"/>
  <c r="T393" i="25" a="1"/>
  <c r="T393" i="25"/>
  <c r="U393" i="25" a="1"/>
  <c r="U393" i="25"/>
  <c r="V393" i="25"/>
  <c r="T394" i="25" a="1"/>
  <c r="T394" i="25"/>
  <c r="U394" i="25" a="1"/>
  <c r="U394" i="25"/>
  <c r="V394" i="25"/>
  <c r="T395" i="25" a="1"/>
  <c r="T395" i="25"/>
  <c r="U395" i="25" a="1"/>
  <c r="U395" i="25"/>
  <c r="V395" i="25"/>
  <c r="T396" i="25" a="1"/>
  <c r="T396" i="25"/>
  <c r="U396" i="25" a="1"/>
  <c r="U396" i="25"/>
  <c r="V396" i="25"/>
  <c r="T397" i="25" a="1"/>
  <c r="T397" i="25"/>
  <c r="U397" i="25" a="1"/>
  <c r="U397" i="25"/>
  <c r="V397" i="25"/>
  <c r="T398" i="25" a="1"/>
  <c r="T398" i="25"/>
  <c r="U398" i="25" a="1"/>
  <c r="U398" i="25"/>
  <c r="V398" i="25"/>
  <c r="T399" i="25" a="1"/>
  <c r="T399" i="25"/>
  <c r="U399" i="25" a="1"/>
  <c r="U399" i="25"/>
  <c r="V399" i="25"/>
  <c r="T400" i="25" a="1"/>
  <c r="T400" i="25"/>
  <c r="U400" i="25" a="1"/>
  <c r="U400" i="25"/>
  <c r="V400" i="25"/>
  <c r="T401" i="25" a="1"/>
  <c r="T401" i="25"/>
  <c r="U401" i="25" a="1"/>
  <c r="U401" i="25"/>
  <c r="V401" i="25"/>
  <c r="T402" i="25" a="1"/>
  <c r="T402" i="25"/>
  <c r="U402" i="25" a="1"/>
  <c r="U402" i="25"/>
  <c r="V402" i="25"/>
  <c r="T403" i="25" a="1"/>
  <c r="T403" i="25"/>
  <c r="U403" i="25" a="1"/>
  <c r="U403" i="25"/>
  <c r="V403" i="25"/>
  <c r="T404" i="25" a="1"/>
  <c r="T404" i="25"/>
  <c r="U404" i="25" a="1"/>
  <c r="U404" i="25"/>
  <c r="V404" i="25"/>
  <c r="T405" i="25" a="1"/>
  <c r="T405" i="25"/>
  <c r="U405" i="25" a="1"/>
  <c r="U405" i="25"/>
  <c r="V405" i="25"/>
  <c r="T406" i="25" a="1"/>
  <c r="T406" i="25"/>
  <c r="U406" i="25" a="1"/>
  <c r="U406" i="25"/>
  <c r="V406" i="25"/>
  <c r="T407" i="25" a="1"/>
  <c r="T407" i="25"/>
  <c r="U407" i="25" a="1"/>
  <c r="U407" i="25"/>
  <c r="V407" i="25"/>
  <c r="T408" i="25" a="1"/>
  <c r="T408" i="25"/>
  <c r="U408" i="25" a="1"/>
  <c r="U408" i="25"/>
  <c r="V408" i="25"/>
  <c r="T409" i="25" a="1"/>
  <c r="T409" i="25"/>
  <c r="U409" i="25" a="1"/>
  <c r="U409" i="25"/>
  <c r="V409" i="25"/>
  <c r="T410" i="25" a="1"/>
  <c r="T410" i="25"/>
  <c r="U410" i="25" a="1"/>
  <c r="U410" i="25"/>
  <c r="V410" i="25"/>
  <c r="T411" i="25" a="1"/>
  <c r="T411" i="25"/>
  <c r="U411" i="25" a="1"/>
  <c r="U411" i="25"/>
  <c r="V411" i="25"/>
  <c r="T412" i="25" a="1"/>
  <c r="T412" i="25"/>
  <c r="U412" i="25" a="1"/>
  <c r="U412" i="25"/>
  <c r="V412" i="25"/>
  <c r="T413" i="25" a="1"/>
  <c r="T413" i="25"/>
  <c r="U413" i="25" a="1"/>
  <c r="U413" i="25"/>
  <c r="V413" i="25"/>
  <c r="T414" i="25" a="1"/>
  <c r="T414" i="25"/>
  <c r="U414" i="25" a="1"/>
  <c r="U414" i="25"/>
  <c r="V414" i="25"/>
  <c r="T415" i="25" a="1"/>
  <c r="T415" i="25"/>
  <c r="U415" i="25" a="1"/>
  <c r="U415" i="25"/>
  <c r="V415" i="25"/>
  <c r="T416" i="25" a="1"/>
  <c r="T416" i="25"/>
  <c r="U416" i="25" a="1"/>
  <c r="U416" i="25"/>
  <c r="V416" i="25"/>
  <c r="T417" i="25" a="1"/>
  <c r="T417" i="25"/>
  <c r="U417" i="25" a="1"/>
  <c r="U417" i="25"/>
  <c r="V417" i="25"/>
  <c r="T418" i="25" a="1"/>
  <c r="T418" i="25"/>
  <c r="U418" i="25" a="1"/>
  <c r="U418" i="25"/>
  <c r="V418" i="25"/>
  <c r="T419" i="25" a="1"/>
  <c r="T419" i="25"/>
  <c r="U419" i="25" a="1"/>
  <c r="U419" i="25"/>
  <c r="V419" i="25"/>
  <c r="T420" i="25" a="1"/>
  <c r="T420" i="25"/>
  <c r="U420" i="25" a="1"/>
  <c r="U420" i="25"/>
  <c r="V420" i="25"/>
  <c r="T421" i="25" a="1"/>
  <c r="T421" i="25"/>
  <c r="U421" i="25" a="1"/>
  <c r="U421" i="25"/>
  <c r="V421" i="25"/>
  <c r="T422" i="25" a="1"/>
  <c r="T422" i="25"/>
  <c r="U422" i="25" a="1"/>
  <c r="U422" i="25"/>
  <c r="V422" i="25"/>
  <c r="T423" i="25" a="1"/>
  <c r="T423" i="25"/>
  <c r="U423" i="25" a="1"/>
  <c r="U423" i="25"/>
  <c r="V423" i="25"/>
  <c r="T424" i="25" a="1"/>
  <c r="T424" i="25"/>
  <c r="U424" i="25" a="1"/>
  <c r="U424" i="25"/>
  <c r="V424" i="25"/>
  <c r="T425" i="25" a="1"/>
  <c r="T425" i="25"/>
  <c r="U425" i="25" a="1"/>
  <c r="U425" i="25"/>
  <c r="V425" i="25"/>
  <c r="T426" i="25" a="1"/>
  <c r="T426" i="25"/>
  <c r="U426" i="25" a="1"/>
  <c r="U426" i="25"/>
  <c r="V426" i="25"/>
  <c r="T427" i="25" a="1"/>
  <c r="T427" i="25"/>
  <c r="U427" i="25" a="1"/>
  <c r="U427" i="25"/>
  <c r="V427" i="25"/>
  <c r="T428" i="25" a="1"/>
  <c r="T428" i="25"/>
  <c r="U428" i="25" a="1"/>
  <c r="U428" i="25"/>
  <c r="V428" i="25"/>
  <c r="T429" i="25" a="1"/>
  <c r="T429" i="25"/>
  <c r="U429" i="25" a="1"/>
  <c r="U429" i="25"/>
  <c r="V429" i="25"/>
  <c r="T430" i="25" a="1"/>
  <c r="T430" i="25"/>
  <c r="U430" i="25" a="1"/>
  <c r="U430" i="25"/>
  <c r="V430" i="25"/>
  <c r="T431" i="25" a="1"/>
  <c r="T431" i="25"/>
  <c r="U431" i="25" a="1"/>
  <c r="U431" i="25"/>
  <c r="V431" i="25"/>
  <c r="T432" i="25" a="1"/>
  <c r="T432" i="25"/>
  <c r="U432" i="25" a="1"/>
  <c r="U432" i="25"/>
  <c r="V432" i="25"/>
  <c r="T433" i="25" a="1"/>
  <c r="T433" i="25"/>
  <c r="U433" i="25" a="1"/>
  <c r="U433" i="25"/>
  <c r="V433" i="25"/>
  <c r="T434" i="25" a="1"/>
  <c r="T434" i="25"/>
  <c r="U434" i="25" a="1"/>
  <c r="U434" i="25"/>
  <c r="V434" i="25"/>
  <c r="T435" i="25" a="1"/>
  <c r="T435" i="25"/>
  <c r="U435" i="25" a="1"/>
  <c r="U435" i="25"/>
  <c r="V435" i="25"/>
  <c r="T436" i="25" a="1"/>
  <c r="T436" i="25"/>
  <c r="U436" i="25" a="1"/>
  <c r="U436" i="25"/>
  <c r="V436" i="25"/>
  <c r="T437" i="25" a="1"/>
  <c r="T437" i="25"/>
  <c r="U437" i="25" a="1"/>
  <c r="U437" i="25"/>
  <c r="V437" i="25"/>
  <c r="T438" i="25" a="1"/>
  <c r="T438" i="25"/>
  <c r="U438" i="25" a="1"/>
  <c r="U438" i="25"/>
  <c r="V438" i="25"/>
  <c r="T439" i="25" a="1"/>
  <c r="T439" i="25"/>
  <c r="U439" i="25" a="1"/>
  <c r="U439" i="25"/>
  <c r="V439" i="25"/>
  <c r="T440" i="25" a="1"/>
  <c r="T440" i="25"/>
  <c r="U440" i="25" a="1"/>
  <c r="U440" i="25"/>
  <c r="V440" i="25"/>
  <c r="T441" i="25" a="1"/>
  <c r="T441" i="25"/>
  <c r="U441" i="25" a="1"/>
  <c r="U441" i="25"/>
  <c r="V441" i="25"/>
  <c r="T442" i="25" a="1"/>
  <c r="T442" i="25"/>
  <c r="U442" i="25" a="1"/>
  <c r="U442" i="25"/>
  <c r="V442" i="25"/>
  <c r="T443" i="25" a="1"/>
  <c r="T443" i="25"/>
  <c r="U443" i="25" a="1"/>
  <c r="U443" i="25"/>
  <c r="V443" i="25"/>
  <c r="T444" i="25" a="1"/>
  <c r="T444" i="25"/>
  <c r="U444" i="25" a="1"/>
  <c r="U444" i="25"/>
  <c r="V444" i="25"/>
  <c r="T445" i="25" a="1"/>
  <c r="T445" i="25"/>
  <c r="U445" i="25" a="1"/>
  <c r="U445" i="25"/>
  <c r="V445" i="25"/>
  <c r="T446" i="25" a="1"/>
  <c r="T446" i="25"/>
  <c r="U446" i="25" a="1"/>
  <c r="U446" i="25"/>
  <c r="V446" i="25"/>
  <c r="T447" i="25" a="1"/>
  <c r="T447" i="25"/>
  <c r="U447" i="25" a="1"/>
  <c r="U447" i="25"/>
  <c r="V447" i="25"/>
  <c r="T448" i="25" a="1"/>
  <c r="T448" i="25"/>
  <c r="U448" i="25" a="1"/>
  <c r="U448" i="25"/>
  <c r="V448" i="25"/>
  <c r="T449" i="25" a="1"/>
  <c r="T449" i="25"/>
  <c r="U449" i="25" a="1"/>
  <c r="U449" i="25"/>
  <c r="V449" i="25"/>
  <c r="T450" i="25" a="1"/>
  <c r="T450" i="25"/>
  <c r="U450" i="25" a="1"/>
  <c r="U450" i="25"/>
  <c r="V450" i="25"/>
  <c r="T451" i="25" a="1"/>
  <c r="T451" i="25"/>
  <c r="U451" i="25" a="1"/>
  <c r="U451" i="25"/>
  <c r="V451" i="25"/>
  <c r="T452" i="25" a="1"/>
  <c r="T452" i="25"/>
  <c r="U452" i="25" a="1"/>
  <c r="U452" i="25"/>
  <c r="V452" i="25"/>
  <c r="T453" i="25" a="1"/>
  <c r="T453" i="25"/>
  <c r="U453" i="25" a="1"/>
  <c r="U453" i="25"/>
  <c r="V453" i="25"/>
  <c r="T454" i="25" a="1"/>
  <c r="T454" i="25"/>
  <c r="U454" i="25" a="1"/>
  <c r="U454" i="25"/>
  <c r="V454" i="25"/>
  <c r="T455" i="25" a="1"/>
  <c r="T455" i="25"/>
  <c r="U455" i="25" a="1"/>
  <c r="U455" i="25"/>
  <c r="V455" i="25"/>
  <c r="T456" i="25" a="1"/>
  <c r="T456" i="25"/>
  <c r="U456" i="25" a="1"/>
  <c r="U456" i="25"/>
  <c r="V456" i="25"/>
  <c r="T457" i="25" a="1"/>
  <c r="T457" i="25"/>
  <c r="U457" i="25" a="1"/>
  <c r="U457" i="25"/>
  <c r="V457" i="25"/>
  <c r="T458" i="25" a="1"/>
  <c r="T458" i="25"/>
  <c r="U458" i="25" a="1"/>
  <c r="U458" i="25"/>
  <c r="V458" i="25"/>
  <c r="T459" i="25" a="1"/>
  <c r="T459" i="25"/>
  <c r="U459" i="25" a="1"/>
  <c r="U459" i="25"/>
  <c r="V459" i="25"/>
  <c r="T460" i="25" a="1"/>
  <c r="T460" i="25"/>
  <c r="U460" i="25" a="1"/>
  <c r="U460" i="25"/>
  <c r="V460" i="25"/>
  <c r="T461" i="25" a="1"/>
  <c r="T461" i="25"/>
  <c r="U461" i="25" a="1"/>
  <c r="U461" i="25"/>
  <c r="V461" i="25"/>
  <c r="T462" i="25" a="1"/>
  <c r="T462" i="25"/>
  <c r="U462" i="25" a="1"/>
  <c r="U462" i="25"/>
  <c r="V462" i="25"/>
  <c r="T463" i="25" a="1"/>
  <c r="T463" i="25"/>
  <c r="U463" i="25" a="1"/>
  <c r="U463" i="25"/>
  <c r="V463" i="25"/>
  <c r="T464" i="25" a="1"/>
  <c r="T464" i="25"/>
  <c r="U464" i="25" a="1"/>
  <c r="U464" i="25"/>
  <c r="V464" i="25"/>
  <c r="T465" i="25" a="1"/>
  <c r="T465" i="25"/>
  <c r="U465" i="25" a="1"/>
  <c r="U465" i="25"/>
  <c r="V465" i="25"/>
  <c r="T466" i="25" a="1"/>
  <c r="T466" i="25"/>
  <c r="U466" i="25" a="1"/>
  <c r="U466" i="25"/>
  <c r="V466" i="25"/>
  <c r="T467" i="25" a="1"/>
  <c r="T467" i="25"/>
  <c r="U467" i="25" a="1"/>
  <c r="U467" i="25"/>
  <c r="V467" i="25"/>
  <c r="T468" i="25" a="1"/>
  <c r="T468" i="25"/>
  <c r="U468" i="25" a="1"/>
  <c r="U468" i="25"/>
  <c r="V468" i="25"/>
  <c r="T469" i="25" a="1"/>
  <c r="T469" i="25"/>
  <c r="U469" i="25" a="1"/>
  <c r="U469" i="25"/>
  <c r="V469" i="25"/>
  <c r="T470" i="25" a="1"/>
  <c r="T470" i="25"/>
  <c r="U470" i="25" a="1"/>
  <c r="U470" i="25"/>
  <c r="V470" i="25"/>
  <c r="T471" i="25" a="1"/>
  <c r="T471" i="25"/>
  <c r="U471" i="25" a="1"/>
  <c r="U471" i="25"/>
  <c r="V471" i="25"/>
  <c r="T472" i="25" a="1"/>
  <c r="T472" i="25"/>
  <c r="U472" i="25" a="1"/>
  <c r="U472" i="25"/>
  <c r="V472" i="25"/>
  <c r="T473" i="25" a="1"/>
  <c r="T473" i="25"/>
  <c r="U473" i="25" a="1"/>
  <c r="U473" i="25"/>
  <c r="V473" i="25"/>
  <c r="T474" i="25" a="1"/>
  <c r="T474" i="25"/>
  <c r="U474" i="25" a="1"/>
  <c r="U474" i="25"/>
  <c r="V474" i="25"/>
  <c r="T475" i="25" a="1"/>
  <c r="T475" i="25"/>
  <c r="U475" i="25" a="1"/>
  <c r="U475" i="25"/>
  <c r="V475" i="25"/>
  <c r="T476" i="25" a="1"/>
  <c r="T476" i="25"/>
  <c r="U476" i="25" a="1"/>
  <c r="U476" i="25"/>
  <c r="V476" i="25"/>
  <c r="T477" i="25" a="1"/>
  <c r="T477" i="25"/>
  <c r="U477" i="25" a="1"/>
  <c r="U477" i="25"/>
  <c r="V477" i="25"/>
  <c r="T478" i="25" a="1"/>
  <c r="T478" i="25"/>
  <c r="U478" i="25" a="1"/>
  <c r="U478" i="25"/>
  <c r="V478" i="25"/>
  <c r="T479" i="25" a="1"/>
  <c r="T479" i="25"/>
  <c r="U479" i="25" a="1"/>
  <c r="U479" i="25"/>
  <c r="V479" i="25"/>
  <c r="T480" i="25" a="1"/>
  <c r="T480" i="25"/>
  <c r="U480" i="25" a="1"/>
  <c r="U480" i="25"/>
  <c r="V480" i="25"/>
  <c r="T481" i="25" a="1"/>
  <c r="T481" i="25"/>
  <c r="U481" i="25" a="1"/>
  <c r="U481" i="25"/>
  <c r="V481" i="25"/>
  <c r="T482" i="25" a="1"/>
  <c r="T482" i="25"/>
  <c r="U482" i="25" a="1"/>
  <c r="U482" i="25"/>
  <c r="V482" i="25"/>
  <c r="T483" i="25" a="1"/>
  <c r="T483" i="25"/>
  <c r="U483" i="25" a="1"/>
  <c r="U483" i="25"/>
  <c r="V483" i="25"/>
  <c r="T484" i="25" a="1"/>
  <c r="T484" i="25"/>
  <c r="U484" i="25" a="1"/>
  <c r="U484" i="25"/>
  <c r="V484" i="25"/>
  <c r="T485" i="25" a="1"/>
  <c r="T485" i="25"/>
  <c r="U485" i="25" a="1"/>
  <c r="U485" i="25"/>
  <c r="V485" i="25"/>
  <c r="T486" i="25" a="1"/>
  <c r="T486" i="25"/>
  <c r="U486" i="25" a="1"/>
  <c r="U486" i="25"/>
  <c r="V486" i="25"/>
  <c r="T487" i="25" a="1"/>
  <c r="T487" i="25"/>
  <c r="U487" i="25" a="1"/>
  <c r="U487" i="25"/>
  <c r="V487" i="25"/>
  <c r="T488" i="25" a="1"/>
  <c r="T488" i="25"/>
  <c r="U488" i="25" a="1"/>
  <c r="U488" i="25"/>
  <c r="V488" i="25"/>
  <c r="T489" i="25" a="1"/>
  <c r="T489" i="25"/>
  <c r="U489" i="25" a="1"/>
  <c r="U489" i="25"/>
  <c r="V489" i="25"/>
  <c r="T490" i="25" a="1"/>
  <c r="T490" i="25"/>
  <c r="U490" i="25" a="1"/>
  <c r="U490" i="25"/>
  <c r="V490" i="25"/>
  <c r="T491" i="25" a="1"/>
  <c r="T491" i="25"/>
  <c r="U491" i="25" a="1"/>
  <c r="U491" i="25"/>
  <c r="V491" i="25"/>
  <c r="T492" i="25" a="1"/>
  <c r="T492" i="25"/>
  <c r="U492" i="25" a="1"/>
  <c r="U492" i="25"/>
  <c r="V492" i="25"/>
  <c r="T493" i="25" a="1"/>
  <c r="T493" i="25"/>
  <c r="U493" i="25" a="1"/>
  <c r="U493" i="25"/>
  <c r="V493" i="25"/>
  <c r="T494" i="25" a="1"/>
  <c r="T494" i="25"/>
  <c r="U494" i="25" a="1"/>
  <c r="U494" i="25"/>
  <c r="V494" i="25"/>
  <c r="T495" i="25" a="1"/>
  <c r="T495" i="25"/>
  <c r="U495" i="25" a="1"/>
  <c r="U495" i="25"/>
  <c r="V495" i="25"/>
  <c r="T496" i="25" a="1"/>
  <c r="T496" i="25"/>
  <c r="U496" i="25" a="1"/>
  <c r="U496" i="25"/>
  <c r="V496" i="25"/>
  <c r="T497" i="25" a="1"/>
  <c r="T497" i="25"/>
  <c r="U497" i="25" a="1"/>
  <c r="U497" i="25"/>
  <c r="V497" i="25"/>
  <c r="T498" i="25" a="1"/>
  <c r="T498" i="25"/>
  <c r="U498" i="25" a="1"/>
  <c r="U498" i="25"/>
  <c r="V498" i="25"/>
  <c r="T499" i="25" a="1"/>
  <c r="T499" i="25"/>
  <c r="U499" i="25" a="1"/>
  <c r="U499" i="25"/>
  <c r="V499" i="25"/>
  <c r="T500" i="25" a="1"/>
  <c r="T500" i="25"/>
  <c r="U500" i="25" a="1"/>
  <c r="U500" i="25"/>
  <c r="V500" i="25"/>
  <c r="T501" i="25" a="1"/>
  <c r="T501" i="25"/>
  <c r="U501" i="25" a="1"/>
  <c r="U501" i="25"/>
  <c r="V501" i="25"/>
  <c r="T502" i="25" a="1"/>
  <c r="T502" i="25"/>
  <c r="U502" i="25" a="1"/>
  <c r="U502" i="25"/>
  <c r="V502" i="25"/>
  <c r="T503" i="25" a="1"/>
  <c r="T503" i="25"/>
  <c r="U503" i="25" a="1"/>
  <c r="U503" i="25"/>
  <c r="V503" i="25"/>
  <c r="T504" i="25" a="1"/>
  <c r="T504" i="25"/>
  <c r="U504" i="25" a="1"/>
  <c r="U504" i="25"/>
  <c r="V504" i="25"/>
  <c r="T505" i="25" a="1"/>
  <c r="T505" i="25"/>
  <c r="U505" i="25" a="1"/>
  <c r="U505" i="25"/>
  <c r="V505" i="25"/>
  <c r="T506" i="25" a="1"/>
  <c r="T506" i="25"/>
  <c r="U506" i="25" a="1"/>
  <c r="U506" i="25"/>
  <c r="V506" i="25"/>
  <c r="T507" i="25" a="1"/>
  <c r="T507" i="25"/>
  <c r="U507" i="25" a="1"/>
  <c r="U507" i="25"/>
  <c r="V507" i="25"/>
  <c r="T508" i="25" a="1"/>
  <c r="T508" i="25"/>
  <c r="U508" i="25" a="1"/>
  <c r="U508" i="25"/>
  <c r="V508" i="25"/>
  <c r="T509" i="25" a="1"/>
  <c r="T509" i="25"/>
  <c r="U509" i="25" a="1"/>
  <c r="U509" i="25"/>
  <c r="V509" i="25"/>
  <c r="T510" i="25" a="1"/>
  <c r="T510" i="25"/>
  <c r="U510" i="25" a="1"/>
  <c r="U510" i="25"/>
  <c r="V510" i="25"/>
  <c r="T511" i="25" a="1"/>
  <c r="T511" i="25"/>
  <c r="U511" i="25" a="1"/>
  <c r="U511" i="25"/>
  <c r="V511" i="25"/>
  <c r="T512" i="25" a="1"/>
  <c r="T512" i="25"/>
  <c r="U512" i="25" a="1"/>
  <c r="U512" i="25"/>
  <c r="V512" i="25"/>
  <c r="T513" i="25" a="1"/>
  <c r="T513" i="25"/>
  <c r="U513" i="25" a="1"/>
  <c r="U513" i="25"/>
  <c r="V513" i="25"/>
  <c r="T514" i="25" a="1"/>
  <c r="T514" i="25"/>
  <c r="U514" i="25" a="1"/>
  <c r="U514" i="25"/>
  <c r="V514" i="25"/>
  <c r="T515" i="25" a="1"/>
  <c r="T515" i="25"/>
  <c r="U515" i="25" a="1"/>
  <c r="U515" i="25"/>
  <c r="V515" i="25"/>
  <c r="T516" i="25" a="1"/>
  <c r="T516" i="25"/>
  <c r="U516" i="25" a="1"/>
  <c r="U516" i="25"/>
  <c r="V516" i="25"/>
  <c r="T517" i="25" a="1"/>
  <c r="T517" i="25"/>
  <c r="U517" i="25" a="1"/>
  <c r="U517" i="25"/>
  <c r="V517" i="25"/>
  <c r="T518" i="25" a="1"/>
  <c r="T518" i="25"/>
  <c r="U518" i="25" a="1"/>
  <c r="U518" i="25"/>
  <c r="V518" i="25"/>
  <c r="T519" i="25" a="1"/>
  <c r="T519" i="25"/>
  <c r="U519" i="25" a="1"/>
  <c r="U519" i="25"/>
  <c r="V519" i="25"/>
  <c r="T520" i="25" a="1"/>
  <c r="T520" i="25"/>
  <c r="U520" i="25" a="1"/>
  <c r="U520" i="25"/>
  <c r="V520" i="25"/>
  <c r="T521" i="25" a="1"/>
  <c r="T521" i="25"/>
  <c r="U521" i="25" a="1"/>
  <c r="U521" i="25"/>
  <c r="V521" i="25"/>
  <c r="T522" i="25" a="1"/>
  <c r="T522" i="25"/>
  <c r="U522" i="25" a="1"/>
  <c r="U522" i="25"/>
  <c r="V522" i="25"/>
  <c r="T523" i="25" a="1"/>
  <c r="T523" i="25"/>
  <c r="U523" i="25" a="1"/>
  <c r="U523" i="25"/>
  <c r="V523" i="25"/>
  <c r="T524" i="25" a="1"/>
  <c r="T524" i="25"/>
  <c r="U524" i="25" a="1"/>
  <c r="U524" i="25"/>
  <c r="V524" i="25"/>
  <c r="T525" i="25" a="1"/>
  <c r="T525" i="25"/>
  <c r="U525" i="25" a="1"/>
  <c r="U525" i="25"/>
  <c r="V525" i="25"/>
  <c r="T526" i="25" a="1"/>
  <c r="T526" i="25"/>
  <c r="U526" i="25" a="1"/>
  <c r="U526" i="25"/>
  <c r="V526" i="25"/>
  <c r="T527" i="25" a="1"/>
  <c r="T527" i="25"/>
  <c r="U527" i="25" a="1"/>
  <c r="U527" i="25"/>
  <c r="V527" i="25"/>
  <c r="T528" i="25" a="1"/>
  <c r="T528" i="25"/>
  <c r="U528" i="25" a="1"/>
  <c r="U528" i="25"/>
  <c r="V528" i="25"/>
  <c r="T529" i="25" a="1"/>
  <c r="T529" i="25"/>
  <c r="U529" i="25" a="1"/>
  <c r="U529" i="25"/>
  <c r="V529" i="25"/>
  <c r="T530" i="25" a="1"/>
  <c r="T530" i="25"/>
  <c r="U530" i="25" a="1"/>
  <c r="U530" i="25"/>
  <c r="V530" i="25"/>
  <c r="T531" i="25" a="1"/>
  <c r="T531" i="25"/>
  <c r="U531" i="25" a="1"/>
  <c r="U531" i="25"/>
  <c r="V531" i="25"/>
  <c r="T532" i="25" a="1"/>
  <c r="T532" i="25"/>
  <c r="U532" i="25" a="1"/>
  <c r="U532" i="25"/>
  <c r="V532" i="25"/>
  <c r="T533" i="25" a="1"/>
  <c r="T533" i="25"/>
  <c r="U533" i="25" a="1"/>
  <c r="U533" i="25"/>
  <c r="V533" i="25"/>
  <c r="T534" i="25" a="1"/>
  <c r="T534" i="25"/>
  <c r="U534" i="25" a="1"/>
  <c r="U534" i="25"/>
  <c r="V534" i="25"/>
  <c r="T535" i="25" a="1"/>
  <c r="T535" i="25"/>
  <c r="U535" i="25" a="1"/>
  <c r="U535" i="25"/>
  <c r="V535" i="25"/>
  <c r="T536" i="25" a="1"/>
  <c r="T536" i="25"/>
  <c r="U536" i="25" a="1"/>
  <c r="U536" i="25"/>
  <c r="V536" i="25"/>
  <c r="T537" i="25" a="1"/>
  <c r="T537" i="25"/>
  <c r="U537" i="25" a="1"/>
  <c r="U537" i="25"/>
  <c r="V537" i="25"/>
  <c r="T538" i="25" a="1"/>
  <c r="T538" i="25"/>
  <c r="U538" i="25" a="1"/>
  <c r="U538" i="25"/>
  <c r="V538" i="25"/>
  <c r="T539" i="25" a="1"/>
  <c r="T539" i="25"/>
  <c r="U539" i="25" a="1"/>
  <c r="U539" i="25"/>
  <c r="V539" i="25"/>
  <c r="T540" i="25" a="1"/>
  <c r="T540" i="25"/>
  <c r="U540" i="25" a="1"/>
  <c r="U540" i="25"/>
  <c r="V540" i="25"/>
  <c r="T541" i="25" a="1"/>
  <c r="T541" i="25"/>
  <c r="U541" i="25" a="1"/>
  <c r="U541" i="25"/>
  <c r="V541" i="25"/>
  <c r="T542" i="25" a="1"/>
  <c r="T542" i="25"/>
  <c r="U542" i="25" a="1"/>
  <c r="U542" i="25"/>
  <c r="V542" i="25"/>
  <c r="T543" i="25" a="1"/>
  <c r="T543" i="25"/>
  <c r="U543" i="25" a="1"/>
  <c r="U543" i="25"/>
  <c r="V543" i="25"/>
  <c r="T544" i="25" a="1"/>
  <c r="T544" i="25"/>
  <c r="U544" i="25" a="1"/>
  <c r="U544" i="25"/>
  <c r="V544" i="25"/>
  <c r="T545" i="25" a="1"/>
  <c r="T545" i="25"/>
  <c r="U545" i="25" a="1"/>
  <c r="U545" i="25"/>
  <c r="V545" i="25"/>
  <c r="T546" i="25" a="1"/>
  <c r="T546" i="25"/>
  <c r="U546" i="25" a="1"/>
  <c r="U546" i="25"/>
  <c r="V546" i="25"/>
  <c r="T547" i="25" a="1"/>
  <c r="T547" i="25"/>
  <c r="U547" i="25" a="1"/>
  <c r="U547" i="25"/>
  <c r="V547" i="25"/>
  <c r="T548" i="25" a="1"/>
  <c r="T548" i="25"/>
  <c r="U548" i="25" a="1"/>
  <c r="U548" i="25"/>
  <c r="V548" i="25"/>
  <c r="T549" i="25" a="1"/>
  <c r="T549" i="25"/>
  <c r="U549" i="25" a="1"/>
  <c r="U549" i="25"/>
  <c r="V549" i="25"/>
  <c r="T550" i="25" a="1"/>
  <c r="T550" i="25"/>
  <c r="U550" i="25" a="1"/>
  <c r="U550" i="25"/>
  <c r="V550" i="25"/>
  <c r="T551" i="25" a="1"/>
  <c r="T551" i="25"/>
  <c r="U551" i="25" a="1"/>
  <c r="U551" i="25"/>
  <c r="V551" i="25"/>
  <c r="T552" i="25" a="1"/>
  <c r="T552" i="25"/>
  <c r="U552" i="25" a="1"/>
  <c r="U552" i="25"/>
  <c r="V552" i="25"/>
  <c r="T553" i="25" a="1"/>
  <c r="T553" i="25"/>
  <c r="U553" i="25" a="1"/>
  <c r="U553" i="25"/>
  <c r="V553" i="25"/>
  <c r="T554" i="25" a="1"/>
  <c r="T554" i="25"/>
  <c r="U554" i="25" a="1"/>
  <c r="U554" i="25"/>
  <c r="V554" i="25"/>
  <c r="T555" i="25" a="1"/>
  <c r="T555" i="25"/>
  <c r="U555" i="25" a="1"/>
  <c r="U555" i="25"/>
  <c r="V555" i="25"/>
  <c r="T556" i="25" a="1"/>
  <c r="T556" i="25"/>
  <c r="U556" i="25" a="1"/>
  <c r="U556" i="25"/>
  <c r="V556" i="25"/>
  <c r="T557" i="25" a="1"/>
  <c r="T557" i="25"/>
  <c r="U557" i="25" a="1"/>
  <c r="U557" i="25"/>
  <c r="V557" i="25"/>
  <c r="T558" i="25" a="1"/>
  <c r="T558" i="25"/>
  <c r="U558" i="25" a="1"/>
  <c r="U558" i="25"/>
  <c r="V558" i="25"/>
  <c r="T559" i="25" a="1"/>
  <c r="T559" i="25"/>
  <c r="U559" i="25" a="1"/>
  <c r="U559" i="25"/>
  <c r="V559" i="25"/>
  <c r="T560" i="25" a="1"/>
  <c r="T560" i="25"/>
  <c r="U560" i="25" a="1"/>
  <c r="U560" i="25"/>
  <c r="V560" i="25"/>
  <c r="T561" i="25" a="1"/>
  <c r="T561" i="25"/>
  <c r="U561" i="25" a="1"/>
  <c r="U561" i="25"/>
  <c r="V561" i="25"/>
  <c r="T562" i="25" a="1"/>
  <c r="T562" i="25"/>
  <c r="U562" i="25" a="1"/>
  <c r="U562" i="25"/>
  <c r="V562" i="25"/>
  <c r="T563" i="25" a="1"/>
  <c r="T563" i="25"/>
  <c r="U563" i="25" a="1"/>
  <c r="U563" i="25"/>
  <c r="V563" i="25"/>
  <c r="T564" i="25" a="1"/>
  <c r="T564" i="25"/>
  <c r="U564" i="25" a="1"/>
  <c r="U564" i="25"/>
  <c r="V564" i="25"/>
  <c r="T565" i="25" a="1"/>
  <c r="T565" i="25"/>
  <c r="U565" i="25" a="1"/>
  <c r="U565" i="25"/>
  <c r="V565" i="25"/>
  <c r="T566" i="25" a="1"/>
  <c r="T566" i="25"/>
  <c r="U566" i="25" a="1"/>
  <c r="U566" i="25"/>
  <c r="V566" i="25"/>
  <c r="T567" i="25" a="1"/>
  <c r="T567" i="25"/>
  <c r="U567" i="25" a="1"/>
  <c r="U567" i="25"/>
  <c r="V567" i="25"/>
  <c r="T568" i="25" a="1"/>
  <c r="T568" i="25"/>
  <c r="U568" i="25" a="1"/>
  <c r="U568" i="25"/>
  <c r="V568" i="25"/>
  <c r="T569" i="25" a="1"/>
  <c r="T569" i="25"/>
  <c r="U569" i="25" a="1"/>
  <c r="U569" i="25"/>
  <c r="V569" i="25"/>
  <c r="T570" i="25" a="1"/>
  <c r="T570" i="25"/>
  <c r="U570" i="25" a="1"/>
  <c r="U570" i="25"/>
  <c r="V570" i="25"/>
  <c r="T571" i="25" a="1"/>
  <c r="T571" i="25"/>
  <c r="U571" i="25" a="1"/>
  <c r="U571" i="25"/>
  <c r="V571" i="25"/>
  <c r="T572" i="25" a="1"/>
  <c r="T572" i="25"/>
  <c r="U572" i="25" a="1"/>
  <c r="U572" i="25"/>
  <c r="V572" i="25"/>
  <c r="T573" i="25" a="1"/>
  <c r="T573" i="25"/>
  <c r="U573" i="25" a="1"/>
  <c r="U573" i="25"/>
  <c r="V573" i="25"/>
  <c r="T574" i="25" a="1"/>
  <c r="T574" i="25"/>
  <c r="U574" i="25" a="1"/>
  <c r="U574" i="25"/>
  <c r="V574" i="25"/>
  <c r="T575" i="25" a="1"/>
  <c r="T575" i="25"/>
  <c r="U575" i="25" a="1"/>
  <c r="U575" i="25"/>
  <c r="V575" i="25"/>
  <c r="T576" i="25" a="1"/>
  <c r="T576" i="25"/>
  <c r="U576" i="25" a="1"/>
  <c r="U576" i="25"/>
  <c r="V576" i="25"/>
  <c r="T577" i="25" a="1"/>
  <c r="T577" i="25"/>
  <c r="U577" i="25" a="1"/>
  <c r="U577" i="25"/>
  <c r="V577" i="25"/>
  <c r="T578" i="25" a="1"/>
  <c r="T578" i="25"/>
  <c r="U578" i="25" a="1"/>
  <c r="U578" i="25"/>
  <c r="V578" i="25"/>
  <c r="T579" i="25" a="1"/>
  <c r="T579" i="25"/>
  <c r="U579" i="25" a="1"/>
  <c r="U579" i="25"/>
  <c r="V579" i="25"/>
  <c r="T580" i="25" a="1"/>
  <c r="T580" i="25"/>
  <c r="U580" i="25" a="1"/>
  <c r="U580" i="25"/>
  <c r="V580" i="25"/>
  <c r="T581" i="25" a="1"/>
  <c r="T581" i="25"/>
  <c r="U581" i="25" a="1"/>
  <c r="U581" i="25"/>
  <c r="V581" i="25"/>
  <c r="T582" i="25" a="1"/>
  <c r="T582" i="25"/>
  <c r="U582" i="25" a="1"/>
  <c r="U582" i="25"/>
  <c r="V582" i="25"/>
  <c r="T583" i="25" a="1"/>
  <c r="T583" i="25"/>
  <c r="U583" i="25" a="1"/>
  <c r="U583" i="25"/>
  <c r="V583" i="25"/>
  <c r="T584" i="25" a="1"/>
  <c r="T584" i="25"/>
  <c r="U584" i="25" a="1"/>
  <c r="U584" i="25"/>
  <c r="V584" i="25"/>
  <c r="T585" i="25" a="1"/>
  <c r="T585" i="25"/>
  <c r="U585" i="25" a="1"/>
  <c r="U585" i="25"/>
  <c r="V585" i="25"/>
  <c r="T586" i="25" a="1"/>
  <c r="T586" i="25"/>
  <c r="U586" i="25" a="1"/>
  <c r="U586" i="25"/>
  <c r="V586" i="25"/>
  <c r="T587" i="25" a="1"/>
  <c r="T587" i="25"/>
  <c r="U587" i="25" a="1"/>
  <c r="U587" i="25"/>
  <c r="V587" i="25"/>
  <c r="T588" i="25" a="1"/>
  <c r="T588" i="25"/>
  <c r="U588" i="25" a="1"/>
  <c r="U588" i="25"/>
  <c r="V588" i="25"/>
  <c r="T589" i="25" a="1"/>
  <c r="T589" i="25"/>
  <c r="U589" i="25" a="1"/>
  <c r="U589" i="25"/>
  <c r="V589" i="25"/>
  <c r="T590" i="25" a="1"/>
  <c r="T590" i="25"/>
  <c r="U590" i="25" a="1"/>
  <c r="U590" i="25"/>
  <c r="V590" i="25"/>
  <c r="T591" i="25" a="1"/>
  <c r="T591" i="25"/>
  <c r="U591" i="25" a="1"/>
  <c r="U591" i="25"/>
  <c r="V591" i="25"/>
  <c r="T592" i="25" a="1"/>
  <c r="T592" i="25"/>
  <c r="U592" i="25" a="1"/>
  <c r="U592" i="25"/>
  <c r="V592" i="25"/>
  <c r="T593" i="25" a="1"/>
  <c r="T593" i="25"/>
  <c r="U593" i="25" a="1"/>
  <c r="U593" i="25"/>
  <c r="V593" i="25"/>
  <c r="T594" i="25" a="1"/>
  <c r="T594" i="25"/>
  <c r="U594" i="25" a="1"/>
  <c r="U594" i="25"/>
  <c r="V594" i="25"/>
  <c r="T595" i="25" a="1"/>
  <c r="T595" i="25"/>
  <c r="U595" i="25" a="1"/>
  <c r="U595" i="25"/>
  <c r="V595" i="25"/>
  <c r="T596" i="25" a="1"/>
  <c r="T596" i="25"/>
  <c r="U596" i="25" a="1"/>
  <c r="U596" i="25"/>
  <c r="V596" i="25"/>
  <c r="T597" i="25" a="1"/>
  <c r="T597" i="25"/>
  <c r="U597" i="25" a="1"/>
  <c r="U597" i="25"/>
  <c r="V597" i="25"/>
  <c r="T598" i="25" a="1"/>
  <c r="T598" i="25"/>
  <c r="U598" i="25" a="1"/>
  <c r="U598" i="25"/>
  <c r="V598" i="25"/>
  <c r="T599" i="25" a="1"/>
  <c r="T599" i="25"/>
  <c r="U599" i="25" a="1"/>
  <c r="U599" i="25"/>
  <c r="V599" i="25"/>
  <c r="T600" i="25" a="1"/>
  <c r="T600" i="25"/>
  <c r="U600" i="25" a="1"/>
  <c r="U600" i="25"/>
  <c r="V600" i="25"/>
  <c r="T601" i="25" a="1"/>
  <c r="T601" i="25"/>
  <c r="U601" i="25" a="1"/>
  <c r="U601" i="25"/>
  <c r="V601" i="25"/>
  <c r="T602" i="25" a="1"/>
  <c r="T602" i="25"/>
  <c r="U602" i="25" a="1"/>
  <c r="U602" i="25"/>
  <c r="V602" i="25"/>
  <c r="T603" i="25" a="1"/>
  <c r="T603" i="25"/>
  <c r="U603" i="25" a="1"/>
  <c r="U603" i="25"/>
  <c r="V603" i="25"/>
  <c r="T604" i="25" a="1"/>
  <c r="T604" i="25"/>
  <c r="U604" i="25" a="1"/>
  <c r="U604" i="25"/>
  <c r="V604" i="25"/>
  <c r="T605" i="25" a="1"/>
  <c r="T605" i="25"/>
  <c r="U605" i="25" a="1"/>
  <c r="U605" i="25"/>
  <c r="V605" i="25"/>
  <c r="T606" i="25" a="1"/>
  <c r="T606" i="25"/>
  <c r="U606" i="25" a="1"/>
  <c r="U606" i="25"/>
  <c r="V606" i="25"/>
  <c r="T607" i="25" a="1"/>
  <c r="T607" i="25"/>
  <c r="U607" i="25" a="1"/>
  <c r="U607" i="25"/>
  <c r="V607" i="25"/>
  <c r="T608" i="25" a="1"/>
  <c r="T608" i="25"/>
  <c r="U608" i="25" a="1"/>
  <c r="U608" i="25"/>
  <c r="V608" i="25"/>
  <c r="T609" i="25" a="1"/>
  <c r="T609" i="25"/>
  <c r="U609" i="25" a="1"/>
  <c r="U609" i="25"/>
  <c r="V609" i="25"/>
  <c r="T610" i="25" a="1"/>
  <c r="T610" i="25"/>
  <c r="U610" i="25" a="1"/>
  <c r="U610" i="25"/>
  <c r="V610" i="25"/>
  <c r="T611" i="25" a="1"/>
  <c r="T611" i="25"/>
  <c r="U611" i="25" a="1"/>
  <c r="U611" i="25"/>
  <c r="V611" i="25"/>
  <c r="T612" i="25" a="1"/>
  <c r="T612" i="25"/>
  <c r="U612" i="25" a="1"/>
  <c r="U612" i="25"/>
  <c r="V612" i="25"/>
  <c r="T613" i="25" a="1"/>
  <c r="T613" i="25"/>
  <c r="U613" i="25" a="1"/>
  <c r="U613" i="25"/>
  <c r="V613" i="25"/>
  <c r="T614" i="25" a="1"/>
  <c r="T614" i="25"/>
  <c r="U614" i="25" a="1"/>
  <c r="U614" i="25"/>
  <c r="V614" i="25"/>
  <c r="T615" i="25" a="1"/>
  <c r="T615" i="25"/>
  <c r="U615" i="25" a="1"/>
  <c r="U615" i="25"/>
  <c r="V615" i="25"/>
  <c r="T616" i="25" a="1"/>
  <c r="T616" i="25"/>
  <c r="U616" i="25" a="1"/>
  <c r="U616" i="25"/>
  <c r="V616" i="25"/>
  <c r="T617" i="25" a="1"/>
  <c r="T617" i="25"/>
  <c r="U617" i="25" a="1"/>
  <c r="U617" i="25"/>
  <c r="V617" i="25"/>
  <c r="T618" i="25" a="1"/>
  <c r="T618" i="25"/>
  <c r="U618" i="25" a="1"/>
  <c r="U618" i="25"/>
  <c r="V618" i="25"/>
  <c r="T619" i="25" a="1"/>
  <c r="T619" i="25"/>
  <c r="U619" i="25" a="1"/>
  <c r="U619" i="25"/>
  <c r="V619" i="25"/>
  <c r="T620" i="25" a="1"/>
  <c r="T620" i="25"/>
  <c r="U620" i="25" a="1"/>
  <c r="U620" i="25"/>
  <c r="V620" i="25"/>
  <c r="T621" i="25" a="1"/>
  <c r="T621" i="25"/>
  <c r="U621" i="25" a="1"/>
  <c r="U621" i="25"/>
  <c r="V621" i="25"/>
  <c r="T622" i="25" a="1"/>
  <c r="T622" i="25"/>
  <c r="U622" i="25" a="1"/>
  <c r="U622" i="25"/>
  <c r="V622" i="25"/>
  <c r="T623" i="25" a="1"/>
  <c r="T623" i="25"/>
  <c r="U623" i="25" a="1"/>
  <c r="U623" i="25"/>
  <c r="V623" i="25"/>
  <c r="T624" i="25" a="1"/>
  <c r="T624" i="25"/>
  <c r="U624" i="25" a="1"/>
  <c r="U624" i="25"/>
  <c r="V624" i="25"/>
  <c r="T625" i="25" a="1"/>
  <c r="T625" i="25"/>
  <c r="U625" i="25" a="1"/>
  <c r="U625" i="25"/>
  <c r="V625" i="25"/>
  <c r="T626" i="25" a="1"/>
  <c r="T626" i="25"/>
  <c r="U626" i="25" a="1"/>
  <c r="U626" i="25"/>
  <c r="V626" i="25"/>
  <c r="T627" i="25" a="1"/>
  <c r="T627" i="25"/>
  <c r="U627" i="25" a="1"/>
  <c r="U627" i="25"/>
  <c r="V627" i="25"/>
  <c r="T628" i="25" a="1"/>
  <c r="T628" i="25"/>
  <c r="U628" i="25" a="1"/>
  <c r="U628" i="25"/>
  <c r="V628" i="25"/>
  <c r="T629" i="25" a="1"/>
  <c r="T629" i="25"/>
  <c r="U629" i="25" a="1"/>
  <c r="U629" i="25"/>
  <c r="V629" i="25"/>
  <c r="T630" i="25" a="1"/>
  <c r="T630" i="25"/>
  <c r="U630" i="25" a="1"/>
  <c r="U630" i="25"/>
  <c r="V630" i="25"/>
  <c r="T631" i="25" a="1"/>
  <c r="T631" i="25"/>
  <c r="U631" i="25" a="1"/>
  <c r="U631" i="25"/>
  <c r="V631" i="25"/>
  <c r="T632" i="25" a="1"/>
  <c r="T632" i="25"/>
  <c r="U632" i="25" a="1"/>
  <c r="U632" i="25"/>
  <c r="V632" i="25"/>
  <c r="T633" i="25" a="1"/>
  <c r="T633" i="25"/>
  <c r="U633" i="25" a="1"/>
  <c r="U633" i="25"/>
  <c r="V633" i="25"/>
  <c r="T634" i="25" a="1"/>
  <c r="T634" i="25"/>
  <c r="U634" i="25" a="1"/>
  <c r="U634" i="25"/>
  <c r="V634" i="25"/>
  <c r="T635" i="25" a="1"/>
  <c r="T635" i="25"/>
  <c r="U635" i="25" a="1"/>
  <c r="U635" i="25"/>
  <c r="V635" i="25"/>
  <c r="T636" i="25" a="1"/>
  <c r="T636" i="25"/>
  <c r="U636" i="25" a="1"/>
  <c r="U636" i="25"/>
  <c r="V636" i="25"/>
  <c r="T637" i="25" a="1"/>
  <c r="T637" i="25"/>
  <c r="U637" i="25" a="1"/>
  <c r="U637" i="25"/>
  <c r="V637" i="25"/>
  <c r="T638" i="25" a="1"/>
  <c r="T638" i="25"/>
  <c r="U638" i="25" a="1"/>
  <c r="U638" i="25"/>
  <c r="V638" i="25"/>
  <c r="T639" i="25" a="1"/>
  <c r="T639" i="25"/>
  <c r="U639" i="25" a="1"/>
  <c r="U639" i="25"/>
  <c r="V639" i="25"/>
  <c r="T640" i="25" a="1"/>
  <c r="T640" i="25"/>
  <c r="U640" i="25" a="1"/>
  <c r="U640" i="25"/>
  <c r="V640" i="25"/>
  <c r="T641" i="25" a="1"/>
  <c r="T641" i="25"/>
  <c r="U641" i="25" a="1"/>
  <c r="U641" i="25"/>
  <c r="V641" i="25"/>
  <c r="T642" i="25" a="1"/>
  <c r="T642" i="25"/>
  <c r="U642" i="25" a="1"/>
  <c r="U642" i="25"/>
  <c r="V642" i="25"/>
  <c r="T643" i="25" a="1"/>
  <c r="T643" i="25"/>
  <c r="U643" i="25" a="1"/>
  <c r="U643" i="25"/>
  <c r="V643" i="25"/>
  <c r="T644" i="25" a="1"/>
  <c r="T644" i="25"/>
  <c r="U644" i="25" a="1"/>
  <c r="U644" i="25"/>
  <c r="V644" i="25"/>
  <c r="T645" i="25" a="1"/>
  <c r="T645" i="25"/>
  <c r="U645" i="25" a="1"/>
  <c r="U645" i="25"/>
  <c r="V645" i="25"/>
  <c r="T646" i="25" a="1"/>
  <c r="T646" i="25"/>
  <c r="U646" i="25" a="1"/>
  <c r="U646" i="25"/>
  <c r="V646" i="25"/>
  <c r="T647" i="25" a="1"/>
  <c r="T647" i="25"/>
  <c r="U647" i="25" a="1"/>
  <c r="U647" i="25"/>
  <c r="V647" i="25"/>
  <c r="T648" i="25" a="1"/>
  <c r="T648" i="25"/>
  <c r="U648" i="25" a="1"/>
  <c r="U648" i="25"/>
  <c r="V648" i="25"/>
  <c r="T649" i="25" a="1"/>
  <c r="T649" i="25"/>
  <c r="U649" i="25" a="1"/>
  <c r="U649" i="25"/>
  <c r="V649" i="25"/>
  <c r="T650" i="25" a="1"/>
  <c r="T650" i="25"/>
  <c r="U650" i="25" a="1"/>
  <c r="U650" i="25"/>
  <c r="V650" i="25"/>
  <c r="T651" i="25" a="1"/>
  <c r="T651" i="25"/>
  <c r="U651" i="25" a="1"/>
  <c r="U651" i="25"/>
  <c r="V651" i="25"/>
  <c r="T652" i="25" a="1"/>
  <c r="T652" i="25"/>
  <c r="U652" i="25" a="1"/>
  <c r="U652" i="25"/>
  <c r="V652" i="25"/>
  <c r="T653" i="25" a="1"/>
  <c r="T653" i="25"/>
  <c r="U653" i="25" a="1"/>
  <c r="U653" i="25"/>
  <c r="V653" i="25"/>
  <c r="T654" i="25" a="1"/>
  <c r="T654" i="25"/>
  <c r="U654" i="25" a="1"/>
  <c r="U654" i="25"/>
  <c r="V654" i="25"/>
  <c r="T655" i="25" a="1"/>
  <c r="T655" i="25"/>
  <c r="U655" i="25" a="1"/>
  <c r="U655" i="25"/>
  <c r="V655" i="25"/>
  <c r="T656" i="25" a="1"/>
  <c r="T656" i="25"/>
  <c r="U656" i="25" a="1"/>
  <c r="U656" i="25"/>
  <c r="V656" i="25"/>
  <c r="T657" i="25" a="1"/>
  <c r="T657" i="25"/>
  <c r="U657" i="25" a="1"/>
  <c r="U657" i="25"/>
  <c r="V657" i="25"/>
  <c r="T658" i="25" a="1"/>
  <c r="T658" i="25"/>
  <c r="U658" i="25" a="1"/>
  <c r="U658" i="25"/>
  <c r="V658" i="25"/>
  <c r="T659" i="25" a="1"/>
  <c r="T659" i="25"/>
  <c r="U659" i="25" a="1"/>
  <c r="U659" i="25"/>
  <c r="V659" i="25"/>
  <c r="T660" i="25" a="1"/>
  <c r="T660" i="25"/>
  <c r="U660" i="25" a="1"/>
  <c r="U660" i="25"/>
  <c r="V660" i="25"/>
  <c r="T661" i="25" a="1"/>
  <c r="T661" i="25"/>
  <c r="U661" i="25" a="1"/>
  <c r="U661" i="25"/>
  <c r="V661" i="25"/>
  <c r="T662" i="25" a="1"/>
  <c r="T662" i="25"/>
  <c r="U662" i="25" a="1"/>
  <c r="U662" i="25"/>
  <c r="V662" i="25"/>
  <c r="T663" i="25" a="1"/>
  <c r="T663" i="25"/>
  <c r="U663" i="25" a="1"/>
  <c r="U663" i="25"/>
  <c r="V663" i="25"/>
  <c r="T664" i="25" a="1"/>
  <c r="T664" i="25"/>
  <c r="U664" i="25" a="1"/>
  <c r="U664" i="25"/>
  <c r="V664" i="25"/>
  <c r="T665" i="25" a="1"/>
  <c r="T665" i="25"/>
  <c r="U665" i="25" a="1"/>
  <c r="U665" i="25"/>
  <c r="V665" i="25"/>
  <c r="T666" i="25" a="1"/>
  <c r="T666" i="25"/>
  <c r="U666" i="25" a="1"/>
  <c r="U666" i="25"/>
  <c r="V666" i="25"/>
  <c r="T667" i="25" a="1"/>
  <c r="T667" i="25"/>
  <c r="U667" i="25" a="1"/>
  <c r="U667" i="25"/>
  <c r="V667" i="25"/>
  <c r="T668" i="25" a="1"/>
  <c r="T668" i="25"/>
  <c r="U668" i="25" a="1"/>
  <c r="U668" i="25"/>
  <c r="V668" i="25"/>
  <c r="T669" i="25" a="1"/>
  <c r="T669" i="25"/>
  <c r="U669" i="25" a="1"/>
  <c r="U669" i="25"/>
  <c r="V669" i="25"/>
  <c r="T670" i="25" a="1"/>
  <c r="T670" i="25"/>
  <c r="U670" i="25" a="1"/>
  <c r="U670" i="25"/>
  <c r="V670" i="25"/>
  <c r="T671" i="25" a="1"/>
  <c r="T671" i="25"/>
  <c r="U671" i="25" a="1"/>
  <c r="U671" i="25"/>
  <c r="V671" i="25"/>
  <c r="T672" i="25" a="1"/>
  <c r="T672" i="25"/>
  <c r="U672" i="25" a="1"/>
  <c r="U672" i="25"/>
  <c r="V672" i="25"/>
  <c r="T673" i="25" a="1"/>
  <c r="T673" i="25"/>
  <c r="U673" i="25" a="1"/>
  <c r="U673" i="25"/>
  <c r="V673" i="25"/>
  <c r="T674" i="25" a="1"/>
  <c r="T674" i="25"/>
  <c r="U674" i="25" a="1"/>
  <c r="U674" i="25"/>
  <c r="V674" i="25"/>
  <c r="T675" i="25" a="1"/>
  <c r="T675" i="25"/>
  <c r="U675" i="25" a="1"/>
  <c r="U675" i="25"/>
  <c r="V675" i="25"/>
  <c r="T676" i="25" a="1"/>
  <c r="T676" i="25"/>
  <c r="U676" i="25" a="1"/>
  <c r="U676" i="25"/>
  <c r="V676" i="25"/>
  <c r="T677" i="25" a="1"/>
  <c r="T677" i="25"/>
  <c r="U677" i="25" a="1"/>
  <c r="U677" i="25"/>
  <c r="V677" i="25"/>
  <c r="T678" i="25" a="1"/>
  <c r="T678" i="25"/>
  <c r="U678" i="25" a="1"/>
  <c r="U678" i="25"/>
  <c r="V678" i="25"/>
  <c r="T679" i="25" a="1"/>
  <c r="T679" i="25"/>
  <c r="U679" i="25" a="1"/>
  <c r="U679" i="25"/>
  <c r="V679" i="25"/>
  <c r="T680" i="25" a="1"/>
  <c r="T680" i="25"/>
  <c r="U680" i="25" a="1"/>
  <c r="U680" i="25"/>
  <c r="V680" i="25"/>
  <c r="T681" i="25" a="1"/>
  <c r="T681" i="25"/>
  <c r="U681" i="25" a="1"/>
  <c r="U681" i="25"/>
  <c r="V681" i="25"/>
  <c r="T682" i="25" a="1"/>
  <c r="T682" i="25"/>
  <c r="U682" i="25" a="1"/>
  <c r="U682" i="25"/>
  <c r="V682" i="25"/>
  <c r="T683" i="25" a="1"/>
  <c r="T683" i="25"/>
  <c r="U683" i="25" a="1"/>
  <c r="U683" i="25"/>
  <c r="V683" i="25"/>
  <c r="T684" i="25" a="1"/>
  <c r="T684" i="25"/>
  <c r="U684" i="25" a="1"/>
  <c r="U684" i="25"/>
  <c r="V684" i="25"/>
  <c r="T685" i="25" a="1"/>
  <c r="T685" i="25"/>
  <c r="U685" i="25" a="1"/>
  <c r="U685" i="25"/>
  <c r="V685" i="25"/>
  <c r="T686" i="25" a="1"/>
  <c r="T686" i="25"/>
  <c r="U686" i="25" a="1"/>
  <c r="U686" i="25"/>
  <c r="V686" i="25"/>
  <c r="T687" i="25" a="1"/>
  <c r="T687" i="25"/>
  <c r="U687" i="25" a="1"/>
  <c r="U687" i="25"/>
  <c r="V687" i="25"/>
  <c r="T688" i="25" a="1"/>
  <c r="T688" i="25"/>
  <c r="U688" i="25" a="1"/>
  <c r="U688" i="25"/>
  <c r="V688" i="25"/>
  <c r="T689" i="25" a="1"/>
  <c r="T689" i="25"/>
  <c r="U689" i="25" a="1"/>
  <c r="U689" i="25"/>
  <c r="V689" i="25"/>
  <c r="T690" i="25" a="1"/>
  <c r="T690" i="25"/>
  <c r="U690" i="25" a="1"/>
  <c r="U690" i="25"/>
  <c r="V690" i="25"/>
  <c r="T691" i="25" a="1"/>
  <c r="T691" i="25"/>
  <c r="U691" i="25" a="1"/>
  <c r="U691" i="25"/>
  <c r="V691" i="25"/>
  <c r="T692" i="25" a="1"/>
  <c r="T692" i="25"/>
  <c r="U692" i="25" a="1"/>
  <c r="U692" i="25"/>
  <c r="V692" i="25"/>
  <c r="T693" i="25" a="1"/>
  <c r="T693" i="25"/>
  <c r="U693" i="25" a="1"/>
  <c r="U693" i="25"/>
  <c r="V693" i="25"/>
  <c r="T694" i="25" a="1"/>
  <c r="T694" i="25"/>
  <c r="U694" i="25" a="1"/>
  <c r="U694" i="25"/>
  <c r="V694" i="25"/>
  <c r="T695" i="25" a="1"/>
  <c r="T695" i="25"/>
  <c r="U695" i="25" a="1"/>
  <c r="U695" i="25"/>
  <c r="V695" i="25"/>
  <c r="T696" i="25" a="1"/>
  <c r="T696" i="25"/>
  <c r="U696" i="25" a="1"/>
  <c r="U696" i="25"/>
  <c r="V696" i="25"/>
  <c r="T697" i="25" a="1"/>
  <c r="T697" i="25"/>
  <c r="U697" i="25" a="1"/>
  <c r="U697" i="25"/>
  <c r="V697" i="25"/>
  <c r="T698" i="25" a="1"/>
  <c r="T698" i="25"/>
  <c r="U698" i="25" a="1"/>
  <c r="U698" i="25"/>
  <c r="V698" i="25"/>
  <c r="T699" i="25" a="1"/>
  <c r="T699" i="25"/>
  <c r="U699" i="25" a="1"/>
  <c r="U699" i="25"/>
  <c r="V699" i="25"/>
  <c r="T700" i="25" a="1"/>
  <c r="T700" i="25"/>
  <c r="U700" i="25" a="1"/>
  <c r="U700" i="25"/>
  <c r="V700" i="25"/>
  <c r="T701" i="25" a="1"/>
  <c r="T701" i="25"/>
  <c r="U701" i="25" a="1"/>
  <c r="U701" i="25"/>
  <c r="V701" i="25"/>
  <c r="T702" i="25" a="1"/>
  <c r="T702" i="25"/>
  <c r="U702" i="25" a="1"/>
  <c r="U702" i="25"/>
  <c r="V702" i="25"/>
  <c r="T703" i="25" a="1"/>
  <c r="T703" i="25"/>
  <c r="U703" i="25" a="1"/>
  <c r="U703" i="25"/>
  <c r="V703" i="25"/>
  <c r="T704" i="25" a="1"/>
  <c r="T704" i="25"/>
  <c r="U704" i="25" a="1"/>
  <c r="U704" i="25"/>
  <c r="V704" i="25"/>
  <c r="T705" i="25" a="1"/>
  <c r="T705" i="25"/>
  <c r="U705" i="25" a="1"/>
  <c r="U705" i="25"/>
  <c r="V705" i="25"/>
  <c r="T706" i="25" a="1"/>
  <c r="T706" i="25"/>
  <c r="U706" i="25" a="1"/>
  <c r="U706" i="25"/>
  <c r="V706" i="25"/>
  <c r="T707" i="25" a="1"/>
  <c r="T707" i="25"/>
  <c r="U707" i="25" a="1"/>
  <c r="U707" i="25"/>
  <c r="V707" i="25"/>
  <c r="T708" i="25" a="1"/>
  <c r="T708" i="25"/>
  <c r="U708" i="25" a="1"/>
  <c r="U708" i="25"/>
  <c r="V708" i="25"/>
  <c r="T709" i="25" a="1"/>
  <c r="T709" i="25"/>
  <c r="U709" i="25" a="1"/>
  <c r="U709" i="25"/>
  <c r="V709" i="25"/>
  <c r="T710" i="25" a="1"/>
  <c r="T710" i="25"/>
  <c r="U710" i="25" a="1"/>
  <c r="U710" i="25"/>
  <c r="V710" i="25"/>
  <c r="T711" i="25" a="1"/>
  <c r="T711" i="25"/>
  <c r="U711" i="25" a="1"/>
  <c r="U711" i="25"/>
  <c r="V711" i="25"/>
  <c r="T712" i="25" a="1"/>
  <c r="T712" i="25"/>
  <c r="U712" i="25" a="1"/>
  <c r="U712" i="25"/>
  <c r="V712" i="25"/>
  <c r="T713" i="25" a="1"/>
  <c r="T713" i="25"/>
  <c r="U713" i="25" a="1"/>
  <c r="U713" i="25"/>
  <c r="V713" i="25"/>
  <c r="T714" i="25" a="1"/>
  <c r="T714" i="25"/>
  <c r="U714" i="25" a="1"/>
  <c r="U714" i="25"/>
  <c r="V714" i="25"/>
  <c r="T715" i="25" a="1"/>
  <c r="T715" i="25"/>
  <c r="U715" i="25" a="1"/>
  <c r="U715" i="25"/>
  <c r="V715" i="25"/>
  <c r="T716" i="25" a="1"/>
  <c r="T716" i="25"/>
  <c r="U716" i="25" a="1"/>
  <c r="U716" i="25"/>
  <c r="V716" i="25"/>
  <c r="T717" i="25" a="1"/>
  <c r="T717" i="25"/>
  <c r="U717" i="25" a="1"/>
  <c r="U717" i="25"/>
  <c r="V717" i="25"/>
  <c r="T718" i="25" a="1"/>
  <c r="T718" i="25"/>
  <c r="U718" i="25" a="1"/>
  <c r="U718" i="25"/>
  <c r="V718" i="25"/>
  <c r="T719" i="25" a="1"/>
  <c r="T719" i="25"/>
  <c r="U719" i="25" a="1"/>
  <c r="U719" i="25"/>
  <c r="V719" i="25"/>
  <c r="T720" i="25" a="1"/>
  <c r="T720" i="25"/>
  <c r="U720" i="25" a="1"/>
  <c r="U720" i="25"/>
  <c r="V720" i="25"/>
  <c r="T721" i="25" a="1"/>
  <c r="T721" i="25"/>
  <c r="U721" i="25" a="1"/>
  <c r="U721" i="25"/>
  <c r="V721" i="25"/>
  <c r="T722" i="25" a="1"/>
  <c r="T722" i="25"/>
  <c r="U722" i="25" a="1"/>
  <c r="U722" i="25"/>
  <c r="V722" i="25"/>
  <c r="T723" i="25" a="1"/>
  <c r="T723" i="25"/>
  <c r="U723" i="25" a="1"/>
  <c r="U723" i="25"/>
  <c r="V723" i="25"/>
  <c r="T724" i="25" a="1"/>
  <c r="T724" i="25"/>
  <c r="U724" i="25" a="1"/>
  <c r="U724" i="25"/>
  <c r="V724" i="25"/>
  <c r="T725" i="25" a="1"/>
  <c r="T725" i="25"/>
  <c r="U725" i="25" a="1"/>
  <c r="U725" i="25"/>
  <c r="V725" i="25"/>
  <c r="T726" i="25" a="1"/>
  <c r="T726" i="25"/>
  <c r="U726" i="25" a="1"/>
  <c r="U726" i="25"/>
  <c r="V726" i="25"/>
  <c r="T727" i="25" a="1"/>
  <c r="T727" i="25"/>
  <c r="U727" i="25" a="1"/>
  <c r="U727" i="25"/>
  <c r="V727" i="25"/>
  <c r="T728" i="25" a="1"/>
  <c r="T728" i="25"/>
  <c r="U728" i="25" a="1"/>
  <c r="U728" i="25"/>
  <c r="V728" i="25"/>
  <c r="T729" i="25" a="1"/>
  <c r="T729" i="25"/>
  <c r="U729" i="25" a="1"/>
  <c r="U729" i="25"/>
  <c r="V729" i="25"/>
  <c r="T730" i="25" a="1"/>
  <c r="T730" i="25"/>
  <c r="U730" i="25" a="1"/>
  <c r="U730" i="25"/>
  <c r="V730" i="25"/>
  <c r="T731" i="25" a="1"/>
  <c r="T731" i="25"/>
  <c r="U731" i="25" a="1"/>
  <c r="U731" i="25"/>
  <c r="V731" i="25"/>
  <c r="T732" i="25" a="1"/>
  <c r="T732" i="25"/>
  <c r="U732" i="25" a="1"/>
  <c r="U732" i="25"/>
  <c r="V732" i="25"/>
  <c r="T733" i="25" a="1"/>
  <c r="T733" i="25"/>
  <c r="U733" i="25" a="1"/>
  <c r="U733" i="25"/>
  <c r="V733" i="25"/>
  <c r="T734" i="25" a="1"/>
  <c r="T734" i="25"/>
  <c r="U734" i="25" a="1"/>
  <c r="U734" i="25"/>
  <c r="V734" i="25"/>
  <c r="T735" i="25" a="1"/>
  <c r="T735" i="25"/>
  <c r="U735" i="25" a="1"/>
  <c r="U735" i="25"/>
  <c r="V735" i="25"/>
  <c r="T736" i="25" a="1"/>
  <c r="T736" i="25"/>
  <c r="U736" i="25" a="1"/>
  <c r="U736" i="25"/>
  <c r="V736" i="25"/>
  <c r="T737" i="25" a="1"/>
  <c r="T737" i="25"/>
  <c r="U737" i="25" a="1"/>
  <c r="U737" i="25"/>
  <c r="V737" i="25"/>
  <c r="T738" i="25" a="1"/>
  <c r="T738" i="25"/>
  <c r="U738" i="25" a="1"/>
  <c r="U738" i="25"/>
  <c r="V738" i="25"/>
  <c r="T739" i="25" a="1"/>
  <c r="T739" i="25"/>
  <c r="U739" i="25" a="1"/>
  <c r="U739" i="25"/>
  <c r="V739" i="25"/>
  <c r="T740" i="25" a="1"/>
  <c r="T740" i="25"/>
  <c r="U740" i="25" a="1"/>
  <c r="U740" i="25"/>
  <c r="V740" i="25"/>
  <c r="T741" i="25" a="1"/>
  <c r="T741" i="25"/>
  <c r="U741" i="25" a="1"/>
  <c r="U741" i="25"/>
  <c r="V741" i="25"/>
  <c r="T742" i="25" a="1"/>
  <c r="T742" i="25"/>
  <c r="U742" i="25" a="1"/>
  <c r="U742" i="25"/>
  <c r="V742" i="25"/>
  <c r="T743" i="25" a="1"/>
  <c r="T743" i="25"/>
  <c r="U743" i="25" a="1"/>
  <c r="U743" i="25"/>
  <c r="V743" i="25"/>
  <c r="T744" i="25" a="1"/>
  <c r="T744" i="25"/>
  <c r="U744" i="25" a="1"/>
  <c r="U744" i="25"/>
  <c r="V744" i="25"/>
  <c r="T745" i="25" a="1"/>
  <c r="T745" i="25"/>
  <c r="U745" i="25" a="1"/>
  <c r="U745" i="25"/>
  <c r="V745" i="25"/>
  <c r="T746" i="25" a="1"/>
  <c r="T746" i="25"/>
  <c r="U746" i="25" a="1"/>
  <c r="U746" i="25"/>
  <c r="V746" i="25"/>
  <c r="T747" i="25" a="1"/>
  <c r="T747" i="25"/>
  <c r="U747" i="25" a="1"/>
  <c r="U747" i="25"/>
  <c r="V747" i="25"/>
  <c r="T748" i="25" a="1"/>
  <c r="T748" i="25"/>
  <c r="U748" i="25" a="1"/>
  <c r="U748" i="25"/>
  <c r="V748" i="25"/>
  <c r="T749" i="25" a="1"/>
  <c r="T749" i="25"/>
  <c r="U749" i="25" a="1"/>
  <c r="U749" i="25"/>
  <c r="V749" i="25"/>
  <c r="T750" i="25" a="1"/>
  <c r="T750" i="25"/>
  <c r="U750" i="25" a="1"/>
  <c r="U750" i="25"/>
  <c r="V750" i="25"/>
  <c r="T751" i="25" a="1"/>
  <c r="T751" i="25"/>
  <c r="U751" i="25" a="1"/>
  <c r="U751" i="25"/>
  <c r="V751" i="25"/>
  <c r="T752" i="25" a="1"/>
  <c r="T752" i="25"/>
  <c r="U752" i="25" a="1"/>
  <c r="U752" i="25"/>
  <c r="V752" i="25"/>
  <c r="T753" i="25" a="1"/>
  <c r="T753" i="25"/>
  <c r="U753" i="25" a="1"/>
  <c r="U753" i="25"/>
  <c r="V753" i="25"/>
  <c r="T754" i="25" a="1"/>
  <c r="T754" i="25"/>
  <c r="U754" i="25" a="1"/>
  <c r="U754" i="25"/>
  <c r="V754" i="25"/>
  <c r="T755" i="25" a="1"/>
  <c r="T755" i="25"/>
  <c r="U755" i="25" a="1"/>
  <c r="U755" i="25"/>
  <c r="V755" i="25"/>
  <c r="T756" i="25" a="1"/>
  <c r="T756" i="25"/>
  <c r="U756" i="25" a="1"/>
  <c r="U756" i="25"/>
  <c r="V756" i="25"/>
  <c r="T757" i="25" a="1"/>
  <c r="T757" i="25"/>
  <c r="U757" i="25" a="1"/>
  <c r="U757" i="25"/>
  <c r="V757" i="25"/>
  <c r="T758" i="25" a="1"/>
  <c r="T758" i="25"/>
  <c r="U758" i="25" a="1"/>
  <c r="U758" i="25"/>
  <c r="V758" i="25"/>
  <c r="T759" i="25" a="1"/>
  <c r="T759" i="25"/>
  <c r="U759" i="25" a="1"/>
  <c r="U759" i="25"/>
  <c r="V759" i="25"/>
  <c r="T760" i="25" a="1"/>
  <c r="T760" i="25"/>
  <c r="U760" i="25" a="1"/>
  <c r="U760" i="25"/>
  <c r="V760" i="25"/>
  <c r="T761" i="25" a="1"/>
  <c r="T761" i="25"/>
  <c r="U761" i="25" a="1"/>
  <c r="U761" i="25"/>
  <c r="V761" i="25"/>
  <c r="T762" i="25" a="1"/>
  <c r="T762" i="25"/>
  <c r="U762" i="25" a="1"/>
  <c r="U762" i="25"/>
  <c r="V762" i="25"/>
  <c r="T763" i="25" a="1"/>
  <c r="T763" i="25"/>
  <c r="U763" i="25" a="1"/>
  <c r="U763" i="25"/>
  <c r="V763" i="25"/>
  <c r="T764" i="25" a="1"/>
  <c r="T764" i="25"/>
  <c r="U764" i="25" a="1"/>
  <c r="U764" i="25"/>
  <c r="V764" i="25"/>
  <c r="T765" i="25" a="1"/>
  <c r="T765" i="25"/>
  <c r="U765" i="25" a="1"/>
  <c r="U765" i="25"/>
  <c r="V765" i="25"/>
  <c r="T766" i="25" a="1"/>
  <c r="T766" i="25"/>
  <c r="U766" i="25" a="1"/>
  <c r="U766" i="25"/>
  <c r="V766" i="25"/>
  <c r="T767" i="25" a="1"/>
  <c r="T767" i="25"/>
  <c r="U767" i="25" a="1"/>
  <c r="U767" i="25"/>
  <c r="V767" i="25"/>
  <c r="T768" i="25" a="1"/>
  <c r="T768" i="25"/>
  <c r="U768" i="25" a="1"/>
  <c r="U768" i="25"/>
  <c r="V768" i="25"/>
  <c r="T769" i="25" a="1"/>
  <c r="T769" i="25"/>
  <c r="U769" i="25" a="1"/>
  <c r="U769" i="25"/>
  <c r="V769" i="25"/>
  <c r="T770" i="25" a="1"/>
  <c r="T770" i="25"/>
  <c r="U770" i="25" a="1"/>
  <c r="U770" i="25"/>
  <c r="V770" i="25"/>
  <c r="T771" i="25" a="1"/>
  <c r="T771" i="25"/>
  <c r="U771" i="25" a="1"/>
  <c r="U771" i="25"/>
  <c r="V771" i="25"/>
  <c r="T772" i="25" a="1"/>
  <c r="T772" i="25"/>
  <c r="U772" i="25" a="1"/>
  <c r="U772" i="25"/>
  <c r="V772" i="25"/>
  <c r="T773" i="25" a="1"/>
  <c r="T773" i="25"/>
  <c r="U773" i="25" a="1"/>
  <c r="U773" i="25"/>
  <c r="V773" i="25"/>
  <c r="T774" i="25" a="1"/>
  <c r="T774" i="25"/>
  <c r="U774" i="25" a="1"/>
  <c r="U774" i="25"/>
  <c r="V774" i="25"/>
  <c r="T775" i="25" a="1"/>
  <c r="T775" i="25"/>
  <c r="U775" i="25" a="1"/>
  <c r="U775" i="25"/>
  <c r="V775" i="25"/>
  <c r="T776" i="25" a="1"/>
  <c r="T776" i="25"/>
  <c r="U776" i="25" a="1"/>
  <c r="U776" i="25"/>
  <c r="V776" i="25"/>
  <c r="T777" i="25" a="1"/>
  <c r="T777" i="25"/>
  <c r="U777" i="25" a="1"/>
  <c r="U777" i="25"/>
  <c r="V777" i="25"/>
  <c r="T778" i="25" a="1"/>
  <c r="T778" i="25"/>
  <c r="U778" i="25" a="1"/>
  <c r="U778" i="25"/>
  <c r="V778" i="25"/>
  <c r="T779" i="25" a="1"/>
  <c r="T779" i="25"/>
  <c r="U779" i="25" a="1"/>
  <c r="U779" i="25"/>
  <c r="V779" i="25"/>
  <c r="T780" i="25" a="1"/>
  <c r="T780" i="25"/>
  <c r="U780" i="25" a="1"/>
  <c r="U780" i="25"/>
  <c r="V780" i="25"/>
  <c r="T781" i="25" a="1"/>
  <c r="T781" i="25"/>
  <c r="U781" i="25" a="1"/>
  <c r="U781" i="25"/>
  <c r="V781" i="25"/>
  <c r="T782" i="25" a="1"/>
  <c r="T782" i="25"/>
  <c r="U782" i="25" a="1"/>
  <c r="U782" i="25"/>
  <c r="V782" i="25"/>
  <c r="T783" i="25" a="1"/>
  <c r="T783" i="25"/>
  <c r="U783" i="25" a="1"/>
  <c r="U783" i="25"/>
  <c r="V783" i="25"/>
  <c r="T784" i="25" a="1"/>
  <c r="T784" i="25"/>
  <c r="U784" i="25" a="1"/>
  <c r="U784" i="25"/>
  <c r="V784" i="25"/>
  <c r="T785" i="25" a="1"/>
  <c r="T785" i="25"/>
  <c r="U785" i="25" a="1"/>
  <c r="U785" i="25"/>
  <c r="V785" i="25"/>
  <c r="T786" i="25" a="1"/>
  <c r="T786" i="25"/>
  <c r="U786" i="25" a="1"/>
  <c r="U786" i="25"/>
  <c r="V786" i="25"/>
  <c r="T787" i="25" a="1"/>
  <c r="T787" i="25"/>
  <c r="U787" i="25" a="1"/>
  <c r="U787" i="25"/>
  <c r="V787" i="25"/>
  <c r="T788" i="25" a="1"/>
  <c r="T788" i="25"/>
  <c r="U788" i="25" a="1"/>
  <c r="U788" i="25"/>
  <c r="V788" i="25"/>
  <c r="T789" i="25" a="1"/>
  <c r="T789" i="25"/>
  <c r="U789" i="25" a="1"/>
  <c r="U789" i="25"/>
  <c r="V789" i="25"/>
  <c r="T790" i="25" a="1"/>
  <c r="T790" i="25"/>
  <c r="U790" i="25" a="1"/>
  <c r="U790" i="25"/>
  <c r="V790" i="25"/>
  <c r="T791" i="25" a="1"/>
  <c r="T791" i="25"/>
  <c r="U791" i="25" a="1"/>
  <c r="U791" i="25"/>
  <c r="V791" i="25"/>
  <c r="T792" i="25" a="1"/>
  <c r="T792" i="25"/>
  <c r="U792" i="25" a="1"/>
  <c r="U792" i="25"/>
  <c r="V792" i="25"/>
  <c r="T793" i="25" a="1"/>
  <c r="T793" i="25"/>
  <c r="U793" i="25" a="1"/>
  <c r="U793" i="25"/>
  <c r="V793" i="25"/>
  <c r="T794" i="25" a="1"/>
  <c r="T794" i="25"/>
  <c r="U794" i="25" a="1"/>
  <c r="U794" i="25"/>
  <c r="V794" i="25"/>
  <c r="T795" i="25" a="1"/>
  <c r="T795" i="25"/>
  <c r="U795" i="25" a="1"/>
  <c r="U795" i="25"/>
  <c r="V795" i="25"/>
  <c r="T796" i="25" a="1"/>
  <c r="T796" i="25"/>
  <c r="U796" i="25" a="1"/>
  <c r="U796" i="25"/>
  <c r="V796" i="25"/>
  <c r="T797" i="25" a="1"/>
  <c r="T797" i="25"/>
  <c r="U797" i="25" a="1"/>
  <c r="U797" i="25"/>
  <c r="V797" i="25"/>
  <c r="T798" i="25" a="1"/>
  <c r="T798" i="25"/>
  <c r="U798" i="25" a="1"/>
  <c r="U798" i="25"/>
  <c r="V798" i="25"/>
  <c r="T799" i="25" a="1"/>
  <c r="T799" i="25"/>
  <c r="U799" i="25" a="1"/>
  <c r="U799" i="25"/>
  <c r="V799" i="25"/>
  <c r="T800" i="25" a="1"/>
  <c r="T800" i="25"/>
  <c r="U800" i="25" a="1"/>
  <c r="U800" i="25"/>
  <c r="V800" i="25"/>
  <c r="T801" i="25" a="1"/>
  <c r="T801" i="25"/>
  <c r="U801" i="25" a="1"/>
  <c r="U801" i="25"/>
  <c r="V801" i="25"/>
  <c r="T802" i="25" a="1"/>
  <c r="T802" i="25"/>
  <c r="U802" i="25" a="1"/>
  <c r="U802" i="25"/>
  <c r="V802" i="25"/>
  <c r="T803" i="25" a="1"/>
  <c r="T803" i="25"/>
  <c r="U803" i="25" a="1"/>
  <c r="U803" i="25"/>
  <c r="V803" i="25"/>
  <c r="T804" i="25" a="1"/>
  <c r="T804" i="25"/>
  <c r="U804" i="25" a="1"/>
  <c r="U804" i="25"/>
  <c r="V804" i="25"/>
  <c r="T805" i="25" a="1"/>
  <c r="T805" i="25"/>
  <c r="U805" i="25" a="1"/>
  <c r="U805" i="25"/>
  <c r="V805" i="25"/>
  <c r="T806" i="25" a="1"/>
  <c r="T806" i="25"/>
  <c r="U806" i="25" a="1"/>
  <c r="U806" i="25"/>
  <c r="V806" i="25"/>
  <c r="T807" i="25" a="1"/>
  <c r="T807" i="25"/>
  <c r="U807" i="25" a="1"/>
  <c r="U807" i="25"/>
  <c r="V807" i="25"/>
  <c r="T808" i="25" a="1"/>
  <c r="T808" i="25"/>
  <c r="U808" i="25" a="1"/>
  <c r="U808" i="25"/>
  <c r="V808" i="25"/>
  <c r="T809" i="25" a="1"/>
  <c r="T809" i="25"/>
  <c r="U809" i="25" a="1"/>
  <c r="U809" i="25"/>
  <c r="V809" i="25"/>
  <c r="T810" i="25" a="1"/>
  <c r="T810" i="25"/>
  <c r="U810" i="25" a="1"/>
  <c r="U810" i="25"/>
  <c r="V810" i="25"/>
  <c r="T811" i="25" a="1"/>
  <c r="T811" i="25"/>
  <c r="U811" i="25" a="1"/>
  <c r="U811" i="25"/>
  <c r="V811" i="25"/>
  <c r="T812" i="25" a="1"/>
  <c r="T812" i="25"/>
  <c r="U812" i="25" a="1"/>
  <c r="U812" i="25"/>
  <c r="V812" i="25"/>
  <c r="T813" i="25" a="1"/>
  <c r="T813" i="25"/>
  <c r="U813" i="25" a="1"/>
  <c r="U813" i="25"/>
  <c r="V813" i="25"/>
  <c r="T814" i="25" a="1"/>
  <c r="T814" i="25"/>
  <c r="U814" i="25" a="1"/>
  <c r="U814" i="25"/>
  <c r="V814" i="25"/>
  <c r="T815" i="25" a="1"/>
  <c r="T815" i="25"/>
  <c r="U815" i="25" a="1"/>
  <c r="U815" i="25"/>
  <c r="V815" i="25"/>
  <c r="T816" i="25" a="1"/>
  <c r="T816" i="25"/>
  <c r="U816" i="25" a="1"/>
  <c r="U816" i="25"/>
  <c r="V816" i="25"/>
  <c r="T817" i="25" a="1"/>
  <c r="T817" i="25"/>
  <c r="U817" i="25" a="1"/>
  <c r="U817" i="25"/>
  <c r="V817" i="25"/>
  <c r="T818" i="25" a="1"/>
  <c r="T818" i="25"/>
  <c r="U818" i="25" a="1"/>
  <c r="U818" i="25"/>
  <c r="V818" i="25"/>
  <c r="T819" i="25" a="1"/>
  <c r="T819" i="25"/>
  <c r="U819" i="25" a="1"/>
  <c r="U819" i="25"/>
  <c r="V819" i="25"/>
  <c r="T820" i="25" a="1"/>
  <c r="T820" i="25"/>
  <c r="U820" i="25" a="1"/>
  <c r="U820" i="25"/>
  <c r="V820" i="25"/>
  <c r="T821" i="25" a="1"/>
  <c r="T821" i="25"/>
  <c r="U821" i="25" a="1"/>
  <c r="U821" i="25"/>
  <c r="V821" i="25"/>
  <c r="T822" i="25" a="1"/>
  <c r="T822" i="25"/>
  <c r="U822" i="25" a="1"/>
  <c r="U822" i="25"/>
  <c r="V822" i="25"/>
  <c r="T823" i="25" a="1"/>
  <c r="T823" i="25"/>
  <c r="U823" i="25" a="1"/>
  <c r="U823" i="25"/>
  <c r="V823" i="25"/>
  <c r="T824" i="25" a="1"/>
  <c r="T824" i="25"/>
  <c r="U824" i="25" a="1"/>
  <c r="U824" i="25"/>
  <c r="V824" i="25"/>
  <c r="T825" i="25" a="1"/>
  <c r="T825" i="25"/>
  <c r="U825" i="25" a="1"/>
  <c r="U825" i="25"/>
  <c r="V825" i="25"/>
  <c r="T826" i="25" a="1"/>
  <c r="T826" i="25"/>
  <c r="U826" i="25" a="1"/>
  <c r="U826" i="25"/>
  <c r="V826" i="25"/>
  <c r="T827" i="25" a="1"/>
  <c r="T827" i="25"/>
  <c r="U827" i="25" a="1"/>
  <c r="U827" i="25"/>
  <c r="V827" i="25"/>
  <c r="T828" i="25" a="1"/>
  <c r="T828" i="25"/>
  <c r="U828" i="25" a="1"/>
  <c r="U828" i="25"/>
  <c r="V828" i="25"/>
  <c r="T829" i="25" a="1"/>
  <c r="T829" i="25"/>
  <c r="U829" i="25" a="1"/>
  <c r="U829" i="25"/>
  <c r="V829" i="25"/>
  <c r="T830" i="25" a="1"/>
  <c r="T830" i="25"/>
  <c r="U830" i="25" a="1"/>
  <c r="U830" i="25"/>
  <c r="V830" i="25"/>
  <c r="T831" i="25" a="1"/>
  <c r="T831" i="25"/>
  <c r="U831" i="25" a="1"/>
  <c r="U831" i="25"/>
  <c r="V831" i="25"/>
  <c r="T832" i="25" a="1"/>
  <c r="T832" i="25"/>
  <c r="U832" i="25" a="1"/>
  <c r="U832" i="25"/>
  <c r="V832" i="25"/>
  <c r="T833" i="25" a="1"/>
  <c r="T833" i="25"/>
  <c r="U833" i="25" a="1"/>
  <c r="U833" i="25"/>
  <c r="V833" i="25"/>
  <c r="T834" i="25" a="1"/>
  <c r="T834" i="25"/>
  <c r="U834" i="25" a="1"/>
  <c r="U834" i="25"/>
  <c r="V834" i="25"/>
  <c r="T835" i="25" a="1"/>
  <c r="T835" i="25"/>
  <c r="U835" i="25" a="1"/>
  <c r="U835" i="25"/>
  <c r="V835" i="25"/>
  <c r="T836" i="25" a="1"/>
  <c r="T836" i="25"/>
  <c r="U836" i="25" a="1"/>
  <c r="U836" i="25"/>
  <c r="V836" i="25"/>
  <c r="T837" i="25" a="1"/>
  <c r="T837" i="25"/>
  <c r="U837" i="25" a="1"/>
  <c r="U837" i="25"/>
  <c r="V837" i="25"/>
  <c r="T838" i="25" a="1"/>
  <c r="T838" i="25"/>
  <c r="U838" i="25" a="1"/>
  <c r="U838" i="25"/>
  <c r="V838" i="25"/>
  <c r="T839" i="25" a="1"/>
  <c r="T839" i="25"/>
  <c r="U839" i="25" a="1"/>
  <c r="U839" i="25"/>
  <c r="V839" i="25"/>
  <c r="T840" i="25" a="1"/>
  <c r="T840" i="25"/>
  <c r="U840" i="25" a="1"/>
  <c r="U840" i="25"/>
  <c r="V840" i="25"/>
  <c r="T841" i="25" a="1"/>
  <c r="T841" i="25"/>
  <c r="U841" i="25" a="1"/>
  <c r="U841" i="25"/>
  <c r="V841" i="25"/>
  <c r="T842" i="25" a="1"/>
  <c r="T842" i="25"/>
  <c r="U842" i="25" a="1"/>
  <c r="U842" i="25"/>
  <c r="V842" i="25"/>
  <c r="T843" i="25" a="1"/>
  <c r="T843" i="25"/>
  <c r="U843" i="25" a="1"/>
  <c r="U843" i="25"/>
  <c r="V843" i="25"/>
  <c r="T844" i="25" a="1"/>
  <c r="T844" i="25"/>
  <c r="U844" i="25" a="1"/>
  <c r="U844" i="25"/>
  <c r="V844" i="25"/>
  <c r="T845" i="25" a="1"/>
  <c r="T845" i="25"/>
  <c r="U845" i="25" a="1"/>
  <c r="U845" i="25"/>
  <c r="V845" i="25"/>
  <c r="T846" i="25" a="1"/>
  <c r="T846" i="25"/>
  <c r="U846" i="25" a="1"/>
  <c r="U846" i="25"/>
  <c r="V846" i="25"/>
  <c r="T847" i="25" a="1"/>
  <c r="T847" i="25"/>
  <c r="U847" i="25" a="1"/>
  <c r="U847" i="25"/>
  <c r="V847" i="25"/>
  <c r="T848" i="25" a="1"/>
  <c r="T848" i="25"/>
  <c r="U848" i="25" a="1"/>
  <c r="U848" i="25"/>
  <c r="V848" i="25"/>
  <c r="T849" i="25" a="1"/>
  <c r="T849" i="25"/>
  <c r="U849" i="25" a="1"/>
  <c r="U849" i="25"/>
  <c r="V849" i="25"/>
  <c r="T850" i="25" a="1"/>
  <c r="T850" i="25"/>
  <c r="U850" i="25" a="1"/>
  <c r="U850" i="25"/>
  <c r="V850" i="25"/>
  <c r="T851" i="25" a="1"/>
  <c r="T851" i="25"/>
  <c r="U851" i="25" a="1"/>
  <c r="U851" i="25"/>
  <c r="V851" i="25"/>
  <c r="T852" i="25" a="1"/>
  <c r="T852" i="25"/>
  <c r="U852" i="25" a="1"/>
  <c r="U852" i="25"/>
  <c r="V852" i="25"/>
  <c r="T853" i="25" a="1"/>
  <c r="T853" i="25"/>
  <c r="U853" i="25" a="1"/>
  <c r="U853" i="25"/>
  <c r="V853" i="25"/>
  <c r="T854" i="25" a="1"/>
  <c r="T854" i="25"/>
  <c r="U854" i="25" a="1"/>
  <c r="U854" i="25"/>
  <c r="V854" i="25"/>
  <c r="T855" i="25" a="1"/>
  <c r="T855" i="25"/>
  <c r="U855" i="25" a="1"/>
  <c r="U855" i="25"/>
  <c r="V855" i="25"/>
  <c r="T856" i="25" a="1"/>
  <c r="T856" i="25"/>
  <c r="U856" i="25" a="1"/>
  <c r="U856" i="25"/>
  <c r="V856" i="25"/>
  <c r="T857" i="25" a="1"/>
  <c r="T857" i="25"/>
  <c r="U857" i="25" a="1"/>
  <c r="U857" i="25"/>
  <c r="V857" i="25"/>
  <c r="T858" i="25" a="1"/>
  <c r="T858" i="25"/>
  <c r="U858" i="25" a="1"/>
  <c r="U858" i="25"/>
  <c r="V858" i="25"/>
  <c r="T859" i="25" a="1"/>
  <c r="T859" i="25"/>
  <c r="U859" i="25" a="1"/>
  <c r="U859" i="25"/>
  <c r="V859" i="25"/>
  <c r="T860" i="25" a="1"/>
  <c r="T860" i="25"/>
  <c r="U860" i="25" a="1"/>
  <c r="U860" i="25"/>
  <c r="V860" i="25"/>
  <c r="T861" i="25" a="1"/>
  <c r="T861" i="25"/>
  <c r="U861" i="25" a="1"/>
  <c r="U861" i="25"/>
  <c r="V861" i="25"/>
  <c r="T862" i="25" a="1"/>
  <c r="T862" i="25"/>
  <c r="U862" i="25" a="1"/>
  <c r="U862" i="25"/>
  <c r="V862" i="25"/>
  <c r="T863" i="25" a="1"/>
  <c r="T863" i="25"/>
  <c r="U863" i="25" a="1"/>
  <c r="U863" i="25"/>
  <c r="V863" i="25"/>
  <c r="T864" i="25" a="1"/>
  <c r="T864" i="25"/>
  <c r="U864" i="25" a="1"/>
  <c r="U864" i="25"/>
  <c r="V864" i="25"/>
  <c r="T865" i="25" a="1"/>
  <c r="T865" i="25"/>
  <c r="U865" i="25" a="1"/>
  <c r="U865" i="25"/>
  <c r="V865" i="25"/>
  <c r="T866" i="25" a="1"/>
  <c r="T866" i="25"/>
  <c r="U866" i="25" a="1"/>
  <c r="U866" i="25"/>
  <c r="V866" i="25"/>
  <c r="T867" i="25" a="1"/>
  <c r="T867" i="25"/>
  <c r="U867" i="25" a="1"/>
  <c r="U867" i="25"/>
  <c r="V867" i="25"/>
  <c r="T868" i="25" a="1"/>
  <c r="T868" i="25"/>
  <c r="U868" i="25" a="1"/>
  <c r="U868" i="25"/>
  <c r="V868" i="25"/>
  <c r="T869" i="25" a="1"/>
  <c r="T869" i="25"/>
  <c r="U869" i="25" a="1"/>
  <c r="U869" i="25"/>
  <c r="V869" i="25"/>
  <c r="T870" i="25" a="1"/>
  <c r="T870" i="25"/>
  <c r="U870" i="25" a="1"/>
  <c r="U870" i="25"/>
  <c r="V870" i="25"/>
  <c r="T871" i="25" a="1"/>
  <c r="T871" i="25"/>
  <c r="U871" i="25" a="1"/>
  <c r="U871" i="25"/>
  <c r="V871" i="25"/>
  <c r="T872" i="25" a="1"/>
  <c r="T872" i="25"/>
  <c r="U872" i="25" a="1"/>
  <c r="U872" i="25"/>
  <c r="V872" i="25"/>
  <c r="T873" i="25" a="1"/>
  <c r="T873" i="25"/>
  <c r="U873" i="25" a="1"/>
  <c r="U873" i="25"/>
  <c r="V873" i="25"/>
  <c r="T874" i="25" a="1"/>
  <c r="T874" i="25"/>
  <c r="U874" i="25" a="1"/>
  <c r="U874" i="25"/>
  <c r="V874" i="25"/>
  <c r="T875" i="25" a="1"/>
  <c r="T875" i="25"/>
  <c r="U875" i="25" a="1"/>
  <c r="U875" i="25"/>
  <c r="V875" i="25"/>
  <c r="T876" i="25" a="1"/>
  <c r="T876" i="25"/>
  <c r="U876" i="25" a="1"/>
  <c r="U876" i="25"/>
  <c r="V876" i="25"/>
  <c r="T877" i="25" a="1"/>
  <c r="T877" i="25"/>
  <c r="U877" i="25" a="1"/>
  <c r="U877" i="25"/>
  <c r="V877" i="25"/>
  <c r="T878" i="25" a="1"/>
  <c r="T878" i="25"/>
  <c r="U878" i="25" a="1"/>
  <c r="U878" i="25"/>
  <c r="V878" i="25"/>
  <c r="T879" i="25" a="1"/>
  <c r="T879" i="25"/>
  <c r="U879" i="25" a="1"/>
  <c r="U879" i="25"/>
  <c r="V879" i="25"/>
  <c r="T880" i="25" a="1"/>
  <c r="T880" i="25"/>
  <c r="U880" i="25" a="1"/>
  <c r="U880" i="25"/>
  <c r="V880" i="25"/>
  <c r="T881" i="25" a="1"/>
  <c r="T881" i="25"/>
  <c r="U881" i="25" a="1"/>
  <c r="U881" i="25"/>
  <c r="V881" i="25"/>
  <c r="T882" i="25" a="1"/>
  <c r="T882" i="25"/>
  <c r="U882" i="25" a="1"/>
  <c r="U882" i="25"/>
  <c r="V882" i="25"/>
  <c r="T883" i="25" a="1"/>
  <c r="T883" i="25"/>
  <c r="U883" i="25" a="1"/>
  <c r="U883" i="25"/>
  <c r="V883" i="25"/>
  <c r="T884" i="25" a="1"/>
  <c r="T884" i="25"/>
  <c r="U884" i="25" a="1"/>
  <c r="U884" i="25"/>
  <c r="V884" i="25"/>
  <c r="T885" i="25" a="1"/>
  <c r="T885" i="25"/>
  <c r="U885" i="25" a="1"/>
  <c r="U885" i="25"/>
  <c r="V885" i="25"/>
  <c r="T886" i="25" a="1"/>
  <c r="T886" i="25"/>
  <c r="U886" i="25" a="1"/>
  <c r="U886" i="25"/>
  <c r="V886" i="25"/>
  <c r="T887" i="25" a="1"/>
  <c r="T887" i="25"/>
  <c r="U887" i="25" a="1"/>
  <c r="U887" i="25"/>
  <c r="V887" i="25"/>
  <c r="T888" i="25" a="1"/>
  <c r="T888" i="25"/>
  <c r="U888" i="25" a="1"/>
  <c r="U888" i="25"/>
  <c r="V888" i="25"/>
  <c r="T889" i="25" a="1"/>
  <c r="T889" i="25"/>
  <c r="U889" i="25" a="1"/>
  <c r="U889" i="25"/>
  <c r="V889" i="25"/>
  <c r="T890" i="25" a="1"/>
  <c r="T890" i="25"/>
  <c r="U890" i="25" a="1"/>
  <c r="U890" i="25"/>
  <c r="V890" i="25"/>
  <c r="T891" i="25" a="1"/>
  <c r="T891" i="25"/>
  <c r="U891" i="25" a="1"/>
  <c r="U891" i="25"/>
  <c r="V891" i="25"/>
  <c r="T892" i="25" a="1"/>
  <c r="T892" i="25"/>
  <c r="U892" i="25" a="1"/>
  <c r="U892" i="25"/>
  <c r="V892" i="25"/>
  <c r="T893" i="25" a="1"/>
  <c r="T893" i="25"/>
  <c r="U893" i="25" a="1"/>
  <c r="U893" i="25"/>
  <c r="V893" i="25"/>
  <c r="T894" i="25" a="1"/>
  <c r="T894" i="25"/>
  <c r="U894" i="25" a="1"/>
  <c r="U894" i="25"/>
  <c r="V894" i="25"/>
  <c r="T895" i="25" a="1"/>
  <c r="T895" i="25"/>
  <c r="U895" i="25" a="1"/>
  <c r="U895" i="25"/>
  <c r="V895" i="25"/>
  <c r="T896" i="25" a="1"/>
  <c r="T896" i="25"/>
  <c r="U896" i="25" a="1"/>
  <c r="U896" i="25"/>
  <c r="V896" i="25"/>
  <c r="T897" i="25" a="1"/>
  <c r="T897" i="25"/>
  <c r="U897" i="25" a="1"/>
  <c r="U897" i="25"/>
  <c r="V897" i="25"/>
  <c r="T898" i="25" a="1"/>
  <c r="T898" i="25"/>
  <c r="U898" i="25" a="1"/>
  <c r="U898" i="25"/>
  <c r="V898" i="25"/>
  <c r="T899" i="25" a="1"/>
  <c r="T899" i="25"/>
  <c r="U899" i="25" a="1"/>
  <c r="U899" i="25"/>
  <c r="V899" i="25"/>
  <c r="T900" i="25" a="1"/>
  <c r="T900" i="25"/>
  <c r="U900" i="25" a="1"/>
  <c r="U900" i="25"/>
  <c r="V900" i="25"/>
  <c r="T901" i="25" a="1"/>
  <c r="T901" i="25"/>
  <c r="U901" i="25" a="1"/>
  <c r="U901" i="25"/>
  <c r="V901" i="25"/>
  <c r="T902" i="25" a="1"/>
  <c r="T902" i="25"/>
  <c r="U902" i="25" a="1"/>
  <c r="U902" i="25"/>
  <c r="V902" i="25"/>
  <c r="T903" i="25" a="1"/>
  <c r="T903" i="25"/>
  <c r="U903" i="25" a="1"/>
  <c r="U903" i="25"/>
  <c r="V903" i="25"/>
  <c r="T904" i="25" a="1"/>
  <c r="T904" i="25"/>
  <c r="U904" i="25" a="1"/>
  <c r="U904" i="25"/>
  <c r="V904" i="25"/>
  <c r="T905" i="25" a="1"/>
  <c r="T905" i="25"/>
  <c r="U905" i="25" a="1"/>
  <c r="U905" i="25"/>
  <c r="V905" i="25"/>
  <c r="T906" i="25" a="1"/>
  <c r="T906" i="25"/>
  <c r="U906" i="25" a="1"/>
  <c r="U906" i="25"/>
  <c r="V906" i="25"/>
  <c r="T907" i="25" a="1"/>
  <c r="T907" i="25"/>
  <c r="U907" i="25" a="1"/>
  <c r="U907" i="25"/>
  <c r="V907" i="25"/>
  <c r="T908" i="25" a="1"/>
  <c r="T908" i="25"/>
  <c r="U908" i="25" a="1"/>
  <c r="U908" i="25"/>
  <c r="V908" i="25"/>
  <c r="T909" i="25" a="1"/>
  <c r="T909" i="25"/>
  <c r="U909" i="25" a="1"/>
  <c r="U909" i="25"/>
  <c r="V909" i="25"/>
  <c r="T910" i="25" a="1"/>
  <c r="T910" i="25"/>
  <c r="U910" i="25" a="1"/>
  <c r="U910" i="25"/>
  <c r="V910" i="25"/>
  <c r="T911" i="25" a="1"/>
  <c r="T911" i="25"/>
  <c r="U911" i="25" a="1"/>
  <c r="U911" i="25"/>
  <c r="V911" i="25"/>
  <c r="T912" i="25" a="1"/>
  <c r="T912" i="25"/>
  <c r="U912" i="25" a="1"/>
  <c r="U912" i="25"/>
  <c r="V912" i="25"/>
  <c r="T913" i="25" a="1"/>
  <c r="T913" i="25"/>
  <c r="U913" i="25" a="1"/>
  <c r="U913" i="25"/>
  <c r="V913" i="25"/>
  <c r="T914" i="25" a="1"/>
  <c r="T914" i="25"/>
  <c r="U914" i="25" a="1"/>
  <c r="U914" i="25"/>
  <c r="V914" i="25"/>
  <c r="T915" i="25" a="1"/>
  <c r="T915" i="25"/>
  <c r="U915" i="25" a="1"/>
  <c r="U915" i="25"/>
  <c r="V915" i="25"/>
  <c r="T916" i="25" a="1"/>
  <c r="T916" i="25"/>
  <c r="U916" i="25" a="1"/>
  <c r="U916" i="25"/>
  <c r="V916" i="25"/>
  <c r="T917" i="25" a="1"/>
  <c r="T917" i="25"/>
  <c r="U917" i="25" a="1"/>
  <c r="U917" i="25"/>
  <c r="V917" i="25"/>
  <c r="T918" i="25" a="1"/>
  <c r="T918" i="25"/>
  <c r="U918" i="25" a="1"/>
  <c r="U918" i="25"/>
  <c r="V918" i="25"/>
  <c r="T919" i="25" a="1"/>
  <c r="T919" i="25"/>
  <c r="U919" i="25" a="1"/>
  <c r="U919" i="25"/>
  <c r="V919" i="25"/>
  <c r="T920" i="25" a="1"/>
  <c r="T920" i="25"/>
  <c r="U920" i="25" a="1"/>
  <c r="U920" i="25"/>
  <c r="V920" i="25"/>
  <c r="T921" i="25" a="1"/>
  <c r="T921" i="25"/>
  <c r="U921" i="25" a="1"/>
  <c r="U921" i="25"/>
  <c r="V921" i="25"/>
  <c r="T922" i="25" a="1"/>
  <c r="T922" i="25"/>
  <c r="U922" i="25" a="1"/>
  <c r="U922" i="25"/>
  <c r="V922" i="25"/>
  <c r="T923" i="25" a="1"/>
  <c r="T923" i="25"/>
  <c r="U923" i="25" a="1"/>
  <c r="U923" i="25"/>
  <c r="V923" i="25"/>
  <c r="T924" i="25" a="1"/>
  <c r="T924" i="25"/>
  <c r="U924" i="25" a="1"/>
  <c r="U924" i="25"/>
  <c r="V924" i="25"/>
  <c r="T925" i="25" a="1"/>
  <c r="T925" i="25"/>
  <c r="U925" i="25" a="1"/>
  <c r="U925" i="25"/>
  <c r="V925" i="25"/>
  <c r="T926" i="25" a="1"/>
  <c r="T926" i="25"/>
  <c r="U926" i="25" a="1"/>
  <c r="U926" i="25"/>
  <c r="V926" i="25"/>
  <c r="T927" i="25" a="1"/>
  <c r="T927" i="25"/>
  <c r="U927" i="25" a="1"/>
  <c r="U927" i="25"/>
  <c r="V927" i="25"/>
  <c r="T928" i="25" a="1"/>
  <c r="T928" i="25"/>
  <c r="U928" i="25" a="1"/>
  <c r="U928" i="25"/>
  <c r="V928" i="25"/>
  <c r="T929" i="25" a="1"/>
  <c r="T929" i="25"/>
  <c r="U929" i="25" a="1"/>
  <c r="U929" i="25"/>
  <c r="V929" i="25"/>
  <c r="T930" i="25" a="1"/>
  <c r="T930" i="25"/>
  <c r="U930" i="25" a="1"/>
  <c r="U930" i="25"/>
  <c r="V930" i="25"/>
  <c r="T931" i="25" a="1"/>
  <c r="T931" i="25"/>
  <c r="U931" i="25" a="1"/>
  <c r="U931" i="25"/>
  <c r="V931" i="25"/>
  <c r="T932" i="25" a="1"/>
  <c r="T932" i="25"/>
  <c r="U932" i="25" a="1"/>
  <c r="U932" i="25"/>
  <c r="V932" i="25"/>
  <c r="T933" i="25" a="1"/>
  <c r="T933" i="25"/>
  <c r="U933" i="25" a="1"/>
  <c r="U933" i="25"/>
  <c r="V933" i="25"/>
  <c r="T934" i="25" a="1"/>
  <c r="T934" i="25"/>
  <c r="U934" i="25" a="1"/>
  <c r="U934" i="25"/>
  <c r="V934" i="25"/>
  <c r="T935" i="25" a="1"/>
  <c r="T935" i="25"/>
  <c r="U935" i="25" a="1"/>
  <c r="U935" i="25"/>
  <c r="V935" i="25"/>
  <c r="T936" i="25" a="1"/>
  <c r="T936" i="25"/>
  <c r="U936" i="25" a="1"/>
  <c r="U936" i="25"/>
  <c r="V936" i="25"/>
  <c r="T937" i="25" a="1"/>
  <c r="T937" i="25"/>
  <c r="U937" i="25" a="1"/>
  <c r="U937" i="25"/>
  <c r="V937" i="25"/>
  <c r="T938" i="25" a="1"/>
  <c r="T938" i="25"/>
  <c r="U938" i="25" a="1"/>
  <c r="U938" i="25"/>
  <c r="V938" i="25"/>
  <c r="T939" i="25" a="1"/>
  <c r="T939" i="25"/>
  <c r="U939" i="25" a="1"/>
  <c r="U939" i="25"/>
  <c r="V939" i="25"/>
  <c r="T940" i="25" a="1"/>
  <c r="T940" i="25"/>
  <c r="U940" i="25" a="1"/>
  <c r="U940" i="25"/>
  <c r="V940" i="25"/>
  <c r="T941" i="25" a="1"/>
  <c r="T941" i="25"/>
  <c r="U941" i="25" a="1"/>
  <c r="U941" i="25"/>
  <c r="V941" i="25"/>
  <c r="T942" i="25" a="1"/>
  <c r="T942" i="25"/>
  <c r="U942" i="25" a="1"/>
  <c r="U942" i="25"/>
  <c r="V942" i="25"/>
  <c r="T943" i="25" a="1"/>
  <c r="T943" i="25"/>
  <c r="U943" i="25" a="1"/>
  <c r="U943" i="25"/>
  <c r="V943" i="25"/>
  <c r="T944" i="25" a="1"/>
  <c r="T944" i="25"/>
  <c r="U944" i="25" a="1"/>
  <c r="U944" i="25"/>
  <c r="V944" i="25"/>
  <c r="T945" i="25" a="1"/>
  <c r="T945" i="25"/>
  <c r="U945" i="25" a="1"/>
  <c r="U945" i="25"/>
  <c r="V945" i="25"/>
  <c r="T946" i="25" a="1"/>
  <c r="T946" i="25"/>
  <c r="U946" i="25" a="1"/>
  <c r="U946" i="25"/>
  <c r="V946" i="25"/>
  <c r="T947" i="25" a="1"/>
  <c r="T947" i="25"/>
  <c r="U947" i="25" a="1"/>
  <c r="U947" i="25"/>
  <c r="V947" i="25"/>
  <c r="T948" i="25" a="1"/>
  <c r="T948" i="25"/>
  <c r="U948" i="25" a="1"/>
  <c r="U948" i="25"/>
  <c r="V948" i="25"/>
  <c r="T949" i="25" a="1"/>
  <c r="T949" i="25"/>
  <c r="U949" i="25" a="1"/>
  <c r="U949" i="25"/>
  <c r="V949" i="25"/>
  <c r="T950" i="25" a="1"/>
  <c r="T950" i="25"/>
  <c r="U950" i="25" a="1"/>
  <c r="U950" i="25"/>
  <c r="V950" i="25"/>
  <c r="T951" i="25" a="1"/>
  <c r="T951" i="25"/>
  <c r="U951" i="25" a="1"/>
  <c r="U951" i="25"/>
  <c r="V951" i="25"/>
  <c r="T952" i="25" a="1"/>
  <c r="T952" i="25"/>
  <c r="U952" i="25" a="1"/>
  <c r="U952" i="25"/>
  <c r="V952" i="25"/>
  <c r="T953" i="25" a="1"/>
  <c r="T953" i="25"/>
  <c r="U953" i="25" a="1"/>
  <c r="U953" i="25"/>
  <c r="V953" i="25"/>
  <c r="T954" i="25" a="1"/>
  <c r="T954" i="25"/>
  <c r="U954" i="25" a="1"/>
  <c r="U954" i="25"/>
  <c r="V954" i="25"/>
  <c r="T955" i="25" a="1"/>
  <c r="T955" i="25"/>
  <c r="U955" i="25" a="1"/>
  <c r="U955" i="25"/>
  <c r="V955" i="25"/>
  <c r="T956" i="25" a="1"/>
  <c r="T956" i="25"/>
  <c r="U956" i="25" a="1"/>
  <c r="U956" i="25"/>
  <c r="V956" i="25"/>
  <c r="T957" i="25" a="1"/>
  <c r="T957" i="25"/>
  <c r="U957" i="25" a="1"/>
  <c r="U957" i="25"/>
  <c r="V957" i="25"/>
  <c r="T958" i="25" a="1"/>
  <c r="T958" i="25"/>
  <c r="U958" i="25" a="1"/>
  <c r="U958" i="25"/>
  <c r="V958" i="25"/>
  <c r="T959" i="25" a="1"/>
  <c r="T959" i="25"/>
  <c r="U959" i="25" a="1"/>
  <c r="U959" i="25"/>
  <c r="V959" i="25"/>
  <c r="T960" i="25" a="1"/>
  <c r="T960" i="25"/>
  <c r="U960" i="25" a="1"/>
  <c r="U960" i="25"/>
  <c r="V960" i="25"/>
  <c r="T961" i="25" a="1"/>
  <c r="T961" i="25"/>
  <c r="U961" i="25" a="1"/>
  <c r="U961" i="25"/>
  <c r="V961" i="25"/>
  <c r="T962" i="25" a="1"/>
  <c r="T962" i="25"/>
  <c r="U962" i="25" a="1"/>
  <c r="U962" i="25"/>
  <c r="V962" i="25"/>
  <c r="T963" i="25" a="1"/>
  <c r="T963" i="25"/>
  <c r="U963" i="25" a="1"/>
  <c r="U963" i="25"/>
  <c r="V963" i="25"/>
  <c r="T964" i="25" a="1"/>
  <c r="T964" i="25"/>
  <c r="U964" i="25" a="1"/>
  <c r="U964" i="25"/>
  <c r="V964" i="25"/>
  <c r="T965" i="25" a="1"/>
  <c r="T965" i="25"/>
  <c r="U965" i="25" a="1"/>
  <c r="U965" i="25"/>
  <c r="V965" i="25"/>
  <c r="T966" i="25" a="1"/>
  <c r="T966" i="25"/>
  <c r="U966" i="25" a="1"/>
  <c r="U966" i="25"/>
  <c r="V966" i="25"/>
  <c r="T967" i="25" a="1"/>
  <c r="T967" i="25"/>
  <c r="U967" i="25" a="1"/>
  <c r="U967" i="25"/>
  <c r="V967" i="25"/>
  <c r="T968" i="25" a="1"/>
  <c r="T968" i="25"/>
  <c r="U968" i="25" a="1"/>
  <c r="U968" i="25"/>
  <c r="V968" i="25"/>
  <c r="T969" i="25" a="1"/>
  <c r="T969" i="25"/>
  <c r="U969" i="25" a="1"/>
  <c r="U969" i="25"/>
  <c r="V969" i="25"/>
  <c r="T970" i="25" a="1"/>
  <c r="T970" i="25"/>
  <c r="U970" i="25" a="1"/>
  <c r="U970" i="25"/>
  <c r="V970" i="25"/>
  <c r="T971" i="25" a="1"/>
  <c r="T971" i="25"/>
  <c r="U971" i="25" a="1"/>
  <c r="U971" i="25"/>
  <c r="V971" i="25"/>
  <c r="T972" i="25" a="1"/>
  <c r="T972" i="25"/>
  <c r="U972" i="25" a="1"/>
  <c r="U972" i="25"/>
  <c r="V972" i="25"/>
  <c r="T973" i="25" a="1"/>
  <c r="T973" i="25"/>
  <c r="U973" i="25" a="1"/>
  <c r="U973" i="25"/>
  <c r="V973" i="25"/>
  <c r="T974" i="25" a="1"/>
  <c r="T974" i="25"/>
  <c r="U974" i="25" a="1"/>
  <c r="U974" i="25"/>
  <c r="V974" i="25"/>
  <c r="T975" i="25" a="1"/>
  <c r="T975" i="25"/>
  <c r="U975" i="25" a="1"/>
  <c r="U975" i="25"/>
  <c r="V975" i="25"/>
  <c r="T976" i="25" a="1"/>
  <c r="T976" i="25"/>
  <c r="U976" i="25" a="1"/>
  <c r="U976" i="25"/>
  <c r="V976" i="25"/>
  <c r="T977" i="25" a="1"/>
  <c r="T977" i="25"/>
  <c r="U977" i="25" a="1"/>
  <c r="U977" i="25"/>
  <c r="V977" i="25"/>
  <c r="T978" i="25" a="1"/>
  <c r="T978" i="25"/>
  <c r="U978" i="25" a="1"/>
  <c r="U978" i="25"/>
  <c r="V978" i="25"/>
  <c r="T979" i="25" a="1"/>
  <c r="T979" i="25"/>
  <c r="U979" i="25" a="1"/>
  <c r="U979" i="25"/>
  <c r="V979" i="25"/>
  <c r="T980" i="25" a="1"/>
  <c r="T980" i="25"/>
  <c r="U980" i="25" a="1"/>
  <c r="U980" i="25"/>
  <c r="V980" i="25"/>
  <c r="T981" i="25" a="1"/>
  <c r="T981" i="25"/>
  <c r="U981" i="25" a="1"/>
  <c r="U981" i="25"/>
  <c r="V981" i="25"/>
  <c r="T982" i="25" a="1"/>
  <c r="T982" i="25"/>
  <c r="U982" i="25" a="1"/>
  <c r="U982" i="25"/>
  <c r="V982" i="25"/>
  <c r="T983" i="25" a="1"/>
  <c r="T983" i="25"/>
  <c r="U983" i="25" a="1"/>
  <c r="U983" i="25"/>
  <c r="V983" i="25"/>
  <c r="T984" i="25" a="1"/>
  <c r="T984" i="25"/>
  <c r="U984" i="25" a="1"/>
  <c r="U984" i="25"/>
  <c r="V984" i="25"/>
  <c r="T985" i="25" a="1"/>
  <c r="T985" i="25"/>
  <c r="U985" i="25" a="1"/>
  <c r="U985" i="25"/>
  <c r="V985" i="25"/>
  <c r="T986" i="25" a="1"/>
  <c r="T986" i="25"/>
  <c r="U986" i="25" a="1"/>
  <c r="U986" i="25"/>
  <c r="V986" i="25"/>
  <c r="T987" i="25" a="1"/>
  <c r="T987" i="25"/>
  <c r="U987" i="25" a="1"/>
  <c r="U987" i="25"/>
  <c r="V987" i="25"/>
  <c r="T988" i="25" a="1"/>
  <c r="T988" i="25"/>
  <c r="U988" i="25" a="1"/>
  <c r="U988" i="25"/>
  <c r="V988" i="25"/>
  <c r="T989" i="25" a="1"/>
  <c r="T989" i="25"/>
  <c r="U989" i="25" a="1"/>
  <c r="U989" i="25"/>
  <c r="V989" i="25"/>
  <c r="T990" i="25" a="1"/>
  <c r="T990" i="25"/>
  <c r="U990" i="25" a="1"/>
  <c r="U990" i="25"/>
  <c r="V990" i="25"/>
  <c r="T991" i="25" a="1"/>
  <c r="T991" i="25"/>
  <c r="U991" i="25" a="1"/>
  <c r="U991" i="25"/>
  <c r="V991" i="25"/>
  <c r="T992" i="25" a="1"/>
  <c r="T992" i="25"/>
  <c r="U992" i="25" a="1"/>
  <c r="U992" i="25"/>
  <c r="V992" i="25"/>
  <c r="T993" i="25" a="1"/>
  <c r="T993" i="25"/>
  <c r="U993" i="25" a="1"/>
  <c r="U993" i="25"/>
  <c r="V993" i="25"/>
  <c r="T994" i="25" a="1"/>
  <c r="T994" i="25"/>
  <c r="U994" i="25" a="1"/>
  <c r="U994" i="25"/>
  <c r="V994" i="25"/>
  <c r="T995" i="25" a="1"/>
  <c r="T995" i="25"/>
  <c r="U995" i="25" a="1"/>
  <c r="U995" i="25"/>
  <c r="V995" i="25"/>
  <c r="T996" i="25" a="1"/>
  <c r="T996" i="25"/>
  <c r="U996" i="25" a="1"/>
  <c r="U996" i="25"/>
  <c r="V996" i="25"/>
  <c r="T997" i="25" a="1"/>
  <c r="T997" i="25"/>
  <c r="U997" i="25" a="1"/>
  <c r="U997" i="25"/>
  <c r="V997" i="25"/>
  <c r="T998" i="25" a="1"/>
  <c r="T998" i="25"/>
  <c r="U998" i="25" a="1"/>
  <c r="U998" i="25"/>
  <c r="V998" i="25"/>
  <c r="T999" i="25" a="1"/>
  <c r="T999" i="25"/>
  <c r="U999" i="25" a="1"/>
  <c r="U999" i="25"/>
  <c r="V999" i="25"/>
  <c r="T1000" i="25" a="1"/>
  <c r="T1000" i="25"/>
  <c r="U1000" i="25" a="1"/>
  <c r="U1000" i="25"/>
  <c r="V1000" i="25"/>
  <c r="T1001" i="25" a="1"/>
  <c r="T1001" i="25"/>
  <c r="U1001" i="25" a="1"/>
  <c r="U1001" i="25"/>
  <c r="V1001" i="25"/>
  <c r="T1002" i="25" a="1"/>
  <c r="T1002" i="25"/>
  <c r="U1002" i="25" a="1"/>
  <c r="U1002" i="25"/>
  <c r="V1002" i="25"/>
  <c r="T1003" i="25" a="1"/>
  <c r="T1003" i="25"/>
  <c r="U1003" i="25" a="1"/>
  <c r="U1003" i="25"/>
  <c r="V1003" i="25"/>
  <c r="T1004" i="25" a="1"/>
  <c r="T1004" i="25"/>
  <c r="U1004" i="25" a="1"/>
  <c r="U1004" i="25"/>
  <c r="V1004" i="25"/>
  <c r="T1005" i="25" a="1"/>
  <c r="T1005" i="25"/>
  <c r="U1005" i="25" a="1"/>
  <c r="U1005" i="25"/>
  <c r="V1005" i="25"/>
  <c r="T1006" i="25" a="1"/>
  <c r="T1006" i="25"/>
  <c r="U1006" i="25" a="1"/>
  <c r="U1006" i="25"/>
  <c r="V1006" i="25"/>
  <c r="T1007" i="25" a="1"/>
  <c r="T1007" i="25"/>
  <c r="U1007" i="25" a="1"/>
  <c r="U1007" i="25"/>
  <c r="V1007" i="25"/>
  <c r="T1008" i="25" a="1"/>
  <c r="T1008" i="25"/>
  <c r="U1008" i="25" a="1"/>
  <c r="U1008" i="25"/>
  <c r="V1008" i="25"/>
  <c r="T1009" i="25" a="1"/>
  <c r="T1009" i="25"/>
  <c r="U1009" i="25" a="1"/>
  <c r="U1009" i="25"/>
  <c r="V1009" i="25"/>
  <c r="T1010" i="25" a="1"/>
  <c r="T1010" i="25"/>
  <c r="U1010" i="25" a="1"/>
  <c r="U1010" i="25"/>
  <c r="V1010" i="25"/>
  <c r="T1011" i="25" a="1"/>
  <c r="T1011" i="25"/>
  <c r="U1011" i="25" a="1"/>
  <c r="U1011" i="25"/>
  <c r="V1011" i="25"/>
  <c r="T1012" i="25" a="1"/>
  <c r="T1012" i="25"/>
  <c r="U1012" i="25" a="1"/>
  <c r="U1012" i="25"/>
  <c r="V1012" i="25"/>
  <c r="T1013" i="25" a="1"/>
  <c r="T1013" i="25"/>
  <c r="U1013" i="25" a="1"/>
  <c r="U1013" i="25"/>
  <c r="V1013" i="25"/>
  <c r="T1014" i="25" a="1"/>
  <c r="T1014" i="25"/>
  <c r="U1014" i="25" a="1"/>
  <c r="U1014" i="25"/>
  <c r="V1014" i="25"/>
  <c r="T1015" i="25" a="1"/>
  <c r="T1015" i="25"/>
  <c r="U1015" i="25" a="1"/>
  <c r="U1015" i="25"/>
  <c r="V1015" i="25"/>
  <c r="T1016" i="25" a="1"/>
  <c r="T1016" i="25"/>
  <c r="U1016" i="25" a="1"/>
  <c r="U1016" i="25"/>
  <c r="V1016" i="25"/>
  <c r="T1017" i="25" a="1"/>
  <c r="T1017" i="25"/>
  <c r="U1017" i="25" a="1"/>
  <c r="U1017" i="25"/>
  <c r="V1017" i="25"/>
  <c r="T1018" i="25" a="1"/>
  <c r="T1018" i="25"/>
  <c r="U1018" i="25" a="1"/>
  <c r="U1018" i="25"/>
  <c r="V1018" i="25"/>
  <c r="T1019" i="25" a="1"/>
  <c r="T1019" i="25"/>
  <c r="U1019" i="25" a="1"/>
  <c r="U1019" i="25"/>
  <c r="V1019" i="25"/>
  <c r="T1020" i="25" a="1"/>
  <c r="T1020" i="25"/>
  <c r="U1020" i="25" a="1"/>
  <c r="U1020" i="25"/>
  <c r="V1020" i="25"/>
  <c r="T1021" i="25" a="1"/>
  <c r="T1021" i="25"/>
  <c r="U1021" i="25" a="1"/>
  <c r="U1021" i="25"/>
  <c r="V1021" i="25"/>
  <c r="T1022" i="25" a="1"/>
  <c r="T1022" i="25"/>
  <c r="U1022" i="25" a="1"/>
  <c r="U1022" i="25"/>
  <c r="V1022" i="25"/>
  <c r="T1023" i="25" a="1"/>
  <c r="T1023" i="25"/>
  <c r="U1023" i="25" a="1"/>
  <c r="U1023" i="25"/>
  <c r="V1023" i="25"/>
  <c r="T1024" i="25" a="1"/>
  <c r="T1024" i="25"/>
  <c r="U1024" i="25" a="1"/>
  <c r="U1024" i="25"/>
  <c r="V1024" i="25"/>
  <c r="T1025" i="25" a="1"/>
  <c r="T1025" i="25"/>
  <c r="U1025" i="25" a="1"/>
  <c r="U1025" i="25"/>
  <c r="V1025" i="25"/>
  <c r="T1026" i="25" a="1"/>
  <c r="T1026" i="25"/>
  <c r="U1026" i="25" a="1"/>
  <c r="U1026" i="25"/>
  <c r="V1026" i="25"/>
  <c r="T1027" i="25" a="1"/>
  <c r="T1027" i="25"/>
  <c r="U1027" i="25" a="1"/>
  <c r="U1027" i="25"/>
  <c r="V1027" i="25"/>
  <c r="T1028" i="25" a="1"/>
  <c r="T1028" i="25"/>
  <c r="U1028" i="25" a="1"/>
  <c r="U1028" i="25"/>
  <c r="V1028" i="25"/>
  <c r="T1029" i="25" a="1"/>
  <c r="T1029" i="25"/>
  <c r="U1029" i="25" a="1"/>
  <c r="U1029" i="25"/>
  <c r="V1029" i="25"/>
  <c r="T1030" i="25" a="1"/>
  <c r="T1030" i="25"/>
  <c r="U1030" i="25" a="1"/>
  <c r="U1030" i="25"/>
  <c r="V1030" i="25"/>
  <c r="T1031" i="25" a="1"/>
  <c r="T1031" i="25"/>
  <c r="U1031" i="25" a="1"/>
  <c r="U1031" i="25"/>
  <c r="V1031" i="25"/>
  <c r="T1032" i="25" a="1"/>
  <c r="T1032" i="25"/>
  <c r="U1032" i="25" a="1"/>
  <c r="U1032" i="25"/>
  <c r="V1032" i="25"/>
  <c r="T1033" i="25" a="1"/>
  <c r="T1033" i="25"/>
  <c r="U1033" i="25" a="1"/>
  <c r="U1033" i="25"/>
  <c r="V1033" i="25"/>
  <c r="T1034" i="25" a="1"/>
  <c r="T1034" i="25"/>
  <c r="U1034" i="25" a="1"/>
  <c r="U1034" i="25"/>
  <c r="V1034" i="25"/>
  <c r="T1035" i="25" a="1"/>
  <c r="T1035" i="25"/>
  <c r="U1035" i="25" a="1"/>
  <c r="U1035" i="25"/>
  <c r="V1035" i="25"/>
  <c r="T1036" i="25" a="1"/>
  <c r="T1036" i="25"/>
  <c r="U1036" i="25" a="1"/>
  <c r="U1036" i="25"/>
  <c r="V1036" i="25"/>
  <c r="T1037" i="25" a="1"/>
  <c r="T1037" i="25"/>
  <c r="U1037" i="25" a="1"/>
  <c r="U1037" i="25"/>
  <c r="V1037" i="25"/>
  <c r="T1038" i="25" a="1"/>
  <c r="T1038" i="25"/>
  <c r="U1038" i="25" a="1"/>
  <c r="U1038" i="25"/>
  <c r="V1038" i="25"/>
  <c r="T1039" i="25" a="1"/>
  <c r="T1039" i="25"/>
  <c r="U1039" i="25" a="1"/>
  <c r="U1039" i="25"/>
  <c r="V1039" i="25"/>
  <c r="T1040" i="25" a="1"/>
  <c r="T1040" i="25"/>
  <c r="U1040" i="25" a="1"/>
  <c r="U1040" i="25"/>
  <c r="V1040" i="25"/>
  <c r="T1041" i="25" a="1"/>
  <c r="T1041" i="25"/>
  <c r="U1041" i="25" a="1"/>
  <c r="U1041" i="25"/>
  <c r="V1041" i="25"/>
  <c r="T1042" i="25" a="1"/>
  <c r="T1042" i="25"/>
  <c r="U1042" i="25" a="1"/>
  <c r="U1042" i="25"/>
  <c r="V1042" i="25"/>
  <c r="T1043" i="25" a="1"/>
  <c r="T1043" i="25"/>
  <c r="U1043" i="25" a="1"/>
  <c r="U1043" i="25"/>
  <c r="V1043" i="25"/>
  <c r="T1044" i="25" a="1"/>
  <c r="T1044" i="25"/>
  <c r="U1044" i="25" a="1"/>
  <c r="U1044" i="25"/>
  <c r="V1044" i="25"/>
  <c r="T1045" i="25" a="1"/>
  <c r="T1045" i="25"/>
  <c r="U1045" i="25" a="1"/>
  <c r="U1045" i="25"/>
  <c r="V1045" i="25"/>
  <c r="T1046" i="25" a="1"/>
  <c r="T1046" i="25"/>
  <c r="U1046" i="25" a="1"/>
  <c r="U1046" i="25"/>
  <c r="V1046" i="25"/>
  <c r="T1047" i="25" a="1"/>
  <c r="T1047" i="25"/>
  <c r="U1047" i="25" a="1"/>
  <c r="U1047" i="25"/>
  <c r="V1047" i="25"/>
  <c r="T1048" i="25" a="1"/>
  <c r="T1048" i="25"/>
  <c r="U1048" i="25" a="1"/>
  <c r="U1048" i="25"/>
  <c r="V1048" i="25"/>
  <c r="T1049" i="25" a="1"/>
  <c r="T1049" i="25"/>
  <c r="U1049" i="25" a="1"/>
  <c r="U1049" i="25"/>
  <c r="V1049" i="25"/>
  <c r="T1050" i="25" a="1"/>
  <c r="T1050" i="25"/>
  <c r="U1050" i="25" a="1"/>
  <c r="U1050" i="25"/>
  <c r="V1050" i="25"/>
  <c r="T1051" i="25" a="1"/>
  <c r="T1051" i="25"/>
  <c r="U1051" i="25" a="1"/>
  <c r="U1051" i="25"/>
  <c r="V1051" i="25"/>
  <c r="T1052" i="25" a="1"/>
  <c r="T1052" i="25"/>
  <c r="U1052" i="25" a="1"/>
  <c r="U1052" i="25"/>
  <c r="V1052" i="25"/>
  <c r="T1053" i="25" a="1"/>
  <c r="T1053" i="25"/>
  <c r="U1053" i="25" a="1"/>
  <c r="U1053" i="25"/>
  <c r="V1053" i="25"/>
  <c r="T1054" i="25" a="1"/>
  <c r="T1054" i="25"/>
  <c r="U1054" i="25" a="1"/>
  <c r="U1054" i="25"/>
  <c r="V1054" i="25"/>
  <c r="T1055" i="25" a="1"/>
  <c r="T1055" i="25"/>
  <c r="U1055" i="25" a="1"/>
  <c r="U1055" i="25"/>
  <c r="V1055" i="25"/>
  <c r="T1056" i="25" a="1"/>
  <c r="T1056" i="25"/>
  <c r="U1056" i="25" a="1"/>
  <c r="U1056" i="25"/>
  <c r="V1056" i="25"/>
  <c r="T1057" i="25" a="1"/>
  <c r="T1057" i="25"/>
  <c r="U1057" i="25" a="1"/>
  <c r="U1057" i="25"/>
  <c r="V1057" i="25"/>
  <c r="T1058" i="25" a="1"/>
  <c r="T1058" i="25"/>
  <c r="U1058" i="25" a="1"/>
  <c r="U1058" i="25"/>
  <c r="V1058" i="25"/>
  <c r="T1059" i="25" a="1"/>
  <c r="T1059" i="25"/>
  <c r="U1059" i="25" a="1"/>
  <c r="U1059" i="25"/>
  <c r="V1059" i="25"/>
  <c r="T1060" i="25" a="1"/>
  <c r="T1060" i="25"/>
  <c r="U1060" i="25" a="1"/>
  <c r="U1060" i="25"/>
  <c r="V1060" i="25"/>
  <c r="T1061" i="25" a="1"/>
  <c r="T1061" i="25"/>
  <c r="U1061" i="25" a="1"/>
  <c r="U1061" i="25"/>
  <c r="V1061" i="25"/>
  <c r="T1062" i="25" a="1"/>
  <c r="T1062" i="25"/>
  <c r="U1062" i="25" a="1"/>
  <c r="U1062" i="25"/>
  <c r="V1062" i="25"/>
  <c r="T1063" i="25" a="1"/>
  <c r="T1063" i="25"/>
  <c r="U1063" i="25" a="1"/>
  <c r="U1063" i="25"/>
  <c r="V1063" i="25"/>
  <c r="T1064" i="25" a="1"/>
  <c r="T1064" i="25"/>
  <c r="U1064" i="25" a="1"/>
  <c r="U1064" i="25"/>
  <c r="V1064" i="25"/>
  <c r="T1065" i="25" a="1"/>
  <c r="T1065" i="25"/>
  <c r="U1065" i="25" a="1"/>
  <c r="U1065" i="25"/>
  <c r="V1065" i="25"/>
  <c r="T1066" i="25" a="1"/>
  <c r="T1066" i="25"/>
  <c r="U1066" i="25" a="1"/>
  <c r="U1066" i="25"/>
  <c r="V1066" i="25"/>
  <c r="T1067" i="25" a="1"/>
  <c r="T1067" i="25"/>
  <c r="U1067" i="25" a="1"/>
  <c r="U1067" i="25"/>
  <c r="V1067" i="25"/>
  <c r="T1068" i="25" a="1"/>
  <c r="T1068" i="25"/>
  <c r="U1068" i="25" a="1"/>
  <c r="U1068" i="25"/>
  <c r="V1068" i="25"/>
  <c r="T1069" i="25" a="1"/>
  <c r="T1069" i="25"/>
  <c r="U1069" i="25" a="1"/>
  <c r="U1069" i="25"/>
  <c r="V1069" i="25"/>
  <c r="T1070" i="25" a="1"/>
  <c r="T1070" i="25"/>
  <c r="U1070" i="25" a="1"/>
  <c r="U1070" i="25"/>
  <c r="V1070" i="25"/>
  <c r="T1071" i="25" a="1"/>
  <c r="T1071" i="25"/>
  <c r="U1071" i="25" a="1"/>
  <c r="U1071" i="25"/>
  <c r="V1071" i="25"/>
  <c r="T1072" i="25" a="1"/>
  <c r="T1072" i="25"/>
  <c r="U1072" i="25" a="1"/>
  <c r="U1072" i="25"/>
  <c r="V1072" i="25"/>
  <c r="T1073" i="25" a="1"/>
  <c r="T1073" i="25"/>
  <c r="U1073" i="25" a="1"/>
  <c r="U1073" i="25"/>
  <c r="V1073" i="25"/>
  <c r="T1074" i="25" a="1"/>
  <c r="T1074" i="25"/>
  <c r="U1074" i="25" a="1"/>
  <c r="U1074" i="25"/>
  <c r="V1074" i="25"/>
  <c r="T1075" i="25" a="1"/>
  <c r="T1075" i="25"/>
  <c r="U1075" i="25" a="1"/>
  <c r="U1075" i="25"/>
  <c r="V1075" i="25"/>
  <c r="T1076" i="25" a="1"/>
  <c r="T1076" i="25"/>
  <c r="U1076" i="25" a="1"/>
  <c r="U1076" i="25"/>
  <c r="V1076" i="25"/>
  <c r="T1077" i="25" a="1"/>
  <c r="T1077" i="25"/>
  <c r="U1077" i="25" a="1"/>
  <c r="U1077" i="25"/>
  <c r="V1077" i="25"/>
  <c r="T1078" i="25" a="1"/>
  <c r="T1078" i="25"/>
  <c r="U1078" i="25" a="1"/>
  <c r="U1078" i="25"/>
  <c r="V1078" i="25"/>
  <c r="T1079" i="25" a="1"/>
  <c r="T1079" i="25"/>
  <c r="U1079" i="25" a="1"/>
  <c r="U1079" i="25"/>
  <c r="V1079" i="25"/>
  <c r="T1080" i="25" a="1"/>
  <c r="T1080" i="25"/>
  <c r="U1080" i="25" a="1"/>
  <c r="U1080" i="25"/>
  <c r="V1080" i="25"/>
  <c r="T1081" i="25" a="1"/>
  <c r="T1081" i="25"/>
  <c r="U1081" i="25" a="1"/>
  <c r="U1081" i="25"/>
  <c r="V1081" i="25"/>
  <c r="T1082" i="25" a="1"/>
  <c r="T1082" i="25"/>
  <c r="U1082" i="25" a="1"/>
  <c r="U1082" i="25"/>
  <c r="V1082" i="25"/>
  <c r="T1083" i="25" a="1"/>
  <c r="T1083" i="25"/>
  <c r="U1083" i="25" a="1"/>
  <c r="U1083" i="25"/>
  <c r="V1083" i="25"/>
  <c r="T1084" i="25" a="1"/>
  <c r="T1084" i="25"/>
  <c r="U1084" i="25" a="1"/>
  <c r="U1084" i="25"/>
  <c r="V1084" i="25"/>
  <c r="T1085" i="25" a="1"/>
  <c r="T1085" i="25"/>
  <c r="U1085" i="25" a="1"/>
  <c r="U1085" i="25"/>
  <c r="V1085" i="25"/>
  <c r="T1086" i="25" a="1"/>
  <c r="T1086" i="25"/>
  <c r="U1086" i="25" a="1"/>
  <c r="U1086" i="25"/>
  <c r="V1086" i="25"/>
  <c r="T1087" i="25" a="1"/>
  <c r="T1087" i="25"/>
  <c r="U1087" i="25" a="1"/>
  <c r="U1087" i="25"/>
  <c r="V1087" i="25"/>
  <c r="T1088" i="25" a="1"/>
  <c r="T1088" i="25"/>
  <c r="U1088" i="25" a="1"/>
  <c r="U1088" i="25"/>
  <c r="V1088" i="25"/>
  <c r="T1089" i="25" a="1"/>
  <c r="T1089" i="25"/>
  <c r="U1089" i="25" a="1"/>
  <c r="U1089" i="25"/>
  <c r="V1089" i="25"/>
  <c r="T1090" i="25" a="1"/>
  <c r="T1090" i="25"/>
  <c r="U1090" i="25" a="1"/>
  <c r="U1090" i="25"/>
  <c r="V1090" i="25"/>
  <c r="T1091" i="25" a="1"/>
  <c r="T1091" i="25"/>
  <c r="U1091" i="25" a="1"/>
  <c r="U1091" i="25"/>
  <c r="V1091" i="25"/>
  <c r="T1092" i="25" a="1"/>
  <c r="T1092" i="25"/>
  <c r="U1092" i="25" a="1"/>
  <c r="U1092" i="25"/>
  <c r="V1092" i="25"/>
  <c r="T1093" i="25" a="1"/>
  <c r="T1093" i="25"/>
  <c r="U1093" i="25" a="1"/>
  <c r="U1093" i="25"/>
  <c r="V1093" i="25"/>
  <c r="T1094" i="25" a="1"/>
  <c r="T1094" i="25"/>
  <c r="U1094" i="25" a="1"/>
  <c r="U1094" i="25"/>
  <c r="V1094" i="25"/>
  <c r="T1095" i="25" a="1"/>
  <c r="T1095" i="25"/>
  <c r="U1095" i="25" a="1"/>
  <c r="U1095" i="25"/>
  <c r="V1095" i="25"/>
  <c r="T1096" i="25" a="1"/>
  <c r="T1096" i="25"/>
  <c r="U1096" i="25" a="1"/>
  <c r="U1096" i="25"/>
  <c r="V1096" i="25"/>
  <c r="T1097" i="25" a="1"/>
  <c r="T1097" i="25"/>
  <c r="U1097" i="25" a="1"/>
  <c r="U1097" i="25"/>
  <c r="V1097" i="25"/>
  <c r="T1098" i="25" a="1"/>
  <c r="T1098" i="25"/>
  <c r="U1098" i="25" a="1"/>
  <c r="U1098" i="25"/>
  <c r="V1098" i="25"/>
  <c r="T1099" i="25" a="1"/>
  <c r="T1099" i="25"/>
  <c r="U1099" i="25" a="1"/>
  <c r="U1099" i="25"/>
  <c r="V1099" i="25"/>
  <c r="T1100" i="25" a="1"/>
  <c r="T1100" i="25"/>
  <c r="U1100" i="25" a="1"/>
  <c r="U1100" i="25"/>
  <c r="V1100" i="25"/>
  <c r="T1101" i="25" a="1"/>
  <c r="T1101" i="25"/>
  <c r="U1101" i="25" a="1"/>
  <c r="U1101" i="25"/>
  <c r="V1101" i="25"/>
  <c r="T1102" i="25" a="1"/>
  <c r="T1102" i="25"/>
  <c r="U1102" i="25" a="1"/>
  <c r="U1102" i="25"/>
  <c r="V1102" i="25"/>
  <c r="T1103" i="25" a="1"/>
  <c r="T1103" i="25"/>
  <c r="U1103" i="25" a="1"/>
  <c r="U1103" i="25"/>
  <c r="V1103" i="25"/>
  <c r="T1104" i="25" a="1"/>
  <c r="T1104" i="25"/>
  <c r="U1104" i="25" a="1"/>
  <c r="U1104" i="25"/>
  <c r="V1104" i="25"/>
  <c r="T1105" i="25" a="1"/>
  <c r="T1105" i="25"/>
  <c r="U1105" i="25" a="1"/>
  <c r="U1105" i="25"/>
  <c r="V1105" i="25"/>
  <c r="T1106" i="25" a="1"/>
  <c r="T1106" i="25"/>
  <c r="U1106" i="25" a="1"/>
  <c r="U1106" i="25"/>
  <c r="V1106" i="25"/>
  <c r="T1107" i="25" a="1"/>
  <c r="T1107" i="25"/>
  <c r="U1107" i="25" a="1"/>
  <c r="U1107" i="25"/>
  <c r="V1107" i="25"/>
  <c r="T1108" i="25" a="1"/>
  <c r="T1108" i="25"/>
  <c r="U1108" i="25" a="1"/>
  <c r="U1108" i="25"/>
  <c r="V1108" i="25"/>
  <c r="T1109" i="25" a="1"/>
  <c r="T1109" i="25"/>
  <c r="U1109" i="25" a="1"/>
  <c r="U1109" i="25"/>
  <c r="V1109" i="25"/>
  <c r="T1110" i="25" a="1"/>
  <c r="T1110" i="25"/>
  <c r="U1110" i="25" a="1"/>
  <c r="U1110" i="25"/>
  <c r="V1110" i="25"/>
  <c r="T1111" i="25" a="1"/>
  <c r="T1111" i="25"/>
  <c r="U1111" i="25" a="1"/>
  <c r="U1111" i="25"/>
  <c r="V1111" i="25"/>
  <c r="T1112" i="25" a="1"/>
  <c r="T1112" i="25"/>
  <c r="U1112" i="25" a="1"/>
  <c r="U1112" i="25"/>
  <c r="V1112" i="25"/>
  <c r="T1113" i="25" a="1"/>
  <c r="T1113" i="25"/>
  <c r="U1113" i="25" a="1"/>
  <c r="U1113" i="25"/>
  <c r="V1113" i="25"/>
  <c r="T1114" i="25" a="1"/>
  <c r="T1114" i="25"/>
  <c r="U1114" i="25" a="1"/>
  <c r="U1114" i="25"/>
  <c r="V1114" i="25"/>
  <c r="T1115" i="25" a="1"/>
  <c r="T1115" i="25"/>
  <c r="U1115" i="25" a="1"/>
  <c r="U1115" i="25"/>
  <c r="V1115" i="25"/>
  <c r="T1116" i="25" a="1"/>
  <c r="T1116" i="25"/>
  <c r="U1116" i="25" a="1"/>
  <c r="U1116" i="25"/>
  <c r="V1116" i="25"/>
  <c r="T1117" i="25" a="1"/>
  <c r="T1117" i="25"/>
  <c r="U1117" i="25" a="1"/>
  <c r="U1117" i="25"/>
  <c r="V1117" i="25"/>
  <c r="T1118" i="25" a="1"/>
  <c r="T1118" i="25"/>
  <c r="U1118" i="25" a="1"/>
  <c r="U1118" i="25"/>
  <c r="V1118" i="25"/>
  <c r="T1119" i="25" a="1"/>
  <c r="T1119" i="25"/>
  <c r="U1119" i="25" a="1"/>
  <c r="U1119" i="25"/>
  <c r="V1119" i="25"/>
  <c r="T1120" i="25" a="1"/>
  <c r="T1120" i="25"/>
  <c r="U1120" i="25" a="1"/>
  <c r="U1120" i="25"/>
  <c r="V1120" i="25"/>
  <c r="T1121" i="25" a="1"/>
  <c r="T1121" i="25"/>
  <c r="U1121" i="25" a="1"/>
  <c r="U1121" i="25"/>
  <c r="V1121" i="25"/>
  <c r="T1122" i="25" a="1"/>
  <c r="T1122" i="25"/>
  <c r="U1122" i="25" a="1"/>
  <c r="U1122" i="25"/>
  <c r="V1122" i="25"/>
  <c r="T1123" i="25" a="1"/>
  <c r="T1123" i="25"/>
  <c r="U1123" i="25" a="1"/>
  <c r="U1123" i="25"/>
  <c r="V1123" i="25"/>
  <c r="T1124" i="25" a="1"/>
  <c r="T1124" i="25"/>
  <c r="U1124" i="25" a="1"/>
  <c r="U1124" i="25"/>
  <c r="V1124" i="25"/>
  <c r="T1125" i="25" a="1"/>
  <c r="T1125" i="25"/>
  <c r="U1125" i="25" a="1"/>
  <c r="U1125" i="25"/>
  <c r="V1125" i="25"/>
  <c r="T1126" i="25" a="1"/>
  <c r="T1126" i="25"/>
  <c r="U1126" i="25" a="1"/>
  <c r="U1126" i="25"/>
  <c r="V1126" i="25"/>
  <c r="T1127" i="25" a="1"/>
  <c r="T1127" i="25"/>
  <c r="U1127" i="25" a="1"/>
  <c r="U1127" i="25"/>
  <c r="V1127" i="25"/>
  <c r="T1128" i="25" a="1"/>
  <c r="T1128" i="25"/>
  <c r="U1128" i="25" a="1"/>
  <c r="U1128" i="25"/>
  <c r="V1128" i="25"/>
  <c r="T1129" i="25" a="1"/>
  <c r="T1129" i="25"/>
  <c r="U1129" i="25" a="1"/>
  <c r="U1129" i="25"/>
  <c r="V1129" i="25"/>
  <c r="T1130" i="25" a="1"/>
  <c r="T1130" i="25"/>
  <c r="U1130" i="25" a="1"/>
  <c r="U1130" i="25"/>
  <c r="V1130" i="25"/>
  <c r="T1131" i="25" a="1"/>
  <c r="T1131" i="25"/>
  <c r="U1131" i="25" a="1"/>
  <c r="U1131" i="25"/>
  <c r="V1131" i="25"/>
  <c r="T1132" i="25" a="1"/>
  <c r="T1132" i="25"/>
  <c r="U1132" i="25" a="1"/>
  <c r="U1132" i="25"/>
  <c r="V1132" i="25"/>
  <c r="T1133" i="25" a="1"/>
  <c r="T1133" i="25"/>
  <c r="U1133" i="25" a="1"/>
  <c r="U1133" i="25"/>
  <c r="V1133" i="25"/>
  <c r="T1134" i="25" a="1"/>
  <c r="T1134" i="25"/>
  <c r="U1134" i="25" a="1"/>
  <c r="U1134" i="25"/>
  <c r="V1134" i="25"/>
  <c r="T1135" i="25" a="1"/>
  <c r="T1135" i="25"/>
  <c r="U1135" i="25" a="1"/>
  <c r="U1135" i="25"/>
  <c r="V1135" i="25"/>
  <c r="T1136" i="25" a="1"/>
  <c r="T1136" i="25"/>
  <c r="U1136" i="25" a="1"/>
  <c r="U1136" i="25"/>
  <c r="V1136" i="25"/>
  <c r="T1137" i="25" a="1"/>
  <c r="T1137" i="25"/>
  <c r="U1137" i="25" a="1"/>
  <c r="U1137" i="25"/>
  <c r="V1137" i="25"/>
  <c r="T1138" i="25" a="1"/>
  <c r="T1138" i="25"/>
  <c r="U1138" i="25" a="1"/>
  <c r="U1138" i="25"/>
  <c r="V1138" i="25"/>
  <c r="T1139" i="25" a="1"/>
  <c r="T1139" i="25"/>
  <c r="U1139" i="25" a="1"/>
  <c r="U1139" i="25"/>
  <c r="V1139" i="25"/>
  <c r="T1140" i="25" a="1"/>
  <c r="T1140" i="25"/>
  <c r="U1140" i="25" a="1"/>
  <c r="U1140" i="25"/>
  <c r="V1140" i="25"/>
  <c r="T1141" i="25" a="1"/>
  <c r="T1141" i="25"/>
  <c r="U1141" i="25" a="1"/>
  <c r="U1141" i="25"/>
  <c r="V1141" i="25"/>
  <c r="T1142" i="25" a="1"/>
  <c r="T1142" i="25"/>
  <c r="U1142" i="25" a="1"/>
  <c r="U1142" i="25"/>
  <c r="V1142" i="25"/>
  <c r="T1143" i="25" a="1"/>
  <c r="T1143" i="25"/>
  <c r="U1143" i="25" a="1"/>
  <c r="U1143" i="25"/>
  <c r="V1143" i="25"/>
  <c r="T1144" i="25" a="1"/>
  <c r="T1144" i="25"/>
  <c r="U1144" i="25" a="1"/>
  <c r="U1144" i="25"/>
  <c r="V1144" i="25"/>
  <c r="T1145" i="25" a="1"/>
  <c r="T1145" i="25"/>
  <c r="U1145" i="25" a="1"/>
  <c r="U1145" i="25"/>
  <c r="V1145" i="25"/>
  <c r="T1146" i="25" a="1"/>
  <c r="T1146" i="25"/>
  <c r="U1146" i="25" a="1"/>
  <c r="U1146" i="25"/>
  <c r="V1146" i="25"/>
  <c r="T1147" i="25" a="1"/>
  <c r="T1147" i="25"/>
  <c r="U1147" i="25" a="1"/>
  <c r="U1147" i="25"/>
  <c r="V1147" i="25"/>
  <c r="T1148" i="25" a="1"/>
  <c r="T1148" i="25"/>
  <c r="U1148" i="25" a="1"/>
  <c r="U1148" i="25"/>
  <c r="V1148" i="25"/>
  <c r="T1149" i="25" a="1"/>
  <c r="T1149" i="25"/>
  <c r="U1149" i="25" a="1"/>
  <c r="U1149" i="25"/>
  <c r="V1149" i="25"/>
  <c r="T1150" i="25" a="1"/>
  <c r="T1150" i="25"/>
  <c r="U1150" i="25" a="1"/>
  <c r="U1150" i="25"/>
  <c r="V1150" i="25"/>
  <c r="T1151" i="25" a="1"/>
  <c r="T1151" i="25"/>
  <c r="U1151" i="25" a="1"/>
  <c r="U1151" i="25"/>
  <c r="V1151" i="25"/>
  <c r="T1152" i="25" a="1"/>
  <c r="T1152" i="25"/>
  <c r="U1152" i="25" a="1"/>
  <c r="U1152" i="25"/>
  <c r="V1152" i="25"/>
  <c r="T1153" i="25" a="1"/>
  <c r="T1153" i="25"/>
  <c r="U1153" i="25" a="1"/>
  <c r="U1153" i="25"/>
  <c r="V1153" i="25"/>
  <c r="T1154" i="25" a="1"/>
  <c r="T1154" i="25"/>
  <c r="U1154" i="25" a="1"/>
  <c r="U1154" i="25"/>
  <c r="V1154" i="25"/>
  <c r="T1155" i="25" a="1"/>
  <c r="T1155" i="25"/>
  <c r="U1155" i="25" a="1"/>
  <c r="U1155" i="25"/>
  <c r="V1155" i="25"/>
  <c r="T1156" i="25" a="1"/>
  <c r="T1156" i="25"/>
  <c r="U1156" i="25" a="1"/>
  <c r="U1156" i="25"/>
  <c r="V1156" i="25"/>
  <c r="T1157" i="25" a="1"/>
  <c r="T1157" i="25"/>
  <c r="U1157" i="25" a="1"/>
  <c r="U1157" i="25"/>
  <c r="V1157" i="25"/>
  <c r="T1158" i="25" a="1"/>
  <c r="T1158" i="25"/>
  <c r="U1158" i="25" a="1"/>
  <c r="U1158" i="25"/>
  <c r="V1158" i="25"/>
  <c r="T1159" i="25" a="1"/>
  <c r="T1159" i="25"/>
  <c r="U1159" i="25" a="1"/>
  <c r="U1159" i="25"/>
  <c r="V1159" i="25"/>
  <c r="T1160" i="25" a="1"/>
  <c r="T1160" i="25"/>
  <c r="U1160" i="25" a="1"/>
  <c r="U1160" i="25"/>
  <c r="V1160" i="25"/>
  <c r="T1161" i="25" a="1"/>
  <c r="T1161" i="25"/>
  <c r="U1161" i="25" a="1"/>
  <c r="U1161" i="25"/>
  <c r="V1161" i="25"/>
  <c r="T1162" i="25" a="1"/>
  <c r="T1162" i="25"/>
  <c r="U1162" i="25" a="1"/>
  <c r="U1162" i="25"/>
  <c r="V1162" i="25"/>
  <c r="T1163" i="25" a="1"/>
  <c r="T1163" i="25"/>
  <c r="U1163" i="25" a="1"/>
  <c r="U1163" i="25"/>
  <c r="V1163" i="25"/>
  <c r="T1164" i="25" a="1"/>
  <c r="T1164" i="25"/>
  <c r="U1164" i="25" a="1"/>
  <c r="U1164" i="25"/>
  <c r="V1164" i="25"/>
  <c r="T1165" i="25" a="1"/>
  <c r="T1165" i="25"/>
  <c r="U1165" i="25" a="1"/>
  <c r="U1165" i="25"/>
  <c r="V1165" i="25"/>
  <c r="T1166" i="25" a="1"/>
  <c r="T1166" i="25"/>
  <c r="U1166" i="25" a="1"/>
  <c r="U1166" i="25"/>
  <c r="V1166" i="25"/>
  <c r="T1167" i="25" a="1"/>
  <c r="T1167" i="25"/>
  <c r="U1167" i="25" a="1"/>
  <c r="U1167" i="25"/>
  <c r="V1167" i="25"/>
  <c r="T1168" i="25" a="1"/>
  <c r="T1168" i="25"/>
  <c r="U1168" i="25" a="1"/>
  <c r="U1168" i="25"/>
  <c r="V1168" i="25"/>
  <c r="T1169" i="25" a="1"/>
  <c r="T1169" i="25"/>
  <c r="U1169" i="25" a="1"/>
  <c r="U1169" i="25"/>
  <c r="V1169" i="25"/>
  <c r="T1170" i="25" a="1"/>
  <c r="T1170" i="25"/>
  <c r="U1170" i="25" a="1"/>
  <c r="U1170" i="25"/>
  <c r="V1170" i="25"/>
  <c r="T1171" i="25" a="1"/>
  <c r="T1171" i="25"/>
  <c r="U1171" i="25" a="1"/>
  <c r="U1171" i="25"/>
  <c r="V1171" i="25"/>
  <c r="T1172" i="25" a="1"/>
  <c r="T1172" i="25"/>
  <c r="U1172" i="25" a="1"/>
  <c r="U1172" i="25"/>
  <c r="V1172" i="25"/>
  <c r="T1173" i="25" a="1"/>
  <c r="T1173" i="25"/>
  <c r="U1173" i="25" a="1"/>
  <c r="U1173" i="25"/>
  <c r="V1173" i="25"/>
  <c r="T1174" i="25" a="1"/>
  <c r="T1174" i="25"/>
  <c r="U1174" i="25" a="1"/>
  <c r="U1174" i="25"/>
  <c r="V1174" i="25"/>
  <c r="T1175" i="25" a="1"/>
  <c r="T1175" i="25"/>
  <c r="U1175" i="25" a="1"/>
  <c r="U1175" i="25"/>
  <c r="V1175" i="25"/>
  <c r="T1176" i="25" a="1"/>
  <c r="T1176" i="25"/>
  <c r="U1176" i="25" a="1"/>
  <c r="U1176" i="25"/>
  <c r="V1176" i="25"/>
  <c r="T1177" i="25" a="1"/>
  <c r="T1177" i="25"/>
  <c r="U1177" i="25" a="1"/>
  <c r="U1177" i="25"/>
  <c r="V1177" i="25"/>
  <c r="T1178" i="25" a="1"/>
  <c r="T1178" i="25"/>
  <c r="U1178" i="25" a="1"/>
  <c r="U1178" i="25"/>
  <c r="V1178" i="25"/>
  <c r="T1179" i="25" a="1"/>
  <c r="T1179" i="25"/>
  <c r="U1179" i="25" a="1"/>
  <c r="U1179" i="25"/>
  <c r="V1179" i="25"/>
  <c r="T1180" i="25" a="1"/>
  <c r="T1180" i="25"/>
  <c r="U1180" i="25" a="1"/>
  <c r="U1180" i="25"/>
  <c r="V1180" i="25"/>
  <c r="T1181" i="25" a="1"/>
  <c r="T1181" i="25"/>
  <c r="U1181" i="25" a="1"/>
  <c r="U1181" i="25"/>
  <c r="V1181" i="25"/>
  <c r="T1182" i="25" a="1"/>
  <c r="T1182" i="25"/>
  <c r="U1182" i="25" a="1"/>
  <c r="U1182" i="25"/>
  <c r="V1182" i="25"/>
  <c r="T1183" i="25" a="1"/>
  <c r="T1183" i="25"/>
  <c r="U1183" i="25" a="1"/>
  <c r="U1183" i="25"/>
  <c r="V1183" i="25"/>
  <c r="T1184" i="25" a="1"/>
  <c r="T1184" i="25"/>
  <c r="U1184" i="25" a="1"/>
  <c r="U1184" i="25"/>
  <c r="V1184" i="25"/>
  <c r="T1185" i="25" a="1"/>
  <c r="T1185" i="25"/>
  <c r="U1185" i="25" a="1"/>
  <c r="U1185" i="25"/>
  <c r="V1185" i="25"/>
  <c r="T1186" i="25" a="1"/>
  <c r="T1186" i="25"/>
  <c r="U1186" i="25" a="1"/>
  <c r="U1186" i="25"/>
  <c r="V1186" i="25"/>
  <c r="T1187" i="25" a="1"/>
  <c r="T1187" i="25"/>
  <c r="U1187" i="25" a="1"/>
  <c r="U1187" i="25"/>
  <c r="V1187" i="25"/>
  <c r="T1188" i="25" a="1"/>
  <c r="T1188" i="25"/>
  <c r="U1188" i="25" a="1"/>
  <c r="U1188" i="25"/>
  <c r="V1188" i="25"/>
  <c r="T1189" i="25" a="1"/>
  <c r="T1189" i="25"/>
  <c r="U1189" i="25" a="1"/>
  <c r="U1189" i="25"/>
  <c r="V1189" i="25"/>
  <c r="T1190" i="25" a="1"/>
  <c r="T1190" i="25"/>
  <c r="U1190" i="25" a="1"/>
  <c r="U1190" i="25"/>
  <c r="V1190" i="25"/>
  <c r="T1191" i="25" a="1"/>
  <c r="T1191" i="25"/>
  <c r="U1191" i="25" a="1"/>
  <c r="U1191" i="25"/>
  <c r="V1191" i="25"/>
  <c r="T1192" i="25" a="1"/>
  <c r="T1192" i="25"/>
  <c r="U1192" i="25" a="1"/>
  <c r="U1192" i="25"/>
  <c r="V1192" i="25"/>
  <c r="T1193" i="25" a="1"/>
  <c r="T1193" i="25"/>
  <c r="U1193" i="25" a="1"/>
  <c r="U1193" i="25"/>
  <c r="V1193" i="25"/>
  <c r="T1194" i="25" a="1"/>
  <c r="T1194" i="25"/>
  <c r="U1194" i="25" a="1"/>
  <c r="U1194" i="25"/>
  <c r="V1194" i="25"/>
  <c r="T1195" i="25" a="1"/>
  <c r="T1195" i="25"/>
  <c r="U1195" i="25" a="1"/>
  <c r="U1195" i="25"/>
  <c r="V1195" i="25"/>
  <c r="T1196" i="25" a="1"/>
  <c r="T1196" i="25"/>
  <c r="U1196" i="25" a="1"/>
  <c r="U1196" i="25"/>
  <c r="V1196" i="25"/>
  <c r="T1197" i="25" a="1"/>
  <c r="T1197" i="25"/>
  <c r="U1197" i="25" a="1"/>
  <c r="U1197" i="25"/>
  <c r="V1197" i="25"/>
  <c r="T1198" i="25" a="1"/>
  <c r="T1198" i="25"/>
  <c r="U1198" i="25" a="1"/>
  <c r="U1198" i="25"/>
  <c r="V1198" i="25"/>
  <c r="T1199" i="25" a="1"/>
  <c r="T1199" i="25"/>
  <c r="U1199" i="25" a="1"/>
  <c r="U1199" i="25"/>
  <c r="V1199" i="25"/>
  <c r="T1200" i="25" a="1"/>
  <c r="T1200" i="25"/>
  <c r="U1200" i="25" a="1"/>
  <c r="U1200" i="25"/>
  <c r="V1200" i="25"/>
  <c r="T1201" i="25" a="1"/>
  <c r="T1201" i="25"/>
  <c r="U1201" i="25" a="1"/>
  <c r="U1201" i="25"/>
  <c r="V1201" i="25"/>
  <c r="T1202" i="25" a="1"/>
  <c r="T1202" i="25"/>
  <c r="U1202" i="25" a="1"/>
  <c r="U1202" i="25"/>
  <c r="V1202" i="25"/>
  <c r="T1203" i="25" a="1"/>
  <c r="T1203" i="25"/>
  <c r="U1203" i="25" a="1"/>
  <c r="U1203" i="25"/>
  <c r="V1203" i="25"/>
  <c r="T1204" i="25" a="1"/>
  <c r="T1204" i="25"/>
  <c r="U1204" i="25" a="1"/>
  <c r="U1204" i="25"/>
  <c r="V1204" i="25"/>
  <c r="T1205" i="25" a="1"/>
  <c r="T1205" i="25"/>
  <c r="U1205" i="25" a="1"/>
  <c r="U1205" i="25"/>
  <c r="V1205" i="25"/>
  <c r="T1206" i="25" a="1"/>
  <c r="T1206" i="25"/>
  <c r="U1206" i="25" a="1"/>
  <c r="U1206" i="25"/>
  <c r="V1206" i="25"/>
  <c r="T1207" i="25" a="1"/>
  <c r="T1207" i="25"/>
  <c r="U1207" i="25" a="1"/>
  <c r="U1207" i="25"/>
  <c r="V1207" i="25"/>
  <c r="T1208" i="25" a="1"/>
  <c r="T1208" i="25"/>
  <c r="U1208" i="25" a="1"/>
  <c r="U1208" i="25"/>
  <c r="V1208" i="25"/>
  <c r="T1209" i="25" a="1"/>
  <c r="T1209" i="25"/>
  <c r="U1209" i="25" a="1"/>
  <c r="U1209" i="25"/>
  <c r="V1209" i="25"/>
  <c r="T1210" i="25" a="1"/>
  <c r="T1210" i="25"/>
  <c r="U1210" i="25" a="1"/>
  <c r="U1210" i="25"/>
  <c r="V1210" i="25"/>
  <c r="T1211" i="25" a="1"/>
  <c r="T1211" i="25"/>
  <c r="U1211" i="25" a="1"/>
  <c r="U1211" i="25"/>
  <c r="V1211" i="25"/>
  <c r="T1212" i="25" a="1"/>
  <c r="T1212" i="25"/>
  <c r="U1212" i="25" a="1"/>
  <c r="U1212" i="25"/>
  <c r="V1212" i="25"/>
  <c r="T1213" i="25" a="1"/>
  <c r="T1213" i="25"/>
  <c r="U1213" i="25" a="1"/>
  <c r="U1213" i="25"/>
  <c r="V1213" i="25"/>
  <c r="T1214" i="25" a="1"/>
  <c r="T1214" i="25"/>
  <c r="U1214" i="25" a="1"/>
  <c r="U1214" i="25"/>
  <c r="V1214" i="25"/>
  <c r="T1215" i="25" a="1"/>
  <c r="T1215" i="25"/>
  <c r="U1215" i="25" a="1"/>
  <c r="U1215" i="25"/>
  <c r="V1215" i="25"/>
  <c r="T1216" i="25" a="1"/>
  <c r="T1216" i="25"/>
  <c r="U1216" i="25" a="1"/>
  <c r="U1216" i="25"/>
  <c r="V1216" i="25"/>
  <c r="T1217" i="25" a="1"/>
  <c r="T1217" i="25"/>
  <c r="U1217" i="25" a="1"/>
  <c r="U1217" i="25"/>
  <c r="V1217" i="25"/>
  <c r="T1218" i="25" a="1"/>
  <c r="T1218" i="25"/>
  <c r="U1218" i="25" a="1"/>
  <c r="U1218" i="25"/>
  <c r="V1218" i="25"/>
  <c r="T1219" i="25" a="1"/>
  <c r="T1219" i="25"/>
  <c r="U1219" i="25" a="1"/>
  <c r="U1219" i="25"/>
  <c r="V1219" i="25"/>
  <c r="T1220" i="25" a="1"/>
  <c r="T1220" i="25"/>
  <c r="U1220" i="25" a="1"/>
  <c r="U1220" i="25"/>
  <c r="V1220" i="25"/>
  <c r="T1221" i="25" a="1"/>
  <c r="T1221" i="25"/>
  <c r="U1221" i="25" a="1"/>
  <c r="U1221" i="25"/>
  <c r="V1221" i="25"/>
  <c r="T1222" i="25" a="1"/>
  <c r="T1222" i="25"/>
  <c r="U1222" i="25" a="1"/>
  <c r="U1222" i="25"/>
  <c r="V1222" i="25"/>
  <c r="T1223" i="25" a="1"/>
  <c r="T1223" i="25"/>
  <c r="U1223" i="25" a="1"/>
  <c r="U1223" i="25"/>
  <c r="V1223" i="25"/>
  <c r="T1224" i="25" a="1"/>
  <c r="T1224" i="25"/>
  <c r="U1224" i="25" a="1"/>
  <c r="U1224" i="25"/>
  <c r="V1224" i="25"/>
  <c r="T1225" i="25" a="1"/>
  <c r="T1225" i="25"/>
  <c r="U1225" i="25" a="1"/>
  <c r="U1225" i="25"/>
  <c r="V1225" i="25"/>
  <c r="T1226" i="25" a="1"/>
  <c r="T1226" i="25"/>
  <c r="U1226" i="25" a="1"/>
  <c r="U1226" i="25"/>
  <c r="V1226" i="25"/>
  <c r="T1227" i="25" a="1"/>
  <c r="T1227" i="25"/>
  <c r="U1227" i="25" a="1"/>
  <c r="U1227" i="25"/>
  <c r="V1227" i="25"/>
  <c r="T1228" i="25" a="1"/>
  <c r="T1228" i="25"/>
  <c r="U1228" i="25" a="1"/>
  <c r="U1228" i="25"/>
  <c r="V1228" i="25"/>
  <c r="T1229" i="25" a="1"/>
  <c r="T1229" i="25"/>
  <c r="U1229" i="25" a="1"/>
  <c r="U1229" i="25"/>
  <c r="V1229" i="25"/>
  <c r="T1230" i="25" a="1"/>
  <c r="T1230" i="25"/>
  <c r="U1230" i="25" a="1"/>
  <c r="U1230" i="25"/>
  <c r="V1230" i="25"/>
  <c r="T1231" i="25" a="1"/>
  <c r="T1231" i="25"/>
  <c r="U1231" i="25" a="1"/>
  <c r="U1231" i="25"/>
  <c r="V1231" i="25"/>
  <c r="T1232" i="25" a="1"/>
  <c r="T1232" i="25"/>
  <c r="U1232" i="25" a="1"/>
  <c r="U1232" i="25"/>
  <c r="V1232" i="25"/>
  <c r="T1233" i="25" a="1"/>
  <c r="T1233" i="25"/>
  <c r="U1233" i="25" a="1"/>
  <c r="U1233" i="25"/>
  <c r="V1233" i="25"/>
  <c r="T1234" i="25" a="1"/>
  <c r="T1234" i="25"/>
  <c r="U1234" i="25" a="1"/>
  <c r="U1234" i="25"/>
  <c r="V1234" i="25"/>
  <c r="T1235" i="25" a="1"/>
  <c r="T1235" i="25"/>
  <c r="U1235" i="25" a="1"/>
  <c r="U1235" i="25"/>
  <c r="V1235" i="25"/>
  <c r="T1236" i="25" a="1"/>
  <c r="T1236" i="25"/>
  <c r="U1236" i="25" a="1"/>
  <c r="U1236" i="25"/>
  <c r="V1236" i="25"/>
  <c r="T1237" i="25" a="1"/>
  <c r="T1237" i="25"/>
  <c r="U1237" i="25" a="1"/>
  <c r="U1237" i="25"/>
  <c r="V1237" i="25"/>
  <c r="T1238" i="25" a="1"/>
  <c r="T1238" i="25"/>
  <c r="U1238" i="25" a="1"/>
  <c r="U1238" i="25"/>
  <c r="V1238" i="25"/>
  <c r="T1239" i="25" a="1"/>
  <c r="T1239" i="25"/>
  <c r="U1239" i="25" a="1"/>
  <c r="U1239" i="25"/>
  <c r="V1239" i="25"/>
  <c r="T1240" i="25" a="1"/>
  <c r="T1240" i="25"/>
  <c r="U1240" i="25" a="1"/>
  <c r="U1240" i="25"/>
  <c r="V1240" i="25"/>
  <c r="T1241" i="25" a="1"/>
  <c r="T1241" i="25"/>
  <c r="U1241" i="25" a="1"/>
  <c r="U1241" i="25"/>
  <c r="V1241" i="25"/>
  <c r="T1242" i="25" a="1"/>
  <c r="T1242" i="25"/>
  <c r="U1242" i="25" a="1"/>
  <c r="U1242" i="25"/>
  <c r="V1242" i="25"/>
  <c r="T1243" i="25" a="1"/>
  <c r="T1243" i="25"/>
  <c r="U1243" i="25" a="1"/>
  <c r="U1243" i="25"/>
  <c r="V1243" i="25"/>
  <c r="T1244" i="25" a="1"/>
  <c r="T1244" i="25"/>
  <c r="U1244" i="25" a="1"/>
  <c r="U1244" i="25"/>
  <c r="V1244" i="25"/>
  <c r="T1245" i="25" a="1"/>
  <c r="T1245" i="25"/>
  <c r="U1245" i="25" a="1"/>
  <c r="U1245" i="25"/>
  <c r="V1245" i="25"/>
  <c r="T1246" i="25" a="1"/>
  <c r="T1246" i="25"/>
  <c r="U1246" i="25" a="1"/>
  <c r="U1246" i="25"/>
  <c r="V1246" i="25"/>
  <c r="T1247" i="25" a="1"/>
  <c r="T1247" i="25"/>
  <c r="U1247" i="25" a="1"/>
  <c r="U1247" i="25"/>
  <c r="V1247" i="25"/>
  <c r="T1248" i="25" a="1"/>
  <c r="T1248" i="25"/>
  <c r="U1248" i="25" a="1"/>
  <c r="U1248" i="25"/>
  <c r="V1248" i="25"/>
  <c r="T1249" i="25" a="1"/>
  <c r="T1249" i="25"/>
  <c r="U1249" i="25" a="1"/>
  <c r="U1249" i="25"/>
  <c r="V1249" i="25"/>
  <c r="T1250" i="25" a="1"/>
  <c r="T1250" i="25"/>
  <c r="U1250" i="25" a="1"/>
  <c r="U1250" i="25"/>
  <c r="V1250" i="25"/>
  <c r="T1251" i="25" a="1"/>
  <c r="T1251" i="25"/>
  <c r="U1251" i="25" a="1"/>
  <c r="U1251" i="25"/>
  <c r="V1251" i="25"/>
  <c r="T1252" i="25" a="1"/>
  <c r="T1252" i="25"/>
  <c r="U1252" i="25" a="1"/>
  <c r="U1252" i="25"/>
  <c r="V1252" i="25"/>
  <c r="T1253" i="25" a="1"/>
  <c r="T1253" i="25"/>
  <c r="U1253" i="25" a="1"/>
  <c r="U1253" i="25"/>
  <c r="V1253" i="25"/>
  <c r="T1254" i="25" a="1"/>
  <c r="T1254" i="25"/>
  <c r="U1254" i="25" a="1"/>
  <c r="U1254" i="25"/>
  <c r="V1254" i="25"/>
  <c r="T1255" i="25" a="1"/>
  <c r="T1255" i="25"/>
  <c r="U1255" i="25" a="1"/>
  <c r="U1255" i="25"/>
  <c r="V1255" i="25"/>
  <c r="T1256" i="25" a="1"/>
  <c r="T1256" i="25"/>
  <c r="U1256" i="25" a="1"/>
  <c r="U1256" i="25"/>
  <c r="V1256" i="25"/>
  <c r="T1257" i="25" a="1"/>
  <c r="T1257" i="25"/>
  <c r="U1257" i="25" a="1"/>
  <c r="U1257" i="25"/>
  <c r="V1257" i="25"/>
  <c r="T1258" i="25" a="1"/>
  <c r="T1258" i="25"/>
  <c r="U1258" i="25" a="1"/>
  <c r="U1258" i="25"/>
  <c r="V1258" i="25"/>
  <c r="T1259" i="25" a="1"/>
  <c r="T1259" i="25"/>
  <c r="U1259" i="25" a="1"/>
  <c r="U1259" i="25"/>
  <c r="V1259" i="25"/>
  <c r="T1260" i="25" a="1"/>
  <c r="T1260" i="25"/>
  <c r="U1260" i="25" a="1"/>
  <c r="U1260" i="25"/>
  <c r="V1260" i="25"/>
  <c r="T1261" i="25" a="1"/>
  <c r="T1261" i="25"/>
  <c r="U1261" i="25" a="1"/>
  <c r="U1261" i="25"/>
  <c r="V1261" i="25"/>
  <c r="T1262" i="25" a="1"/>
  <c r="T1262" i="25"/>
  <c r="U1262" i="25" a="1"/>
  <c r="U1262" i="25"/>
  <c r="V1262" i="25"/>
  <c r="T1263" i="25" a="1"/>
  <c r="T1263" i="25"/>
  <c r="U1263" i="25" a="1"/>
  <c r="U1263" i="25"/>
  <c r="V1263" i="25"/>
  <c r="T1264" i="25" a="1"/>
  <c r="T1264" i="25"/>
  <c r="U1264" i="25" a="1"/>
  <c r="U1264" i="25"/>
  <c r="V1264" i="25"/>
  <c r="T1265" i="25" a="1"/>
  <c r="T1265" i="25"/>
  <c r="U1265" i="25" a="1"/>
  <c r="U1265" i="25"/>
  <c r="V1265" i="25"/>
  <c r="T1266" i="25" a="1"/>
  <c r="T1266" i="25"/>
  <c r="U1266" i="25" a="1"/>
  <c r="U1266" i="25"/>
  <c r="V1266" i="25"/>
  <c r="T1267" i="25" a="1"/>
  <c r="T1267" i="25"/>
  <c r="U1267" i="25" a="1"/>
  <c r="U1267" i="25"/>
  <c r="V1267" i="25"/>
  <c r="T1268" i="25" a="1"/>
  <c r="T1268" i="25"/>
  <c r="U1268" i="25" a="1"/>
  <c r="U1268" i="25"/>
  <c r="V1268" i="25"/>
  <c r="T1269" i="25" a="1"/>
  <c r="T1269" i="25"/>
  <c r="U1269" i="25" a="1"/>
  <c r="U1269" i="25"/>
  <c r="V1269" i="25"/>
  <c r="T1270" i="25" a="1"/>
  <c r="T1270" i="25"/>
  <c r="U1270" i="25" a="1"/>
  <c r="U1270" i="25"/>
  <c r="V1270" i="25"/>
  <c r="T1271" i="25" a="1"/>
  <c r="T1271" i="25"/>
  <c r="U1271" i="25" a="1"/>
  <c r="U1271" i="25"/>
  <c r="V1271" i="25"/>
  <c r="T1272" i="25" a="1"/>
  <c r="T1272" i="25"/>
  <c r="U1272" i="25" a="1"/>
  <c r="U1272" i="25"/>
  <c r="V1272" i="25"/>
  <c r="T1273" i="25" a="1"/>
  <c r="T1273" i="25"/>
  <c r="U1273" i="25" a="1"/>
  <c r="U1273" i="25"/>
  <c r="V1273" i="25"/>
  <c r="T1274" i="25" a="1"/>
  <c r="T1274" i="25"/>
  <c r="U1274" i="25" a="1"/>
  <c r="U1274" i="25"/>
  <c r="V1274" i="25"/>
  <c r="T1275" i="25" a="1"/>
  <c r="T1275" i="25"/>
  <c r="U1275" i="25" a="1"/>
  <c r="U1275" i="25"/>
  <c r="V1275" i="25"/>
  <c r="T1276" i="25" a="1"/>
  <c r="T1276" i="25"/>
  <c r="U1276" i="25" a="1"/>
  <c r="U1276" i="25"/>
  <c r="V1276" i="25"/>
  <c r="T1277" i="25" a="1"/>
  <c r="T1277" i="25"/>
  <c r="U1277" i="25" a="1"/>
  <c r="U1277" i="25"/>
  <c r="V1277" i="25"/>
  <c r="T1278" i="25" a="1"/>
  <c r="T1278" i="25"/>
  <c r="U1278" i="25" a="1"/>
  <c r="U1278" i="25"/>
  <c r="V1278" i="25"/>
  <c r="T1279" i="25" a="1"/>
  <c r="T1279" i="25"/>
  <c r="U1279" i="25" a="1"/>
  <c r="U1279" i="25"/>
  <c r="V1279" i="25"/>
  <c r="T1280" i="25" a="1"/>
  <c r="T1280" i="25"/>
  <c r="U1280" i="25" a="1"/>
  <c r="U1280" i="25"/>
  <c r="V1280" i="25"/>
  <c r="T1281" i="25" a="1"/>
  <c r="T1281" i="25"/>
  <c r="U1281" i="25" a="1"/>
  <c r="U1281" i="25"/>
  <c r="V1281" i="25"/>
  <c r="T1282" i="25" a="1"/>
  <c r="T1282" i="25"/>
  <c r="U1282" i="25" a="1"/>
  <c r="U1282" i="25"/>
  <c r="V1282" i="25"/>
  <c r="T1283" i="25" a="1"/>
  <c r="T1283" i="25"/>
  <c r="U1283" i="25" a="1"/>
  <c r="U1283" i="25"/>
  <c r="V1283" i="25"/>
  <c r="T1284" i="25" a="1"/>
  <c r="T1284" i="25"/>
  <c r="U1284" i="25" a="1"/>
  <c r="U1284" i="25"/>
  <c r="V1284" i="25"/>
  <c r="T1285" i="25" a="1"/>
  <c r="T1285" i="25"/>
  <c r="U1285" i="25" a="1"/>
  <c r="U1285" i="25"/>
  <c r="V1285" i="25"/>
  <c r="T1286" i="25" a="1"/>
  <c r="T1286" i="25"/>
  <c r="U1286" i="25" a="1"/>
  <c r="U1286" i="25"/>
  <c r="V1286" i="25"/>
  <c r="T1287" i="25" a="1"/>
  <c r="T1287" i="25"/>
  <c r="U1287" i="25" a="1"/>
  <c r="U1287" i="25"/>
  <c r="V1287" i="25"/>
  <c r="T1288" i="25" a="1"/>
  <c r="T1288" i="25"/>
  <c r="U1288" i="25" a="1"/>
  <c r="U1288" i="25"/>
  <c r="V1288" i="25"/>
  <c r="T1289" i="25" a="1"/>
  <c r="T1289" i="25"/>
  <c r="U1289" i="25" a="1"/>
  <c r="U1289" i="25"/>
  <c r="V1289" i="25"/>
  <c r="T1290" i="25" a="1"/>
  <c r="T1290" i="25"/>
  <c r="U1290" i="25" a="1"/>
  <c r="U1290" i="25"/>
  <c r="V1290" i="25"/>
  <c r="T1291" i="25" a="1"/>
  <c r="T1291" i="25"/>
  <c r="U1291" i="25" a="1"/>
  <c r="U1291" i="25"/>
  <c r="V1291" i="25"/>
  <c r="T1292" i="25" a="1"/>
  <c r="T1292" i="25"/>
  <c r="U1292" i="25" a="1"/>
  <c r="U1292" i="25"/>
  <c r="V1292" i="25"/>
  <c r="T1293" i="25" a="1"/>
  <c r="T1293" i="25"/>
  <c r="U1293" i="25" a="1"/>
  <c r="U1293" i="25"/>
  <c r="V1293" i="25"/>
  <c r="T1294" i="25" a="1"/>
  <c r="T1294" i="25"/>
  <c r="U1294" i="25" a="1"/>
  <c r="U1294" i="25"/>
  <c r="V1294" i="25"/>
  <c r="T1295" i="25" a="1"/>
  <c r="T1295" i="25"/>
  <c r="U1295" i="25" a="1"/>
  <c r="U1295" i="25"/>
  <c r="V1295" i="25"/>
  <c r="T1296" i="25" a="1"/>
  <c r="T1296" i="25"/>
  <c r="U1296" i="25" a="1"/>
  <c r="U1296" i="25"/>
  <c r="V1296" i="25"/>
  <c r="T1297" i="25" a="1"/>
  <c r="T1297" i="25"/>
  <c r="U1297" i="25" a="1"/>
  <c r="U1297" i="25"/>
  <c r="V1297" i="25"/>
  <c r="T1298" i="25" a="1"/>
  <c r="T1298" i="25"/>
  <c r="U1298" i="25" a="1"/>
  <c r="U1298" i="25"/>
  <c r="V1298" i="25"/>
  <c r="T1299" i="25" a="1"/>
  <c r="T1299" i="25"/>
  <c r="U1299" i="25" a="1"/>
  <c r="U1299" i="25"/>
  <c r="V1299" i="25"/>
  <c r="T1300" i="25" a="1"/>
  <c r="T1300" i="25"/>
  <c r="U1300" i="25" a="1"/>
  <c r="U1300" i="25"/>
  <c r="V1300" i="25"/>
  <c r="T1301" i="25" a="1"/>
  <c r="T1301" i="25"/>
  <c r="U1301" i="25" a="1"/>
  <c r="U1301" i="25"/>
  <c r="V1301" i="25"/>
  <c r="T1302" i="25" a="1"/>
  <c r="T1302" i="25"/>
  <c r="U1302" i="25" a="1"/>
  <c r="U1302" i="25"/>
  <c r="V1302" i="25"/>
  <c r="T1303" i="25" a="1"/>
  <c r="T1303" i="25"/>
  <c r="U1303" i="25" a="1"/>
  <c r="U1303" i="25"/>
  <c r="V1303" i="25"/>
  <c r="T1304" i="25" a="1"/>
  <c r="T1304" i="25"/>
  <c r="U1304" i="25" a="1"/>
  <c r="U1304" i="25"/>
  <c r="V1304" i="25"/>
  <c r="T1305" i="25" a="1"/>
  <c r="T1305" i="25"/>
  <c r="U1305" i="25" a="1"/>
  <c r="U1305" i="25"/>
  <c r="V1305" i="25"/>
  <c r="T1306" i="25" a="1"/>
  <c r="T1306" i="25"/>
  <c r="U1306" i="25" a="1"/>
  <c r="U1306" i="25"/>
  <c r="V1306" i="25"/>
  <c r="T1307" i="25" a="1"/>
  <c r="T1307" i="25"/>
  <c r="U1307" i="25" a="1"/>
  <c r="U1307" i="25"/>
  <c r="V1307" i="25"/>
  <c r="T1308" i="25" a="1"/>
  <c r="T1308" i="25"/>
  <c r="U1308" i="25" a="1"/>
  <c r="U1308" i="25"/>
  <c r="V1308" i="25"/>
  <c r="T1309" i="25" a="1"/>
  <c r="T1309" i="25"/>
  <c r="U1309" i="25" a="1"/>
  <c r="U1309" i="25"/>
  <c r="V1309" i="25"/>
  <c r="T1310" i="25" a="1"/>
  <c r="T1310" i="25"/>
  <c r="U1310" i="25" a="1"/>
  <c r="U1310" i="25"/>
  <c r="V1310" i="25"/>
  <c r="T1311" i="25" a="1"/>
  <c r="T1311" i="25"/>
  <c r="U1311" i="25" a="1"/>
  <c r="U1311" i="25"/>
  <c r="V1311" i="25"/>
  <c r="T1312" i="25" a="1"/>
  <c r="T1312" i="25"/>
  <c r="U1312" i="25" a="1"/>
  <c r="U1312" i="25"/>
  <c r="V1312" i="25"/>
  <c r="T1313" i="25" a="1"/>
  <c r="T1313" i="25"/>
  <c r="U1313" i="25" a="1"/>
  <c r="U1313" i="25"/>
  <c r="V1313" i="25"/>
  <c r="T1314" i="25" a="1"/>
  <c r="T1314" i="25"/>
  <c r="U1314" i="25" a="1"/>
  <c r="U1314" i="25"/>
  <c r="V1314" i="25"/>
  <c r="T1315" i="25" a="1"/>
  <c r="T1315" i="25"/>
  <c r="U1315" i="25" a="1"/>
  <c r="U1315" i="25"/>
  <c r="V1315" i="25"/>
  <c r="T1316" i="25" a="1"/>
  <c r="T1316" i="25"/>
  <c r="U1316" i="25" a="1"/>
  <c r="U1316" i="25"/>
  <c r="V1316" i="25"/>
  <c r="T1317" i="25" a="1"/>
  <c r="T1317" i="25"/>
  <c r="U1317" i="25" a="1"/>
  <c r="U1317" i="25"/>
  <c r="V1317" i="25"/>
  <c r="T1318" i="25" a="1"/>
  <c r="T1318" i="25"/>
  <c r="U1318" i="25" a="1"/>
  <c r="U1318" i="25"/>
  <c r="V1318" i="25"/>
  <c r="T1319" i="25" a="1"/>
  <c r="T1319" i="25"/>
  <c r="U1319" i="25" a="1"/>
  <c r="U1319" i="25"/>
  <c r="V1319" i="25"/>
  <c r="T1320" i="25" a="1"/>
  <c r="T1320" i="25"/>
  <c r="U1320" i="25" a="1"/>
  <c r="U1320" i="25"/>
  <c r="V1320" i="25"/>
  <c r="T1321" i="25" a="1"/>
  <c r="T1321" i="25"/>
  <c r="U1321" i="25" a="1"/>
  <c r="U1321" i="25"/>
  <c r="V1321" i="25"/>
  <c r="T1322" i="25" a="1"/>
  <c r="T1322" i="25"/>
  <c r="U1322" i="25" a="1"/>
  <c r="U1322" i="25"/>
  <c r="V1322" i="25"/>
  <c r="T1323" i="25" a="1"/>
  <c r="T1323" i="25"/>
  <c r="U1323" i="25" a="1"/>
  <c r="U1323" i="25"/>
  <c r="V1323" i="25"/>
  <c r="T1324" i="25" a="1"/>
  <c r="T1324" i="25"/>
  <c r="U1324" i="25" a="1"/>
  <c r="U1324" i="25"/>
  <c r="V1324" i="25"/>
  <c r="T1325" i="25" a="1"/>
  <c r="T1325" i="25"/>
  <c r="U1325" i="25" a="1"/>
  <c r="U1325" i="25"/>
  <c r="V1325" i="25"/>
  <c r="T1326" i="25" a="1"/>
  <c r="T1326" i="25"/>
  <c r="U1326" i="25" a="1"/>
  <c r="U1326" i="25"/>
  <c r="V1326" i="25"/>
  <c r="T1327" i="25" a="1"/>
  <c r="T1327" i="25"/>
  <c r="U1327" i="25" a="1"/>
  <c r="U1327" i="25"/>
  <c r="V1327" i="25"/>
  <c r="T1328" i="25" a="1"/>
  <c r="T1328" i="25"/>
  <c r="U1328" i="25" a="1"/>
  <c r="U1328" i="25"/>
  <c r="V1328" i="25"/>
  <c r="T1329" i="25" a="1"/>
  <c r="T1329" i="25"/>
  <c r="U1329" i="25" a="1"/>
  <c r="U1329" i="25"/>
  <c r="V1329" i="25"/>
  <c r="T1330" i="25" a="1"/>
  <c r="T1330" i="25"/>
  <c r="U1330" i="25" a="1"/>
  <c r="U1330" i="25"/>
  <c r="V1330" i="25"/>
  <c r="T1331" i="25" a="1"/>
  <c r="T1331" i="25"/>
  <c r="U1331" i="25" a="1"/>
  <c r="U1331" i="25"/>
  <c r="V1331" i="25"/>
  <c r="T1332" i="25" a="1"/>
  <c r="T1332" i="25"/>
  <c r="U1332" i="25" a="1"/>
  <c r="U1332" i="25"/>
  <c r="V1332" i="25"/>
  <c r="T1333" i="25" a="1"/>
  <c r="T1333" i="25"/>
  <c r="U1333" i="25" a="1"/>
  <c r="U1333" i="25"/>
  <c r="V1333" i="25"/>
  <c r="T1334" i="25" a="1"/>
  <c r="T1334" i="25"/>
  <c r="U1334" i="25" a="1"/>
  <c r="U1334" i="25"/>
  <c r="V1334" i="25"/>
  <c r="T1335" i="25" a="1"/>
  <c r="T1335" i="25"/>
  <c r="U1335" i="25" a="1"/>
  <c r="U1335" i="25"/>
  <c r="V1335" i="25"/>
  <c r="T1336" i="25" a="1"/>
  <c r="T1336" i="25"/>
  <c r="U1336" i="25" a="1"/>
  <c r="U1336" i="25"/>
  <c r="V1336" i="25"/>
  <c r="T1337" i="25" a="1"/>
  <c r="T1337" i="25"/>
  <c r="U1337" i="25" a="1"/>
  <c r="U1337" i="25"/>
  <c r="V1337" i="25"/>
  <c r="T1338" i="25" a="1"/>
  <c r="T1338" i="25"/>
  <c r="U1338" i="25" a="1"/>
  <c r="U1338" i="25"/>
  <c r="V1338" i="25"/>
  <c r="T1339" i="25" a="1"/>
  <c r="T1339" i="25"/>
  <c r="U1339" i="25" a="1"/>
  <c r="U1339" i="25"/>
  <c r="V1339" i="25"/>
  <c r="T1340" i="25" a="1"/>
  <c r="T1340" i="25"/>
  <c r="U1340" i="25" a="1"/>
  <c r="U1340" i="25"/>
  <c r="V1340" i="25"/>
  <c r="T1341" i="25" a="1"/>
  <c r="T1341" i="25"/>
  <c r="U1341" i="25" a="1"/>
  <c r="U1341" i="25"/>
  <c r="V1341" i="25"/>
  <c r="T1342" i="25" a="1"/>
  <c r="T1342" i="25"/>
  <c r="U1342" i="25" a="1"/>
  <c r="U1342" i="25"/>
  <c r="V1342" i="25"/>
  <c r="T1343" i="25" a="1"/>
  <c r="T1343" i="25"/>
  <c r="U1343" i="25" a="1"/>
  <c r="U1343" i="25"/>
  <c r="V1343" i="25"/>
  <c r="T1344" i="25" a="1"/>
  <c r="T1344" i="25"/>
  <c r="U1344" i="25" a="1"/>
  <c r="U1344" i="25"/>
  <c r="V1344" i="25"/>
  <c r="T1345" i="25" a="1"/>
  <c r="T1345" i="25"/>
  <c r="U1345" i="25" a="1"/>
  <c r="U1345" i="25"/>
  <c r="V1345" i="25"/>
  <c r="T1346" i="25" a="1"/>
  <c r="T1346" i="25"/>
  <c r="U1346" i="25" a="1"/>
  <c r="U1346" i="25"/>
  <c r="V1346" i="25"/>
  <c r="T1347" i="25" a="1"/>
  <c r="T1347" i="25"/>
  <c r="U1347" i="25" a="1"/>
  <c r="U1347" i="25"/>
  <c r="V1347" i="25"/>
  <c r="T1348" i="25" a="1"/>
  <c r="T1348" i="25"/>
  <c r="U1348" i="25" a="1"/>
  <c r="U1348" i="25"/>
  <c r="V1348" i="25"/>
  <c r="T1349" i="25" a="1"/>
  <c r="T1349" i="25"/>
  <c r="U1349" i="25" a="1"/>
  <c r="U1349" i="25"/>
  <c r="V1349" i="25"/>
  <c r="T1350" i="25" a="1"/>
  <c r="T1350" i="25"/>
  <c r="U1350" i="25" a="1"/>
  <c r="U1350" i="25"/>
  <c r="V1350" i="25"/>
  <c r="T1351" i="25" a="1"/>
  <c r="T1351" i="25"/>
  <c r="U1351" i="25" a="1"/>
  <c r="U1351" i="25"/>
  <c r="V1351" i="25"/>
  <c r="T1352" i="25" a="1"/>
  <c r="T1352" i="25"/>
  <c r="U1352" i="25" a="1"/>
  <c r="U1352" i="25"/>
  <c r="V1352" i="25"/>
  <c r="T1353" i="25" a="1"/>
  <c r="T1353" i="25"/>
  <c r="U1353" i="25" a="1"/>
  <c r="U1353" i="25"/>
  <c r="V1353" i="25"/>
  <c r="T1354" i="25" a="1"/>
  <c r="T1354" i="25"/>
  <c r="U1354" i="25" a="1"/>
  <c r="U1354" i="25"/>
  <c r="V1354" i="25"/>
  <c r="T1355" i="25" a="1"/>
  <c r="T1355" i="25"/>
  <c r="U1355" i="25" a="1"/>
  <c r="U1355" i="25"/>
  <c r="V1355" i="25"/>
  <c r="T1356" i="25" a="1"/>
  <c r="T1356" i="25"/>
  <c r="U1356" i="25" a="1"/>
  <c r="U1356" i="25"/>
  <c r="V1356" i="25"/>
  <c r="T1357" i="25" a="1"/>
  <c r="T1357" i="25"/>
  <c r="U1357" i="25" a="1"/>
  <c r="U1357" i="25"/>
  <c r="V1357" i="25"/>
  <c r="T1358" i="25" a="1"/>
  <c r="T1358" i="25"/>
  <c r="U1358" i="25" a="1"/>
  <c r="U1358" i="25"/>
  <c r="V1358" i="25"/>
  <c r="T1359" i="25" a="1"/>
  <c r="T1359" i="25"/>
  <c r="U1359" i="25" a="1"/>
  <c r="U1359" i="25"/>
  <c r="V1359" i="25"/>
  <c r="T1360" i="25" a="1"/>
  <c r="T1360" i="25"/>
  <c r="U1360" i="25" a="1"/>
  <c r="U1360" i="25"/>
  <c r="V1360" i="25"/>
  <c r="T1361" i="25" a="1"/>
  <c r="T1361" i="25"/>
  <c r="U1361" i="25" a="1"/>
  <c r="U1361" i="25"/>
  <c r="V1361" i="25"/>
  <c r="T1362" i="25" a="1"/>
  <c r="T1362" i="25"/>
  <c r="U1362" i="25" a="1"/>
  <c r="U1362" i="25"/>
  <c r="V1362" i="25"/>
  <c r="T1363" i="25" a="1"/>
  <c r="T1363" i="25"/>
  <c r="U1363" i="25" a="1"/>
  <c r="U1363" i="25"/>
  <c r="V1363" i="25"/>
  <c r="T1364" i="25" a="1"/>
  <c r="T1364" i="25"/>
  <c r="U1364" i="25" a="1"/>
  <c r="U1364" i="25"/>
  <c r="V1364" i="25"/>
  <c r="T1365" i="25" a="1"/>
  <c r="T1365" i="25"/>
  <c r="U1365" i="25" a="1"/>
  <c r="U1365" i="25"/>
  <c r="V1365" i="25"/>
  <c r="T1366" i="25" a="1"/>
  <c r="T1366" i="25"/>
  <c r="U1366" i="25" a="1"/>
  <c r="U1366" i="25"/>
  <c r="V1366" i="25"/>
  <c r="T1367" i="25" a="1"/>
  <c r="T1367" i="25"/>
  <c r="U1367" i="25" a="1"/>
  <c r="U1367" i="25"/>
  <c r="V1367" i="25"/>
  <c r="T1368" i="25" a="1"/>
  <c r="T1368" i="25"/>
  <c r="U1368" i="25" a="1"/>
  <c r="U1368" i="25"/>
  <c r="V1368" i="25"/>
  <c r="T1369" i="25" a="1"/>
  <c r="T1369" i="25"/>
  <c r="U1369" i="25" a="1"/>
  <c r="U1369" i="25"/>
  <c r="V1369" i="25"/>
  <c r="T1370" i="25" a="1"/>
  <c r="T1370" i="25"/>
  <c r="U1370" i="25" a="1"/>
  <c r="U1370" i="25"/>
  <c r="V1370" i="25"/>
  <c r="T1371" i="25" a="1"/>
  <c r="T1371" i="25"/>
  <c r="U1371" i="25" a="1"/>
  <c r="U1371" i="25"/>
  <c r="V1371" i="25"/>
  <c r="T1372" i="25" a="1"/>
  <c r="T1372" i="25"/>
  <c r="U1372" i="25" a="1"/>
  <c r="U1372" i="25"/>
  <c r="V1372" i="25"/>
  <c r="T1373" i="25" a="1"/>
  <c r="T1373" i="25"/>
  <c r="U1373" i="25" a="1"/>
  <c r="U1373" i="25"/>
  <c r="V1373" i="25"/>
  <c r="T1374" i="25" a="1"/>
  <c r="T1374" i="25"/>
  <c r="U1374" i="25" a="1"/>
  <c r="U1374" i="25"/>
  <c r="V1374" i="25"/>
  <c r="T1375" i="25" a="1"/>
  <c r="T1375" i="25"/>
  <c r="U1375" i="25" a="1"/>
  <c r="U1375" i="25"/>
  <c r="V1375" i="25"/>
  <c r="T1376" i="25" a="1"/>
  <c r="T1376" i="25"/>
  <c r="U1376" i="25" a="1"/>
  <c r="U1376" i="25"/>
  <c r="V1376" i="25"/>
  <c r="T1377" i="25" a="1"/>
  <c r="T1377" i="25"/>
  <c r="U1377" i="25" a="1"/>
  <c r="U1377" i="25"/>
  <c r="V1377" i="25"/>
  <c r="T1378" i="25" a="1"/>
  <c r="T1378" i="25"/>
  <c r="U1378" i="25" a="1"/>
  <c r="U1378" i="25"/>
  <c r="V1378" i="25"/>
  <c r="T1379" i="25" a="1"/>
  <c r="T1379" i="25"/>
  <c r="U1379" i="25" a="1"/>
  <c r="U1379" i="25"/>
  <c r="V1379" i="25"/>
  <c r="T1380" i="25" a="1"/>
  <c r="T1380" i="25"/>
  <c r="U1380" i="25" a="1"/>
  <c r="U1380" i="25"/>
  <c r="V1380" i="25"/>
  <c r="T1381" i="25" a="1"/>
  <c r="T1381" i="25"/>
  <c r="U1381" i="25" a="1"/>
  <c r="U1381" i="25"/>
  <c r="V1381" i="25"/>
  <c r="T1382" i="25" a="1"/>
  <c r="T1382" i="25"/>
  <c r="U1382" i="25" a="1"/>
  <c r="U1382" i="25"/>
  <c r="V1382" i="25"/>
  <c r="T1383" i="25" a="1"/>
  <c r="T1383" i="25"/>
  <c r="U1383" i="25" a="1"/>
  <c r="U1383" i="25"/>
  <c r="V1383" i="25"/>
  <c r="T1384" i="25" a="1"/>
  <c r="T1384" i="25"/>
  <c r="U1384" i="25" a="1"/>
  <c r="U1384" i="25"/>
  <c r="V1384" i="25"/>
  <c r="T1385" i="25" a="1"/>
  <c r="T1385" i="25"/>
  <c r="U1385" i="25" a="1"/>
  <c r="U1385" i="25"/>
  <c r="V1385" i="25"/>
  <c r="T1386" i="25" a="1"/>
  <c r="T1386" i="25"/>
  <c r="U1386" i="25" a="1"/>
  <c r="U1386" i="25"/>
  <c r="V1386" i="25"/>
  <c r="T1387" i="25" a="1"/>
  <c r="T1387" i="25"/>
  <c r="U1387" i="25" a="1"/>
  <c r="U1387" i="25"/>
  <c r="V1387" i="25"/>
  <c r="T1388" i="25" a="1"/>
  <c r="T1388" i="25"/>
  <c r="U1388" i="25" a="1"/>
  <c r="U1388" i="25"/>
  <c r="V1388" i="25"/>
  <c r="T1389" i="25" a="1"/>
  <c r="T1389" i="25"/>
  <c r="U1389" i="25" a="1"/>
  <c r="U1389" i="25"/>
  <c r="V1389" i="25"/>
  <c r="T1390" i="25" a="1"/>
  <c r="T1390" i="25"/>
  <c r="U1390" i="25" a="1"/>
  <c r="U1390" i="25"/>
  <c r="V1390" i="25"/>
  <c r="T1391" i="25" a="1"/>
  <c r="T1391" i="25"/>
  <c r="U1391" i="25" a="1"/>
  <c r="U1391" i="25"/>
  <c r="V1391" i="25"/>
  <c r="T1392" i="25" a="1"/>
  <c r="T1392" i="25"/>
  <c r="U1392" i="25" a="1"/>
  <c r="U1392" i="25"/>
  <c r="V1392" i="25"/>
  <c r="T1393" i="25" a="1"/>
  <c r="T1393" i="25"/>
  <c r="U1393" i="25" a="1"/>
  <c r="U1393" i="25"/>
  <c r="V1393" i="25"/>
  <c r="T1394" i="25" a="1"/>
  <c r="T1394" i="25"/>
  <c r="U1394" i="25" a="1"/>
  <c r="U1394" i="25"/>
  <c r="V1394" i="25"/>
  <c r="T1395" i="25" a="1"/>
  <c r="T1395" i="25"/>
  <c r="U1395" i="25" a="1"/>
  <c r="U1395" i="25"/>
  <c r="V1395" i="25"/>
  <c r="T1396" i="25" a="1"/>
  <c r="T1396" i="25"/>
  <c r="U1396" i="25" a="1"/>
  <c r="U1396" i="25"/>
  <c r="V1396" i="25"/>
  <c r="T1397" i="25" a="1"/>
  <c r="T1397" i="25"/>
  <c r="U1397" i="25" a="1"/>
  <c r="U1397" i="25"/>
  <c r="V1397" i="25"/>
  <c r="T1398" i="25" a="1"/>
  <c r="T1398" i="25"/>
  <c r="U1398" i="25" a="1"/>
  <c r="U1398" i="25"/>
  <c r="V1398" i="25"/>
  <c r="T1399" i="25" a="1"/>
  <c r="T1399" i="25"/>
  <c r="U1399" i="25" a="1"/>
  <c r="U1399" i="25"/>
  <c r="V1399" i="25"/>
  <c r="T1400" i="25" a="1"/>
  <c r="T1400" i="25"/>
  <c r="U1400" i="25" a="1"/>
  <c r="U1400" i="25"/>
  <c r="V1400" i="25"/>
  <c r="T1401" i="25" a="1"/>
  <c r="T1401" i="25"/>
  <c r="U1401" i="25" a="1"/>
  <c r="U1401" i="25"/>
  <c r="V1401" i="25"/>
  <c r="T1402" i="25" a="1"/>
  <c r="T1402" i="25"/>
  <c r="U1402" i="25" a="1"/>
  <c r="U1402" i="25"/>
  <c r="V1402" i="25"/>
  <c r="T1403" i="25" a="1"/>
  <c r="T1403" i="25"/>
  <c r="U1403" i="25" a="1"/>
  <c r="U1403" i="25"/>
  <c r="V1403" i="25"/>
  <c r="T1404" i="25" a="1"/>
  <c r="T1404" i="25"/>
  <c r="U1404" i="25" a="1"/>
  <c r="U1404" i="25"/>
  <c r="V1404" i="25"/>
  <c r="T1405" i="25" a="1"/>
  <c r="T1405" i="25"/>
  <c r="U1405" i="25" a="1"/>
  <c r="U1405" i="25"/>
  <c r="V1405" i="25"/>
  <c r="T1406" i="25" a="1"/>
  <c r="T1406" i="25"/>
  <c r="U1406" i="25" a="1"/>
  <c r="U1406" i="25"/>
  <c r="V1406" i="25"/>
  <c r="T1407" i="25" a="1"/>
  <c r="T1407" i="25"/>
  <c r="U1407" i="25" a="1"/>
  <c r="U1407" i="25"/>
  <c r="V1407" i="25"/>
  <c r="T1408" i="25" a="1"/>
  <c r="T1408" i="25"/>
  <c r="U1408" i="25" a="1"/>
  <c r="U1408" i="25"/>
  <c r="V1408" i="25"/>
  <c r="T1409" i="25" a="1"/>
  <c r="T1409" i="25"/>
  <c r="U1409" i="25" a="1"/>
  <c r="U1409" i="25"/>
  <c r="V1409" i="25"/>
  <c r="T1410" i="25" a="1"/>
  <c r="T1410" i="25"/>
  <c r="U1410" i="25" a="1"/>
  <c r="U1410" i="25"/>
  <c r="V1410" i="25"/>
  <c r="T1411" i="25" a="1"/>
  <c r="T1411" i="25"/>
  <c r="U1411" i="25" a="1"/>
  <c r="U1411" i="25"/>
  <c r="V1411" i="25"/>
  <c r="T1412" i="25" a="1"/>
  <c r="T1412" i="25"/>
  <c r="U1412" i="25" a="1"/>
  <c r="U1412" i="25"/>
  <c r="V1412" i="25"/>
  <c r="T1413" i="25" a="1"/>
  <c r="T1413" i="25"/>
  <c r="U1413" i="25" a="1"/>
  <c r="U1413" i="25"/>
  <c r="V1413" i="25"/>
  <c r="T1414" i="25" a="1"/>
  <c r="T1414" i="25"/>
  <c r="U1414" i="25" a="1"/>
  <c r="U1414" i="25"/>
  <c r="V1414" i="25"/>
  <c r="T1415" i="25" a="1"/>
  <c r="T1415" i="25"/>
  <c r="U1415" i="25" a="1"/>
  <c r="U1415" i="25"/>
  <c r="V1415" i="25"/>
  <c r="T1416" i="25" a="1"/>
  <c r="T1416" i="25"/>
  <c r="U1416" i="25" a="1"/>
  <c r="U1416" i="25"/>
  <c r="V1416" i="25"/>
  <c r="T1417" i="25" a="1"/>
  <c r="T1417" i="25"/>
  <c r="U1417" i="25" a="1"/>
  <c r="U1417" i="25"/>
  <c r="V1417" i="25"/>
  <c r="T1418" i="25" a="1"/>
  <c r="T1418" i="25"/>
  <c r="U1418" i="25" a="1"/>
  <c r="U1418" i="25"/>
  <c r="V1418" i="25"/>
  <c r="T1419" i="25" a="1"/>
  <c r="T1419" i="25"/>
  <c r="U1419" i="25" a="1"/>
  <c r="U1419" i="25"/>
  <c r="V1419" i="25"/>
  <c r="T1420" i="25" a="1"/>
  <c r="T1420" i="25"/>
  <c r="U1420" i="25" a="1"/>
  <c r="U1420" i="25"/>
  <c r="V1420" i="25"/>
  <c r="T1421" i="25" a="1"/>
  <c r="T1421" i="25"/>
  <c r="U1421" i="25" a="1"/>
  <c r="U1421" i="25"/>
  <c r="V1421" i="25"/>
  <c r="T1422" i="25" a="1"/>
  <c r="T1422" i="25"/>
  <c r="U1422" i="25" a="1"/>
  <c r="U1422" i="25"/>
  <c r="V1422" i="25"/>
  <c r="T1423" i="25" a="1"/>
  <c r="T1423" i="25"/>
  <c r="U1423" i="25" a="1"/>
  <c r="U1423" i="25"/>
  <c r="V1423" i="25"/>
  <c r="T1424" i="25" a="1"/>
  <c r="T1424" i="25"/>
  <c r="U1424" i="25" a="1"/>
  <c r="U1424" i="25"/>
  <c r="V1424" i="25"/>
  <c r="T1425" i="25" a="1"/>
  <c r="T1425" i="25"/>
  <c r="U1425" i="25" a="1"/>
  <c r="U1425" i="25"/>
  <c r="V1425" i="25"/>
  <c r="T1426" i="25" a="1"/>
  <c r="T1426" i="25"/>
  <c r="U1426" i="25" a="1"/>
  <c r="U1426" i="25"/>
  <c r="V1426" i="25"/>
  <c r="T1427" i="25" a="1"/>
  <c r="T1427" i="25"/>
  <c r="U1427" i="25" a="1"/>
  <c r="U1427" i="25"/>
  <c r="V1427" i="25"/>
  <c r="T1428" i="25" a="1"/>
  <c r="T1428" i="25"/>
  <c r="U1428" i="25" a="1"/>
  <c r="U1428" i="25"/>
  <c r="V1428" i="25"/>
  <c r="T1429" i="25" a="1"/>
  <c r="T1429" i="25"/>
  <c r="U1429" i="25" a="1"/>
  <c r="U1429" i="25"/>
  <c r="V1429" i="25"/>
  <c r="T1430" i="25" a="1"/>
  <c r="T1430" i="25"/>
  <c r="U1430" i="25" a="1"/>
  <c r="U1430" i="25"/>
  <c r="V1430" i="25"/>
  <c r="T1431" i="25" a="1"/>
  <c r="T1431" i="25"/>
  <c r="U1431" i="25" a="1"/>
  <c r="U1431" i="25"/>
  <c r="V1431" i="25"/>
  <c r="T1432" i="25" a="1"/>
  <c r="T1432" i="25"/>
  <c r="U1432" i="25" a="1"/>
  <c r="U1432" i="25"/>
  <c r="V1432" i="25"/>
  <c r="T1433" i="25" a="1"/>
  <c r="T1433" i="25"/>
  <c r="U1433" i="25" a="1"/>
  <c r="U1433" i="25"/>
  <c r="V1433" i="25"/>
  <c r="T1434" i="25" a="1"/>
  <c r="T1434" i="25"/>
  <c r="U1434" i="25" a="1"/>
  <c r="U1434" i="25"/>
  <c r="V1434" i="25"/>
  <c r="T1435" i="25" a="1"/>
  <c r="T1435" i="25"/>
  <c r="U1435" i="25" a="1"/>
  <c r="U1435" i="25"/>
  <c r="V1435" i="25"/>
  <c r="T1436" i="25" a="1"/>
  <c r="T1436" i="25"/>
  <c r="U1436" i="25" a="1"/>
  <c r="U1436" i="25"/>
  <c r="V1436" i="25"/>
  <c r="T1437" i="25" a="1"/>
  <c r="T1437" i="25"/>
  <c r="U1437" i="25" a="1"/>
  <c r="U1437" i="25"/>
  <c r="V1437" i="25"/>
  <c r="T1438" i="25" a="1"/>
  <c r="T1438" i="25"/>
  <c r="U1438" i="25" a="1"/>
  <c r="U1438" i="25"/>
  <c r="V1438" i="25"/>
  <c r="T1439" i="25" a="1"/>
  <c r="T1439" i="25"/>
  <c r="U1439" i="25" a="1"/>
  <c r="U1439" i="25"/>
  <c r="V1439" i="25"/>
  <c r="T1440" i="25" a="1"/>
  <c r="T1440" i="25"/>
  <c r="U1440" i="25" a="1"/>
  <c r="U1440" i="25"/>
  <c r="V1440" i="25"/>
  <c r="T1441" i="25" a="1"/>
  <c r="T1441" i="25"/>
  <c r="U1441" i="25" a="1"/>
  <c r="U1441" i="25"/>
  <c r="V1441" i="25"/>
  <c r="T1442" i="25" a="1"/>
  <c r="T1442" i="25"/>
  <c r="U1442" i="25" a="1"/>
  <c r="U1442" i="25"/>
  <c r="V1442" i="25"/>
  <c r="T1443" i="25" a="1"/>
  <c r="T1443" i="25"/>
  <c r="U1443" i="25" a="1"/>
  <c r="U1443" i="25"/>
  <c r="V1443" i="25"/>
  <c r="T1444" i="25" a="1"/>
  <c r="T1444" i="25"/>
  <c r="U1444" i="25" a="1"/>
  <c r="U1444" i="25"/>
  <c r="V1444" i="25"/>
  <c r="T1445" i="25" a="1"/>
  <c r="T1445" i="25"/>
  <c r="U1445" i="25" a="1"/>
  <c r="U1445" i="25"/>
  <c r="V1445" i="25"/>
  <c r="T1446" i="25" a="1"/>
  <c r="T1446" i="25"/>
  <c r="U1446" i="25" a="1"/>
  <c r="U1446" i="25"/>
  <c r="V1446" i="25"/>
  <c r="T1447" i="25" a="1"/>
  <c r="T1447" i="25"/>
  <c r="U1447" i="25" a="1"/>
  <c r="U1447" i="25"/>
  <c r="V1447" i="25"/>
  <c r="T1448" i="25" a="1"/>
  <c r="T1448" i="25"/>
  <c r="U1448" i="25" a="1"/>
  <c r="U1448" i="25"/>
  <c r="V1448" i="25"/>
  <c r="T1449" i="25" a="1"/>
  <c r="T1449" i="25"/>
  <c r="U1449" i="25" a="1"/>
  <c r="U1449" i="25"/>
  <c r="V1449" i="25"/>
  <c r="T1450" i="25" a="1"/>
  <c r="T1450" i="25"/>
  <c r="U1450" i="25" a="1"/>
  <c r="U1450" i="25"/>
  <c r="V1450" i="25"/>
  <c r="T1451" i="25" a="1"/>
  <c r="T1451" i="25"/>
  <c r="U1451" i="25" a="1"/>
  <c r="U1451" i="25"/>
  <c r="V1451" i="25"/>
  <c r="T1452" i="25" a="1"/>
  <c r="T1452" i="25"/>
  <c r="U1452" i="25" a="1"/>
  <c r="U1452" i="25"/>
  <c r="V1452" i="25"/>
  <c r="T1453" i="25" a="1"/>
  <c r="T1453" i="25"/>
  <c r="U1453" i="25" a="1"/>
  <c r="U1453" i="25"/>
  <c r="V1453" i="25"/>
  <c r="T1454" i="25" a="1"/>
  <c r="T1454" i="25"/>
  <c r="U1454" i="25" a="1"/>
  <c r="U1454" i="25"/>
  <c r="V1454" i="25"/>
  <c r="T1455" i="25" a="1"/>
  <c r="T1455" i="25"/>
  <c r="U1455" i="25" a="1"/>
  <c r="U1455" i="25"/>
  <c r="V1455" i="25"/>
  <c r="T1456" i="25" a="1"/>
  <c r="T1456" i="25"/>
  <c r="U1456" i="25" a="1"/>
  <c r="U1456" i="25"/>
  <c r="V1456" i="25"/>
  <c r="T1457" i="25" a="1"/>
  <c r="T1457" i="25"/>
  <c r="U1457" i="25" a="1"/>
  <c r="U1457" i="25"/>
  <c r="V1457" i="25"/>
  <c r="T1458" i="25" a="1"/>
  <c r="T1458" i="25"/>
  <c r="U1458" i="25" a="1"/>
  <c r="U1458" i="25"/>
  <c r="V1458" i="25"/>
  <c r="T1459" i="25" a="1"/>
  <c r="T1459" i="25"/>
  <c r="U1459" i="25" a="1"/>
  <c r="U1459" i="25"/>
  <c r="V1459" i="25"/>
  <c r="T1460" i="25" a="1"/>
  <c r="T1460" i="25"/>
  <c r="U1460" i="25" a="1"/>
  <c r="U1460" i="25"/>
  <c r="V1460" i="25"/>
  <c r="T1461" i="25" a="1"/>
  <c r="T1461" i="25"/>
  <c r="U1461" i="25" a="1"/>
  <c r="U1461" i="25"/>
  <c r="V1461" i="25"/>
  <c r="T1462" i="25" a="1"/>
  <c r="T1462" i="25"/>
  <c r="U1462" i="25" a="1"/>
  <c r="U1462" i="25"/>
  <c r="V1462" i="25"/>
  <c r="T1463" i="25" a="1"/>
  <c r="T1463" i="25"/>
  <c r="U1463" i="25" a="1"/>
  <c r="U1463" i="25"/>
  <c r="V1463" i="25"/>
  <c r="T1464" i="25" a="1"/>
  <c r="T1464" i="25"/>
  <c r="U1464" i="25" a="1"/>
  <c r="U1464" i="25"/>
  <c r="V1464" i="25"/>
  <c r="T1465" i="25" a="1"/>
  <c r="T1465" i="25"/>
  <c r="U1465" i="25" a="1"/>
  <c r="U1465" i="25"/>
  <c r="V1465" i="25"/>
  <c r="T1466" i="25" a="1"/>
  <c r="T1466" i="25"/>
  <c r="U1466" i="25" a="1"/>
  <c r="U1466" i="25"/>
  <c r="V1466" i="25"/>
  <c r="T1467" i="25" a="1"/>
  <c r="T1467" i="25"/>
  <c r="U1467" i="25" a="1"/>
  <c r="U1467" i="25"/>
  <c r="V1467" i="25"/>
  <c r="T1468" i="25" a="1"/>
  <c r="T1468" i="25"/>
  <c r="U1468" i="25" a="1"/>
  <c r="U1468" i="25"/>
  <c r="V1468" i="25"/>
  <c r="T1469" i="25" a="1"/>
  <c r="T1469" i="25"/>
  <c r="U1469" i="25" a="1"/>
  <c r="U1469" i="25"/>
  <c r="V1469" i="25"/>
  <c r="T1470" i="25" a="1"/>
  <c r="T1470" i="25"/>
  <c r="U1470" i="25" a="1"/>
  <c r="U1470" i="25"/>
  <c r="V1470" i="25"/>
  <c r="T1471" i="25" a="1"/>
  <c r="T1471" i="25"/>
  <c r="U1471" i="25" a="1"/>
  <c r="U1471" i="25"/>
  <c r="V1471" i="25"/>
  <c r="T1472" i="25" a="1"/>
  <c r="T1472" i="25"/>
  <c r="U1472" i="25" a="1"/>
  <c r="U1472" i="25"/>
  <c r="V1472" i="25"/>
  <c r="T1473" i="25" a="1"/>
  <c r="T1473" i="25"/>
  <c r="U1473" i="25" a="1"/>
  <c r="U1473" i="25"/>
  <c r="V1473" i="25"/>
  <c r="T1474" i="25" a="1"/>
  <c r="T1474" i="25"/>
  <c r="U1474" i="25" a="1"/>
  <c r="U1474" i="25"/>
  <c r="V1474" i="25"/>
  <c r="T1475" i="25" a="1"/>
  <c r="T1475" i="25"/>
  <c r="U1475" i="25" a="1"/>
  <c r="U1475" i="25"/>
  <c r="V1475" i="25"/>
  <c r="T1476" i="25" a="1"/>
  <c r="T1476" i="25"/>
  <c r="U1476" i="25" a="1"/>
  <c r="U1476" i="25"/>
  <c r="V1476" i="25"/>
  <c r="T1477" i="25" a="1"/>
  <c r="T1477" i="25"/>
  <c r="U1477" i="25" a="1"/>
  <c r="U1477" i="25"/>
  <c r="V1477" i="25"/>
  <c r="T1478" i="25" a="1"/>
  <c r="T1478" i="25"/>
  <c r="U1478" i="25" a="1"/>
  <c r="U1478" i="25"/>
  <c r="V1478" i="25"/>
  <c r="T1479" i="25" a="1"/>
  <c r="T1479" i="25"/>
  <c r="U1479" i="25" a="1"/>
  <c r="U1479" i="25"/>
  <c r="V1479" i="25"/>
  <c r="T1480" i="25" a="1"/>
  <c r="T1480" i="25"/>
  <c r="U1480" i="25" a="1"/>
  <c r="U1480" i="25"/>
  <c r="V1480" i="25"/>
  <c r="T1481" i="25" a="1"/>
  <c r="T1481" i="25"/>
  <c r="U1481" i="25" a="1"/>
  <c r="U1481" i="25"/>
  <c r="V1481" i="25"/>
  <c r="T1482" i="25" a="1"/>
  <c r="T1482" i="25"/>
  <c r="U1482" i="25" a="1"/>
  <c r="U1482" i="25"/>
  <c r="V1482" i="25"/>
  <c r="T1483" i="25" a="1"/>
  <c r="T1483" i="25"/>
  <c r="U1483" i="25" a="1"/>
  <c r="U1483" i="25"/>
  <c r="V1483" i="25"/>
  <c r="T1484" i="25" a="1"/>
  <c r="T1484" i="25"/>
  <c r="U1484" i="25" a="1"/>
  <c r="U1484" i="25"/>
  <c r="V1484" i="25"/>
  <c r="T1485" i="25" a="1"/>
  <c r="T1485" i="25"/>
  <c r="U1485" i="25" a="1"/>
  <c r="U1485" i="25"/>
  <c r="V1485" i="25"/>
  <c r="T1486" i="25" a="1"/>
  <c r="T1486" i="25"/>
  <c r="U1486" i="25" a="1"/>
  <c r="U1486" i="25"/>
  <c r="V1486" i="25"/>
  <c r="T1487" i="25" a="1"/>
  <c r="T1487" i="25"/>
  <c r="U1487" i="25" a="1"/>
  <c r="U1487" i="25"/>
  <c r="V1487" i="25"/>
  <c r="T1488" i="25" a="1"/>
  <c r="T1488" i="25"/>
  <c r="U1488" i="25" a="1"/>
  <c r="U1488" i="25"/>
  <c r="V1488" i="25"/>
  <c r="T1489" i="25" a="1"/>
  <c r="T1489" i="25"/>
  <c r="U1489" i="25" a="1"/>
  <c r="U1489" i="25"/>
  <c r="V1489" i="25"/>
  <c r="T1490" i="25" a="1"/>
  <c r="T1490" i="25"/>
  <c r="U1490" i="25" a="1"/>
  <c r="U1490" i="25"/>
  <c r="V1490" i="25"/>
  <c r="T1491" i="25" a="1"/>
  <c r="T1491" i="25"/>
  <c r="U1491" i="25" a="1"/>
  <c r="U1491" i="25"/>
  <c r="V1491" i="25"/>
  <c r="T1492" i="25" a="1"/>
  <c r="T1492" i="25"/>
  <c r="U1492" i="25" a="1"/>
  <c r="U1492" i="25"/>
  <c r="V1492" i="25"/>
  <c r="T1493" i="25" a="1"/>
  <c r="T1493" i="25"/>
  <c r="U1493" i="25" a="1"/>
  <c r="U1493" i="25"/>
  <c r="V1493" i="25"/>
  <c r="T1494" i="25" a="1"/>
  <c r="T1494" i="25"/>
  <c r="U1494" i="25" a="1"/>
  <c r="U1494" i="25"/>
  <c r="V1494" i="25"/>
  <c r="T1495" i="25" a="1"/>
  <c r="T1495" i="25"/>
  <c r="U1495" i="25" a="1"/>
  <c r="U1495" i="25"/>
  <c r="V1495" i="25"/>
  <c r="T1496" i="25" a="1"/>
  <c r="T1496" i="25"/>
  <c r="U1496" i="25" a="1"/>
  <c r="U1496" i="25"/>
  <c r="V1496" i="25"/>
  <c r="T1497" i="25" a="1"/>
  <c r="T1497" i="25"/>
  <c r="U1497" i="25" a="1"/>
  <c r="U1497" i="25"/>
  <c r="V1497" i="25"/>
  <c r="T1498" i="25" a="1"/>
  <c r="T1498" i="25"/>
  <c r="U1498" i="25" a="1"/>
  <c r="U1498" i="25"/>
  <c r="V1498" i="25"/>
  <c r="T1499" i="25" a="1"/>
  <c r="T1499" i="25"/>
  <c r="U1499" i="25" a="1"/>
  <c r="U1499" i="25"/>
  <c r="V1499" i="25"/>
  <c r="T1500" i="25" a="1"/>
  <c r="T1500" i="25"/>
  <c r="U1500" i="25" a="1"/>
  <c r="U1500" i="25"/>
  <c r="V1500" i="25"/>
  <c r="T1501" i="25" a="1"/>
  <c r="T1501" i="25"/>
  <c r="U1501" i="25" a="1"/>
  <c r="U1501" i="25"/>
  <c r="V1501" i="25"/>
  <c r="T1502" i="25" a="1"/>
  <c r="T1502" i="25"/>
  <c r="U1502" i="25" a="1"/>
  <c r="U1502" i="25"/>
  <c r="V1502" i="25"/>
  <c r="T1503" i="25" a="1"/>
  <c r="T1503" i="25"/>
  <c r="U1503" i="25" a="1"/>
  <c r="U1503" i="25"/>
  <c r="V1503" i="25"/>
  <c r="T1504" i="25" a="1"/>
  <c r="T1504" i="25"/>
  <c r="U1504" i="25" a="1"/>
  <c r="U1504" i="25"/>
  <c r="V1504" i="25"/>
  <c r="T1505" i="25" a="1"/>
  <c r="T1505" i="25"/>
  <c r="U1505" i="25" a="1"/>
  <c r="U1505" i="25"/>
  <c r="V1505" i="25"/>
  <c r="T1506" i="25" a="1"/>
  <c r="T1506" i="25"/>
  <c r="U1506" i="25" a="1"/>
  <c r="U1506" i="25"/>
  <c r="V1506" i="25"/>
  <c r="T1507" i="25" a="1"/>
  <c r="T1507" i="25"/>
  <c r="U1507" i="25" a="1"/>
  <c r="U1507" i="25"/>
  <c r="V1507" i="25"/>
  <c r="T1508" i="25" a="1"/>
  <c r="T1508" i="25"/>
  <c r="U1508" i="25" a="1"/>
  <c r="U1508" i="25"/>
  <c r="V1508" i="25"/>
  <c r="T1509" i="25" a="1"/>
  <c r="T1509" i="25"/>
  <c r="U1509" i="25" a="1"/>
  <c r="U1509" i="25"/>
  <c r="V1509" i="25"/>
  <c r="T1510" i="25" a="1"/>
  <c r="T1510" i="25"/>
  <c r="U1510" i="25" a="1"/>
  <c r="U1510" i="25"/>
  <c r="V1510" i="25"/>
  <c r="T1511" i="25" a="1"/>
  <c r="T1511" i="25"/>
  <c r="U1511" i="25" a="1"/>
  <c r="U1511" i="25"/>
  <c r="V1511" i="25"/>
  <c r="T1512" i="25" a="1"/>
  <c r="T1512" i="25"/>
  <c r="U1512" i="25" a="1"/>
  <c r="U1512" i="25"/>
  <c r="V1512" i="25"/>
  <c r="T1513" i="25" a="1"/>
  <c r="T1513" i="25"/>
  <c r="U1513" i="25" a="1"/>
  <c r="U1513" i="25"/>
  <c r="V1513" i="25"/>
  <c r="T1514" i="25" a="1"/>
  <c r="T1514" i="25"/>
  <c r="U1514" i="25" a="1"/>
  <c r="U1514" i="25"/>
  <c r="V1514" i="25"/>
  <c r="T1515" i="25" a="1"/>
  <c r="T1515" i="25"/>
  <c r="U1515" i="25" a="1"/>
  <c r="U1515" i="25"/>
  <c r="V1515" i="25"/>
  <c r="T1516" i="25" a="1"/>
  <c r="T1516" i="25"/>
  <c r="U1516" i="25" a="1"/>
  <c r="U1516" i="25"/>
  <c r="V1516" i="25"/>
  <c r="T1517" i="25" a="1"/>
  <c r="T1517" i="25"/>
  <c r="U1517" i="25" a="1"/>
  <c r="U1517" i="25"/>
  <c r="V1517" i="25"/>
  <c r="T1518" i="25" a="1"/>
  <c r="T1518" i="25"/>
  <c r="U1518" i="25" a="1"/>
  <c r="U1518" i="25"/>
  <c r="V1518" i="25"/>
  <c r="T1519" i="25" a="1"/>
  <c r="T1519" i="25"/>
  <c r="U1519" i="25" a="1"/>
  <c r="U1519" i="25"/>
  <c r="V1519" i="25"/>
  <c r="T1520" i="25" a="1"/>
  <c r="T1520" i="25"/>
  <c r="U1520" i="25" a="1"/>
  <c r="U1520" i="25"/>
  <c r="V1520" i="25"/>
  <c r="T1521" i="25" a="1"/>
  <c r="T1521" i="25"/>
  <c r="U1521" i="25" a="1"/>
  <c r="U1521" i="25"/>
  <c r="V1521" i="25"/>
  <c r="T1522" i="25" a="1"/>
  <c r="T1522" i="25"/>
  <c r="U1522" i="25" a="1"/>
  <c r="U1522" i="25"/>
  <c r="V1522" i="25"/>
  <c r="T1523" i="25" a="1"/>
  <c r="T1523" i="25"/>
  <c r="U1523" i="25" a="1"/>
  <c r="U1523" i="25"/>
  <c r="V1523" i="25"/>
  <c r="T1524" i="25" a="1"/>
  <c r="T1524" i="25"/>
  <c r="U1524" i="25" a="1"/>
  <c r="U1524" i="25"/>
  <c r="V1524" i="25"/>
  <c r="T1525" i="25" a="1"/>
  <c r="T1525" i="25"/>
  <c r="U1525" i="25" a="1"/>
  <c r="U1525" i="25"/>
  <c r="V1525" i="25"/>
  <c r="T1526" i="25" a="1"/>
  <c r="T1526" i="25"/>
  <c r="U1526" i="25" a="1"/>
  <c r="U1526" i="25"/>
  <c r="V1526" i="25"/>
  <c r="T1527" i="25" a="1"/>
  <c r="T1527" i="25"/>
  <c r="U1527" i="25" a="1"/>
  <c r="U1527" i="25"/>
  <c r="V1527" i="25"/>
  <c r="T1528" i="25" a="1"/>
  <c r="T1528" i="25"/>
  <c r="U1528" i="25" a="1"/>
  <c r="U1528" i="25"/>
  <c r="V1528" i="25"/>
  <c r="T1529" i="25" a="1"/>
  <c r="T1529" i="25"/>
  <c r="U1529" i="25" a="1"/>
  <c r="U1529" i="25"/>
  <c r="V1529" i="25"/>
  <c r="T1530" i="25" a="1"/>
  <c r="T1530" i="25"/>
  <c r="U1530" i="25" a="1"/>
  <c r="U1530" i="25"/>
  <c r="V1530" i="25"/>
  <c r="T1531" i="25" a="1"/>
  <c r="T1531" i="25"/>
  <c r="U1531" i="25" a="1"/>
  <c r="U1531" i="25"/>
  <c r="V1531" i="25"/>
  <c r="T1532" i="25" a="1"/>
  <c r="T1532" i="25"/>
  <c r="U1532" i="25" a="1"/>
  <c r="U1532" i="25"/>
  <c r="V1532" i="25"/>
  <c r="T1533" i="25" a="1"/>
  <c r="T1533" i="25"/>
  <c r="U1533" i="25" a="1"/>
  <c r="U1533" i="25"/>
  <c r="V1533" i="25"/>
  <c r="T1534" i="25" a="1"/>
  <c r="T1534" i="25"/>
  <c r="U1534" i="25" a="1"/>
  <c r="U1534" i="25"/>
  <c r="V1534" i="25"/>
  <c r="T1535" i="25" a="1"/>
  <c r="T1535" i="25"/>
  <c r="U1535" i="25" a="1"/>
  <c r="U1535" i="25"/>
  <c r="V1535" i="25"/>
  <c r="T1536" i="25" a="1"/>
  <c r="T1536" i="25"/>
  <c r="U1536" i="25" a="1"/>
  <c r="U1536" i="25"/>
  <c r="V1536" i="25"/>
  <c r="T1537" i="25" a="1"/>
  <c r="T1537" i="25"/>
  <c r="U1537" i="25" a="1"/>
  <c r="U1537" i="25"/>
  <c r="V1537" i="25"/>
  <c r="T1538" i="25" a="1"/>
  <c r="T1538" i="25"/>
  <c r="U1538" i="25" a="1"/>
  <c r="U1538" i="25"/>
  <c r="V1538" i="25"/>
  <c r="T1539" i="25" a="1"/>
  <c r="T1539" i="25"/>
  <c r="U1539" i="25" a="1"/>
  <c r="U1539" i="25"/>
  <c r="V1539" i="25"/>
  <c r="T1540" i="25" a="1"/>
  <c r="T1540" i="25"/>
  <c r="U1540" i="25" a="1"/>
  <c r="U1540" i="25"/>
  <c r="V1540" i="25"/>
  <c r="T1541" i="25" a="1"/>
  <c r="T1541" i="25"/>
  <c r="U1541" i="25" a="1"/>
  <c r="U1541" i="25"/>
  <c r="V1541" i="25"/>
  <c r="T1542" i="25" a="1"/>
  <c r="T1542" i="25"/>
  <c r="U1542" i="25" a="1"/>
  <c r="U1542" i="25"/>
  <c r="V1542" i="25"/>
  <c r="T1543" i="25" a="1"/>
  <c r="T1543" i="25"/>
  <c r="U1543" i="25" a="1"/>
  <c r="U1543" i="25"/>
  <c r="V1543" i="25"/>
  <c r="T1544" i="25" a="1"/>
  <c r="T1544" i="25"/>
  <c r="U1544" i="25" a="1"/>
  <c r="U1544" i="25"/>
  <c r="V1544" i="25"/>
  <c r="T1545" i="25" a="1"/>
  <c r="T1545" i="25"/>
  <c r="U1545" i="25" a="1"/>
  <c r="U1545" i="25"/>
  <c r="V1545" i="25"/>
  <c r="T1546" i="25" a="1"/>
  <c r="T1546" i="25"/>
  <c r="U1546" i="25" a="1"/>
  <c r="U1546" i="25"/>
  <c r="V1546" i="25"/>
  <c r="T1547" i="25" a="1"/>
  <c r="T1547" i="25"/>
  <c r="U1547" i="25" a="1"/>
  <c r="U1547" i="25"/>
  <c r="V1547" i="25"/>
  <c r="T1548" i="25" a="1"/>
  <c r="T1548" i="25"/>
  <c r="U1548" i="25" a="1"/>
  <c r="U1548" i="25"/>
  <c r="V1548" i="25"/>
  <c r="T1549" i="25" a="1"/>
  <c r="T1549" i="25"/>
  <c r="U1549" i="25" a="1"/>
  <c r="U1549" i="25"/>
  <c r="V1549" i="25"/>
  <c r="T1550" i="25" a="1"/>
  <c r="T1550" i="25"/>
  <c r="U1550" i="25" a="1"/>
  <c r="U1550" i="25"/>
  <c r="V1550" i="25"/>
  <c r="T1551" i="25" a="1"/>
  <c r="T1551" i="25"/>
  <c r="U1551" i="25" a="1"/>
  <c r="U1551" i="25"/>
  <c r="V1551" i="25"/>
  <c r="T1552" i="25" a="1"/>
  <c r="T1552" i="25"/>
  <c r="U1552" i="25" a="1"/>
  <c r="U1552" i="25"/>
  <c r="V1552" i="25"/>
  <c r="T1553" i="25" a="1"/>
  <c r="T1553" i="25"/>
  <c r="U1553" i="25" a="1"/>
  <c r="U1553" i="25"/>
  <c r="V1553" i="25"/>
  <c r="T1554" i="25" a="1"/>
  <c r="T1554" i="25"/>
  <c r="U1554" i="25" a="1"/>
  <c r="U1554" i="25"/>
  <c r="V1554" i="25"/>
  <c r="T1555" i="25" a="1"/>
  <c r="T1555" i="25"/>
  <c r="U1555" i="25" a="1"/>
  <c r="U1555" i="25"/>
  <c r="V1555" i="25"/>
  <c r="T1556" i="25" a="1"/>
  <c r="T1556" i="25"/>
  <c r="U1556" i="25" a="1"/>
  <c r="U1556" i="25"/>
  <c r="V1556" i="25"/>
  <c r="T1557" i="25" a="1"/>
  <c r="T1557" i="25"/>
  <c r="U1557" i="25" a="1"/>
  <c r="U1557" i="25"/>
  <c r="V1557" i="25"/>
  <c r="T1558" i="25" a="1"/>
  <c r="T1558" i="25"/>
  <c r="U1558" i="25" a="1"/>
  <c r="U1558" i="25"/>
  <c r="V1558" i="25"/>
  <c r="T1559" i="25" a="1"/>
  <c r="T1559" i="25"/>
  <c r="U1559" i="25" a="1"/>
  <c r="U1559" i="25"/>
  <c r="V1559" i="25"/>
  <c r="T1560" i="25" a="1"/>
  <c r="T1560" i="25"/>
  <c r="U1560" i="25" a="1"/>
  <c r="U1560" i="25"/>
  <c r="V1560" i="25"/>
  <c r="T1561" i="25" a="1"/>
  <c r="T1561" i="25"/>
  <c r="U1561" i="25" a="1"/>
  <c r="U1561" i="25"/>
  <c r="V1561" i="25"/>
  <c r="T1562" i="25" a="1"/>
  <c r="T1562" i="25"/>
  <c r="U1562" i="25" a="1"/>
  <c r="U1562" i="25"/>
  <c r="V1562" i="25"/>
  <c r="T1563" i="25" a="1"/>
  <c r="T1563" i="25"/>
  <c r="U1563" i="25" a="1"/>
  <c r="U1563" i="25"/>
  <c r="V1563" i="25"/>
  <c r="T1564" i="25" a="1"/>
  <c r="T1564" i="25"/>
  <c r="U1564" i="25" a="1"/>
  <c r="U1564" i="25"/>
  <c r="V1564" i="25"/>
  <c r="T1565" i="25" a="1"/>
  <c r="T1565" i="25"/>
  <c r="U1565" i="25" a="1"/>
  <c r="U1565" i="25"/>
  <c r="V1565" i="25"/>
  <c r="T1566" i="25" a="1"/>
  <c r="T1566" i="25"/>
  <c r="U1566" i="25" a="1"/>
  <c r="U1566" i="25"/>
  <c r="V1566" i="25"/>
  <c r="T1567" i="25" a="1"/>
  <c r="T1567" i="25"/>
  <c r="U1567" i="25" a="1"/>
  <c r="U1567" i="25"/>
  <c r="V1567" i="25"/>
  <c r="T1568" i="25" a="1"/>
  <c r="T1568" i="25"/>
  <c r="U1568" i="25" a="1"/>
  <c r="U1568" i="25"/>
  <c r="V1568" i="25"/>
  <c r="T1569" i="25" a="1"/>
  <c r="T1569" i="25"/>
  <c r="U1569" i="25" a="1"/>
  <c r="U1569" i="25"/>
  <c r="V1569" i="25"/>
  <c r="T1570" i="25" a="1"/>
  <c r="T1570" i="25"/>
  <c r="U1570" i="25" a="1"/>
  <c r="U1570" i="25"/>
  <c r="V1570" i="25"/>
  <c r="T1571" i="25" a="1"/>
  <c r="T1571" i="25"/>
  <c r="U1571" i="25" a="1"/>
  <c r="U1571" i="25"/>
  <c r="V1571" i="25"/>
  <c r="T1572" i="25" a="1"/>
  <c r="T1572" i="25"/>
  <c r="U1572" i="25" a="1"/>
  <c r="U1572" i="25"/>
  <c r="V1572" i="25"/>
  <c r="T1573" i="25" a="1"/>
  <c r="T1573" i="25"/>
  <c r="U1573" i="25" a="1"/>
  <c r="U1573" i="25"/>
  <c r="V1573" i="25"/>
  <c r="T1574" i="25" a="1"/>
  <c r="T1574" i="25"/>
  <c r="U1574" i="25" a="1"/>
  <c r="U1574" i="25"/>
  <c r="V1574" i="25"/>
  <c r="T1575" i="25" a="1"/>
  <c r="T1575" i="25"/>
  <c r="U1575" i="25" a="1"/>
  <c r="U1575" i="25"/>
  <c r="V1575" i="25"/>
  <c r="T1576" i="25" a="1"/>
  <c r="T1576" i="25"/>
  <c r="U1576" i="25" a="1"/>
  <c r="U1576" i="25"/>
  <c r="V1576" i="25"/>
  <c r="T1577" i="25" a="1"/>
  <c r="T1577" i="25"/>
  <c r="U1577" i="25" a="1"/>
  <c r="U1577" i="25"/>
  <c r="V1577" i="25"/>
  <c r="T1578" i="25" a="1"/>
  <c r="T1578" i="25"/>
  <c r="U1578" i="25" a="1"/>
  <c r="U1578" i="25"/>
  <c r="V1578" i="25"/>
  <c r="T1579" i="25" a="1"/>
  <c r="T1579" i="25"/>
  <c r="U1579" i="25" a="1"/>
  <c r="U1579" i="25"/>
  <c r="V1579" i="25"/>
  <c r="T1580" i="25" a="1"/>
  <c r="T1580" i="25"/>
  <c r="U1580" i="25" a="1"/>
  <c r="U1580" i="25"/>
  <c r="V1580" i="25"/>
  <c r="T1581" i="25" a="1"/>
  <c r="T1581" i="25"/>
  <c r="U1581" i="25" a="1"/>
  <c r="U1581" i="25"/>
  <c r="V1581" i="25"/>
  <c r="T1582" i="25" a="1"/>
  <c r="T1582" i="25"/>
  <c r="U1582" i="25" a="1"/>
  <c r="U1582" i="25"/>
  <c r="V1582" i="25"/>
  <c r="T1583" i="25" a="1"/>
  <c r="T1583" i="25"/>
  <c r="U1583" i="25" a="1"/>
  <c r="U1583" i="25"/>
  <c r="V1583" i="25"/>
  <c r="T1584" i="25" a="1"/>
  <c r="T1584" i="25"/>
  <c r="U1584" i="25" a="1"/>
  <c r="U1584" i="25"/>
  <c r="V1584" i="25"/>
  <c r="T1585" i="25" a="1"/>
  <c r="T1585" i="25"/>
  <c r="U1585" i="25" a="1"/>
  <c r="U1585" i="25"/>
  <c r="V1585" i="25"/>
  <c r="T1586" i="25" a="1"/>
  <c r="T1586" i="25"/>
  <c r="U1586" i="25" a="1"/>
  <c r="U1586" i="25"/>
  <c r="V1586" i="25"/>
  <c r="T1587" i="25" a="1"/>
  <c r="T1587" i="25"/>
  <c r="U1587" i="25" a="1"/>
  <c r="U1587" i="25"/>
  <c r="V1587" i="25"/>
  <c r="T1588" i="25" a="1"/>
  <c r="T1588" i="25"/>
  <c r="U1588" i="25" a="1"/>
  <c r="U1588" i="25"/>
  <c r="V1588" i="25"/>
  <c r="T1589" i="25" a="1"/>
  <c r="T1589" i="25"/>
  <c r="U1589" i="25" a="1"/>
  <c r="U1589" i="25"/>
  <c r="V1589" i="25"/>
  <c r="T1590" i="25" a="1"/>
  <c r="T1590" i="25"/>
  <c r="U1590" i="25" a="1"/>
  <c r="U1590" i="25"/>
  <c r="V1590" i="25"/>
  <c r="T1591" i="25" a="1"/>
  <c r="T1591" i="25"/>
  <c r="U1591" i="25" a="1"/>
  <c r="U1591" i="25"/>
  <c r="V1591" i="25"/>
  <c r="T1592" i="25" a="1"/>
  <c r="T1592" i="25"/>
  <c r="U1592" i="25" a="1"/>
  <c r="U1592" i="25"/>
  <c r="V1592" i="25"/>
  <c r="T1593" i="25" a="1"/>
  <c r="T1593" i="25"/>
  <c r="U1593" i="25" a="1"/>
  <c r="U1593" i="25"/>
  <c r="V1593" i="25"/>
  <c r="T1594" i="25" a="1"/>
  <c r="T1594" i="25"/>
  <c r="U1594" i="25" a="1"/>
  <c r="U1594" i="25"/>
  <c r="V1594" i="25"/>
  <c r="T1595" i="25" a="1"/>
  <c r="T1595" i="25"/>
  <c r="U1595" i="25" a="1"/>
  <c r="U1595" i="25"/>
  <c r="V1595" i="25"/>
  <c r="T1596" i="25" a="1"/>
  <c r="T1596" i="25"/>
  <c r="U1596" i="25" a="1"/>
  <c r="U1596" i="25"/>
  <c r="V1596" i="25"/>
  <c r="T1597" i="25" a="1"/>
  <c r="T1597" i="25"/>
  <c r="U1597" i="25" a="1"/>
  <c r="U1597" i="25"/>
  <c r="V1597" i="25"/>
  <c r="T1598" i="25" a="1"/>
  <c r="T1598" i="25"/>
  <c r="U1598" i="25" a="1"/>
  <c r="U1598" i="25"/>
  <c r="V1598" i="25"/>
  <c r="T1599" i="25" a="1"/>
  <c r="T1599" i="25"/>
  <c r="U1599" i="25" a="1"/>
  <c r="U1599" i="25"/>
  <c r="V1599" i="25"/>
  <c r="T1600" i="25" a="1"/>
  <c r="T1600" i="25"/>
  <c r="U1600" i="25" a="1"/>
  <c r="U1600" i="25"/>
  <c r="V1600" i="25"/>
  <c r="T1601" i="25" a="1"/>
  <c r="T1601" i="25"/>
  <c r="U1601" i="25" a="1"/>
  <c r="U1601" i="25"/>
  <c r="V1601" i="25"/>
  <c r="T1602" i="25" a="1"/>
  <c r="T1602" i="25"/>
  <c r="U1602" i="25" a="1"/>
  <c r="U1602" i="25"/>
  <c r="V1602" i="25"/>
  <c r="T1603" i="25" a="1"/>
  <c r="T1603" i="25"/>
  <c r="U1603" i="25" a="1"/>
  <c r="U1603" i="25"/>
  <c r="V1603" i="25"/>
  <c r="T1604" i="25" a="1"/>
  <c r="T1604" i="25"/>
  <c r="U1604" i="25" a="1"/>
  <c r="U1604" i="25"/>
  <c r="V1604" i="25"/>
  <c r="T1605" i="25" a="1"/>
  <c r="T1605" i="25"/>
  <c r="U1605" i="25" a="1"/>
  <c r="U1605" i="25"/>
  <c r="V1605" i="25"/>
  <c r="T1606" i="25" a="1"/>
  <c r="T1606" i="25"/>
  <c r="U1606" i="25" a="1"/>
  <c r="U1606" i="25"/>
  <c r="V1606" i="25"/>
  <c r="T1607" i="25" a="1"/>
  <c r="T1607" i="25"/>
  <c r="U1607" i="25" a="1"/>
  <c r="U1607" i="25"/>
  <c r="V1607" i="25"/>
  <c r="T1608" i="25" a="1"/>
  <c r="T1608" i="25"/>
  <c r="U1608" i="25" a="1"/>
  <c r="U1608" i="25"/>
  <c r="V1608" i="25"/>
  <c r="T1609" i="25" a="1"/>
  <c r="T1609" i="25"/>
  <c r="U1609" i="25" a="1"/>
  <c r="U1609" i="25"/>
  <c r="V1609" i="25"/>
  <c r="T1610" i="25" a="1"/>
  <c r="T1610" i="25"/>
  <c r="U1610" i="25" a="1"/>
  <c r="U1610" i="25"/>
  <c r="V1610" i="25"/>
  <c r="T1611" i="25" a="1"/>
  <c r="T1611" i="25"/>
  <c r="U1611" i="25" a="1"/>
  <c r="U1611" i="25"/>
  <c r="V1611" i="25"/>
  <c r="T1612" i="25" a="1"/>
  <c r="T1612" i="25"/>
  <c r="U1612" i="25" a="1"/>
  <c r="U1612" i="25"/>
  <c r="V1612" i="25"/>
  <c r="T1613" i="25" a="1"/>
  <c r="T1613" i="25"/>
  <c r="U1613" i="25" a="1"/>
  <c r="U1613" i="25"/>
  <c r="V1613" i="25"/>
  <c r="T1614" i="25" a="1"/>
  <c r="T1614" i="25"/>
  <c r="U1614" i="25" a="1"/>
  <c r="U1614" i="25"/>
  <c r="V1614" i="25"/>
  <c r="T1615" i="25" a="1"/>
  <c r="T1615" i="25"/>
  <c r="U1615" i="25" a="1"/>
  <c r="U1615" i="25"/>
  <c r="V1615" i="25"/>
  <c r="T1616" i="25" a="1"/>
  <c r="T1616" i="25"/>
  <c r="U1616" i="25" a="1"/>
  <c r="U1616" i="25"/>
  <c r="V1616" i="25"/>
  <c r="T1617" i="25" a="1"/>
  <c r="T1617" i="25"/>
  <c r="U1617" i="25" a="1"/>
  <c r="U1617" i="25"/>
  <c r="V1617" i="25"/>
  <c r="T1618" i="25" a="1"/>
  <c r="T1618" i="25"/>
  <c r="U1618" i="25" a="1"/>
  <c r="U1618" i="25"/>
  <c r="V1618" i="25"/>
  <c r="Y7" i="25"/>
  <c r="Y8" i="25"/>
  <c r="Y9" i="25"/>
  <c r="Y10" i="25"/>
  <c r="Y11" i="25"/>
  <c r="Y12" i="25"/>
  <c r="Y13" i="25"/>
  <c r="Y14" i="25"/>
  <c r="Y15" i="25"/>
  <c r="Y16" i="25"/>
  <c r="Y17" i="25"/>
  <c r="Y18" i="25"/>
  <c r="Y19" i="25"/>
  <c r="Y20" i="25"/>
  <c r="Y21" i="25"/>
  <c r="Y22" i="25"/>
  <c r="Y23" i="25"/>
  <c r="Y24" i="25"/>
  <c r="Y25" i="25"/>
  <c r="Y26" i="25"/>
  <c r="Y27" i="25"/>
  <c r="Y28" i="25"/>
  <c r="Y29" i="25"/>
  <c r="Y30" i="25"/>
  <c r="Y31" i="25"/>
  <c r="Y32" i="25"/>
  <c r="Y33" i="25"/>
  <c r="Y34" i="25"/>
  <c r="Y35" i="25"/>
  <c r="Y36" i="25"/>
  <c r="Y37" i="25"/>
  <c r="Y38" i="25"/>
  <c r="Y39" i="25"/>
  <c r="Y40" i="25"/>
  <c r="Y41" i="25"/>
  <c r="Y42" i="25"/>
  <c r="Y43" i="25"/>
  <c r="Y44" i="25"/>
  <c r="Y45" i="25"/>
  <c r="Y46" i="25"/>
  <c r="Y47" i="25"/>
  <c r="Y48" i="25"/>
  <c r="Y49" i="25"/>
  <c r="Y50" i="25"/>
  <c r="Y51" i="25"/>
  <c r="Y52" i="25"/>
  <c r="Y53" i="25"/>
  <c r="Y54" i="25"/>
  <c r="Y55" i="25"/>
  <c r="Y56" i="25"/>
  <c r="Y57" i="25"/>
  <c r="Y58" i="25"/>
  <c r="Y59" i="25"/>
  <c r="Y60" i="25"/>
  <c r="Y61" i="25"/>
  <c r="Y62" i="25"/>
  <c r="Y63" i="25"/>
  <c r="Y64" i="25"/>
  <c r="Y65" i="25"/>
  <c r="Y66" i="25"/>
  <c r="Y67" i="25"/>
  <c r="Y68" i="25"/>
  <c r="Y69" i="25"/>
  <c r="Y70" i="25"/>
  <c r="Y71" i="25"/>
  <c r="Y72" i="25"/>
  <c r="Y73" i="25"/>
  <c r="Y74" i="25"/>
  <c r="Y75" i="25"/>
  <c r="Y76" i="25"/>
  <c r="Y77" i="25"/>
  <c r="Y78" i="25"/>
  <c r="Y79" i="25"/>
  <c r="Y80" i="25"/>
  <c r="Y81" i="25"/>
  <c r="Y82" i="25"/>
  <c r="Y83" i="25"/>
  <c r="Y84" i="25"/>
  <c r="Y85" i="25"/>
  <c r="Y86" i="25"/>
  <c r="Y87" i="25"/>
  <c r="Y88" i="25"/>
  <c r="Y89" i="25"/>
  <c r="Y90" i="25"/>
  <c r="Y91" i="25"/>
  <c r="Y92" i="25"/>
  <c r="Y93" i="25"/>
  <c r="Y94" i="25"/>
  <c r="Y95" i="25"/>
  <c r="Y96" i="25"/>
  <c r="Y97" i="25"/>
  <c r="Y98" i="25"/>
  <c r="Y99" i="25"/>
  <c r="Y100" i="25"/>
  <c r="Y101" i="25"/>
  <c r="Y102" i="25"/>
  <c r="Y103" i="25"/>
  <c r="Y104" i="25"/>
  <c r="Y105" i="25"/>
  <c r="Y106" i="25"/>
  <c r="Y107" i="25"/>
  <c r="Y108" i="25"/>
  <c r="Y109" i="25"/>
  <c r="Y110" i="25"/>
  <c r="Y111" i="25"/>
  <c r="Y112" i="25"/>
  <c r="Y113" i="25"/>
  <c r="Y114" i="25"/>
  <c r="Y115" i="25"/>
  <c r="Y116" i="25"/>
  <c r="Y117" i="25"/>
  <c r="Y118" i="25"/>
  <c r="Y119" i="25"/>
  <c r="Y120" i="25"/>
  <c r="Y121" i="25"/>
  <c r="Y122" i="25"/>
  <c r="Y123" i="25"/>
  <c r="Y124" i="25"/>
  <c r="Y125" i="25"/>
  <c r="Y126" i="25"/>
  <c r="Y127" i="25"/>
  <c r="Y128" i="25"/>
  <c r="Y129" i="25"/>
  <c r="Y130" i="25"/>
  <c r="Y131" i="25"/>
  <c r="Y132" i="25"/>
  <c r="Y133" i="25"/>
  <c r="Y134" i="25"/>
  <c r="Y135" i="25"/>
  <c r="Y136" i="25"/>
  <c r="Y137" i="25"/>
  <c r="Y138" i="25"/>
  <c r="Y139" i="25"/>
  <c r="Y140" i="25"/>
  <c r="Y141" i="25"/>
  <c r="Y142" i="25"/>
  <c r="Y143" i="25"/>
  <c r="Y144" i="25"/>
  <c r="Y145" i="25"/>
  <c r="Y146" i="25"/>
  <c r="Y147" i="25"/>
  <c r="Y148" i="25"/>
  <c r="Y149" i="25"/>
  <c r="Y150" i="25"/>
  <c r="Y151" i="25"/>
  <c r="Y152" i="25"/>
  <c r="Y153" i="25"/>
  <c r="Y154" i="25"/>
  <c r="Y155" i="25"/>
  <c r="Y156" i="25"/>
  <c r="Y157" i="25"/>
  <c r="Y158" i="25"/>
  <c r="Y159" i="25"/>
  <c r="Y160" i="25"/>
  <c r="Y161" i="25"/>
  <c r="Y162" i="25"/>
  <c r="Y163" i="25"/>
  <c r="Y164" i="25"/>
  <c r="Y165" i="25"/>
  <c r="Y166" i="25"/>
  <c r="Y167" i="25"/>
  <c r="Y168" i="25"/>
  <c r="Y169" i="25"/>
  <c r="Y170" i="25"/>
  <c r="Y171" i="25"/>
  <c r="Y172" i="25"/>
  <c r="Y173" i="25"/>
  <c r="Y174" i="25"/>
  <c r="Y175" i="25"/>
  <c r="Y176" i="25"/>
  <c r="Y177" i="25"/>
  <c r="Y178" i="25"/>
  <c r="Y179" i="25"/>
  <c r="Y180" i="25"/>
  <c r="Y181" i="25"/>
  <c r="Y182" i="25"/>
  <c r="Y183" i="25"/>
  <c r="Y184" i="25"/>
  <c r="Y185" i="25"/>
  <c r="Y186" i="25"/>
  <c r="Y187" i="25"/>
  <c r="Y188" i="25"/>
  <c r="Y189" i="25"/>
  <c r="Y190" i="25"/>
  <c r="Y191" i="25"/>
  <c r="Y192" i="25"/>
  <c r="Y193" i="25"/>
  <c r="Y194" i="25"/>
  <c r="Y195" i="25"/>
  <c r="Y196" i="25"/>
  <c r="Y197" i="25"/>
  <c r="Y198" i="25"/>
  <c r="Y199" i="25"/>
  <c r="Y200" i="25"/>
  <c r="Y201" i="25"/>
  <c r="Y202" i="25"/>
  <c r="Y203" i="25"/>
  <c r="Y204" i="25"/>
  <c r="Y205" i="25"/>
  <c r="Y206" i="25"/>
  <c r="Y207" i="25"/>
  <c r="Y208" i="25"/>
  <c r="Y209" i="25"/>
  <c r="Y210" i="25"/>
  <c r="Y211" i="25"/>
  <c r="Y212" i="25"/>
  <c r="Y213" i="25"/>
  <c r="Y214" i="25"/>
  <c r="Y215" i="25"/>
  <c r="Y216" i="25"/>
  <c r="Y217" i="25"/>
  <c r="Y218" i="25"/>
  <c r="Y219" i="25"/>
  <c r="Y220" i="25"/>
  <c r="Y221" i="25"/>
  <c r="Y222" i="25"/>
  <c r="Y223" i="25"/>
  <c r="Y224" i="25"/>
  <c r="Y225" i="25"/>
  <c r="Y226" i="25"/>
  <c r="Y227" i="25"/>
  <c r="Y228" i="25"/>
  <c r="Y229" i="25"/>
  <c r="Y230" i="25"/>
  <c r="Y231" i="25"/>
  <c r="Y232" i="25"/>
  <c r="Y233" i="25"/>
  <c r="Y234" i="25"/>
  <c r="Y235" i="25"/>
  <c r="Y236" i="25"/>
  <c r="Y237" i="25"/>
  <c r="Y238" i="25"/>
  <c r="Y239" i="25"/>
  <c r="Y240" i="25"/>
  <c r="Y241" i="25"/>
  <c r="Y242" i="25"/>
  <c r="Y243" i="25"/>
  <c r="Y244" i="25"/>
  <c r="Y245" i="25"/>
  <c r="Y246" i="25"/>
  <c r="Y247" i="25"/>
  <c r="Y248" i="25"/>
  <c r="Y249" i="25"/>
  <c r="Y250" i="25"/>
  <c r="Y251" i="25"/>
  <c r="Y252" i="25"/>
  <c r="Y253" i="25"/>
  <c r="Y254" i="25"/>
  <c r="Y255" i="25"/>
  <c r="Y256" i="25"/>
  <c r="AA256" i="25"/>
  <c r="W256" i="25"/>
  <c r="AC256" i="25"/>
  <c r="Y257" i="25"/>
  <c r="AA257" i="25"/>
  <c r="W257" i="25"/>
  <c r="AC257" i="25"/>
  <c r="Y258" i="25"/>
  <c r="AA258" i="25"/>
  <c r="W258" i="25"/>
  <c r="AC258" i="25"/>
  <c r="Y259" i="25"/>
  <c r="AA259" i="25"/>
  <c r="W259" i="25"/>
  <c r="AC259" i="25"/>
  <c r="Y260" i="25"/>
  <c r="AA260" i="25"/>
  <c r="W260" i="25"/>
  <c r="AC260" i="25"/>
  <c r="Y261" i="25"/>
  <c r="AA261" i="25"/>
  <c r="W261" i="25"/>
  <c r="AC261" i="25"/>
  <c r="Y262" i="25"/>
  <c r="AA262" i="25"/>
  <c r="W262" i="25"/>
  <c r="AC262" i="25"/>
  <c r="Y263" i="25"/>
  <c r="AA263" i="25"/>
  <c r="W263" i="25"/>
  <c r="AC263" i="25"/>
  <c r="Y264" i="25"/>
  <c r="AA264" i="25"/>
  <c r="W264" i="25"/>
  <c r="AC264" i="25"/>
  <c r="Y265" i="25"/>
  <c r="AA265" i="25"/>
  <c r="W265" i="25"/>
  <c r="AC265" i="25"/>
  <c r="Y266" i="25"/>
  <c r="AA266" i="25"/>
  <c r="W266" i="25"/>
  <c r="AC266" i="25"/>
  <c r="Y267" i="25"/>
  <c r="AA267" i="25"/>
  <c r="W267" i="25"/>
  <c r="AC267" i="25"/>
  <c r="Y268" i="25"/>
  <c r="AA268" i="25"/>
  <c r="W268" i="25"/>
  <c r="AC268" i="25"/>
  <c r="Y269" i="25"/>
  <c r="AA269" i="25"/>
  <c r="W269" i="25"/>
  <c r="AC269" i="25"/>
  <c r="Y270" i="25"/>
  <c r="AA270" i="25"/>
  <c r="W270" i="25"/>
  <c r="AC270" i="25"/>
  <c r="Y271" i="25"/>
  <c r="AA271" i="25"/>
  <c r="W271" i="25"/>
  <c r="AC271" i="25"/>
  <c r="Y272" i="25"/>
  <c r="AA272" i="25"/>
  <c r="W272" i="25"/>
  <c r="AC272" i="25"/>
  <c r="Y273" i="25"/>
  <c r="AA273" i="25"/>
  <c r="W273" i="25"/>
  <c r="AC273" i="25"/>
  <c r="Y274" i="25"/>
  <c r="AA274" i="25"/>
  <c r="W274" i="25"/>
  <c r="AC274" i="25"/>
  <c r="Y275" i="25"/>
  <c r="AA275" i="25"/>
  <c r="W275" i="25"/>
  <c r="AC275" i="25"/>
  <c r="Y276" i="25"/>
  <c r="AA276" i="25"/>
  <c r="W276" i="25"/>
  <c r="AC276" i="25"/>
  <c r="Y277" i="25"/>
  <c r="AA277" i="25"/>
  <c r="W277" i="25"/>
  <c r="AC277" i="25"/>
  <c r="Y278" i="25"/>
  <c r="AA278" i="25"/>
  <c r="W278" i="25"/>
  <c r="AC278" i="25"/>
  <c r="Y279" i="25"/>
  <c r="AA279" i="25"/>
  <c r="W279" i="25"/>
  <c r="AC279" i="25"/>
  <c r="Y280" i="25"/>
  <c r="AA280" i="25"/>
  <c r="W280" i="25"/>
  <c r="AC280" i="25"/>
  <c r="Y281" i="25"/>
  <c r="AA281" i="25"/>
  <c r="W281" i="25"/>
  <c r="AC281" i="25"/>
  <c r="Y282" i="25"/>
  <c r="AA282" i="25"/>
  <c r="W282" i="25"/>
  <c r="AC282" i="25"/>
  <c r="Y283" i="25"/>
  <c r="AA283" i="25"/>
  <c r="W283" i="25"/>
  <c r="AC283" i="25"/>
  <c r="Y284" i="25"/>
  <c r="AA284" i="25"/>
  <c r="W284" i="25"/>
  <c r="AC284" i="25"/>
  <c r="Y285" i="25"/>
  <c r="AA285" i="25"/>
  <c r="W285" i="25"/>
  <c r="AC285" i="25"/>
  <c r="Y286" i="25"/>
  <c r="AA286" i="25"/>
  <c r="W286" i="25"/>
  <c r="AC286" i="25"/>
  <c r="Y287" i="25"/>
  <c r="AA287" i="25"/>
  <c r="W287" i="25"/>
  <c r="AC287" i="25"/>
  <c r="Y288" i="25"/>
  <c r="AA288" i="25"/>
  <c r="W288" i="25"/>
  <c r="AC288" i="25"/>
  <c r="Y289" i="25"/>
  <c r="AA289" i="25"/>
  <c r="W289" i="25"/>
  <c r="AC289" i="25"/>
  <c r="Y290" i="25"/>
  <c r="AA290" i="25"/>
  <c r="W290" i="25"/>
  <c r="AC290" i="25"/>
  <c r="Y291" i="25"/>
  <c r="AA291" i="25"/>
  <c r="W291" i="25"/>
  <c r="AC291" i="25"/>
  <c r="Y292" i="25"/>
  <c r="AA292" i="25"/>
  <c r="W292" i="25"/>
  <c r="AC292" i="25"/>
  <c r="Y293" i="25"/>
  <c r="AA293" i="25"/>
  <c r="W293" i="25"/>
  <c r="AC293" i="25"/>
  <c r="Y294" i="25"/>
  <c r="AA294" i="25"/>
  <c r="W294" i="25"/>
  <c r="AC294" i="25"/>
  <c r="Y295" i="25"/>
  <c r="AA295" i="25"/>
  <c r="W295" i="25"/>
  <c r="AC295" i="25"/>
  <c r="Y296" i="25"/>
  <c r="AA296" i="25"/>
  <c r="W296" i="25"/>
  <c r="AC296" i="25"/>
  <c r="Y297" i="25"/>
  <c r="AA297" i="25"/>
  <c r="W297" i="25"/>
  <c r="AC297" i="25"/>
  <c r="Y298" i="25"/>
  <c r="AA298" i="25"/>
  <c r="W298" i="25"/>
  <c r="AC298" i="25"/>
  <c r="Y299" i="25"/>
  <c r="AA299" i="25"/>
  <c r="W299" i="25"/>
  <c r="AC299" i="25"/>
  <c r="Y300" i="25"/>
  <c r="AA300" i="25"/>
  <c r="W300" i="25"/>
  <c r="AC300" i="25"/>
  <c r="Y301" i="25"/>
  <c r="AA301" i="25"/>
  <c r="W301" i="25"/>
  <c r="AC301" i="25"/>
  <c r="Y302" i="25"/>
  <c r="AA302" i="25"/>
  <c r="W302" i="25"/>
  <c r="AC302" i="25"/>
  <c r="Y303" i="25"/>
  <c r="AA303" i="25"/>
  <c r="W303" i="25"/>
  <c r="AC303" i="25"/>
  <c r="Y304" i="25"/>
  <c r="AA304" i="25"/>
  <c r="W304" i="25"/>
  <c r="AC304" i="25"/>
  <c r="Y305" i="25"/>
  <c r="AA305" i="25"/>
  <c r="W305" i="25"/>
  <c r="AC305" i="25"/>
  <c r="Y306" i="25"/>
  <c r="AA306" i="25"/>
  <c r="W306" i="25"/>
  <c r="AC306" i="25"/>
  <c r="Y307" i="25"/>
  <c r="AA307" i="25"/>
  <c r="W307" i="25"/>
  <c r="AC307" i="25"/>
  <c r="Y308" i="25"/>
  <c r="AA308" i="25"/>
  <c r="W308" i="25"/>
  <c r="AC308" i="25"/>
  <c r="Y309" i="25"/>
  <c r="AA309" i="25"/>
  <c r="W309" i="25"/>
  <c r="AC309" i="25"/>
  <c r="Y310" i="25"/>
  <c r="AA310" i="25"/>
  <c r="W310" i="25"/>
  <c r="AC310" i="25"/>
  <c r="Y311" i="25"/>
  <c r="AA311" i="25"/>
  <c r="W311" i="25"/>
  <c r="AC311" i="25"/>
  <c r="Y312" i="25"/>
  <c r="AA312" i="25"/>
  <c r="W312" i="25"/>
  <c r="AC312" i="25"/>
  <c r="Y313" i="25"/>
  <c r="AA313" i="25"/>
  <c r="W313" i="25"/>
  <c r="AC313" i="25"/>
  <c r="Y314" i="25"/>
  <c r="AA314" i="25"/>
  <c r="W314" i="25"/>
  <c r="AC314" i="25"/>
  <c r="Y315" i="25"/>
  <c r="AA315" i="25"/>
  <c r="W315" i="25"/>
  <c r="AC315" i="25"/>
  <c r="Y316" i="25"/>
  <c r="AA316" i="25"/>
  <c r="W316" i="25"/>
  <c r="AC316" i="25"/>
  <c r="Y317" i="25"/>
  <c r="AA317" i="25"/>
  <c r="W317" i="25"/>
  <c r="AC317" i="25"/>
  <c r="Y318" i="25"/>
  <c r="AA318" i="25"/>
  <c r="W318" i="25"/>
  <c r="AC318" i="25"/>
  <c r="Y319" i="25"/>
  <c r="AA319" i="25"/>
  <c r="W319" i="25"/>
  <c r="AC319" i="25"/>
  <c r="Y320" i="25"/>
  <c r="AA320" i="25"/>
  <c r="W320" i="25"/>
  <c r="AC320" i="25"/>
  <c r="Y321" i="25"/>
  <c r="AA321" i="25"/>
  <c r="W321" i="25"/>
  <c r="AC321" i="25"/>
  <c r="Y322" i="25"/>
  <c r="AA322" i="25"/>
  <c r="W322" i="25"/>
  <c r="AC322" i="25"/>
  <c r="Y323" i="25"/>
  <c r="AA323" i="25"/>
  <c r="W323" i="25"/>
  <c r="AC323" i="25"/>
  <c r="Y324" i="25"/>
  <c r="AA324" i="25"/>
  <c r="W324" i="25"/>
  <c r="AC324" i="25"/>
  <c r="Y325" i="25"/>
  <c r="AA325" i="25"/>
  <c r="W325" i="25"/>
  <c r="AC325" i="25"/>
  <c r="Y326" i="25"/>
  <c r="AA326" i="25"/>
  <c r="W326" i="25"/>
  <c r="AC326" i="25"/>
  <c r="Y327" i="25"/>
  <c r="AA327" i="25"/>
  <c r="W327" i="25"/>
  <c r="AC327" i="25"/>
  <c r="Y328" i="25"/>
  <c r="AA328" i="25"/>
  <c r="W328" i="25"/>
  <c r="AC328" i="25"/>
  <c r="Y329" i="25"/>
  <c r="AA329" i="25"/>
  <c r="W329" i="25"/>
  <c r="AC329" i="25"/>
  <c r="Y330" i="25"/>
  <c r="AA330" i="25"/>
  <c r="W330" i="25"/>
  <c r="AC330" i="25"/>
  <c r="Y331" i="25"/>
  <c r="AA331" i="25"/>
  <c r="W331" i="25"/>
  <c r="AC331" i="25"/>
  <c r="Y332" i="25"/>
  <c r="AA332" i="25"/>
  <c r="W332" i="25"/>
  <c r="AC332" i="25"/>
  <c r="Y333" i="25"/>
  <c r="AA333" i="25"/>
  <c r="W333" i="25"/>
  <c r="AC333" i="25"/>
  <c r="Y334" i="25"/>
  <c r="AA334" i="25"/>
  <c r="W334" i="25"/>
  <c r="AC334" i="25"/>
  <c r="Y335" i="25"/>
  <c r="AA335" i="25"/>
  <c r="W335" i="25"/>
  <c r="AC335" i="25"/>
  <c r="Y336" i="25"/>
  <c r="AA336" i="25"/>
  <c r="W336" i="25"/>
  <c r="AC336" i="25"/>
  <c r="Y337" i="25"/>
  <c r="AA337" i="25"/>
  <c r="W337" i="25"/>
  <c r="AC337" i="25"/>
  <c r="Y338" i="25"/>
  <c r="AA338" i="25"/>
  <c r="W338" i="25"/>
  <c r="AC338" i="25"/>
  <c r="Y339" i="25"/>
  <c r="AA339" i="25"/>
  <c r="W339" i="25"/>
  <c r="AC339" i="25"/>
  <c r="Y340" i="25"/>
  <c r="AA340" i="25"/>
  <c r="W340" i="25"/>
  <c r="AC340" i="25"/>
  <c r="Y341" i="25"/>
  <c r="AA341" i="25"/>
  <c r="W341" i="25"/>
  <c r="AC341" i="25"/>
  <c r="Y342" i="25"/>
  <c r="AA342" i="25"/>
  <c r="W342" i="25"/>
  <c r="AC342" i="25"/>
  <c r="Y343" i="25"/>
  <c r="AA343" i="25"/>
  <c r="W343" i="25"/>
  <c r="AC343" i="25"/>
  <c r="Y344" i="25"/>
  <c r="AA344" i="25"/>
  <c r="W344" i="25"/>
  <c r="AC344" i="25"/>
  <c r="Y345" i="25"/>
  <c r="AA345" i="25"/>
  <c r="W345" i="25"/>
  <c r="AC345" i="25"/>
  <c r="Y346" i="25"/>
  <c r="AA346" i="25"/>
  <c r="W346" i="25"/>
  <c r="AC346" i="25"/>
  <c r="Y347" i="25"/>
  <c r="AA347" i="25"/>
  <c r="W347" i="25"/>
  <c r="AC347" i="25"/>
  <c r="Y348" i="25"/>
  <c r="AA348" i="25"/>
  <c r="W348" i="25"/>
  <c r="AC348" i="25"/>
  <c r="Y349" i="25"/>
  <c r="AA349" i="25"/>
  <c r="W349" i="25"/>
  <c r="AC349" i="25"/>
  <c r="Y350" i="25"/>
  <c r="AA350" i="25"/>
  <c r="W350" i="25"/>
  <c r="AC350" i="25"/>
  <c r="Y351" i="25"/>
  <c r="AA351" i="25"/>
  <c r="W351" i="25"/>
  <c r="AC351" i="25"/>
  <c r="Y352" i="25"/>
  <c r="AA352" i="25"/>
  <c r="W352" i="25"/>
  <c r="AC352" i="25"/>
  <c r="Y353" i="25"/>
  <c r="AA353" i="25"/>
  <c r="W353" i="25"/>
  <c r="AC353" i="25"/>
  <c r="Y354" i="25"/>
  <c r="AA354" i="25"/>
  <c r="W354" i="25"/>
  <c r="AC354" i="25"/>
  <c r="Y355" i="25"/>
  <c r="AA355" i="25"/>
  <c r="W355" i="25"/>
  <c r="AC355" i="25"/>
  <c r="Y356" i="25"/>
  <c r="AA356" i="25"/>
  <c r="W356" i="25"/>
  <c r="AC356" i="25"/>
  <c r="Y357" i="25"/>
  <c r="AA357" i="25"/>
  <c r="W357" i="25"/>
  <c r="AC357" i="25"/>
  <c r="Y358" i="25"/>
  <c r="AA358" i="25"/>
  <c r="W358" i="25"/>
  <c r="AC358" i="25"/>
  <c r="Y359" i="25"/>
  <c r="AA359" i="25"/>
  <c r="W359" i="25"/>
  <c r="AC359" i="25"/>
  <c r="Y360" i="25"/>
  <c r="AA360" i="25"/>
  <c r="W360" i="25"/>
  <c r="AC360" i="25"/>
  <c r="Y361" i="25"/>
  <c r="AA361" i="25"/>
  <c r="W361" i="25"/>
  <c r="AC361" i="25"/>
  <c r="Y362" i="25"/>
  <c r="AA362" i="25"/>
  <c r="W362" i="25"/>
  <c r="AC362" i="25"/>
  <c r="Y363" i="25"/>
  <c r="AA363" i="25"/>
  <c r="W363" i="25"/>
  <c r="AC363" i="25"/>
  <c r="Y364" i="25"/>
  <c r="AA364" i="25"/>
  <c r="W364" i="25"/>
  <c r="AC364" i="25"/>
  <c r="Y365" i="25"/>
  <c r="AA365" i="25"/>
  <c r="W365" i="25"/>
  <c r="AC365" i="25"/>
  <c r="Y366" i="25"/>
  <c r="AA366" i="25"/>
  <c r="W366" i="25"/>
  <c r="AC366" i="25"/>
  <c r="Y367" i="25"/>
  <c r="AA367" i="25"/>
  <c r="W367" i="25"/>
  <c r="AC367" i="25"/>
  <c r="Y368" i="25"/>
  <c r="AA368" i="25"/>
  <c r="W368" i="25"/>
  <c r="AC368" i="25"/>
  <c r="Y369" i="25"/>
  <c r="AA369" i="25"/>
  <c r="W369" i="25"/>
  <c r="AC369" i="25"/>
  <c r="Y370" i="25"/>
  <c r="AA370" i="25"/>
  <c r="W370" i="25"/>
  <c r="AC370" i="25"/>
  <c r="Y371" i="25"/>
  <c r="AA371" i="25"/>
  <c r="W371" i="25"/>
  <c r="AC371" i="25"/>
  <c r="Y372" i="25"/>
  <c r="AA372" i="25"/>
  <c r="W372" i="25"/>
  <c r="AC372" i="25"/>
  <c r="Y373" i="25"/>
  <c r="AA373" i="25"/>
  <c r="W373" i="25"/>
  <c r="AC373" i="25"/>
  <c r="Y374" i="25"/>
  <c r="AA374" i="25"/>
  <c r="W374" i="25"/>
  <c r="AC374" i="25"/>
  <c r="Y375" i="25"/>
  <c r="AA375" i="25"/>
  <c r="W375" i="25"/>
  <c r="AC375" i="25"/>
  <c r="Y376" i="25"/>
  <c r="AA376" i="25"/>
  <c r="W376" i="25"/>
  <c r="AC376" i="25"/>
  <c r="Y377" i="25"/>
  <c r="AA377" i="25"/>
  <c r="W377" i="25"/>
  <c r="AC377" i="25"/>
  <c r="Y378" i="25"/>
  <c r="AA378" i="25"/>
  <c r="W378" i="25"/>
  <c r="AC378" i="25"/>
  <c r="Y379" i="25"/>
  <c r="AA379" i="25"/>
  <c r="W379" i="25"/>
  <c r="AC379" i="25"/>
  <c r="Y380" i="25"/>
  <c r="AA380" i="25"/>
  <c r="W380" i="25"/>
  <c r="AC380" i="25"/>
  <c r="Y381" i="25"/>
  <c r="AA381" i="25"/>
  <c r="W381" i="25"/>
  <c r="AC381" i="25"/>
  <c r="Y382" i="25"/>
  <c r="AA382" i="25"/>
  <c r="W382" i="25"/>
  <c r="AC382" i="25"/>
  <c r="Y383" i="25"/>
  <c r="AA383" i="25"/>
  <c r="W383" i="25"/>
  <c r="AC383" i="25"/>
  <c r="Y384" i="25"/>
  <c r="AA384" i="25"/>
  <c r="W384" i="25"/>
  <c r="AC384" i="25"/>
  <c r="Y385" i="25"/>
  <c r="AA385" i="25"/>
  <c r="W385" i="25"/>
  <c r="AC385" i="25"/>
  <c r="Y386" i="25"/>
  <c r="AA386" i="25"/>
  <c r="W386" i="25"/>
  <c r="AC386" i="25"/>
  <c r="Y387" i="25"/>
  <c r="AA387" i="25"/>
  <c r="W387" i="25"/>
  <c r="AC387" i="25"/>
  <c r="Y388" i="25"/>
  <c r="AA388" i="25"/>
  <c r="W388" i="25"/>
  <c r="AC388" i="25"/>
  <c r="Y389" i="25"/>
  <c r="AA389" i="25"/>
  <c r="W389" i="25"/>
  <c r="AC389" i="25"/>
  <c r="Y390" i="25"/>
  <c r="AA390" i="25"/>
  <c r="W390" i="25"/>
  <c r="AC390" i="25"/>
  <c r="Y391" i="25"/>
  <c r="AA391" i="25"/>
  <c r="W391" i="25"/>
  <c r="AC391" i="25"/>
  <c r="Y392" i="25"/>
  <c r="AA392" i="25"/>
  <c r="W392" i="25"/>
  <c r="AC392" i="25"/>
  <c r="Y393" i="25"/>
  <c r="AA393" i="25"/>
  <c r="W393" i="25"/>
  <c r="AC393" i="25"/>
  <c r="Y394" i="25"/>
  <c r="AA394" i="25"/>
  <c r="W394" i="25"/>
  <c r="AC394" i="25"/>
  <c r="Y395" i="25"/>
  <c r="AA395" i="25"/>
  <c r="W395" i="25"/>
  <c r="AC395" i="25"/>
  <c r="Y396" i="25"/>
  <c r="AA396" i="25"/>
  <c r="W396" i="25"/>
  <c r="AC396" i="25"/>
  <c r="Y397" i="25"/>
  <c r="AA397" i="25"/>
  <c r="W397" i="25"/>
  <c r="AC397" i="25"/>
  <c r="Y398" i="25"/>
  <c r="AA398" i="25"/>
  <c r="W398" i="25"/>
  <c r="AC398" i="25"/>
  <c r="Y399" i="25"/>
  <c r="AA399" i="25"/>
  <c r="W399" i="25"/>
  <c r="AC399" i="25"/>
  <c r="Y400" i="25"/>
  <c r="AA400" i="25"/>
  <c r="W400" i="25"/>
  <c r="AC400" i="25"/>
  <c r="Y401" i="25"/>
  <c r="AA401" i="25"/>
  <c r="W401" i="25"/>
  <c r="AC401" i="25"/>
  <c r="Y402" i="25"/>
  <c r="AA402" i="25"/>
  <c r="W402" i="25"/>
  <c r="AC402" i="25"/>
  <c r="Y403" i="25"/>
  <c r="AA403" i="25"/>
  <c r="W403" i="25"/>
  <c r="AC403" i="25"/>
  <c r="Y404" i="25"/>
  <c r="AA404" i="25"/>
  <c r="W404" i="25"/>
  <c r="AC404" i="25"/>
  <c r="Y405" i="25"/>
  <c r="AA405" i="25"/>
  <c r="W405" i="25"/>
  <c r="AC405" i="25"/>
  <c r="Y406" i="25"/>
  <c r="AA406" i="25"/>
  <c r="W406" i="25"/>
  <c r="AC406" i="25"/>
  <c r="Y407" i="25"/>
  <c r="AA407" i="25"/>
  <c r="W407" i="25"/>
  <c r="AC407" i="25"/>
  <c r="Y408" i="25"/>
  <c r="AA408" i="25"/>
  <c r="W408" i="25"/>
  <c r="AC408" i="25"/>
  <c r="Y409" i="25"/>
  <c r="AA409" i="25"/>
  <c r="W409" i="25"/>
  <c r="AC409" i="25"/>
  <c r="Y410" i="25"/>
  <c r="AA410" i="25"/>
  <c r="W410" i="25"/>
  <c r="AC410" i="25"/>
  <c r="Y411" i="25"/>
  <c r="AA411" i="25"/>
  <c r="W411" i="25"/>
  <c r="AC411" i="25"/>
  <c r="Y412" i="25"/>
  <c r="AA412" i="25"/>
  <c r="W412" i="25"/>
  <c r="AC412" i="25"/>
  <c r="Y413" i="25"/>
  <c r="AA413" i="25"/>
  <c r="W413" i="25"/>
  <c r="AC413" i="25"/>
  <c r="Y414" i="25"/>
  <c r="AA414" i="25"/>
  <c r="W414" i="25"/>
  <c r="AC414" i="25"/>
  <c r="Y415" i="25"/>
  <c r="AA415" i="25"/>
  <c r="W415" i="25"/>
  <c r="AC415" i="25"/>
  <c r="Y416" i="25"/>
  <c r="AA416" i="25"/>
  <c r="W416" i="25"/>
  <c r="AC416" i="25"/>
  <c r="Y417" i="25"/>
  <c r="AA417" i="25"/>
  <c r="W417" i="25"/>
  <c r="AC417" i="25"/>
  <c r="Y418" i="25"/>
  <c r="AA418" i="25"/>
  <c r="W418" i="25"/>
  <c r="AC418" i="25"/>
  <c r="Y419" i="25"/>
  <c r="AA419" i="25"/>
  <c r="W419" i="25"/>
  <c r="AC419" i="25"/>
  <c r="Y420" i="25"/>
  <c r="AA420" i="25"/>
  <c r="W420" i="25"/>
  <c r="AC420" i="25"/>
  <c r="Y421" i="25"/>
  <c r="AA421" i="25"/>
  <c r="W421" i="25"/>
  <c r="AC421" i="25"/>
  <c r="Y422" i="25"/>
  <c r="AA422" i="25"/>
  <c r="W422" i="25"/>
  <c r="AC422" i="25"/>
  <c r="Y423" i="25"/>
  <c r="AA423" i="25"/>
  <c r="W423" i="25"/>
  <c r="AC423" i="25"/>
  <c r="Y424" i="25"/>
  <c r="AA424" i="25"/>
  <c r="W424" i="25"/>
  <c r="AC424" i="25"/>
  <c r="Y425" i="25"/>
  <c r="AA425" i="25"/>
  <c r="W425" i="25"/>
  <c r="AC425" i="25"/>
  <c r="Y426" i="25"/>
  <c r="AA426" i="25"/>
  <c r="W426" i="25"/>
  <c r="AC426" i="25"/>
  <c r="Y427" i="25"/>
  <c r="AA427" i="25"/>
  <c r="W427" i="25"/>
  <c r="AC427" i="25"/>
  <c r="Y428" i="25"/>
  <c r="AA428" i="25"/>
  <c r="W428" i="25"/>
  <c r="AC428" i="25"/>
  <c r="Y429" i="25"/>
  <c r="AA429" i="25"/>
  <c r="W429" i="25"/>
  <c r="AC429" i="25"/>
  <c r="Y430" i="25"/>
  <c r="AA430" i="25"/>
  <c r="W430" i="25"/>
  <c r="AC430" i="25"/>
  <c r="Y431" i="25"/>
  <c r="AA431" i="25"/>
  <c r="W431" i="25"/>
  <c r="AC431" i="25"/>
  <c r="Y432" i="25"/>
  <c r="AA432" i="25"/>
  <c r="W432" i="25"/>
  <c r="AC432" i="25"/>
  <c r="Y433" i="25"/>
  <c r="AA433" i="25"/>
  <c r="W433" i="25"/>
  <c r="AC433" i="25"/>
  <c r="Y434" i="25"/>
  <c r="AA434" i="25"/>
  <c r="W434" i="25"/>
  <c r="AC434" i="25"/>
  <c r="Y435" i="25"/>
  <c r="AA435" i="25"/>
  <c r="W435" i="25"/>
  <c r="AC435" i="25"/>
  <c r="Y436" i="25"/>
  <c r="AA436" i="25"/>
  <c r="W436" i="25"/>
  <c r="AC436" i="25"/>
  <c r="Y437" i="25"/>
  <c r="AA437" i="25"/>
  <c r="W437" i="25"/>
  <c r="AC437" i="25"/>
  <c r="Y438" i="25"/>
  <c r="AA438" i="25"/>
  <c r="W438" i="25"/>
  <c r="AC438" i="25"/>
  <c r="Y439" i="25"/>
  <c r="AA439" i="25"/>
  <c r="W439" i="25"/>
  <c r="AC439" i="25"/>
  <c r="Y440" i="25"/>
  <c r="AA440" i="25"/>
  <c r="W440" i="25"/>
  <c r="AC440" i="25"/>
  <c r="Y441" i="25"/>
  <c r="AA441" i="25"/>
  <c r="W441" i="25"/>
  <c r="AC441" i="25"/>
  <c r="Y442" i="25"/>
  <c r="AA442" i="25"/>
  <c r="W442" i="25"/>
  <c r="AC442" i="25"/>
  <c r="Y443" i="25"/>
  <c r="AA443" i="25"/>
  <c r="W443" i="25"/>
  <c r="AC443" i="25"/>
  <c r="Y444" i="25"/>
  <c r="AA444" i="25"/>
  <c r="W444" i="25"/>
  <c r="AC444" i="25"/>
  <c r="Y445" i="25"/>
  <c r="AA445" i="25"/>
  <c r="W445" i="25"/>
  <c r="AC445" i="25"/>
  <c r="Y446" i="25"/>
  <c r="AA446" i="25"/>
  <c r="W446" i="25"/>
  <c r="AC446" i="25"/>
  <c r="Y447" i="25"/>
  <c r="AA447" i="25"/>
  <c r="W447" i="25"/>
  <c r="AC447" i="25"/>
  <c r="Y448" i="25"/>
  <c r="AA448" i="25"/>
  <c r="W448" i="25"/>
  <c r="AC448" i="25"/>
  <c r="Y449" i="25"/>
  <c r="AA449" i="25"/>
  <c r="W449" i="25"/>
  <c r="AC449" i="25"/>
  <c r="Y450" i="25"/>
  <c r="AA450" i="25"/>
  <c r="W450" i="25"/>
  <c r="AC450" i="25"/>
  <c r="Y451" i="25"/>
  <c r="AA451" i="25"/>
  <c r="W451" i="25"/>
  <c r="AC451" i="25"/>
  <c r="Y452" i="25"/>
  <c r="AA452" i="25"/>
  <c r="W452" i="25"/>
  <c r="AC452" i="25"/>
  <c r="Y453" i="25"/>
  <c r="AA453" i="25"/>
  <c r="W453" i="25"/>
  <c r="AC453" i="25"/>
  <c r="Y454" i="25"/>
  <c r="AA454" i="25"/>
  <c r="W454" i="25"/>
  <c r="AC454" i="25"/>
  <c r="Y455" i="25"/>
  <c r="AA455" i="25"/>
  <c r="W455" i="25"/>
  <c r="AC455" i="25"/>
  <c r="Y456" i="25"/>
  <c r="AA456" i="25"/>
  <c r="W456" i="25"/>
  <c r="AC456" i="25"/>
  <c r="Y457" i="25"/>
  <c r="AA457" i="25"/>
  <c r="W457" i="25"/>
  <c r="AC457" i="25"/>
  <c r="Y458" i="25"/>
  <c r="AA458" i="25"/>
  <c r="W458" i="25"/>
  <c r="AC458" i="25"/>
  <c r="Y459" i="25"/>
  <c r="AA459" i="25"/>
  <c r="W459" i="25"/>
  <c r="AC459" i="25"/>
  <c r="Y460" i="25"/>
  <c r="AA460" i="25"/>
  <c r="W460" i="25"/>
  <c r="AC460" i="25"/>
  <c r="Y461" i="25"/>
  <c r="AA461" i="25"/>
  <c r="W461" i="25"/>
  <c r="AC461" i="25"/>
  <c r="Y462" i="25"/>
  <c r="AA462" i="25"/>
  <c r="W462" i="25"/>
  <c r="AC462" i="25"/>
  <c r="Y463" i="25"/>
  <c r="AA463" i="25"/>
  <c r="W463" i="25"/>
  <c r="AC463" i="25"/>
  <c r="Y464" i="25"/>
  <c r="AA464" i="25"/>
  <c r="W464" i="25"/>
  <c r="AC464" i="25"/>
  <c r="Y465" i="25"/>
  <c r="AA465" i="25"/>
  <c r="W465" i="25"/>
  <c r="AC465" i="25"/>
  <c r="Y466" i="25"/>
  <c r="AA466" i="25"/>
  <c r="W466" i="25"/>
  <c r="AC466" i="25"/>
  <c r="Y467" i="25"/>
  <c r="AA467" i="25"/>
  <c r="W467" i="25"/>
  <c r="AC467" i="25"/>
  <c r="Y468" i="25"/>
  <c r="AA468" i="25"/>
  <c r="W468" i="25"/>
  <c r="AC468" i="25"/>
  <c r="Y469" i="25"/>
  <c r="AA469" i="25"/>
  <c r="W469" i="25"/>
  <c r="AC469" i="25"/>
  <c r="Y470" i="25"/>
  <c r="AA470" i="25"/>
  <c r="W470" i="25"/>
  <c r="AC470" i="25"/>
  <c r="Y471" i="25"/>
  <c r="AA471" i="25"/>
  <c r="W471" i="25"/>
  <c r="AC471" i="25"/>
  <c r="Y472" i="25"/>
  <c r="AA472" i="25"/>
  <c r="W472" i="25"/>
  <c r="AC472" i="25"/>
  <c r="Y473" i="25"/>
  <c r="AA473" i="25"/>
  <c r="W473" i="25"/>
  <c r="AC473" i="25"/>
  <c r="Y474" i="25"/>
  <c r="AA474" i="25"/>
  <c r="W474" i="25"/>
  <c r="AC474" i="25"/>
  <c r="Y475" i="25"/>
  <c r="AA475" i="25"/>
  <c r="W475" i="25"/>
  <c r="AC475" i="25"/>
  <c r="Y476" i="25"/>
  <c r="AA476" i="25"/>
  <c r="W476" i="25"/>
  <c r="AC476" i="25"/>
  <c r="Y477" i="25"/>
  <c r="AA477" i="25"/>
  <c r="W477" i="25"/>
  <c r="AC477" i="25"/>
  <c r="Y478" i="25"/>
  <c r="AA478" i="25"/>
  <c r="W478" i="25"/>
  <c r="AC478" i="25"/>
  <c r="Y479" i="25"/>
  <c r="AA479" i="25"/>
  <c r="W479" i="25"/>
  <c r="AC479" i="25"/>
  <c r="Y480" i="25"/>
  <c r="AA480" i="25"/>
  <c r="W480" i="25"/>
  <c r="AC480" i="25"/>
  <c r="Y481" i="25"/>
  <c r="AA481" i="25"/>
  <c r="W481" i="25"/>
  <c r="AC481" i="25"/>
  <c r="Y482" i="25"/>
  <c r="AA482" i="25"/>
  <c r="W482" i="25"/>
  <c r="AC482" i="25"/>
  <c r="Y483" i="25"/>
  <c r="AA483" i="25"/>
  <c r="W483" i="25"/>
  <c r="AC483" i="25"/>
  <c r="Y484" i="25"/>
  <c r="AA484" i="25"/>
  <c r="W484" i="25"/>
  <c r="AC484" i="25"/>
  <c r="Y485" i="25"/>
  <c r="AA485" i="25"/>
  <c r="W485" i="25"/>
  <c r="AC485" i="25"/>
  <c r="Y486" i="25"/>
  <c r="AA486" i="25"/>
  <c r="W486" i="25"/>
  <c r="AC486" i="25"/>
  <c r="Y487" i="25"/>
  <c r="AA487" i="25"/>
  <c r="W487" i="25"/>
  <c r="AC487" i="25"/>
  <c r="Y488" i="25"/>
  <c r="AA488" i="25"/>
  <c r="W488" i="25"/>
  <c r="AC488" i="25"/>
  <c r="Y489" i="25"/>
  <c r="AA489" i="25"/>
  <c r="W489" i="25"/>
  <c r="AC489" i="25"/>
  <c r="Y490" i="25"/>
  <c r="AA490" i="25"/>
  <c r="W490" i="25"/>
  <c r="AC490" i="25"/>
  <c r="Y491" i="25"/>
  <c r="AA491" i="25"/>
  <c r="W491" i="25"/>
  <c r="AC491" i="25"/>
  <c r="Y492" i="25"/>
  <c r="AA492" i="25"/>
  <c r="W492" i="25"/>
  <c r="AC492" i="25"/>
  <c r="Y493" i="25"/>
  <c r="AA493" i="25"/>
  <c r="W493" i="25"/>
  <c r="AC493" i="25"/>
  <c r="Y494" i="25"/>
  <c r="AA494" i="25"/>
  <c r="W494" i="25"/>
  <c r="AC494" i="25"/>
  <c r="Y495" i="25"/>
  <c r="AA495" i="25"/>
  <c r="W495" i="25"/>
  <c r="AC495" i="25"/>
  <c r="Y496" i="25"/>
  <c r="AA496" i="25"/>
  <c r="W496" i="25"/>
  <c r="AC496" i="25"/>
  <c r="Y497" i="25"/>
  <c r="AA497" i="25"/>
  <c r="W497" i="25"/>
  <c r="AC497" i="25"/>
  <c r="Y498" i="25"/>
  <c r="AA498" i="25"/>
  <c r="W498" i="25"/>
  <c r="AC498" i="25"/>
  <c r="Y499" i="25"/>
  <c r="AA499" i="25"/>
  <c r="W499" i="25"/>
  <c r="AC499" i="25"/>
  <c r="Y500" i="25"/>
  <c r="AA500" i="25"/>
  <c r="W500" i="25"/>
  <c r="AC500" i="25"/>
  <c r="Y501" i="25"/>
  <c r="AA501" i="25"/>
  <c r="W501" i="25"/>
  <c r="AC501" i="25"/>
  <c r="Y502" i="25"/>
  <c r="AA502" i="25"/>
  <c r="W502" i="25"/>
  <c r="AC502" i="25"/>
  <c r="Y503" i="25"/>
  <c r="AA503" i="25"/>
  <c r="W503" i="25"/>
  <c r="AC503" i="25"/>
  <c r="Y504" i="25"/>
  <c r="AA504" i="25"/>
  <c r="W504" i="25"/>
  <c r="AC504" i="25"/>
  <c r="Y505" i="25"/>
  <c r="AA505" i="25"/>
  <c r="W505" i="25"/>
  <c r="AC505" i="25"/>
  <c r="Y6" i="25"/>
  <c r="Y506" i="25"/>
  <c r="AA506" i="25"/>
  <c r="W506" i="25"/>
  <c r="AC506" i="25"/>
  <c r="Y507" i="25"/>
  <c r="AA507" i="25"/>
  <c r="W507" i="25"/>
  <c r="AC507" i="25"/>
  <c r="Y508" i="25"/>
  <c r="AA508" i="25"/>
  <c r="W508" i="25"/>
  <c r="AC508" i="25"/>
  <c r="Y509" i="25"/>
  <c r="AA509" i="25"/>
  <c r="W509" i="25"/>
  <c r="AC509" i="25"/>
  <c r="Y510" i="25"/>
  <c r="AA510" i="25"/>
  <c r="W510" i="25"/>
  <c r="AC510" i="25"/>
  <c r="Y511" i="25"/>
  <c r="AA511" i="25"/>
  <c r="W511" i="25"/>
  <c r="AC511" i="25"/>
  <c r="Y512" i="25"/>
  <c r="AA512" i="25"/>
  <c r="W512" i="25"/>
  <c r="AC512" i="25"/>
  <c r="Y513" i="25"/>
  <c r="AA513" i="25"/>
  <c r="W513" i="25"/>
  <c r="AC513" i="25"/>
  <c r="Y514" i="25"/>
  <c r="AA514" i="25"/>
  <c r="W514" i="25"/>
  <c r="AC514" i="25"/>
  <c r="Y515" i="25"/>
  <c r="AA515" i="25"/>
  <c r="W515" i="25"/>
  <c r="AC515" i="25"/>
  <c r="Y516" i="25"/>
  <c r="AA516" i="25"/>
  <c r="W516" i="25"/>
  <c r="AC516" i="25"/>
  <c r="Y517" i="25"/>
  <c r="AA517" i="25"/>
  <c r="W517" i="25"/>
  <c r="AC517" i="25"/>
  <c r="Y518" i="25"/>
  <c r="AA518" i="25"/>
  <c r="W518" i="25"/>
  <c r="AC518" i="25"/>
  <c r="Y519" i="25"/>
  <c r="AA519" i="25"/>
  <c r="W519" i="25"/>
  <c r="AC519" i="25"/>
  <c r="Y520" i="25"/>
  <c r="AA520" i="25"/>
  <c r="W520" i="25"/>
  <c r="AC520" i="25"/>
  <c r="Y521" i="25"/>
  <c r="AA521" i="25"/>
  <c r="W521" i="25"/>
  <c r="AC521" i="25"/>
  <c r="Y522" i="25"/>
  <c r="AA522" i="25"/>
  <c r="W522" i="25"/>
  <c r="AC522" i="25"/>
  <c r="Y523" i="25"/>
  <c r="AA523" i="25"/>
  <c r="W523" i="25"/>
  <c r="AC523" i="25"/>
  <c r="Y524" i="25"/>
  <c r="AA524" i="25"/>
  <c r="W524" i="25"/>
  <c r="AC524" i="25"/>
  <c r="Y525" i="25"/>
  <c r="AA525" i="25"/>
  <c r="W525" i="25"/>
  <c r="AC525" i="25"/>
  <c r="Y526" i="25"/>
  <c r="AA526" i="25"/>
  <c r="W526" i="25"/>
  <c r="AC526" i="25"/>
  <c r="Y527" i="25"/>
  <c r="AA527" i="25"/>
  <c r="W527" i="25"/>
  <c r="AC527" i="25"/>
  <c r="Y528" i="25"/>
  <c r="AA528" i="25"/>
  <c r="W528" i="25"/>
  <c r="AC528" i="25"/>
  <c r="Y529" i="25"/>
  <c r="AA529" i="25"/>
  <c r="W529" i="25"/>
  <c r="AC529" i="25"/>
  <c r="Y530" i="25"/>
  <c r="AA530" i="25"/>
  <c r="W530" i="25"/>
  <c r="AC530" i="25"/>
  <c r="Y531" i="25"/>
  <c r="AA531" i="25"/>
  <c r="W531" i="25"/>
  <c r="AC531" i="25"/>
  <c r="Y532" i="25"/>
  <c r="AA532" i="25"/>
  <c r="W532" i="25"/>
  <c r="AC532" i="25"/>
  <c r="Y533" i="25"/>
  <c r="AA533" i="25"/>
  <c r="W533" i="25"/>
  <c r="AC533" i="25"/>
  <c r="Y534" i="25"/>
  <c r="AA534" i="25"/>
  <c r="W534" i="25"/>
  <c r="AC534" i="25"/>
  <c r="Y535" i="25"/>
  <c r="AA535" i="25"/>
  <c r="W535" i="25"/>
  <c r="AC535" i="25"/>
  <c r="Y536" i="25"/>
  <c r="AA536" i="25"/>
  <c r="W536" i="25"/>
  <c r="AC536" i="25"/>
  <c r="Y537" i="25"/>
  <c r="AA537" i="25"/>
  <c r="W537" i="25"/>
  <c r="AC537" i="25"/>
  <c r="Y538" i="25"/>
  <c r="AA538" i="25"/>
  <c r="W538" i="25"/>
  <c r="AC538" i="25"/>
  <c r="Y539" i="25"/>
  <c r="AA539" i="25"/>
  <c r="W539" i="25"/>
  <c r="AC539" i="25"/>
  <c r="Y540" i="25"/>
  <c r="AA540" i="25"/>
  <c r="W540" i="25"/>
  <c r="AC540" i="25"/>
  <c r="Y541" i="25"/>
  <c r="AA541" i="25"/>
  <c r="W541" i="25"/>
  <c r="AC541" i="25"/>
  <c r="Y542" i="25"/>
  <c r="AA542" i="25"/>
  <c r="W542" i="25"/>
  <c r="AC542" i="25"/>
  <c r="Y543" i="25"/>
  <c r="AA543" i="25"/>
  <c r="W543" i="25"/>
  <c r="AC543" i="25"/>
  <c r="Y544" i="25"/>
  <c r="AA544" i="25"/>
  <c r="W544" i="25"/>
  <c r="AC544" i="25"/>
  <c r="Y545" i="25"/>
  <c r="AA545" i="25"/>
  <c r="W545" i="25"/>
  <c r="AC545" i="25"/>
  <c r="Y546" i="25"/>
  <c r="AA546" i="25"/>
  <c r="W546" i="25"/>
  <c r="AC546" i="25"/>
  <c r="Y547" i="25"/>
  <c r="AA547" i="25"/>
  <c r="W547" i="25"/>
  <c r="AC547" i="25"/>
  <c r="Y548" i="25"/>
  <c r="AA548" i="25"/>
  <c r="W548" i="25"/>
  <c r="AC548" i="25"/>
  <c r="Y549" i="25"/>
  <c r="AA549" i="25"/>
  <c r="W549" i="25"/>
  <c r="AC549" i="25"/>
  <c r="Y550" i="25"/>
  <c r="AA550" i="25"/>
  <c r="W550" i="25"/>
  <c r="AC550" i="25"/>
  <c r="Y551" i="25"/>
  <c r="AA551" i="25"/>
  <c r="W551" i="25"/>
  <c r="AC551" i="25"/>
  <c r="Y552" i="25"/>
  <c r="AA552" i="25"/>
  <c r="W552" i="25"/>
  <c r="AC552" i="25"/>
  <c r="Y553" i="25"/>
  <c r="AA553" i="25"/>
  <c r="W553" i="25"/>
  <c r="AC553" i="25"/>
  <c r="Y554" i="25"/>
  <c r="AA554" i="25"/>
  <c r="W554" i="25"/>
  <c r="AC554" i="25"/>
  <c r="Y555" i="25"/>
  <c r="AA555" i="25"/>
  <c r="W555" i="25"/>
  <c r="AC555" i="25"/>
  <c r="Y556" i="25"/>
  <c r="AA556" i="25"/>
  <c r="W556" i="25"/>
  <c r="AC556" i="25"/>
  <c r="Y557" i="25"/>
  <c r="AA557" i="25"/>
  <c r="W557" i="25"/>
  <c r="AC557" i="25"/>
  <c r="Y558" i="25"/>
  <c r="AA558" i="25"/>
  <c r="W558" i="25"/>
  <c r="AC558" i="25"/>
  <c r="Y559" i="25"/>
  <c r="AA559" i="25"/>
  <c r="W559" i="25"/>
  <c r="AC559" i="25"/>
  <c r="Y560" i="25"/>
  <c r="AA560" i="25"/>
  <c r="W560" i="25"/>
  <c r="AC560" i="25"/>
  <c r="Y561" i="25"/>
  <c r="AA561" i="25"/>
  <c r="W561" i="25"/>
  <c r="AC561" i="25"/>
  <c r="Y562" i="25"/>
  <c r="AA562" i="25"/>
  <c r="W562" i="25"/>
  <c r="AC562" i="25"/>
  <c r="Y563" i="25"/>
  <c r="AA563" i="25"/>
  <c r="W563" i="25"/>
  <c r="AC563" i="25"/>
  <c r="Y564" i="25"/>
  <c r="AA564" i="25"/>
  <c r="W564" i="25"/>
  <c r="AC564" i="25"/>
  <c r="Y565" i="25"/>
  <c r="AA565" i="25"/>
  <c r="W565" i="25"/>
  <c r="AC565" i="25"/>
  <c r="Y566" i="25"/>
  <c r="AA566" i="25"/>
  <c r="W566" i="25"/>
  <c r="AC566" i="25"/>
  <c r="Y567" i="25"/>
  <c r="AA567" i="25"/>
  <c r="W567" i="25"/>
  <c r="AC567" i="25"/>
  <c r="Y568" i="25"/>
  <c r="AA568" i="25"/>
  <c r="W568" i="25"/>
  <c r="AC568" i="25"/>
  <c r="Y569" i="25"/>
  <c r="AA569" i="25"/>
  <c r="W569" i="25"/>
  <c r="AC569" i="25"/>
  <c r="Y570" i="25"/>
  <c r="AA570" i="25"/>
  <c r="W570" i="25"/>
  <c r="AC570" i="25"/>
  <c r="Y571" i="25"/>
  <c r="AA571" i="25"/>
  <c r="W571" i="25"/>
  <c r="AC571" i="25"/>
  <c r="Y572" i="25"/>
  <c r="AA572" i="25"/>
  <c r="W572" i="25"/>
  <c r="AC572" i="25"/>
  <c r="Y573" i="25"/>
  <c r="AA573" i="25"/>
  <c r="W573" i="25"/>
  <c r="AC573" i="25"/>
  <c r="Y574" i="25"/>
  <c r="AA574" i="25"/>
  <c r="W574" i="25"/>
  <c r="AC574" i="25"/>
  <c r="Y575" i="25"/>
  <c r="AA575" i="25"/>
  <c r="W575" i="25"/>
  <c r="AC575" i="25"/>
  <c r="Y576" i="25"/>
  <c r="AA576" i="25"/>
  <c r="W576" i="25"/>
  <c r="AC576" i="25"/>
  <c r="Y577" i="25"/>
  <c r="AA577" i="25"/>
  <c r="W577" i="25"/>
  <c r="AC577" i="25"/>
  <c r="Y578" i="25"/>
  <c r="AA578" i="25"/>
  <c r="W578" i="25"/>
  <c r="AC578" i="25"/>
  <c r="Y579" i="25"/>
  <c r="AA579" i="25"/>
  <c r="W579" i="25"/>
  <c r="AC579" i="25"/>
  <c r="Y580" i="25"/>
  <c r="AA580" i="25"/>
  <c r="W580" i="25"/>
  <c r="AC580" i="25"/>
  <c r="Y581" i="25"/>
  <c r="AA581" i="25"/>
  <c r="W581" i="25"/>
  <c r="AC581" i="25"/>
  <c r="Y582" i="25"/>
  <c r="AA582" i="25"/>
  <c r="W582" i="25"/>
  <c r="AC582" i="25"/>
  <c r="Y583" i="25"/>
  <c r="AA583" i="25"/>
  <c r="W583" i="25"/>
  <c r="AC583" i="25"/>
  <c r="Y584" i="25"/>
  <c r="AA584" i="25"/>
  <c r="W584" i="25"/>
  <c r="AC584" i="25"/>
  <c r="Y585" i="25"/>
  <c r="AA585" i="25"/>
  <c r="W585" i="25"/>
  <c r="AC585" i="25"/>
  <c r="Y586" i="25"/>
  <c r="AA586" i="25"/>
  <c r="W586" i="25"/>
  <c r="AC586" i="25"/>
  <c r="Y587" i="25"/>
  <c r="AA587" i="25"/>
  <c r="W587" i="25"/>
  <c r="AC587" i="25"/>
  <c r="Y588" i="25"/>
  <c r="AA588" i="25"/>
  <c r="W588" i="25"/>
  <c r="AC588" i="25"/>
  <c r="Y589" i="25"/>
  <c r="AA589" i="25"/>
  <c r="W589" i="25"/>
  <c r="AC589" i="25"/>
  <c r="Y590" i="25"/>
  <c r="AA590" i="25"/>
  <c r="W590" i="25"/>
  <c r="AC590" i="25"/>
  <c r="Y591" i="25"/>
  <c r="AA591" i="25"/>
  <c r="W591" i="25"/>
  <c r="AC591" i="25"/>
  <c r="Y592" i="25"/>
  <c r="AA592" i="25"/>
  <c r="W592" i="25"/>
  <c r="AC592" i="25"/>
  <c r="Y593" i="25"/>
  <c r="AA593" i="25"/>
  <c r="W593" i="25"/>
  <c r="AC593" i="25"/>
  <c r="Y594" i="25"/>
  <c r="AA594" i="25"/>
  <c r="W594" i="25"/>
  <c r="AC594" i="25"/>
  <c r="Y595" i="25"/>
  <c r="AA595" i="25"/>
  <c r="W595" i="25"/>
  <c r="AC595" i="25"/>
  <c r="Y596" i="25"/>
  <c r="AA596" i="25"/>
  <c r="W596" i="25"/>
  <c r="AC596" i="25"/>
  <c r="Y597" i="25"/>
  <c r="AA597" i="25"/>
  <c r="W597" i="25"/>
  <c r="AC597" i="25"/>
  <c r="Y598" i="25"/>
  <c r="AA598" i="25"/>
  <c r="W598" i="25"/>
  <c r="AC598" i="25"/>
  <c r="Y599" i="25"/>
  <c r="AA599" i="25"/>
  <c r="W599" i="25"/>
  <c r="AC599" i="25"/>
  <c r="Y600" i="25"/>
  <c r="AA600" i="25"/>
  <c r="W600" i="25"/>
  <c r="AC600" i="25"/>
  <c r="Y601" i="25"/>
  <c r="AA601" i="25"/>
  <c r="W601" i="25"/>
  <c r="AC601" i="25"/>
  <c r="Y602" i="25"/>
  <c r="AA602" i="25"/>
  <c r="W602" i="25"/>
  <c r="AC602" i="25"/>
  <c r="Y603" i="25"/>
  <c r="AA603" i="25"/>
  <c r="W603" i="25"/>
  <c r="AC603" i="25"/>
  <c r="Y604" i="25"/>
  <c r="AA604" i="25"/>
  <c r="W604" i="25"/>
  <c r="AC604" i="25"/>
  <c r="Y605" i="25"/>
  <c r="AA605" i="25"/>
  <c r="W605" i="25"/>
  <c r="AC605" i="25"/>
  <c r="Y606" i="25"/>
  <c r="AA606" i="25"/>
  <c r="W606" i="25"/>
  <c r="AC606" i="25"/>
  <c r="Y607" i="25"/>
  <c r="AA607" i="25"/>
  <c r="W607" i="25"/>
  <c r="AC607" i="25"/>
  <c r="Y608" i="25"/>
  <c r="AA608" i="25"/>
  <c r="W608" i="25"/>
  <c r="AC608" i="25"/>
  <c r="Y609" i="25"/>
  <c r="AA609" i="25"/>
  <c r="W609" i="25"/>
  <c r="AC609" i="25"/>
  <c r="Y610" i="25"/>
  <c r="AA610" i="25"/>
  <c r="W610" i="25"/>
  <c r="AC610" i="25"/>
  <c r="Y611" i="25"/>
  <c r="AA611" i="25"/>
  <c r="W611" i="25"/>
  <c r="AC611" i="25"/>
  <c r="Y612" i="25"/>
  <c r="AA612" i="25"/>
  <c r="W612" i="25"/>
  <c r="AC612" i="25"/>
  <c r="Y613" i="25"/>
  <c r="AA613" i="25"/>
  <c r="W613" i="25"/>
  <c r="AC613" i="25"/>
  <c r="Y614" i="25"/>
  <c r="AA614" i="25"/>
  <c r="W614" i="25"/>
  <c r="AC614" i="25"/>
  <c r="Y615" i="25"/>
  <c r="AA615" i="25"/>
  <c r="W615" i="25"/>
  <c r="AC615" i="25"/>
  <c r="Y616" i="25"/>
  <c r="AA616" i="25"/>
  <c r="W616" i="25"/>
  <c r="AC616" i="25"/>
  <c r="Y617" i="25"/>
  <c r="AA617" i="25"/>
  <c r="W617" i="25"/>
  <c r="AC617" i="25"/>
  <c r="Y618" i="25"/>
  <c r="AA618" i="25"/>
  <c r="W618" i="25"/>
  <c r="AC618" i="25"/>
  <c r="Y619" i="25"/>
  <c r="AA619" i="25"/>
  <c r="W619" i="25"/>
  <c r="AC619" i="25"/>
  <c r="Y620" i="25"/>
  <c r="AA620" i="25"/>
  <c r="W620" i="25"/>
  <c r="AC620" i="25"/>
  <c r="Y621" i="25"/>
  <c r="AA621" i="25"/>
  <c r="W621" i="25"/>
  <c r="AC621" i="25"/>
  <c r="Y622" i="25"/>
  <c r="AA622" i="25"/>
  <c r="W622" i="25"/>
  <c r="AC622" i="25"/>
  <c r="Y623" i="25"/>
  <c r="AA623" i="25"/>
  <c r="W623" i="25"/>
  <c r="AC623" i="25"/>
  <c r="Y624" i="25"/>
  <c r="AA624" i="25"/>
  <c r="W624" i="25"/>
  <c r="AC624" i="25"/>
  <c r="Y625" i="25"/>
  <c r="AA625" i="25"/>
  <c r="W625" i="25"/>
  <c r="AC625" i="25"/>
  <c r="Y626" i="25"/>
  <c r="AA626" i="25"/>
  <c r="W626" i="25"/>
  <c r="AC626" i="25"/>
  <c r="Y627" i="25"/>
  <c r="AA627" i="25"/>
  <c r="W627" i="25"/>
  <c r="AC627" i="25"/>
  <c r="Y628" i="25"/>
  <c r="AA628" i="25"/>
  <c r="W628" i="25"/>
  <c r="AC628" i="25"/>
  <c r="Y629" i="25"/>
  <c r="AA629" i="25"/>
  <c r="W629" i="25"/>
  <c r="AC629" i="25"/>
  <c r="Y630" i="25"/>
  <c r="AA630" i="25"/>
  <c r="W630" i="25"/>
  <c r="AC630" i="25"/>
  <c r="Y631" i="25"/>
  <c r="AA631" i="25"/>
  <c r="W631" i="25"/>
  <c r="AC631" i="25"/>
  <c r="Y632" i="25"/>
  <c r="AA632" i="25"/>
  <c r="W632" i="25"/>
  <c r="AC632" i="25"/>
  <c r="Y633" i="25"/>
  <c r="AA633" i="25"/>
  <c r="W633" i="25"/>
  <c r="AC633" i="25"/>
  <c r="Y634" i="25"/>
  <c r="AA634" i="25"/>
  <c r="W634" i="25"/>
  <c r="AC634" i="25"/>
  <c r="Y635" i="25"/>
  <c r="AA635" i="25"/>
  <c r="W635" i="25"/>
  <c r="AC635" i="25"/>
  <c r="Y636" i="25"/>
  <c r="AA636" i="25"/>
  <c r="W636" i="25"/>
  <c r="AC636" i="25"/>
  <c r="Y637" i="25"/>
  <c r="AA637" i="25"/>
  <c r="W637" i="25"/>
  <c r="AC637" i="25"/>
  <c r="Y638" i="25"/>
  <c r="AA638" i="25"/>
  <c r="W638" i="25"/>
  <c r="AC638" i="25"/>
  <c r="Y639" i="25"/>
  <c r="AA639" i="25"/>
  <c r="W639" i="25"/>
  <c r="AC639" i="25"/>
  <c r="Y640" i="25"/>
  <c r="AA640" i="25"/>
  <c r="W640" i="25"/>
  <c r="AC640" i="25"/>
  <c r="Y641" i="25"/>
  <c r="AA641" i="25"/>
  <c r="W641" i="25"/>
  <c r="AC641" i="25"/>
  <c r="Y642" i="25"/>
  <c r="AA642" i="25"/>
  <c r="W642" i="25"/>
  <c r="AC642" i="25"/>
  <c r="Y643" i="25"/>
  <c r="AA643" i="25"/>
  <c r="W643" i="25"/>
  <c r="AC643" i="25"/>
  <c r="Y644" i="25"/>
  <c r="AA644" i="25"/>
  <c r="W644" i="25"/>
  <c r="AC644" i="25"/>
  <c r="Y645" i="25"/>
  <c r="AA645" i="25"/>
  <c r="W645" i="25"/>
  <c r="AC645" i="25"/>
  <c r="Y646" i="25"/>
  <c r="AA646" i="25"/>
  <c r="W646" i="25"/>
  <c r="AC646" i="25"/>
  <c r="Y647" i="25"/>
  <c r="AA647" i="25"/>
  <c r="W647" i="25"/>
  <c r="AC647" i="25"/>
  <c r="Y648" i="25"/>
  <c r="AA648" i="25"/>
  <c r="W648" i="25"/>
  <c r="AC648" i="25"/>
  <c r="Y649" i="25"/>
  <c r="AA649" i="25"/>
  <c r="W649" i="25"/>
  <c r="AC649" i="25"/>
  <c r="Y650" i="25"/>
  <c r="AA650" i="25"/>
  <c r="W650" i="25"/>
  <c r="AC650" i="25"/>
  <c r="Y651" i="25"/>
  <c r="AA651" i="25"/>
  <c r="W651" i="25"/>
  <c r="AC651" i="25"/>
  <c r="Y652" i="25"/>
  <c r="AA652" i="25"/>
  <c r="W652" i="25"/>
  <c r="AC652" i="25"/>
  <c r="Y653" i="25"/>
  <c r="AA653" i="25"/>
  <c r="W653" i="25"/>
  <c r="AC653" i="25"/>
  <c r="Y654" i="25"/>
  <c r="AA654" i="25"/>
  <c r="W654" i="25"/>
  <c r="AC654" i="25"/>
  <c r="Y655" i="25"/>
  <c r="AA655" i="25"/>
  <c r="W655" i="25"/>
  <c r="AC655" i="25"/>
  <c r="Y656" i="25"/>
  <c r="AA656" i="25"/>
  <c r="W656" i="25"/>
  <c r="AC656" i="25"/>
  <c r="Y657" i="25"/>
  <c r="AA657" i="25"/>
  <c r="W657" i="25"/>
  <c r="AC657" i="25"/>
  <c r="Y658" i="25"/>
  <c r="AA658" i="25"/>
  <c r="W658" i="25"/>
  <c r="AC658" i="25"/>
  <c r="Y659" i="25"/>
  <c r="AA659" i="25"/>
  <c r="W659" i="25"/>
  <c r="AC659" i="25"/>
  <c r="Y660" i="25"/>
  <c r="AA660" i="25"/>
  <c r="W660" i="25"/>
  <c r="AC660" i="25"/>
  <c r="Y661" i="25"/>
  <c r="AA661" i="25"/>
  <c r="W661" i="25"/>
  <c r="AC661" i="25"/>
  <c r="Y662" i="25"/>
  <c r="AA662" i="25"/>
  <c r="W662" i="25"/>
  <c r="AC662" i="25"/>
  <c r="Y663" i="25"/>
  <c r="AA663" i="25"/>
  <c r="W663" i="25"/>
  <c r="AC663" i="25"/>
  <c r="Y664" i="25"/>
  <c r="AA664" i="25"/>
  <c r="W664" i="25"/>
  <c r="AC664" i="25"/>
  <c r="Y665" i="25"/>
  <c r="AA665" i="25"/>
  <c r="W665" i="25"/>
  <c r="AC665" i="25"/>
  <c r="Y666" i="25"/>
  <c r="AA666" i="25"/>
  <c r="W666" i="25"/>
  <c r="AC666" i="25"/>
  <c r="Y667" i="25"/>
  <c r="AA667" i="25"/>
  <c r="W667" i="25"/>
  <c r="AC667" i="25"/>
  <c r="Y668" i="25"/>
  <c r="AA668" i="25"/>
  <c r="W668" i="25"/>
  <c r="AC668" i="25"/>
  <c r="Y669" i="25"/>
  <c r="AA669" i="25"/>
  <c r="W669" i="25"/>
  <c r="AC669" i="25"/>
  <c r="Y670" i="25"/>
  <c r="AA670" i="25"/>
  <c r="W670" i="25"/>
  <c r="AC670" i="25"/>
  <c r="Y671" i="25"/>
  <c r="AA671" i="25"/>
  <c r="W671" i="25"/>
  <c r="AC671" i="25"/>
  <c r="Y672" i="25"/>
  <c r="AA672" i="25"/>
  <c r="W672" i="25"/>
  <c r="AC672" i="25"/>
  <c r="Y673" i="25"/>
  <c r="AA673" i="25"/>
  <c r="W673" i="25"/>
  <c r="AC673" i="25"/>
  <c r="Y674" i="25"/>
  <c r="AA674" i="25"/>
  <c r="W674" i="25"/>
  <c r="AC674" i="25"/>
  <c r="Y675" i="25"/>
  <c r="AA675" i="25"/>
  <c r="W675" i="25"/>
  <c r="AC675" i="25"/>
  <c r="Y676" i="25"/>
  <c r="AA676" i="25"/>
  <c r="W676" i="25"/>
  <c r="AC676" i="25"/>
  <c r="Y677" i="25"/>
  <c r="AA677" i="25"/>
  <c r="W677" i="25"/>
  <c r="AC677" i="25"/>
  <c r="Y678" i="25"/>
  <c r="AA678" i="25"/>
  <c r="W678" i="25"/>
  <c r="AC678" i="25"/>
  <c r="Y679" i="25"/>
  <c r="AA679" i="25"/>
  <c r="W679" i="25"/>
  <c r="AC679" i="25"/>
  <c r="Y680" i="25"/>
  <c r="AA680" i="25"/>
  <c r="W680" i="25"/>
  <c r="AC680" i="25"/>
  <c r="Y681" i="25"/>
  <c r="AA681" i="25"/>
  <c r="W681" i="25"/>
  <c r="AC681" i="25"/>
  <c r="Y682" i="25"/>
  <c r="AA682" i="25"/>
  <c r="W682" i="25"/>
  <c r="AC682" i="25"/>
  <c r="Y683" i="25"/>
  <c r="AA683" i="25"/>
  <c r="W683" i="25"/>
  <c r="AC683" i="25"/>
  <c r="Y684" i="25"/>
  <c r="AA684" i="25"/>
  <c r="W684" i="25"/>
  <c r="AC684" i="25"/>
  <c r="Y685" i="25"/>
  <c r="AA685" i="25"/>
  <c r="W685" i="25"/>
  <c r="AC685" i="25"/>
  <c r="Y686" i="25"/>
  <c r="AA686" i="25"/>
  <c r="W686" i="25"/>
  <c r="AC686" i="25"/>
  <c r="Y687" i="25"/>
  <c r="AA687" i="25"/>
  <c r="W687" i="25"/>
  <c r="AC687" i="25"/>
  <c r="Y688" i="25"/>
  <c r="AA688" i="25"/>
  <c r="W688" i="25"/>
  <c r="AC688" i="25"/>
  <c r="Y689" i="25"/>
  <c r="AA689" i="25"/>
  <c r="W689" i="25"/>
  <c r="AC689" i="25"/>
  <c r="Y690" i="25"/>
  <c r="AA690" i="25"/>
  <c r="W690" i="25"/>
  <c r="AC690" i="25"/>
  <c r="Y691" i="25"/>
  <c r="AA691" i="25"/>
  <c r="W691" i="25"/>
  <c r="AC691" i="25"/>
  <c r="Y692" i="25"/>
  <c r="AA692" i="25"/>
  <c r="W692" i="25"/>
  <c r="AC692" i="25"/>
  <c r="Y693" i="25"/>
  <c r="AA693" i="25"/>
  <c r="W693" i="25"/>
  <c r="AC693" i="25"/>
  <c r="Y694" i="25"/>
  <c r="AA694" i="25"/>
  <c r="W694" i="25"/>
  <c r="AC694" i="25"/>
  <c r="Y695" i="25"/>
  <c r="AA695" i="25"/>
  <c r="W695" i="25"/>
  <c r="AC695" i="25"/>
  <c r="Y696" i="25"/>
  <c r="AA696" i="25"/>
  <c r="W696" i="25"/>
  <c r="AC696" i="25"/>
  <c r="Y697" i="25"/>
  <c r="AA697" i="25"/>
  <c r="W697" i="25"/>
  <c r="AC697" i="25"/>
  <c r="Y698" i="25"/>
  <c r="AA698" i="25"/>
  <c r="W698" i="25"/>
  <c r="AC698" i="25"/>
  <c r="Y699" i="25"/>
  <c r="AA699" i="25"/>
  <c r="W699" i="25"/>
  <c r="AC699" i="25"/>
  <c r="Y700" i="25"/>
  <c r="AA700" i="25"/>
  <c r="W700" i="25"/>
  <c r="AC700" i="25"/>
  <c r="Y701" i="25"/>
  <c r="AA701" i="25"/>
  <c r="W701" i="25"/>
  <c r="AC701" i="25"/>
  <c r="Y702" i="25"/>
  <c r="AA702" i="25"/>
  <c r="W702" i="25"/>
  <c r="AC702" i="25"/>
  <c r="Y703" i="25"/>
  <c r="AA703" i="25"/>
  <c r="W703" i="25"/>
  <c r="AC703" i="25"/>
  <c r="Y704" i="25"/>
  <c r="AA704" i="25"/>
  <c r="W704" i="25"/>
  <c r="AC704" i="25"/>
  <c r="Y705" i="25"/>
  <c r="AA705" i="25"/>
  <c r="W705" i="25"/>
  <c r="AC705" i="25"/>
  <c r="Y706" i="25"/>
  <c r="AA706" i="25"/>
  <c r="W706" i="25"/>
  <c r="AC706" i="25"/>
  <c r="Y707" i="25"/>
  <c r="AA707" i="25"/>
  <c r="W707" i="25"/>
  <c r="AC707" i="25"/>
  <c r="Y708" i="25"/>
  <c r="AA708" i="25"/>
  <c r="W708" i="25"/>
  <c r="AC708" i="25"/>
  <c r="Y709" i="25"/>
  <c r="AA709" i="25"/>
  <c r="W709" i="25"/>
  <c r="AC709" i="25"/>
  <c r="Y710" i="25"/>
  <c r="AA710" i="25"/>
  <c r="W710" i="25"/>
  <c r="AC710" i="25"/>
  <c r="Y711" i="25"/>
  <c r="AA711" i="25"/>
  <c r="W711" i="25"/>
  <c r="AC711" i="25"/>
  <c r="Y712" i="25"/>
  <c r="AA712" i="25"/>
  <c r="W712" i="25"/>
  <c r="AC712" i="25"/>
  <c r="Y713" i="25"/>
  <c r="AA713" i="25"/>
  <c r="W713" i="25"/>
  <c r="AC713" i="25"/>
  <c r="Y714" i="25"/>
  <c r="AA714" i="25"/>
  <c r="W714" i="25"/>
  <c r="AC714" i="25"/>
  <c r="Y715" i="25"/>
  <c r="AA715" i="25"/>
  <c r="W715" i="25"/>
  <c r="AC715" i="25"/>
  <c r="Y716" i="25"/>
  <c r="AA716" i="25"/>
  <c r="W716" i="25"/>
  <c r="AC716" i="25"/>
  <c r="Y717" i="25"/>
  <c r="AA717" i="25"/>
  <c r="W717" i="25"/>
  <c r="AC717" i="25"/>
  <c r="Y718" i="25"/>
  <c r="AA718" i="25"/>
  <c r="W718" i="25"/>
  <c r="AC718" i="25"/>
  <c r="Y719" i="25"/>
  <c r="AA719" i="25"/>
  <c r="W719" i="25"/>
  <c r="AC719" i="25"/>
  <c r="Y720" i="25"/>
  <c r="AA720" i="25"/>
  <c r="W720" i="25"/>
  <c r="AC720" i="25"/>
  <c r="Y721" i="25"/>
  <c r="AA721" i="25"/>
  <c r="W721" i="25"/>
  <c r="AC721" i="25"/>
  <c r="Y722" i="25"/>
  <c r="AA722" i="25"/>
  <c r="W722" i="25"/>
  <c r="AC722" i="25"/>
  <c r="Y723" i="25"/>
  <c r="AA723" i="25"/>
  <c r="W723" i="25"/>
  <c r="AC723" i="25"/>
  <c r="Y724" i="25"/>
  <c r="AA724" i="25"/>
  <c r="W724" i="25"/>
  <c r="AC724" i="25"/>
  <c r="Y725" i="25"/>
  <c r="AA725" i="25"/>
  <c r="W725" i="25"/>
  <c r="AC725" i="25"/>
  <c r="Y726" i="25"/>
  <c r="AA726" i="25"/>
  <c r="W726" i="25"/>
  <c r="AC726" i="25"/>
  <c r="Y727" i="25"/>
  <c r="AA727" i="25"/>
  <c r="W727" i="25"/>
  <c r="AC727" i="25"/>
  <c r="Y728" i="25"/>
  <c r="AA728" i="25"/>
  <c r="W728" i="25"/>
  <c r="AC728" i="25"/>
  <c r="Y729" i="25"/>
  <c r="AA729" i="25"/>
  <c r="W729" i="25"/>
  <c r="AC729" i="25"/>
  <c r="Y730" i="25"/>
  <c r="AA730" i="25"/>
  <c r="W730" i="25"/>
  <c r="AC730" i="25"/>
  <c r="Y731" i="25"/>
  <c r="AA731" i="25"/>
  <c r="W731" i="25"/>
  <c r="AC731" i="25"/>
  <c r="Y732" i="25"/>
  <c r="AA732" i="25"/>
  <c r="W732" i="25"/>
  <c r="AC732" i="25"/>
  <c r="Y733" i="25"/>
  <c r="AA733" i="25"/>
  <c r="W733" i="25"/>
  <c r="AC733" i="25"/>
  <c r="Y734" i="25"/>
  <c r="AA734" i="25"/>
  <c r="W734" i="25"/>
  <c r="AC734" i="25"/>
  <c r="Y735" i="25"/>
  <c r="AA735" i="25"/>
  <c r="W735" i="25"/>
  <c r="AC735" i="25"/>
  <c r="Y736" i="25"/>
  <c r="AA736" i="25"/>
  <c r="W736" i="25"/>
  <c r="AC736" i="25"/>
  <c r="Y737" i="25"/>
  <c r="AA737" i="25"/>
  <c r="W737" i="25"/>
  <c r="AC737" i="25"/>
  <c r="Y738" i="25"/>
  <c r="AA738" i="25"/>
  <c r="W738" i="25"/>
  <c r="AC738" i="25"/>
  <c r="Y739" i="25"/>
  <c r="AA739" i="25"/>
  <c r="W739" i="25"/>
  <c r="AC739" i="25"/>
  <c r="Y740" i="25"/>
  <c r="AA740" i="25"/>
  <c r="W740" i="25"/>
  <c r="AC740" i="25"/>
  <c r="Y741" i="25"/>
  <c r="AA741" i="25"/>
  <c r="W741" i="25"/>
  <c r="AC741" i="25"/>
  <c r="Y742" i="25"/>
  <c r="AA742" i="25"/>
  <c r="W742" i="25"/>
  <c r="AC742" i="25"/>
  <c r="Y743" i="25"/>
  <c r="AA743" i="25"/>
  <c r="W743" i="25"/>
  <c r="AC743" i="25"/>
  <c r="Y744" i="25"/>
  <c r="AA744" i="25"/>
  <c r="W744" i="25"/>
  <c r="AC744" i="25"/>
  <c r="Y745" i="25"/>
  <c r="AA745" i="25"/>
  <c r="W745" i="25"/>
  <c r="AC745" i="25"/>
  <c r="Y746" i="25"/>
  <c r="AA746" i="25"/>
  <c r="W746" i="25"/>
  <c r="AC746" i="25"/>
  <c r="Y747" i="25"/>
  <c r="AA747" i="25"/>
  <c r="W747" i="25"/>
  <c r="AC747" i="25"/>
  <c r="Y748" i="25"/>
  <c r="AA748" i="25"/>
  <c r="W748" i="25"/>
  <c r="AC748" i="25"/>
  <c r="Y749" i="25"/>
  <c r="AA749" i="25"/>
  <c r="W749" i="25"/>
  <c r="AC749" i="25"/>
  <c r="Y750" i="25"/>
  <c r="AA750" i="25"/>
  <c r="W750" i="25"/>
  <c r="AC750" i="25"/>
  <c r="Y751" i="25"/>
  <c r="AA751" i="25"/>
  <c r="W751" i="25"/>
  <c r="AC751" i="25"/>
  <c r="Y752" i="25"/>
  <c r="AA752" i="25"/>
  <c r="W752" i="25"/>
  <c r="AC752" i="25"/>
  <c r="Y753" i="25"/>
  <c r="AA753" i="25"/>
  <c r="W753" i="25"/>
  <c r="AC753" i="25"/>
  <c r="Y754" i="25"/>
  <c r="AA754" i="25"/>
  <c r="W754" i="25"/>
  <c r="AC754" i="25"/>
  <c r="Y755" i="25"/>
  <c r="AA755" i="25"/>
  <c r="W755" i="25"/>
  <c r="AC755" i="25"/>
  <c r="Y756" i="25"/>
  <c r="AA756" i="25"/>
  <c r="W756" i="25"/>
  <c r="AC756" i="25"/>
  <c r="Y757" i="25"/>
  <c r="AA757" i="25"/>
  <c r="W757" i="25"/>
  <c r="AC757" i="25"/>
  <c r="Y758" i="25"/>
  <c r="AA758" i="25"/>
  <c r="W758" i="25"/>
  <c r="AC758" i="25"/>
  <c r="Y759" i="25"/>
  <c r="AA759" i="25"/>
  <c r="W759" i="25"/>
  <c r="AC759" i="25"/>
  <c r="Y760" i="25"/>
  <c r="AA760" i="25"/>
  <c r="W760" i="25"/>
  <c r="AC760" i="25"/>
  <c r="Y761" i="25"/>
  <c r="AA761" i="25"/>
  <c r="W761" i="25"/>
  <c r="AC761" i="25"/>
  <c r="Y762" i="25"/>
  <c r="AA762" i="25"/>
  <c r="W762" i="25"/>
  <c r="AC762" i="25"/>
  <c r="Y763" i="25"/>
  <c r="AA763" i="25"/>
  <c r="W763" i="25"/>
  <c r="AC763" i="25"/>
  <c r="Y764" i="25"/>
  <c r="AA764" i="25"/>
  <c r="W764" i="25"/>
  <c r="AC764" i="25"/>
  <c r="Y765" i="25"/>
  <c r="AA765" i="25"/>
  <c r="W765" i="25"/>
  <c r="AC765" i="25"/>
  <c r="Y766" i="25"/>
  <c r="AA766" i="25"/>
  <c r="W766" i="25"/>
  <c r="AC766" i="25"/>
  <c r="Y767" i="25"/>
  <c r="AA767" i="25"/>
  <c r="W767" i="25"/>
  <c r="AC767" i="25"/>
  <c r="Y768" i="25"/>
  <c r="AA768" i="25"/>
  <c r="W768" i="25"/>
  <c r="AC768" i="25"/>
  <c r="Y769" i="25"/>
  <c r="AA769" i="25"/>
  <c r="W769" i="25"/>
  <c r="AC769" i="25"/>
  <c r="Y770" i="25"/>
  <c r="AA770" i="25"/>
  <c r="W770" i="25"/>
  <c r="AC770" i="25"/>
  <c r="Y771" i="25"/>
  <c r="AA771" i="25"/>
  <c r="W771" i="25"/>
  <c r="AC771" i="25"/>
  <c r="Y772" i="25"/>
  <c r="AA772" i="25"/>
  <c r="W772" i="25"/>
  <c r="AC772" i="25"/>
  <c r="Y773" i="25"/>
  <c r="AA773" i="25"/>
  <c r="W773" i="25"/>
  <c r="AC773" i="25"/>
  <c r="Y774" i="25"/>
  <c r="AA774" i="25"/>
  <c r="W774" i="25"/>
  <c r="AC774" i="25"/>
  <c r="Y775" i="25"/>
  <c r="AA775" i="25"/>
  <c r="W775" i="25"/>
  <c r="AC775" i="25"/>
  <c r="Y776" i="25"/>
  <c r="AA776" i="25"/>
  <c r="W776" i="25"/>
  <c r="AC776" i="25"/>
  <c r="Y777" i="25"/>
  <c r="AA777" i="25"/>
  <c r="W777" i="25"/>
  <c r="AC777" i="25"/>
  <c r="Y778" i="25"/>
  <c r="AA778" i="25"/>
  <c r="W778" i="25"/>
  <c r="AC778" i="25"/>
  <c r="Y779" i="25"/>
  <c r="AA779" i="25"/>
  <c r="W779" i="25"/>
  <c r="AC779" i="25"/>
  <c r="Y780" i="25"/>
  <c r="AA780" i="25"/>
  <c r="W780" i="25"/>
  <c r="AC780" i="25"/>
  <c r="Y781" i="25"/>
  <c r="AA781" i="25"/>
  <c r="W781" i="25"/>
  <c r="AC781" i="25"/>
  <c r="Y782" i="25"/>
  <c r="AA782" i="25"/>
  <c r="W782" i="25"/>
  <c r="AC782" i="25"/>
  <c r="Y783" i="25"/>
  <c r="AA783" i="25"/>
  <c r="W783" i="25"/>
  <c r="AC783" i="25"/>
  <c r="Y784" i="25"/>
  <c r="AA784" i="25"/>
  <c r="W784" i="25"/>
  <c r="AC784" i="25"/>
  <c r="Y785" i="25"/>
  <c r="AA785" i="25"/>
  <c r="W785" i="25"/>
  <c r="AC785" i="25"/>
  <c r="Y786" i="25"/>
  <c r="AA786" i="25"/>
  <c r="W786" i="25"/>
  <c r="AC786" i="25"/>
  <c r="Y787" i="25"/>
  <c r="AA787" i="25"/>
  <c r="W787" i="25"/>
  <c r="AC787" i="25"/>
  <c r="Y788" i="25"/>
  <c r="AA788" i="25"/>
  <c r="W788" i="25"/>
  <c r="AC788" i="25"/>
  <c r="Y789" i="25"/>
  <c r="AA789" i="25"/>
  <c r="W789" i="25"/>
  <c r="AC789" i="25"/>
  <c r="Y790" i="25"/>
  <c r="AA790" i="25"/>
  <c r="W790" i="25"/>
  <c r="AC790" i="25"/>
  <c r="Y791" i="25"/>
  <c r="AA791" i="25"/>
  <c r="W791" i="25"/>
  <c r="AC791" i="25"/>
  <c r="Y792" i="25"/>
  <c r="AA792" i="25"/>
  <c r="W792" i="25"/>
  <c r="AC792" i="25"/>
  <c r="Y793" i="25"/>
  <c r="AA793" i="25"/>
  <c r="W793" i="25"/>
  <c r="AC793" i="25"/>
  <c r="Y794" i="25"/>
  <c r="AA794" i="25"/>
  <c r="W794" i="25"/>
  <c r="AC794" i="25"/>
  <c r="Y795" i="25"/>
  <c r="AA795" i="25"/>
  <c r="W795" i="25"/>
  <c r="AC795" i="25"/>
  <c r="Y796" i="25"/>
  <c r="AA796" i="25"/>
  <c r="W796" i="25"/>
  <c r="AC796" i="25"/>
  <c r="Y797" i="25"/>
  <c r="AA797" i="25"/>
  <c r="W797" i="25"/>
  <c r="AC797" i="25"/>
  <c r="Y798" i="25"/>
  <c r="AA798" i="25"/>
  <c r="W798" i="25"/>
  <c r="AC798" i="25"/>
  <c r="Y799" i="25"/>
  <c r="AA799" i="25"/>
  <c r="W799" i="25"/>
  <c r="AC799" i="25"/>
  <c r="Y800" i="25"/>
  <c r="AA800" i="25"/>
  <c r="W800" i="25"/>
  <c r="AC800" i="25"/>
  <c r="Y801" i="25"/>
  <c r="AA801" i="25"/>
  <c r="W801" i="25"/>
  <c r="AC801" i="25"/>
  <c r="Y802" i="25"/>
  <c r="AA802" i="25"/>
  <c r="W802" i="25"/>
  <c r="AC802" i="25"/>
  <c r="Y803" i="25"/>
  <c r="AA803" i="25"/>
  <c r="W803" i="25"/>
  <c r="AC803" i="25"/>
  <c r="Y804" i="25"/>
  <c r="AA804" i="25"/>
  <c r="W804" i="25"/>
  <c r="AC804" i="25"/>
  <c r="Y805" i="25"/>
  <c r="AA805" i="25"/>
  <c r="W805" i="25"/>
  <c r="AC805" i="25"/>
  <c r="Y806" i="25"/>
  <c r="AA806" i="25"/>
  <c r="W806" i="25"/>
  <c r="AC806" i="25"/>
  <c r="Y807" i="25"/>
  <c r="AA807" i="25"/>
  <c r="W807" i="25"/>
  <c r="AC807" i="25"/>
  <c r="Y808" i="25"/>
  <c r="AA808" i="25"/>
  <c r="W808" i="25"/>
  <c r="AC808" i="25"/>
  <c r="Y809" i="25"/>
  <c r="AA809" i="25"/>
  <c r="W809" i="25"/>
  <c r="AC809" i="25"/>
  <c r="Y810" i="25"/>
  <c r="AA810" i="25"/>
  <c r="W810" i="25"/>
  <c r="AC810" i="25"/>
  <c r="Y811" i="25"/>
  <c r="AA811" i="25"/>
  <c r="W811" i="25"/>
  <c r="AC811" i="25"/>
  <c r="Y812" i="25"/>
  <c r="AA812" i="25"/>
  <c r="W812" i="25"/>
  <c r="AC812" i="25"/>
  <c r="Y813" i="25"/>
  <c r="AA813" i="25"/>
  <c r="W813" i="25"/>
  <c r="AC813" i="25"/>
  <c r="Y814" i="25"/>
  <c r="AA814" i="25"/>
  <c r="W814" i="25"/>
  <c r="AC814" i="25"/>
  <c r="Y815" i="25"/>
  <c r="AA815" i="25"/>
  <c r="W815" i="25"/>
  <c r="AC815" i="25"/>
  <c r="Y816" i="25"/>
  <c r="AA816" i="25"/>
  <c r="W816" i="25"/>
  <c r="AC816" i="25"/>
  <c r="Y817" i="25"/>
  <c r="AA817" i="25"/>
  <c r="W817" i="25"/>
  <c r="AC817" i="25"/>
  <c r="Y818" i="25"/>
  <c r="AA818" i="25"/>
  <c r="W818" i="25"/>
  <c r="AC818" i="25"/>
  <c r="Y819" i="25"/>
  <c r="AA819" i="25"/>
  <c r="W819" i="25"/>
  <c r="AC819" i="25"/>
  <c r="Y820" i="25"/>
  <c r="AA820" i="25"/>
  <c r="W820" i="25"/>
  <c r="AC820" i="25"/>
  <c r="Y821" i="25"/>
  <c r="AA821" i="25"/>
  <c r="W821" i="25"/>
  <c r="AC821" i="25"/>
  <c r="Y822" i="25"/>
  <c r="AA822" i="25"/>
  <c r="W822" i="25"/>
  <c r="AC822" i="25"/>
  <c r="Y823" i="25"/>
  <c r="AA823" i="25"/>
  <c r="W823" i="25"/>
  <c r="AC823" i="25"/>
  <c r="Y824" i="25"/>
  <c r="AA824" i="25"/>
  <c r="W824" i="25"/>
  <c r="AC824" i="25"/>
  <c r="Y825" i="25"/>
  <c r="AA825" i="25"/>
  <c r="W825" i="25"/>
  <c r="AC825" i="25"/>
  <c r="Y826" i="25"/>
  <c r="AA826" i="25"/>
  <c r="W826" i="25"/>
  <c r="AC826" i="25"/>
  <c r="Y827" i="25"/>
  <c r="AA827" i="25"/>
  <c r="W827" i="25"/>
  <c r="AC827" i="25"/>
  <c r="Y828" i="25"/>
  <c r="AA828" i="25"/>
  <c r="W828" i="25"/>
  <c r="AC828" i="25"/>
  <c r="Y829" i="25"/>
  <c r="AA829" i="25"/>
  <c r="W829" i="25"/>
  <c r="AC829" i="25"/>
  <c r="Y830" i="25"/>
  <c r="AA830" i="25"/>
  <c r="W830" i="25"/>
  <c r="AC830" i="25"/>
  <c r="Y831" i="25"/>
  <c r="AA831" i="25"/>
  <c r="W831" i="25"/>
  <c r="AC831" i="25"/>
  <c r="Y832" i="25"/>
  <c r="AA832" i="25"/>
  <c r="W832" i="25"/>
  <c r="AC832" i="25"/>
  <c r="Y833" i="25"/>
  <c r="AA833" i="25"/>
  <c r="W833" i="25"/>
  <c r="AC833" i="25"/>
  <c r="Y834" i="25"/>
  <c r="AA834" i="25"/>
  <c r="W834" i="25"/>
  <c r="AC834" i="25"/>
  <c r="Y835" i="25"/>
  <c r="AA835" i="25"/>
  <c r="W835" i="25"/>
  <c r="AC835" i="25"/>
  <c r="Y836" i="25"/>
  <c r="AA836" i="25"/>
  <c r="W836" i="25"/>
  <c r="AC836" i="25"/>
  <c r="Y837" i="25"/>
  <c r="AA837" i="25"/>
  <c r="W837" i="25"/>
  <c r="AC837" i="25"/>
  <c r="Y838" i="25"/>
  <c r="AA838" i="25"/>
  <c r="W838" i="25"/>
  <c r="AC838" i="25"/>
  <c r="Y839" i="25"/>
  <c r="AA839" i="25"/>
  <c r="W839" i="25"/>
  <c r="AC839" i="25"/>
  <c r="Y840" i="25"/>
  <c r="AA840" i="25"/>
  <c r="W840" i="25"/>
  <c r="AC840" i="25"/>
  <c r="Y841" i="25"/>
  <c r="AA841" i="25"/>
  <c r="W841" i="25"/>
  <c r="AC841" i="25"/>
  <c r="Y842" i="25"/>
  <c r="AA842" i="25"/>
  <c r="W842" i="25"/>
  <c r="AC842" i="25"/>
  <c r="Y843" i="25"/>
  <c r="AA843" i="25"/>
  <c r="W843" i="25"/>
  <c r="AC843" i="25"/>
  <c r="Y844" i="25"/>
  <c r="AA844" i="25"/>
  <c r="W844" i="25"/>
  <c r="AC844" i="25"/>
  <c r="Y845" i="25"/>
  <c r="AA845" i="25"/>
  <c r="W845" i="25"/>
  <c r="AC845" i="25"/>
  <c r="Y846" i="25"/>
  <c r="AA846" i="25"/>
  <c r="W846" i="25"/>
  <c r="AC846" i="25"/>
  <c r="Y847" i="25"/>
  <c r="AA847" i="25"/>
  <c r="W847" i="25"/>
  <c r="AC847" i="25"/>
  <c r="Y848" i="25"/>
  <c r="AA848" i="25"/>
  <c r="W848" i="25"/>
  <c r="AC848" i="25"/>
  <c r="Y849" i="25"/>
  <c r="AA849" i="25"/>
  <c r="W849" i="25"/>
  <c r="AC849" i="25"/>
  <c r="Y850" i="25"/>
  <c r="AA850" i="25"/>
  <c r="W850" i="25"/>
  <c r="AC850" i="25"/>
  <c r="Y851" i="25"/>
  <c r="AA851" i="25"/>
  <c r="W851" i="25"/>
  <c r="AC851" i="25"/>
  <c r="Y852" i="25"/>
  <c r="AA852" i="25"/>
  <c r="W852" i="25"/>
  <c r="AC852" i="25"/>
  <c r="Y853" i="25"/>
  <c r="AA853" i="25"/>
  <c r="W853" i="25"/>
  <c r="AC853" i="25"/>
  <c r="Y854" i="25"/>
  <c r="AA854" i="25"/>
  <c r="W854" i="25"/>
  <c r="AC854" i="25"/>
  <c r="Y855" i="25"/>
  <c r="AA855" i="25"/>
  <c r="W855" i="25"/>
  <c r="AC855" i="25"/>
  <c r="Y856" i="25"/>
  <c r="AA856" i="25"/>
  <c r="W856" i="25"/>
  <c r="AC856" i="25"/>
  <c r="Y857" i="25"/>
  <c r="AA857" i="25"/>
  <c r="W857" i="25"/>
  <c r="AC857" i="25"/>
  <c r="Y858" i="25"/>
  <c r="AA858" i="25"/>
  <c r="W858" i="25"/>
  <c r="AC858" i="25"/>
  <c r="Y859" i="25"/>
  <c r="AA859" i="25"/>
  <c r="W859" i="25"/>
  <c r="AC859" i="25"/>
  <c r="Y860" i="25"/>
  <c r="AA860" i="25"/>
  <c r="W860" i="25"/>
  <c r="AC860" i="25"/>
  <c r="Y861" i="25"/>
  <c r="AA861" i="25"/>
  <c r="W861" i="25"/>
  <c r="AC861" i="25"/>
  <c r="Y862" i="25"/>
  <c r="AA862" i="25"/>
  <c r="W862" i="25"/>
  <c r="AC862" i="25"/>
  <c r="Y863" i="25"/>
  <c r="AA863" i="25"/>
  <c r="W863" i="25"/>
  <c r="AC863" i="25"/>
  <c r="Y864" i="25"/>
  <c r="AA864" i="25"/>
  <c r="W864" i="25"/>
  <c r="AC864" i="25"/>
  <c r="Y865" i="25"/>
  <c r="AA865" i="25"/>
  <c r="W865" i="25"/>
  <c r="AC865" i="25"/>
  <c r="Y866" i="25"/>
  <c r="AA866" i="25"/>
  <c r="W866" i="25"/>
  <c r="AC866" i="25"/>
  <c r="Y867" i="25"/>
  <c r="AA867" i="25"/>
  <c r="W867" i="25"/>
  <c r="AC867" i="25"/>
  <c r="Y868" i="25"/>
  <c r="AA868" i="25"/>
  <c r="W868" i="25"/>
  <c r="AC868" i="25"/>
  <c r="Y869" i="25"/>
  <c r="AA869" i="25"/>
  <c r="W869" i="25"/>
  <c r="AC869" i="25"/>
  <c r="Y870" i="25"/>
  <c r="AA870" i="25"/>
  <c r="W870" i="25"/>
  <c r="AC870" i="25"/>
  <c r="Y871" i="25"/>
  <c r="AA871" i="25"/>
  <c r="W871" i="25"/>
  <c r="AC871" i="25"/>
  <c r="Y872" i="25"/>
  <c r="AA872" i="25"/>
  <c r="W872" i="25"/>
  <c r="AC872" i="25"/>
  <c r="Y873" i="25"/>
  <c r="AA873" i="25"/>
  <c r="W873" i="25"/>
  <c r="AC873" i="25"/>
  <c r="Y874" i="25"/>
  <c r="AA874" i="25"/>
  <c r="W874" i="25"/>
  <c r="AC874" i="25"/>
  <c r="Y875" i="25"/>
  <c r="AA875" i="25"/>
  <c r="W875" i="25"/>
  <c r="AC875" i="25"/>
  <c r="Y876" i="25"/>
  <c r="AA876" i="25"/>
  <c r="W876" i="25"/>
  <c r="AC876" i="25"/>
  <c r="Y877" i="25"/>
  <c r="AA877" i="25"/>
  <c r="W877" i="25"/>
  <c r="AC877" i="25"/>
  <c r="Y878" i="25"/>
  <c r="AA878" i="25"/>
  <c r="W878" i="25"/>
  <c r="AC878" i="25"/>
  <c r="Y879" i="25"/>
  <c r="AA879" i="25"/>
  <c r="W879" i="25"/>
  <c r="AC879" i="25"/>
  <c r="Y880" i="25"/>
  <c r="AA880" i="25"/>
  <c r="W880" i="25"/>
  <c r="AC880" i="25"/>
  <c r="Y881" i="25"/>
  <c r="AA881" i="25"/>
  <c r="W881" i="25"/>
  <c r="AC881" i="25"/>
  <c r="Y882" i="25"/>
  <c r="AA882" i="25"/>
  <c r="W882" i="25"/>
  <c r="AC882" i="25"/>
  <c r="Y883" i="25"/>
  <c r="AA883" i="25"/>
  <c r="W883" i="25"/>
  <c r="AC883" i="25"/>
  <c r="Y884" i="25"/>
  <c r="AA884" i="25"/>
  <c r="W884" i="25"/>
  <c r="AC884" i="25"/>
  <c r="Y885" i="25"/>
  <c r="AA885" i="25"/>
  <c r="W885" i="25"/>
  <c r="AC885" i="25"/>
  <c r="Y886" i="25"/>
  <c r="AA886" i="25"/>
  <c r="W886" i="25"/>
  <c r="AC886" i="25"/>
  <c r="Y887" i="25"/>
  <c r="AA887" i="25"/>
  <c r="W887" i="25"/>
  <c r="AC887" i="25"/>
  <c r="Y888" i="25"/>
  <c r="AA888" i="25"/>
  <c r="W888" i="25"/>
  <c r="AC888" i="25"/>
  <c r="Y889" i="25"/>
  <c r="AA889" i="25"/>
  <c r="W889" i="25"/>
  <c r="AC889" i="25"/>
  <c r="Y890" i="25"/>
  <c r="AA890" i="25"/>
  <c r="W890" i="25"/>
  <c r="AC890" i="25"/>
  <c r="Y891" i="25"/>
  <c r="AA891" i="25"/>
  <c r="W891" i="25"/>
  <c r="AC891" i="25"/>
  <c r="Y892" i="25"/>
  <c r="AA892" i="25"/>
  <c r="W892" i="25"/>
  <c r="AC892" i="25"/>
  <c r="Y893" i="25"/>
  <c r="AA893" i="25"/>
  <c r="W893" i="25"/>
  <c r="AC893" i="25"/>
  <c r="Y894" i="25"/>
  <c r="AA894" i="25"/>
  <c r="W894" i="25"/>
  <c r="AC894" i="25"/>
  <c r="Y895" i="25"/>
  <c r="AA895" i="25"/>
  <c r="W895" i="25"/>
  <c r="AC895" i="25"/>
  <c r="Y896" i="25"/>
  <c r="AA896" i="25"/>
  <c r="W896" i="25"/>
  <c r="AC896" i="25"/>
  <c r="Y897" i="25"/>
  <c r="AA897" i="25"/>
  <c r="W897" i="25"/>
  <c r="AC897" i="25"/>
  <c r="Y898" i="25"/>
  <c r="AA898" i="25"/>
  <c r="W898" i="25"/>
  <c r="AC898" i="25"/>
  <c r="Y899" i="25"/>
  <c r="AA899" i="25"/>
  <c r="W899" i="25"/>
  <c r="AC899" i="25"/>
  <c r="Y900" i="25"/>
  <c r="AA900" i="25"/>
  <c r="W900" i="25"/>
  <c r="AC900" i="25"/>
  <c r="Y901" i="25"/>
  <c r="AA901" i="25"/>
  <c r="W901" i="25"/>
  <c r="AC901" i="25"/>
  <c r="Y902" i="25"/>
  <c r="AA902" i="25"/>
  <c r="W902" i="25"/>
  <c r="AC902" i="25"/>
  <c r="Y903" i="25"/>
  <c r="AA903" i="25"/>
  <c r="W903" i="25"/>
  <c r="AC903" i="25"/>
  <c r="Y904" i="25"/>
  <c r="AA904" i="25"/>
  <c r="W904" i="25"/>
  <c r="AC904" i="25"/>
  <c r="Y905" i="25"/>
  <c r="AA905" i="25"/>
  <c r="W905" i="25"/>
  <c r="AC905" i="25"/>
  <c r="Y906" i="25"/>
  <c r="AA906" i="25"/>
  <c r="W906" i="25"/>
  <c r="AC906" i="25"/>
  <c r="Y907" i="25"/>
  <c r="AA907" i="25"/>
  <c r="W907" i="25"/>
  <c r="AC907" i="25"/>
  <c r="Y908" i="25"/>
  <c r="AA908" i="25"/>
  <c r="W908" i="25"/>
  <c r="AC908" i="25"/>
  <c r="Y909" i="25"/>
  <c r="AA909" i="25"/>
  <c r="W909" i="25"/>
  <c r="AC909" i="25"/>
  <c r="Y910" i="25"/>
  <c r="AA910" i="25"/>
  <c r="W910" i="25"/>
  <c r="AC910" i="25"/>
  <c r="Y911" i="25"/>
  <c r="AA911" i="25"/>
  <c r="W911" i="25"/>
  <c r="AC911" i="25"/>
  <c r="Y912" i="25"/>
  <c r="AA912" i="25"/>
  <c r="W912" i="25"/>
  <c r="AC912" i="25"/>
  <c r="Y913" i="25"/>
  <c r="AA913" i="25"/>
  <c r="W913" i="25"/>
  <c r="AC913" i="25"/>
  <c r="Y914" i="25"/>
  <c r="AA914" i="25"/>
  <c r="W914" i="25"/>
  <c r="AC914" i="25"/>
  <c r="Y915" i="25"/>
  <c r="AA915" i="25"/>
  <c r="W915" i="25"/>
  <c r="AC915" i="25"/>
  <c r="Y916" i="25"/>
  <c r="AA916" i="25"/>
  <c r="W916" i="25"/>
  <c r="AC916" i="25"/>
  <c r="Y917" i="25"/>
  <c r="AA917" i="25"/>
  <c r="W917" i="25"/>
  <c r="AC917" i="25"/>
  <c r="Y918" i="25"/>
  <c r="AA918" i="25"/>
  <c r="W918" i="25"/>
  <c r="AC918" i="25"/>
  <c r="Y919" i="25"/>
  <c r="AA919" i="25"/>
  <c r="W919" i="25"/>
  <c r="AC919" i="25"/>
  <c r="Y920" i="25"/>
  <c r="AA920" i="25"/>
  <c r="W920" i="25"/>
  <c r="AC920" i="25"/>
  <c r="Y921" i="25"/>
  <c r="AA921" i="25"/>
  <c r="W921" i="25"/>
  <c r="AC921" i="25"/>
  <c r="Y922" i="25"/>
  <c r="AA922" i="25"/>
  <c r="W922" i="25"/>
  <c r="AC922" i="25"/>
  <c r="Y923" i="25"/>
  <c r="AA923" i="25"/>
  <c r="W923" i="25"/>
  <c r="AC923" i="25"/>
  <c r="Y924" i="25"/>
  <c r="AA924" i="25"/>
  <c r="W924" i="25"/>
  <c r="AC924" i="25"/>
  <c r="Y925" i="25"/>
  <c r="AA925" i="25"/>
  <c r="W925" i="25"/>
  <c r="AC925" i="25"/>
  <c r="Y926" i="25"/>
  <c r="AA926" i="25"/>
  <c r="W926" i="25"/>
  <c r="AC926" i="25"/>
  <c r="Y927" i="25"/>
  <c r="AA927" i="25"/>
  <c r="W927" i="25"/>
  <c r="AC927" i="25"/>
  <c r="Y928" i="25"/>
  <c r="AA928" i="25"/>
  <c r="W928" i="25"/>
  <c r="AC928" i="25"/>
  <c r="Y929" i="25"/>
  <c r="AA929" i="25"/>
  <c r="W929" i="25"/>
  <c r="AC929" i="25"/>
  <c r="Y930" i="25"/>
  <c r="AA930" i="25"/>
  <c r="W930" i="25"/>
  <c r="AC930" i="25"/>
  <c r="Y931" i="25"/>
  <c r="AA931" i="25"/>
  <c r="W931" i="25"/>
  <c r="AC931" i="25"/>
  <c r="Y932" i="25"/>
  <c r="AA932" i="25"/>
  <c r="W932" i="25"/>
  <c r="AC932" i="25"/>
  <c r="Y933" i="25"/>
  <c r="AA933" i="25"/>
  <c r="W933" i="25"/>
  <c r="AC933" i="25"/>
  <c r="Y934" i="25"/>
  <c r="AA934" i="25"/>
  <c r="W934" i="25"/>
  <c r="AC934" i="25"/>
  <c r="Y935" i="25"/>
  <c r="AA935" i="25"/>
  <c r="W935" i="25"/>
  <c r="AC935" i="25"/>
  <c r="Y936" i="25"/>
  <c r="AA936" i="25"/>
  <c r="W936" i="25"/>
  <c r="AC936" i="25"/>
  <c r="Y937" i="25"/>
  <c r="AA937" i="25"/>
  <c r="W937" i="25"/>
  <c r="AC937" i="25"/>
  <c r="Y938" i="25"/>
  <c r="AA938" i="25"/>
  <c r="W938" i="25"/>
  <c r="AC938" i="25"/>
  <c r="Y939" i="25"/>
  <c r="AA939" i="25"/>
  <c r="W939" i="25"/>
  <c r="AC939" i="25"/>
  <c r="Y940" i="25"/>
  <c r="AA940" i="25"/>
  <c r="W940" i="25"/>
  <c r="AC940" i="25"/>
  <c r="Y941" i="25"/>
  <c r="AA941" i="25"/>
  <c r="W941" i="25"/>
  <c r="AC941" i="25"/>
  <c r="Y942" i="25"/>
  <c r="AA942" i="25"/>
  <c r="W942" i="25"/>
  <c r="AC942" i="25"/>
  <c r="Y943" i="25"/>
  <c r="AA943" i="25"/>
  <c r="W943" i="25"/>
  <c r="AC943" i="25"/>
  <c r="Y944" i="25"/>
  <c r="AA944" i="25"/>
  <c r="W944" i="25"/>
  <c r="AC944" i="25"/>
  <c r="Y945" i="25"/>
  <c r="AA945" i="25"/>
  <c r="W945" i="25"/>
  <c r="AC945" i="25"/>
  <c r="Y946" i="25"/>
  <c r="AA946" i="25"/>
  <c r="W946" i="25"/>
  <c r="AC946" i="25"/>
  <c r="Y947" i="25"/>
  <c r="AA947" i="25"/>
  <c r="W947" i="25"/>
  <c r="AC947" i="25"/>
  <c r="Y948" i="25"/>
  <c r="AA948" i="25"/>
  <c r="W948" i="25"/>
  <c r="AC948" i="25"/>
  <c r="Y949" i="25"/>
  <c r="AA949" i="25"/>
  <c r="W949" i="25"/>
  <c r="AC949" i="25"/>
  <c r="Y950" i="25"/>
  <c r="AA950" i="25"/>
  <c r="W950" i="25"/>
  <c r="AC950" i="25"/>
  <c r="Y951" i="25"/>
  <c r="AA951" i="25"/>
  <c r="W951" i="25"/>
  <c r="AC951" i="25"/>
  <c r="Y952" i="25"/>
  <c r="AA952" i="25"/>
  <c r="W952" i="25"/>
  <c r="AC952" i="25"/>
  <c r="Y953" i="25"/>
  <c r="AA953" i="25"/>
  <c r="W953" i="25"/>
  <c r="AC953" i="25"/>
  <c r="Y954" i="25"/>
  <c r="AA954" i="25"/>
  <c r="W954" i="25"/>
  <c r="AC954" i="25"/>
  <c r="Y955" i="25"/>
  <c r="AA955" i="25"/>
  <c r="W955" i="25"/>
  <c r="AC955" i="25"/>
  <c r="Y956" i="25"/>
  <c r="AA956" i="25"/>
  <c r="W956" i="25"/>
  <c r="AC956" i="25"/>
  <c r="Y957" i="25"/>
  <c r="AA957" i="25"/>
  <c r="W957" i="25"/>
  <c r="AC957" i="25"/>
  <c r="Y958" i="25"/>
  <c r="AA958" i="25"/>
  <c r="W958" i="25"/>
  <c r="AC958" i="25"/>
  <c r="Y959" i="25"/>
  <c r="AA959" i="25"/>
  <c r="W959" i="25"/>
  <c r="AC959" i="25"/>
  <c r="Y960" i="25"/>
  <c r="AA960" i="25"/>
  <c r="W960" i="25"/>
  <c r="AC960" i="25"/>
  <c r="Y961" i="25"/>
  <c r="AA961" i="25"/>
  <c r="W961" i="25"/>
  <c r="AC961" i="25"/>
  <c r="Y962" i="25"/>
  <c r="AA962" i="25"/>
  <c r="W962" i="25"/>
  <c r="AC962" i="25"/>
  <c r="Y963" i="25"/>
  <c r="AA963" i="25"/>
  <c r="W963" i="25"/>
  <c r="AC963" i="25"/>
  <c r="Y964" i="25"/>
  <c r="AA964" i="25"/>
  <c r="W964" i="25"/>
  <c r="AC964" i="25"/>
  <c r="Y965" i="25"/>
  <c r="AA965" i="25"/>
  <c r="W965" i="25"/>
  <c r="AC965" i="25"/>
  <c r="Y966" i="25"/>
  <c r="AA966" i="25"/>
  <c r="W966" i="25"/>
  <c r="AC966" i="25"/>
  <c r="Y967" i="25"/>
  <c r="AA967" i="25"/>
  <c r="W967" i="25"/>
  <c r="AC967" i="25"/>
  <c r="Y968" i="25"/>
  <c r="AA968" i="25"/>
  <c r="W968" i="25"/>
  <c r="AC968" i="25"/>
  <c r="Y969" i="25"/>
  <c r="AA969" i="25"/>
  <c r="W969" i="25"/>
  <c r="AC969" i="25"/>
  <c r="Y970" i="25"/>
  <c r="AA970" i="25"/>
  <c r="W970" i="25"/>
  <c r="AC970" i="25"/>
  <c r="Y971" i="25"/>
  <c r="AA971" i="25"/>
  <c r="W971" i="25"/>
  <c r="AC971" i="25"/>
  <c r="Y972" i="25"/>
  <c r="AA972" i="25"/>
  <c r="W972" i="25"/>
  <c r="AC972" i="25"/>
  <c r="Y973" i="25"/>
  <c r="AA973" i="25"/>
  <c r="W973" i="25"/>
  <c r="AC973" i="25"/>
  <c r="Y974" i="25"/>
  <c r="AA974" i="25"/>
  <c r="W974" i="25"/>
  <c r="AC974" i="25"/>
  <c r="Y975" i="25"/>
  <c r="AA975" i="25"/>
  <c r="W975" i="25"/>
  <c r="AC975" i="25"/>
  <c r="Y976" i="25"/>
  <c r="AA976" i="25"/>
  <c r="W976" i="25"/>
  <c r="AC976" i="25"/>
  <c r="Y977" i="25"/>
  <c r="AA977" i="25"/>
  <c r="W977" i="25"/>
  <c r="AC977" i="25"/>
  <c r="Y978" i="25"/>
  <c r="AA978" i="25"/>
  <c r="W978" i="25"/>
  <c r="AC978" i="25"/>
  <c r="Y979" i="25"/>
  <c r="AA979" i="25"/>
  <c r="W979" i="25"/>
  <c r="AC979" i="25"/>
  <c r="Y980" i="25"/>
  <c r="AA980" i="25"/>
  <c r="W980" i="25"/>
  <c r="AC980" i="25"/>
  <c r="Y981" i="25"/>
  <c r="AA981" i="25"/>
  <c r="W981" i="25"/>
  <c r="AC981" i="25"/>
  <c r="Y982" i="25"/>
  <c r="AA982" i="25"/>
  <c r="W982" i="25"/>
  <c r="AC982" i="25"/>
  <c r="Y983" i="25"/>
  <c r="AA983" i="25"/>
  <c r="W983" i="25"/>
  <c r="AC983" i="25"/>
  <c r="Y984" i="25"/>
  <c r="AA984" i="25"/>
  <c r="W984" i="25"/>
  <c r="AC984" i="25"/>
  <c r="Y985" i="25"/>
  <c r="AA985" i="25"/>
  <c r="W985" i="25"/>
  <c r="AC985" i="25"/>
  <c r="Y986" i="25"/>
  <c r="AA986" i="25"/>
  <c r="W986" i="25"/>
  <c r="AC986" i="25"/>
  <c r="Y987" i="25"/>
  <c r="AA987" i="25"/>
  <c r="W987" i="25"/>
  <c r="AC987" i="25"/>
  <c r="Y988" i="25"/>
  <c r="AA988" i="25"/>
  <c r="W988" i="25"/>
  <c r="AC988" i="25"/>
  <c r="Y989" i="25"/>
  <c r="AA989" i="25"/>
  <c r="W989" i="25"/>
  <c r="AC989" i="25"/>
  <c r="Y990" i="25"/>
  <c r="AA990" i="25"/>
  <c r="W990" i="25"/>
  <c r="AC990" i="25"/>
  <c r="Y991" i="25"/>
  <c r="AA991" i="25"/>
  <c r="W991" i="25"/>
  <c r="AC991" i="25"/>
  <c r="Y992" i="25"/>
  <c r="AA992" i="25"/>
  <c r="W992" i="25"/>
  <c r="AC992" i="25"/>
  <c r="Y993" i="25"/>
  <c r="AA993" i="25"/>
  <c r="W993" i="25"/>
  <c r="AC993" i="25"/>
  <c r="Y994" i="25"/>
  <c r="AA994" i="25"/>
  <c r="W994" i="25"/>
  <c r="AC994" i="25"/>
  <c r="Y995" i="25"/>
  <c r="AA995" i="25"/>
  <c r="W995" i="25"/>
  <c r="AC995" i="25"/>
  <c r="Y996" i="25"/>
  <c r="AA996" i="25"/>
  <c r="W996" i="25"/>
  <c r="AC996" i="25"/>
  <c r="Y997" i="25"/>
  <c r="AA997" i="25"/>
  <c r="W997" i="25"/>
  <c r="AC997" i="25"/>
  <c r="Y998" i="25"/>
  <c r="AA998" i="25"/>
  <c r="W998" i="25"/>
  <c r="AC998" i="25"/>
  <c r="Y999" i="25"/>
  <c r="AA999" i="25"/>
  <c r="W999" i="25"/>
  <c r="AC999" i="25"/>
  <c r="Y1000" i="25"/>
  <c r="AA1000" i="25"/>
  <c r="W1000" i="25"/>
  <c r="AC1000" i="25"/>
  <c r="Y1001" i="25"/>
  <c r="AA1001" i="25"/>
  <c r="W1001" i="25"/>
  <c r="AC1001" i="25"/>
  <c r="Y1002" i="25"/>
  <c r="AA1002" i="25"/>
  <c r="W1002" i="25"/>
  <c r="AC1002" i="25"/>
  <c r="Y1003" i="25"/>
  <c r="AA1003" i="25"/>
  <c r="W1003" i="25"/>
  <c r="AC1003" i="25"/>
  <c r="Y1004" i="25"/>
  <c r="AA1004" i="25"/>
  <c r="W1004" i="25"/>
  <c r="AC1004" i="25"/>
  <c r="Y1005" i="25"/>
  <c r="AA1005" i="25"/>
  <c r="W1005" i="25"/>
  <c r="AC1005" i="25"/>
  <c r="Y1006" i="25"/>
  <c r="AA1006" i="25"/>
  <c r="W1006" i="25"/>
  <c r="AC1006" i="25"/>
  <c r="Y1007" i="25"/>
  <c r="AA1007" i="25"/>
  <c r="W1007" i="25"/>
  <c r="AC1007" i="25"/>
  <c r="Y1008" i="25"/>
  <c r="AA1008" i="25"/>
  <c r="W1008" i="25"/>
  <c r="AC1008" i="25"/>
  <c r="Y1009" i="25"/>
  <c r="AA1009" i="25"/>
  <c r="W1009" i="25"/>
  <c r="AC1009" i="25"/>
  <c r="Y1010" i="25"/>
  <c r="AA1010" i="25"/>
  <c r="W1010" i="25"/>
  <c r="AC1010" i="25"/>
  <c r="Y1011" i="25"/>
  <c r="AA1011" i="25"/>
  <c r="W1011" i="25"/>
  <c r="AC1011" i="25"/>
  <c r="Y1012" i="25"/>
  <c r="AA1012" i="25"/>
  <c r="W1012" i="25"/>
  <c r="AC1012" i="25"/>
  <c r="Y1013" i="25"/>
  <c r="AA1013" i="25"/>
  <c r="W1013" i="25"/>
  <c r="AC1013" i="25"/>
  <c r="Y1014" i="25"/>
  <c r="AA1014" i="25"/>
  <c r="W1014" i="25"/>
  <c r="AC1014" i="25"/>
  <c r="Y1015" i="25"/>
  <c r="AA1015" i="25"/>
  <c r="W1015" i="25"/>
  <c r="AC1015" i="25"/>
  <c r="Y1016" i="25"/>
  <c r="AA1016" i="25"/>
  <c r="W1016" i="25"/>
  <c r="AC1016" i="25"/>
  <c r="Y1017" i="25"/>
  <c r="AA1017" i="25"/>
  <c r="W1017" i="25"/>
  <c r="AC1017" i="25"/>
  <c r="Y1018" i="25"/>
  <c r="AA1018" i="25"/>
  <c r="W1018" i="25"/>
  <c r="AC1018" i="25"/>
  <c r="Y1019" i="25"/>
  <c r="AA1019" i="25"/>
  <c r="W1019" i="25"/>
  <c r="AC1019" i="25"/>
  <c r="Y1020" i="25"/>
  <c r="AA1020" i="25"/>
  <c r="W1020" i="25"/>
  <c r="AC1020" i="25"/>
  <c r="Y1021" i="25"/>
  <c r="AA1021" i="25"/>
  <c r="W1021" i="25"/>
  <c r="AC1021" i="25"/>
  <c r="Y1022" i="25"/>
  <c r="AA1022" i="25"/>
  <c r="W1022" i="25"/>
  <c r="AC1022" i="25"/>
  <c r="Y1023" i="25"/>
  <c r="AA1023" i="25"/>
  <c r="W1023" i="25"/>
  <c r="AC1023" i="25"/>
  <c r="Y1024" i="25"/>
  <c r="AA1024" i="25"/>
  <c r="W1024" i="25"/>
  <c r="AC1024" i="25"/>
  <c r="Y1025" i="25"/>
  <c r="AA1025" i="25"/>
  <c r="W1025" i="25"/>
  <c r="AC1025" i="25"/>
  <c r="Y1026" i="25"/>
  <c r="AA1026" i="25"/>
  <c r="W1026" i="25"/>
  <c r="AC1026" i="25"/>
  <c r="Y1027" i="25"/>
  <c r="AA1027" i="25"/>
  <c r="W1027" i="25"/>
  <c r="AC1027" i="25"/>
  <c r="Y1028" i="25"/>
  <c r="AA1028" i="25"/>
  <c r="W1028" i="25"/>
  <c r="AC1028" i="25"/>
  <c r="Y1029" i="25"/>
  <c r="AA1029" i="25"/>
  <c r="W1029" i="25"/>
  <c r="AC1029" i="25"/>
  <c r="Y1030" i="25"/>
  <c r="AA1030" i="25"/>
  <c r="W1030" i="25"/>
  <c r="AC1030" i="25"/>
  <c r="Y1031" i="25"/>
  <c r="AA1031" i="25"/>
  <c r="W1031" i="25"/>
  <c r="AC1031" i="25"/>
  <c r="Y1032" i="25"/>
  <c r="AA1032" i="25"/>
  <c r="W1032" i="25"/>
  <c r="AC1032" i="25"/>
  <c r="Y1033" i="25"/>
  <c r="AA1033" i="25"/>
  <c r="W1033" i="25"/>
  <c r="AC1033" i="25"/>
  <c r="Y1034" i="25"/>
  <c r="AA1034" i="25"/>
  <c r="W1034" i="25"/>
  <c r="AC1034" i="25"/>
  <c r="Y1035" i="25"/>
  <c r="AA1035" i="25"/>
  <c r="W1035" i="25"/>
  <c r="AC1035" i="25"/>
  <c r="Y1036" i="25"/>
  <c r="AA1036" i="25"/>
  <c r="W1036" i="25"/>
  <c r="AC1036" i="25"/>
  <c r="Y1037" i="25"/>
  <c r="AA1037" i="25"/>
  <c r="W1037" i="25"/>
  <c r="AC1037" i="25"/>
  <c r="Y1038" i="25"/>
  <c r="AA1038" i="25"/>
  <c r="W1038" i="25"/>
  <c r="AC1038" i="25"/>
  <c r="Y1039" i="25"/>
  <c r="AA1039" i="25"/>
  <c r="W1039" i="25"/>
  <c r="AC1039" i="25"/>
  <c r="Y1040" i="25"/>
  <c r="AA1040" i="25"/>
  <c r="W1040" i="25"/>
  <c r="AC1040" i="25"/>
  <c r="Y1041" i="25"/>
  <c r="AA1041" i="25"/>
  <c r="W1041" i="25"/>
  <c r="AC1041" i="25"/>
  <c r="Y1042" i="25"/>
  <c r="AA1042" i="25"/>
  <c r="W1042" i="25"/>
  <c r="AC1042" i="25"/>
  <c r="Y1043" i="25"/>
  <c r="AA1043" i="25"/>
  <c r="W1043" i="25"/>
  <c r="AC1043" i="25"/>
  <c r="Y1044" i="25"/>
  <c r="AA1044" i="25"/>
  <c r="W1044" i="25"/>
  <c r="AC1044" i="25"/>
  <c r="Y1045" i="25"/>
  <c r="AA1045" i="25"/>
  <c r="W1045" i="25"/>
  <c r="AC1045" i="25"/>
  <c r="Y1046" i="25"/>
  <c r="AA1046" i="25"/>
  <c r="W1046" i="25"/>
  <c r="AC1046" i="25"/>
  <c r="Y1047" i="25"/>
  <c r="AA1047" i="25"/>
  <c r="W1047" i="25"/>
  <c r="AC1047" i="25"/>
  <c r="Y1048" i="25"/>
  <c r="AA1048" i="25"/>
  <c r="W1048" i="25"/>
  <c r="AC1048" i="25"/>
  <c r="Y1049" i="25"/>
  <c r="AA1049" i="25"/>
  <c r="W1049" i="25"/>
  <c r="AC1049" i="25"/>
  <c r="Y1050" i="25"/>
  <c r="AA1050" i="25"/>
  <c r="W1050" i="25"/>
  <c r="AC1050" i="25"/>
  <c r="Y1051" i="25"/>
  <c r="AA1051" i="25"/>
  <c r="W1051" i="25"/>
  <c r="AC1051" i="25"/>
  <c r="Y1052" i="25"/>
  <c r="AA1052" i="25"/>
  <c r="W1052" i="25"/>
  <c r="AC1052" i="25"/>
  <c r="Y1053" i="25"/>
  <c r="AA1053" i="25"/>
  <c r="W1053" i="25"/>
  <c r="AC1053" i="25"/>
  <c r="Y1054" i="25"/>
  <c r="AA1054" i="25"/>
  <c r="W1054" i="25"/>
  <c r="AC1054" i="25"/>
  <c r="Y1055" i="25"/>
  <c r="AA1055" i="25"/>
  <c r="W1055" i="25"/>
  <c r="AC1055" i="25"/>
  <c r="Y1056" i="25"/>
  <c r="AA1056" i="25"/>
  <c r="W1056" i="25"/>
  <c r="AC1056" i="25"/>
  <c r="Y1057" i="25"/>
  <c r="AA1057" i="25"/>
  <c r="W1057" i="25"/>
  <c r="AC1057" i="25"/>
  <c r="Y1058" i="25"/>
  <c r="AA1058" i="25"/>
  <c r="W1058" i="25"/>
  <c r="AC1058" i="25"/>
  <c r="Y1059" i="25"/>
  <c r="AA1059" i="25"/>
  <c r="W1059" i="25"/>
  <c r="AC1059" i="25"/>
  <c r="Y1060" i="25"/>
  <c r="AA1060" i="25"/>
  <c r="W1060" i="25"/>
  <c r="AC1060" i="25"/>
  <c r="Y1061" i="25"/>
  <c r="AA1061" i="25"/>
  <c r="W1061" i="25"/>
  <c r="AC1061" i="25"/>
  <c r="Y1062" i="25"/>
  <c r="AA1062" i="25"/>
  <c r="W1062" i="25"/>
  <c r="AC1062" i="25"/>
  <c r="Y1063" i="25"/>
  <c r="AA1063" i="25"/>
  <c r="W1063" i="25"/>
  <c r="AC1063" i="25"/>
  <c r="Y1064" i="25"/>
  <c r="AA1064" i="25"/>
  <c r="W1064" i="25"/>
  <c r="AC1064" i="25"/>
  <c r="Y1065" i="25"/>
  <c r="AA1065" i="25"/>
  <c r="W1065" i="25"/>
  <c r="AC1065" i="25"/>
  <c r="Y1066" i="25"/>
  <c r="AA1066" i="25"/>
  <c r="W1066" i="25"/>
  <c r="AC1066" i="25"/>
  <c r="Y1067" i="25"/>
  <c r="AA1067" i="25"/>
  <c r="W1067" i="25"/>
  <c r="AC1067" i="25"/>
  <c r="Y1068" i="25"/>
  <c r="AA1068" i="25"/>
  <c r="W1068" i="25"/>
  <c r="AC1068" i="25"/>
  <c r="Y1069" i="25"/>
  <c r="AA1069" i="25"/>
  <c r="W1069" i="25"/>
  <c r="AC1069" i="25"/>
  <c r="Y1070" i="25"/>
  <c r="AA1070" i="25"/>
  <c r="W1070" i="25"/>
  <c r="AC1070" i="25"/>
  <c r="Y1071" i="25"/>
  <c r="AA1071" i="25"/>
  <c r="W1071" i="25"/>
  <c r="AC1071" i="25"/>
  <c r="Y1072" i="25"/>
  <c r="AA1072" i="25"/>
  <c r="W1072" i="25"/>
  <c r="AC1072" i="25"/>
  <c r="Y1073" i="25"/>
  <c r="AA1073" i="25"/>
  <c r="W1073" i="25"/>
  <c r="AC1073" i="25"/>
  <c r="Y1074" i="25"/>
  <c r="AA1074" i="25"/>
  <c r="W1074" i="25"/>
  <c r="AC1074" i="25"/>
  <c r="Y1075" i="25"/>
  <c r="AA1075" i="25"/>
  <c r="W1075" i="25"/>
  <c r="AC1075" i="25"/>
  <c r="Y1076" i="25"/>
  <c r="AA1076" i="25"/>
  <c r="W1076" i="25"/>
  <c r="AC1076" i="25"/>
  <c r="Y1077" i="25"/>
  <c r="AA1077" i="25"/>
  <c r="W1077" i="25"/>
  <c r="AC1077" i="25"/>
  <c r="Y1078" i="25"/>
  <c r="AA1078" i="25"/>
  <c r="W1078" i="25"/>
  <c r="AC1078" i="25"/>
  <c r="Y1079" i="25"/>
  <c r="AA1079" i="25"/>
  <c r="W1079" i="25"/>
  <c r="AC1079" i="25"/>
  <c r="Y1080" i="25"/>
  <c r="AA1080" i="25"/>
  <c r="W1080" i="25"/>
  <c r="AC1080" i="25"/>
  <c r="Y1081" i="25"/>
  <c r="AA1081" i="25"/>
  <c r="W1081" i="25"/>
  <c r="AC1081" i="25"/>
  <c r="Y1082" i="25"/>
  <c r="AA1082" i="25"/>
  <c r="W1082" i="25"/>
  <c r="AC1082" i="25"/>
  <c r="Y1083" i="25"/>
  <c r="AA1083" i="25"/>
  <c r="W1083" i="25"/>
  <c r="AC1083" i="25"/>
  <c r="Y1084" i="25"/>
  <c r="AA1084" i="25"/>
  <c r="W1084" i="25"/>
  <c r="AC1084" i="25"/>
  <c r="Y1085" i="25"/>
  <c r="AA1085" i="25"/>
  <c r="W1085" i="25"/>
  <c r="AC1085" i="25"/>
  <c r="Y1086" i="25"/>
  <c r="AA1086" i="25"/>
  <c r="W1086" i="25"/>
  <c r="AC1086" i="25"/>
  <c r="Y1087" i="25"/>
  <c r="AA1087" i="25"/>
  <c r="W1087" i="25"/>
  <c r="AC1087" i="25"/>
  <c r="Y1088" i="25"/>
  <c r="AA1088" i="25"/>
  <c r="W1088" i="25"/>
  <c r="AC1088" i="25"/>
  <c r="Y1089" i="25"/>
  <c r="AA1089" i="25"/>
  <c r="W1089" i="25"/>
  <c r="AC1089" i="25"/>
  <c r="Y1090" i="25"/>
  <c r="AA1090" i="25"/>
  <c r="W1090" i="25"/>
  <c r="AC1090" i="25"/>
  <c r="Y1091" i="25"/>
  <c r="AA1091" i="25"/>
  <c r="W1091" i="25"/>
  <c r="AC1091" i="25"/>
  <c r="Y1092" i="25"/>
  <c r="AA1092" i="25"/>
  <c r="W1092" i="25"/>
  <c r="AC1092" i="25"/>
  <c r="Y1093" i="25"/>
  <c r="AA1093" i="25"/>
  <c r="W1093" i="25"/>
  <c r="AC1093" i="25"/>
  <c r="Y1094" i="25"/>
  <c r="AA1094" i="25"/>
  <c r="W1094" i="25"/>
  <c r="AC1094" i="25"/>
  <c r="Y1095" i="25"/>
  <c r="AA1095" i="25"/>
  <c r="W1095" i="25"/>
  <c r="AC1095" i="25"/>
  <c r="Y1096" i="25"/>
  <c r="AA1096" i="25"/>
  <c r="W1096" i="25"/>
  <c r="AC1096" i="25"/>
  <c r="Y1097" i="25"/>
  <c r="AA1097" i="25"/>
  <c r="W1097" i="25"/>
  <c r="AC1097" i="25"/>
  <c r="Y1098" i="25"/>
  <c r="AA1098" i="25"/>
  <c r="W1098" i="25"/>
  <c r="AC1098" i="25"/>
  <c r="Y1099" i="25"/>
  <c r="AA1099" i="25"/>
  <c r="W1099" i="25"/>
  <c r="AC1099" i="25"/>
  <c r="Y1100" i="25"/>
  <c r="AA1100" i="25"/>
  <c r="W1100" i="25"/>
  <c r="AC1100" i="25"/>
  <c r="Y1101" i="25"/>
  <c r="AA1101" i="25"/>
  <c r="W1101" i="25"/>
  <c r="AC1101" i="25"/>
  <c r="Y1102" i="25"/>
  <c r="AA1102" i="25"/>
  <c r="W1102" i="25"/>
  <c r="AC1102" i="25"/>
  <c r="Y1103" i="25"/>
  <c r="AA1103" i="25"/>
  <c r="W1103" i="25"/>
  <c r="AC1103" i="25"/>
  <c r="Y1104" i="25"/>
  <c r="AA1104" i="25"/>
  <c r="W1104" i="25"/>
  <c r="AC1104" i="25"/>
  <c r="Y1105" i="25"/>
  <c r="AA1105" i="25"/>
  <c r="W1105" i="25"/>
  <c r="AC1105" i="25"/>
  <c r="Y1106" i="25"/>
  <c r="AA1106" i="25"/>
  <c r="W1106" i="25"/>
  <c r="AC1106" i="25"/>
  <c r="Y1107" i="25"/>
  <c r="AA1107" i="25"/>
  <c r="W1107" i="25"/>
  <c r="AC1107" i="25"/>
  <c r="Y1108" i="25"/>
  <c r="AA1108" i="25"/>
  <c r="W1108" i="25"/>
  <c r="AC1108" i="25"/>
  <c r="Y1109" i="25"/>
  <c r="AA1109" i="25"/>
  <c r="W1109" i="25"/>
  <c r="AC1109" i="25"/>
  <c r="Y1110" i="25"/>
  <c r="AA1110" i="25"/>
  <c r="W1110" i="25"/>
  <c r="AC1110" i="25"/>
  <c r="Y1111" i="25"/>
  <c r="AA1111" i="25"/>
  <c r="W1111" i="25"/>
  <c r="AC1111" i="25"/>
  <c r="Y1112" i="25"/>
  <c r="AA1112" i="25"/>
  <c r="W1112" i="25"/>
  <c r="AC1112" i="25"/>
  <c r="Y1113" i="25"/>
  <c r="AA1113" i="25"/>
  <c r="W1113" i="25"/>
  <c r="AC1113" i="25"/>
  <c r="Y1114" i="25"/>
  <c r="AA1114" i="25"/>
  <c r="W1114" i="25"/>
  <c r="AC1114" i="25"/>
  <c r="Y1115" i="25"/>
  <c r="AA1115" i="25"/>
  <c r="W1115" i="25"/>
  <c r="AC1115" i="25"/>
  <c r="Y1116" i="25"/>
  <c r="AA1116" i="25"/>
  <c r="W1116" i="25"/>
  <c r="AC1116" i="25"/>
  <c r="Y1117" i="25"/>
  <c r="AA1117" i="25"/>
  <c r="W1117" i="25"/>
  <c r="AC1117" i="25"/>
  <c r="Y1118" i="25"/>
  <c r="AA1118" i="25"/>
  <c r="W1118" i="25"/>
  <c r="AC1118" i="25"/>
  <c r="Y1119" i="25"/>
  <c r="AA1119" i="25"/>
  <c r="W1119" i="25"/>
  <c r="AC1119" i="25"/>
  <c r="Y1120" i="25"/>
  <c r="AA1120" i="25"/>
  <c r="W1120" i="25"/>
  <c r="AC1120" i="25"/>
  <c r="Y1121" i="25"/>
  <c r="AA1121" i="25"/>
  <c r="W1121" i="25"/>
  <c r="AC1121" i="25"/>
  <c r="Y1122" i="25"/>
  <c r="AA1122" i="25"/>
  <c r="W1122" i="25"/>
  <c r="AC1122" i="25"/>
  <c r="Y1123" i="25"/>
  <c r="AA1123" i="25"/>
  <c r="W1123" i="25"/>
  <c r="AC1123" i="25"/>
  <c r="Y1124" i="25"/>
  <c r="AA1124" i="25"/>
  <c r="W1124" i="25"/>
  <c r="AC1124" i="25"/>
  <c r="Y1125" i="25"/>
  <c r="AA1125" i="25"/>
  <c r="W1125" i="25"/>
  <c r="AC1125" i="25"/>
  <c r="Y1126" i="25"/>
  <c r="AA1126" i="25"/>
  <c r="W1126" i="25"/>
  <c r="AC1126" i="25"/>
  <c r="Y1127" i="25"/>
  <c r="AA1127" i="25"/>
  <c r="W1127" i="25"/>
  <c r="AC1127" i="25"/>
  <c r="Y1128" i="25"/>
  <c r="AA1128" i="25"/>
  <c r="W1128" i="25"/>
  <c r="AC1128" i="25"/>
  <c r="Y1129" i="25"/>
  <c r="AA1129" i="25"/>
  <c r="W1129" i="25"/>
  <c r="AC1129" i="25"/>
  <c r="Y1130" i="25"/>
  <c r="AA1130" i="25"/>
  <c r="W1130" i="25"/>
  <c r="AC1130" i="25"/>
  <c r="Y1131" i="25"/>
  <c r="AA1131" i="25"/>
  <c r="W1131" i="25"/>
  <c r="AC1131" i="25"/>
  <c r="Y1132" i="25"/>
  <c r="AA1132" i="25"/>
  <c r="W1132" i="25"/>
  <c r="AC1132" i="25"/>
  <c r="Y1133" i="25"/>
  <c r="AA1133" i="25"/>
  <c r="W1133" i="25"/>
  <c r="AC1133" i="25"/>
  <c r="Y1134" i="25"/>
  <c r="AA1134" i="25"/>
  <c r="W1134" i="25"/>
  <c r="AC1134" i="25"/>
  <c r="Y1135" i="25"/>
  <c r="AA1135" i="25"/>
  <c r="W1135" i="25"/>
  <c r="AC1135" i="25"/>
  <c r="Y1136" i="25"/>
  <c r="AA1136" i="25"/>
  <c r="W1136" i="25"/>
  <c r="AC1136" i="25"/>
  <c r="Y1137" i="25"/>
  <c r="AA1137" i="25"/>
  <c r="W1137" i="25"/>
  <c r="AC1137" i="25"/>
  <c r="Y1138" i="25"/>
  <c r="AA1138" i="25"/>
  <c r="W1138" i="25"/>
  <c r="AC1138" i="25"/>
  <c r="Y1139" i="25"/>
  <c r="AA1139" i="25"/>
  <c r="W1139" i="25"/>
  <c r="AC1139" i="25"/>
  <c r="Y1140" i="25"/>
  <c r="AA1140" i="25"/>
  <c r="W1140" i="25"/>
  <c r="AC1140" i="25"/>
  <c r="Y1141" i="25"/>
  <c r="AA1141" i="25"/>
  <c r="W1141" i="25"/>
  <c r="AC1141" i="25"/>
  <c r="Y1142" i="25"/>
  <c r="AA1142" i="25"/>
  <c r="W1142" i="25"/>
  <c r="AC1142" i="25"/>
  <c r="Y1143" i="25"/>
  <c r="AA1143" i="25"/>
  <c r="W1143" i="25"/>
  <c r="AC1143" i="25"/>
  <c r="Y1144" i="25"/>
  <c r="AA1144" i="25"/>
  <c r="W1144" i="25"/>
  <c r="AC1144" i="25"/>
  <c r="Y1145" i="25"/>
  <c r="AA1145" i="25"/>
  <c r="W1145" i="25"/>
  <c r="AC1145" i="25"/>
  <c r="Y1146" i="25"/>
  <c r="AA1146" i="25"/>
  <c r="W1146" i="25"/>
  <c r="AC1146" i="25"/>
  <c r="Y1147" i="25"/>
  <c r="AA1147" i="25"/>
  <c r="W1147" i="25"/>
  <c r="AC1147" i="25"/>
  <c r="Y1148" i="25"/>
  <c r="AA1148" i="25"/>
  <c r="W1148" i="25"/>
  <c r="AC1148" i="25"/>
  <c r="Y1149" i="25"/>
  <c r="AA1149" i="25"/>
  <c r="W1149" i="25"/>
  <c r="AC1149" i="25"/>
  <c r="Y1150" i="25"/>
  <c r="AA1150" i="25"/>
  <c r="W1150" i="25"/>
  <c r="AC1150" i="25"/>
  <c r="Y1151" i="25"/>
  <c r="AA1151" i="25"/>
  <c r="W1151" i="25"/>
  <c r="AC1151" i="25"/>
  <c r="Y1152" i="25"/>
  <c r="AA1152" i="25"/>
  <c r="W1152" i="25"/>
  <c r="AC1152" i="25"/>
  <c r="Y1153" i="25"/>
  <c r="AA1153" i="25"/>
  <c r="W1153" i="25"/>
  <c r="AC1153" i="25"/>
  <c r="Y1154" i="25"/>
  <c r="AA1154" i="25"/>
  <c r="W1154" i="25"/>
  <c r="AC1154" i="25"/>
  <c r="Y1155" i="25"/>
  <c r="AA1155" i="25"/>
  <c r="W1155" i="25"/>
  <c r="AC1155" i="25"/>
  <c r="Y1156" i="25"/>
  <c r="AA1156" i="25"/>
  <c r="W1156" i="25"/>
  <c r="AC1156" i="25"/>
  <c r="Y1157" i="25"/>
  <c r="AA1157" i="25"/>
  <c r="W1157" i="25"/>
  <c r="AC1157" i="25"/>
  <c r="Y1158" i="25"/>
  <c r="AA1158" i="25"/>
  <c r="W1158" i="25"/>
  <c r="AC1158" i="25"/>
  <c r="Y1159" i="25"/>
  <c r="AA1159" i="25"/>
  <c r="W1159" i="25"/>
  <c r="AC1159" i="25"/>
  <c r="Y1160" i="25"/>
  <c r="AA1160" i="25"/>
  <c r="W1160" i="25"/>
  <c r="AC1160" i="25"/>
  <c r="Y1161" i="25"/>
  <c r="AA1161" i="25"/>
  <c r="W1161" i="25"/>
  <c r="AC1161" i="25"/>
  <c r="Y1162" i="25"/>
  <c r="AA1162" i="25"/>
  <c r="W1162" i="25"/>
  <c r="AC1162" i="25"/>
  <c r="Y1163" i="25"/>
  <c r="AA1163" i="25"/>
  <c r="W1163" i="25"/>
  <c r="AC1163" i="25"/>
  <c r="Y1164" i="25"/>
  <c r="AA1164" i="25"/>
  <c r="W1164" i="25"/>
  <c r="AC1164" i="25"/>
  <c r="Y1165" i="25"/>
  <c r="AA1165" i="25"/>
  <c r="W1165" i="25"/>
  <c r="AC1165" i="25"/>
  <c r="Y1166" i="25"/>
  <c r="AA1166" i="25"/>
  <c r="W1166" i="25"/>
  <c r="AC1166" i="25"/>
  <c r="Y1167" i="25"/>
  <c r="AA1167" i="25"/>
  <c r="W1167" i="25"/>
  <c r="AC1167" i="25"/>
  <c r="Y1168" i="25"/>
  <c r="AA1168" i="25"/>
  <c r="W1168" i="25"/>
  <c r="AC1168" i="25"/>
  <c r="Y1169" i="25"/>
  <c r="AA1169" i="25"/>
  <c r="W1169" i="25"/>
  <c r="AC1169" i="25"/>
  <c r="Y1170" i="25"/>
  <c r="AA1170" i="25"/>
  <c r="W1170" i="25"/>
  <c r="AC1170" i="25"/>
  <c r="Y1171" i="25"/>
  <c r="AA1171" i="25"/>
  <c r="W1171" i="25"/>
  <c r="AC1171" i="25"/>
  <c r="Y1172" i="25"/>
  <c r="AA1172" i="25"/>
  <c r="W1172" i="25"/>
  <c r="AC1172" i="25"/>
  <c r="Y1173" i="25"/>
  <c r="AA1173" i="25"/>
  <c r="W1173" i="25"/>
  <c r="AC1173" i="25"/>
  <c r="Y1174" i="25"/>
  <c r="AA1174" i="25"/>
  <c r="W1174" i="25"/>
  <c r="AC1174" i="25"/>
  <c r="Y1175" i="25"/>
  <c r="AA1175" i="25"/>
  <c r="W1175" i="25"/>
  <c r="AC1175" i="25"/>
  <c r="Y1176" i="25"/>
  <c r="AA1176" i="25"/>
  <c r="W1176" i="25"/>
  <c r="AC1176" i="25"/>
  <c r="Y1177" i="25"/>
  <c r="AA1177" i="25"/>
  <c r="W1177" i="25"/>
  <c r="AC1177" i="25"/>
  <c r="Y1178" i="25"/>
  <c r="AA1178" i="25"/>
  <c r="W1178" i="25"/>
  <c r="AC1178" i="25"/>
  <c r="Y1179" i="25"/>
  <c r="AA1179" i="25"/>
  <c r="W1179" i="25"/>
  <c r="AC1179" i="25"/>
  <c r="Y1180" i="25"/>
  <c r="AA1180" i="25"/>
  <c r="W1180" i="25"/>
  <c r="AC1180" i="25"/>
  <c r="Y1181" i="25"/>
  <c r="AA1181" i="25"/>
  <c r="W1181" i="25"/>
  <c r="AC1181" i="25"/>
  <c r="Y1182" i="25"/>
  <c r="AA1182" i="25"/>
  <c r="W1182" i="25"/>
  <c r="AC1182" i="25"/>
  <c r="Y1183" i="25"/>
  <c r="AA1183" i="25"/>
  <c r="W1183" i="25"/>
  <c r="AC1183" i="25"/>
  <c r="Y1184" i="25"/>
  <c r="AA1184" i="25"/>
  <c r="W1184" i="25"/>
  <c r="AC1184" i="25"/>
  <c r="Y1185" i="25"/>
  <c r="AA1185" i="25"/>
  <c r="W1185" i="25"/>
  <c r="AC1185" i="25"/>
  <c r="Y1186" i="25"/>
  <c r="AA1186" i="25"/>
  <c r="W1186" i="25"/>
  <c r="AC1186" i="25"/>
  <c r="Y1187" i="25"/>
  <c r="AA1187" i="25"/>
  <c r="W1187" i="25"/>
  <c r="AC1187" i="25"/>
  <c r="Y1188" i="25"/>
  <c r="AA1188" i="25"/>
  <c r="W1188" i="25"/>
  <c r="AC1188" i="25"/>
  <c r="Y1189" i="25"/>
  <c r="AA1189" i="25"/>
  <c r="W1189" i="25"/>
  <c r="AC1189" i="25"/>
  <c r="Y1190" i="25"/>
  <c r="AA1190" i="25"/>
  <c r="W1190" i="25"/>
  <c r="AC1190" i="25"/>
  <c r="Y1191" i="25"/>
  <c r="AA1191" i="25"/>
  <c r="W1191" i="25"/>
  <c r="AC1191" i="25"/>
  <c r="Y1192" i="25"/>
  <c r="AA1192" i="25"/>
  <c r="W1192" i="25"/>
  <c r="AC1192" i="25"/>
  <c r="Y1193" i="25"/>
  <c r="AA1193" i="25"/>
  <c r="W1193" i="25"/>
  <c r="AC1193" i="25"/>
  <c r="Y1194" i="25"/>
  <c r="AA1194" i="25"/>
  <c r="W1194" i="25"/>
  <c r="AC1194" i="25"/>
  <c r="Y1195" i="25"/>
  <c r="AA1195" i="25"/>
  <c r="W1195" i="25"/>
  <c r="AC1195" i="25"/>
  <c r="Y1196" i="25"/>
  <c r="AA1196" i="25"/>
  <c r="W1196" i="25"/>
  <c r="AC1196" i="25"/>
  <c r="Y1197" i="25"/>
  <c r="AA1197" i="25"/>
  <c r="W1197" i="25"/>
  <c r="AC1197" i="25"/>
  <c r="Y1198" i="25"/>
  <c r="AA1198" i="25"/>
  <c r="W1198" i="25"/>
  <c r="AC1198" i="25"/>
  <c r="Y1199" i="25"/>
  <c r="AA1199" i="25"/>
  <c r="W1199" i="25"/>
  <c r="AC1199" i="25"/>
  <c r="Y1200" i="25"/>
  <c r="AA1200" i="25"/>
  <c r="W1200" i="25"/>
  <c r="AC1200" i="25"/>
  <c r="Y1201" i="25"/>
  <c r="AA1201" i="25"/>
  <c r="W1201" i="25"/>
  <c r="AC1201" i="25"/>
  <c r="Y1202" i="25"/>
  <c r="AA1202" i="25"/>
  <c r="W1202" i="25"/>
  <c r="AC1202" i="25"/>
  <c r="Y1203" i="25"/>
  <c r="AA1203" i="25"/>
  <c r="W1203" i="25"/>
  <c r="AC1203" i="25"/>
  <c r="Y1204" i="25"/>
  <c r="AA1204" i="25"/>
  <c r="W1204" i="25"/>
  <c r="AC1204" i="25"/>
  <c r="Y1205" i="25"/>
  <c r="AA1205" i="25"/>
  <c r="W1205" i="25"/>
  <c r="AC1205" i="25"/>
  <c r="Y1206" i="25"/>
  <c r="AA1206" i="25"/>
  <c r="W1206" i="25"/>
  <c r="AC1206" i="25"/>
  <c r="Y1207" i="25"/>
  <c r="AA1207" i="25"/>
  <c r="W1207" i="25"/>
  <c r="AC1207" i="25"/>
  <c r="Y1208" i="25"/>
  <c r="AA1208" i="25"/>
  <c r="W1208" i="25"/>
  <c r="AC1208" i="25"/>
  <c r="Y1209" i="25"/>
  <c r="AA1209" i="25"/>
  <c r="W1209" i="25"/>
  <c r="AC1209" i="25"/>
  <c r="Y1210" i="25"/>
  <c r="AA1210" i="25"/>
  <c r="W1210" i="25"/>
  <c r="AC1210" i="25"/>
  <c r="Y1211" i="25"/>
  <c r="AA1211" i="25"/>
  <c r="W1211" i="25"/>
  <c r="AC1211" i="25"/>
  <c r="Y1212" i="25"/>
  <c r="AA1212" i="25"/>
  <c r="W1212" i="25"/>
  <c r="AC1212" i="25"/>
  <c r="Y1213" i="25"/>
  <c r="AA1213" i="25"/>
  <c r="W1213" i="25"/>
  <c r="AC1213" i="25"/>
  <c r="Y1214" i="25"/>
  <c r="AA1214" i="25"/>
  <c r="W1214" i="25"/>
  <c r="AC1214" i="25"/>
  <c r="Y1215" i="25"/>
  <c r="AA1215" i="25"/>
  <c r="W1215" i="25"/>
  <c r="AC1215" i="25"/>
  <c r="Y1216" i="25"/>
  <c r="AA1216" i="25"/>
  <c r="W1216" i="25"/>
  <c r="AC1216" i="25"/>
  <c r="Y1217" i="25"/>
  <c r="AA1217" i="25"/>
  <c r="W1217" i="25"/>
  <c r="AC1217" i="25"/>
  <c r="Y1218" i="25"/>
  <c r="AA1218" i="25"/>
  <c r="W1218" i="25"/>
  <c r="AC1218" i="25"/>
  <c r="Y1219" i="25"/>
  <c r="AA1219" i="25"/>
  <c r="W1219" i="25"/>
  <c r="AC1219" i="25"/>
  <c r="Y1220" i="25"/>
  <c r="AA1220" i="25"/>
  <c r="W1220" i="25"/>
  <c r="AC1220" i="25"/>
  <c r="Y1221" i="25"/>
  <c r="AA1221" i="25"/>
  <c r="W1221" i="25"/>
  <c r="AC1221" i="25"/>
  <c r="Y1222" i="25"/>
  <c r="AA1222" i="25"/>
  <c r="W1222" i="25"/>
  <c r="AC1222" i="25"/>
  <c r="Y1223" i="25"/>
  <c r="AA1223" i="25"/>
  <c r="W1223" i="25"/>
  <c r="AC1223" i="25"/>
  <c r="Y1224" i="25"/>
  <c r="AA1224" i="25"/>
  <c r="W1224" i="25"/>
  <c r="AC1224" i="25"/>
  <c r="Y1225" i="25"/>
  <c r="AA1225" i="25"/>
  <c r="W1225" i="25"/>
  <c r="AC1225" i="25"/>
  <c r="Y1226" i="25"/>
  <c r="AA1226" i="25"/>
  <c r="W1226" i="25"/>
  <c r="AC1226" i="25"/>
  <c r="Y1227" i="25"/>
  <c r="AA1227" i="25"/>
  <c r="W1227" i="25"/>
  <c r="AC1227" i="25"/>
  <c r="Y1228" i="25"/>
  <c r="AA1228" i="25"/>
  <c r="W1228" i="25"/>
  <c r="AC1228" i="25"/>
  <c r="Y1229" i="25"/>
  <c r="AA1229" i="25"/>
  <c r="W1229" i="25"/>
  <c r="AC1229" i="25"/>
  <c r="Y1230" i="25"/>
  <c r="AA1230" i="25"/>
  <c r="W1230" i="25"/>
  <c r="AC1230" i="25"/>
  <c r="Y1231" i="25"/>
  <c r="AA1231" i="25"/>
  <c r="W1231" i="25"/>
  <c r="AC1231" i="25"/>
  <c r="Y1232" i="25"/>
  <c r="AA1232" i="25"/>
  <c r="W1232" i="25"/>
  <c r="AC1232" i="25"/>
  <c r="Y1233" i="25"/>
  <c r="AA1233" i="25"/>
  <c r="W1233" i="25"/>
  <c r="AC1233" i="25"/>
  <c r="Y1234" i="25"/>
  <c r="AA1234" i="25"/>
  <c r="W1234" i="25"/>
  <c r="AC1234" i="25"/>
  <c r="Y1235" i="25"/>
  <c r="AA1235" i="25"/>
  <c r="W1235" i="25"/>
  <c r="AC1235" i="25"/>
  <c r="Y1236" i="25"/>
  <c r="AA1236" i="25"/>
  <c r="W1236" i="25"/>
  <c r="AC1236" i="25"/>
  <c r="Y1237" i="25"/>
  <c r="AA1237" i="25"/>
  <c r="W1237" i="25"/>
  <c r="AC1237" i="25"/>
  <c r="Y1238" i="25"/>
  <c r="AA1238" i="25"/>
  <c r="W1238" i="25"/>
  <c r="AC1238" i="25"/>
  <c r="Y1239" i="25"/>
  <c r="AA1239" i="25"/>
  <c r="W1239" i="25"/>
  <c r="AC1239" i="25"/>
  <c r="Y1240" i="25"/>
  <c r="AA1240" i="25"/>
  <c r="W1240" i="25"/>
  <c r="AC1240" i="25"/>
  <c r="Y1241" i="25"/>
  <c r="AA1241" i="25"/>
  <c r="W1241" i="25"/>
  <c r="AC1241" i="25"/>
  <c r="Y1242" i="25"/>
  <c r="AA1242" i="25"/>
  <c r="W1242" i="25"/>
  <c r="AC1242" i="25"/>
  <c r="Y1243" i="25"/>
  <c r="AA1243" i="25"/>
  <c r="W1243" i="25"/>
  <c r="AC1243" i="25"/>
  <c r="Y1244" i="25"/>
  <c r="AA1244" i="25"/>
  <c r="W1244" i="25"/>
  <c r="AC1244" i="25"/>
  <c r="Y1245" i="25"/>
  <c r="AA1245" i="25"/>
  <c r="W1245" i="25"/>
  <c r="AC1245" i="25"/>
  <c r="Y1246" i="25"/>
  <c r="AA1246" i="25"/>
  <c r="W1246" i="25"/>
  <c r="AC1246" i="25"/>
  <c r="Y1247" i="25"/>
  <c r="AA1247" i="25"/>
  <c r="W1247" i="25"/>
  <c r="AC1247" i="25"/>
  <c r="Y1248" i="25"/>
  <c r="AA1248" i="25"/>
  <c r="W1248" i="25"/>
  <c r="AC1248" i="25"/>
  <c r="Y1249" i="25"/>
  <c r="AA1249" i="25"/>
  <c r="W1249" i="25"/>
  <c r="AC1249" i="25"/>
  <c r="Y1250" i="25"/>
  <c r="AA1250" i="25"/>
  <c r="W1250" i="25"/>
  <c r="AC1250" i="25"/>
  <c r="Y1251" i="25"/>
  <c r="AA1251" i="25"/>
  <c r="W1251" i="25"/>
  <c r="AC1251" i="25"/>
  <c r="Y1252" i="25"/>
  <c r="AA1252" i="25"/>
  <c r="W1252" i="25"/>
  <c r="AC1252" i="25"/>
  <c r="Y1253" i="25"/>
  <c r="AA1253" i="25"/>
  <c r="W1253" i="25"/>
  <c r="AC1253" i="25"/>
  <c r="Y1254" i="25"/>
  <c r="AA1254" i="25"/>
  <c r="W1254" i="25"/>
  <c r="AC1254" i="25"/>
  <c r="Y1255" i="25"/>
  <c r="AA1255" i="25"/>
  <c r="W1255" i="25"/>
  <c r="AC1255" i="25"/>
  <c r="Y1256" i="25"/>
  <c r="AA1256" i="25"/>
  <c r="W1256" i="25"/>
  <c r="AC1256" i="25"/>
  <c r="Y1257" i="25"/>
  <c r="AA1257" i="25"/>
  <c r="W1257" i="25"/>
  <c r="AC1257" i="25"/>
  <c r="Y1258" i="25"/>
  <c r="AA1258" i="25"/>
  <c r="W1258" i="25"/>
  <c r="AC1258" i="25"/>
  <c r="Y1259" i="25"/>
  <c r="AA1259" i="25"/>
  <c r="W1259" i="25"/>
  <c r="AC1259" i="25"/>
  <c r="Y1260" i="25"/>
  <c r="AA1260" i="25"/>
  <c r="W1260" i="25"/>
  <c r="AC1260" i="25"/>
  <c r="Y1261" i="25"/>
  <c r="AA1261" i="25"/>
  <c r="W1261" i="25"/>
  <c r="AC1261" i="25"/>
  <c r="Y1262" i="25"/>
  <c r="AA1262" i="25"/>
  <c r="W1262" i="25"/>
  <c r="AC1262" i="25"/>
  <c r="Y1263" i="25"/>
  <c r="AA1263" i="25"/>
  <c r="W1263" i="25"/>
  <c r="AC1263" i="25"/>
  <c r="Y1264" i="25"/>
  <c r="AA1264" i="25"/>
  <c r="W1264" i="25"/>
  <c r="AC1264" i="25"/>
  <c r="Y1265" i="25"/>
  <c r="AA1265" i="25"/>
  <c r="W1265" i="25"/>
  <c r="AC1265" i="25"/>
  <c r="Y1266" i="25"/>
  <c r="AA1266" i="25"/>
  <c r="W1266" i="25"/>
  <c r="AC1266" i="25"/>
  <c r="Y1267" i="25"/>
  <c r="AA1267" i="25"/>
  <c r="W1267" i="25"/>
  <c r="AC1267" i="25"/>
  <c r="Y1268" i="25"/>
  <c r="AA1268" i="25"/>
  <c r="W1268" i="25"/>
  <c r="AC1268" i="25"/>
  <c r="Y1269" i="25"/>
  <c r="AA1269" i="25"/>
  <c r="W1269" i="25"/>
  <c r="AC1269" i="25"/>
  <c r="Y1270" i="25"/>
  <c r="AA1270" i="25"/>
  <c r="W1270" i="25"/>
  <c r="AC1270" i="25"/>
  <c r="Y1271" i="25"/>
  <c r="AA1271" i="25"/>
  <c r="W1271" i="25"/>
  <c r="AC1271" i="25"/>
  <c r="Y1272" i="25"/>
  <c r="AA1272" i="25"/>
  <c r="W1272" i="25"/>
  <c r="AC1272" i="25"/>
  <c r="Y1273" i="25"/>
  <c r="AA1273" i="25"/>
  <c r="W1273" i="25"/>
  <c r="AC1273" i="25"/>
  <c r="Y1274" i="25"/>
  <c r="AA1274" i="25"/>
  <c r="W1274" i="25"/>
  <c r="AC1274" i="25"/>
  <c r="Y1275" i="25"/>
  <c r="AA1275" i="25"/>
  <c r="W1275" i="25"/>
  <c r="AC1275" i="25"/>
  <c r="Y1276" i="25"/>
  <c r="AA1276" i="25"/>
  <c r="W1276" i="25"/>
  <c r="AC1276" i="25"/>
  <c r="Y1277" i="25"/>
  <c r="AA1277" i="25"/>
  <c r="W1277" i="25"/>
  <c r="AC1277" i="25"/>
  <c r="Y1278" i="25"/>
  <c r="AA1278" i="25"/>
  <c r="W1278" i="25"/>
  <c r="AC1278" i="25"/>
  <c r="Y1279" i="25"/>
  <c r="AA1279" i="25"/>
  <c r="W1279" i="25"/>
  <c r="AC1279" i="25"/>
  <c r="Y1280" i="25"/>
  <c r="AA1280" i="25"/>
  <c r="W1280" i="25"/>
  <c r="AC1280" i="25"/>
  <c r="Y1281" i="25"/>
  <c r="AA1281" i="25"/>
  <c r="W1281" i="25"/>
  <c r="AC1281" i="25"/>
  <c r="Y1282" i="25"/>
  <c r="AA1282" i="25"/>
  <c r="W1282" i="25"/>
  <c r="AC1282" i="25"/>
  <c r="Y1283" i="25"/>
  <c r="AA1283" i="25"/>
  <c r="W1283" i="25"/>
  <c r="AC1283" i="25"/>
  <c r="Y1284" i="25"/>
  <c r="AA1284" i="25"/>
  <c r="W1284" i="25"/>
  <c r="AC1284" i="25"/>
  <c r="Y1285" i="25"/>
  <c r="AA1285" i="25"/>
  <c r="W1285" i="25"/>
  <c r="AC1285" i="25"/>
  <c r="Y1286" i="25"/>
  <c r="AA1286" i="25"/>
  <c r="W1286" i="25"/>
  <c r="AC1286" i="25"/>
  <c r="Y1287" i="25"/>
  <c r="AA1287" i="25"/>
  <c r="W1287" i="25"/>
  <c r="AC1287" i="25"/>
  <c r="Y1288" i="25"/>
  <c r="AA1288" i="25"/>
  <c r="W1288" i="25"/>
  <c r="AC1288" i="25"/>
  <c r="Y1289" i="25"/>
  <c r="AA1289" i="25"/>
  <c r="W1289" i="25"/>
  <c r="AC1289" i="25"/>
  <c r="Y1290" i="25"/>
  <c r="AA1290" i="25"/>
  <c r="W1290" i="25"/>
  <c r="AC1290" i="25"/>
  <c r="Y1291" i="25"/>
  <c r="AA1291" i="25"/>
  <c r="W1291" i="25"/>
  <c r="AC1291" i="25"/>
  <c r="Y1292" i="25"/>
  <c r="AA1292" i="25"/>
  <c r="W1292" i="25"/>
  <c r="AC1292" i="25"/>
  <c r="Y1293" i="25"/>
  <c r="AA1293" i="25"/>
  <c r="W1293" i="25"/>
  <c r="AC1293" i="25"/>
  <c r="Y1294" i="25"/>
  <c r="AA1294" i="25"/>
  <c r="W1294" i="25"/>
  <c r="AC1294" i="25"/>
  <c r="Y1295" i="25"/>
  <c r="AA1295" i="25"/>
  <c r="W1295" i="25"/>
  <c r="AC1295" i="25"/>
  <c r="Y1296" i="25"/>
  <c r="AA1296" i="25"/>
  <c r="W1296" i="25"/>
  <c r="AC1296" i="25"/>
  <c r="Y1297" i="25"/>
  <c r="AA1297" i="25"/>
  <c r="W1297" i="25"/>
  <c r="AC1297" i="25"/>
  <c r="Y1298" i="25"/>
  <c r="AA1298" i="25"/>
  <c r="W1298" i="25"/>
  <c r="AC1298" i="25"/>
  <c r="Y1299" i="25"/>
  <c r="AA1299" i="25"/>
  <c r="W1299" i="25"/>
  <c r="AC1299" i="25"/>
  <c r="Y1300" i="25"/>
  <c r="AA1300" i="25"/>
  <c r="W1300" i="25"/>
  <c r="AC1300" i="25"/>
  <c r="Y1301" i="25"/>
  <c r="AA1301" i="25"/>
  <c r="W1301" i="25"/>
  <c r="AC1301" i="25"/>
  <c r="Y1302" i="25"/>
  <c r="AA1302" i="25"/>
  <c r="W1302" i="25"/>
  <c r="AC1302" i="25"/>
  <c r="Y1303" i="25"/>
  <c r="AA1303" i="25"/>
  <c r="W1303" i="25"/>
  <c r="AC1303" i="25"/>
  <c r="Y1304" i="25"/>
  <c r="AA1304" i="25"/>
  <c r="W1304" i="25"/>
  <c r="AC1304" i="25"/>
  <c r="Y1305" i="25"/>
  <c r="AA1305" i="25"/>
  <c r="W1305" i="25"/>
  <c r="AC1305" i="25"/>
  <c r="Y1306" i="25"/>
  <c r="AA1306" i="25"/>
  <c r="W1306" i="25"/>
  <c r="AC1306" i="25"/>
  <c r="Y1307" i="25"/>
  <c r="AA1307" i="25"/>
  <c r="W1307" i="25"/>
  <c r="AC1307" i="25"/>
  <c r="Y1308" i="25"/>
  <c r="AA1308" i="25"/>
  <c r="W1308" i="25"/>
  <c r="AC1308" i="25"/>
  <c r="Y1309" i="25"/>
  <c r="AA1309" i="25"/>
  <c r="W1309" i="25"/>
  <c r="AC1309" i="25"/>
  <c r="Y1310" i="25"/>
  <c r="AA1310" i="25"/>
  <c r="W1310" i="25"/>
  <c r="AC1310" i="25"/>
  <c r="Y1311" i="25"/>
  <c r="AA1311" i="25"/>
  <c r="W1311" i="25"/>
  <c r="AC1311" i="25"/>
  <c r="Y1312" i="25"/>
  <c r="AA1312" i="25"/>
  <c r="W1312" i="25"/>
  <c r="AC1312" i="25"/>
  <c r="Y1313" i="25"/>
  <c r="AA1313" i="25"/>
  <c r="W1313" i="25"/>
  <c r="AC1313" i="25"/>
  <c r="Y1314" i="25"/>
  <c r="AA1314" i="25"/>
  <c r="W1314" i="25"/>
  <c r="AC1314" i="25"/>
  <c r="Y1315" i="25"/>
  <c r="AA1315" i="25"/>
  <c r="W1315" i="25"/>
  <c r="AC1315" i="25"/>
  <c r="Y1316" i="25"/>
  <c r="AA1316" i="25"/>
  <c r="W1316" i="25"/>
  <c r="AC1316" i="25"/>
  <c r="Y1317" i="25"/>
  <c r="AA1317" i="25"/>
  <c r="W1317" i="25"/>
  <c r="AC1317" i="25"/>
  <c r="Y1318" i="25"/>
  <c r="AA1318" i="25"/>
  <c r="W1318" i="25"/>
  <c r="AC1318" i="25"/>
  <c r="Y1319" i="25"/>
  <c r="AA1319" i="25"/>
  <c r="W1319" i="25"/>
  <c r="AC1319" i="25"/>
  <c r="Y1320" i="25"/>
  <c r="AA1320" i="25"/>
  <c r="W1320" i="25"/>
  <c r="AC1320" i="25"/>
  <c r="Y1321" i="25"/>
  <c r="AA1321" i="25"/>
  <c r="W1321" i="25"/>
  <c r="AC1321" i="25"/>
  <c r="Y1322" i="25"/>
  <c r="AA1322" i="25"/>
  <c r="W1322" i="25"/>
  <c r="AC1322" i="25"/>
  <c r="Y1323" i="25"/>
  <c r="AA1323" i="25"/>
  <c r="W1323" i="25"/>
  <c r="AC1323" i="25"/>
  <c r="Y1324" i="25"/>
  <c r="AA1324" i="25"/>
  <c r="W1324" i="25"/>
  <c r="AC1324" i="25"/>
  <c r="Y1325" i="25"/>
  <c r="AA1325" i="25"/>
  <c r="W1325" i="25"/>
  <c r="AC1325" i="25"/>
  <c r="Y1326" i="25"/>
  <c r="AA1326" i="25"/>
  <c r="W1326" i="25"/>
  <c r="AC1326" i="25"/>
  <c r="Y1327" i="25"/>
  <c r="AA1327" i="25"/>
  <c r="W1327" i="25"/>
  <c r="AC1327" i="25"/>
  <c r="Y1328" i="25"/>
  <c r="AA1328" i="25"/>
  <c r="W1328" i="25"/>
  <c r="AC1328" i="25"/>
  <c r="Y1329" i="25"/>
  <c r="AA1329" i="25"/>
  <c r="W1329" i="25"/>
  <c r="AC1329" i="25"/>
  <c r="Y1330" i="25"/>
  <c r="AA1330" i="25"/>
  <c r="W1330" i="25"/>
  <c r="AC1330" i="25"/>
  <c r="Y1331" i="25"/>
  <c r="AA1331" i="25"/>
  <c r="W1331" i="25"/>
  <c r="AC1331" i="25"/>
  <c r="Y1332" i="25"/>
  <c r="AA1332" i="25"/>
  <c r="W1332" i="25"/>
  <c r="AC1332" i="25"/>
  <c r="Y1333" i="25"/>
  <c r="AA1333" i="25"/>
  <c r="W1333" i="25"/>
  <c r="AC1333" i="25"/>
  <c r="Y1334" i="25"/>
  <c r="AA1334" i="25"/>
  <c r="W1334" i="25"/>
  <c r="AC1334" i="25"/>
  <c r="Y1335" i="25"/>
  <c r="AA1335" i="25"/>
  <c r="W1335" i="25"/>
  <c r="AC1335" i="25"/>
  <c r="Y1336" i="25"/>
  <c r="AA1336" i="25"/>
  <c r="W1336" i="25"/>
  <c r="AC1336" i="25"/>
  <c r="Y1337" i="25"/>
  <c r="AA1337" i="25"/>
  <c r="W1337" i="25"/>
  <c r="AC1337" i="25"/>
  <c r="Y1338" i="25"/>
  <c r="AA1338" i="25"/>
  <c r="W1338" i="25"/>
  <c r="AC1338" i="25"/>
  <c r="Y1339" i="25"/>
  <c r="AA1339" i="25"/>
  <c r="W1339" i="25"/>
  <c r="AC1339" i="25"/>
  <c r="Y1340" i="25"/>
  <c r="AA1340" i="25"/>
  <c r="W1340" i="25"/>
  <c r="AC1340" i="25"/>
  <c r="Y1341" i="25"/>
  <c r="AA1341" i="25"/>
  <c r="W1341" i="25"/>
  <c r="AC1341" i="25"/>
  <c r="Y1342" i="25"/>
  <c r="AA1342" i="25"/>
  <c r="W1342" i="25"/>
  <c r="AC1342" i="25"/>
  <c r="Y1343" i="25"/>
  <c r="AA1343" i="25"/>
  <c r="W1343" i="25"/>
  <c r="AC1343" i="25"/>
  <c r="Y1344" i="25"/>
  <c r="AA1344" i="25"/>
  <c r="W1344" i="25"/>
  <c r="AC1344" i="25"/>
  <c r="Y1345" i="25"/>
  <c r="AA1345" i="25"/>
  <c r="W1345" i="25"/>
  <c r="AC1345" i="25"/>
  <c r="Y1346" i="25"/>
  <c r="AA1346" i="25"/>
  <c r="W1346" i="25"/>
  <c r="AC1346" i="25"/>
  <c r="Y1347" i="25"/>
  <c r="AA1347" i="25"/>
  <c r="W1347" i="25"/>
  <c r="AC1347" i="25"/>
  <c r="Y1348" i="25"/>
  <c r="AA1348" i="25"/>
  <c r="W1348" i="25"/>
  <c r="AC1348" i="25"/>
  <c r="Y1349" i="25"/>
  <c r="AA1349" i="25"/>
  <c r="W1349" i="25"/>
  <c r="AC1349" i="25"/>
  <c r="Y1350" i="25"/>
  <c r="AA1350" i="25"/>
  <c r="W1350" i="25"/>
  <c r="AC1350" i="25"/>
  <c r="Y1351" i="25"/>
  <c r="AA1351" i="25"/>
  <c r="W1351" i="25"/>
  <c r="AC1351" i="25"/>
  <c r="Y1352" i="25"/>
  <c r="AA1352" i="25"/>
  <c r="W1352" i="25"/>
  <c r="AC1352" i="25"/>
  <c r="Y1353" i="25"/>
  <c r="AA1353" i="25"/>
  <c r="W1353" i="25"/>
  <c r="AC1353" i="25"/>
  <c r="Y1354" i="25"/>
  <c r="AA1354" i="25"/>
  <c r="W1354" i="25"/>
  <c r="AC1354" i="25"/>
  <c r="Y1355" i="25"/>
  <c r="AA1355" i="25"/>
  <c r="W1355" i="25"/>
  <c r="AC1355" i="25"/>
  <c r="Y1356" i="25"/>
  <c r="AA1356" i="25"/>
  <c r="W1356" i="25"/>
  <c r="AC1356" i="25"/>
  <c r="Y1357" i="25"/>
  <c r="AA1357" i="25"/>
  <c r="W1357" i="25"/>
  <c r="AC1357" i="25"/>
  <c r="Y1358" i="25"/>
  <c r="AA1358" i="25"/>
  <c r="W1358" i="25"/>
  <c r="AC1358" i="25"/>
  <c r="Y1359" i="25"/>
  <c r="AA1359" i="25"/>
  <c r="W1359" i="25"/>
  <c r="AC1359" i="25"/>
  <c r="Y1360" i="25"/>
  <c r="AA1360" i="25"/>
  <c r="W1360" i="25"/>
  <c r="AC1360" i="25"/>
  <c r="Y1361" i="25"/>
  <c r="AA1361" i="25"/>
  <c r="W1361" i="25"/>
  <c r="AC1361" i="25"/>
  <c r="Y1362" i="25"/>
  <c r="AA1362" i="25"/>
  <c r="W1362" i="25"/>
  <c r="AC1362" i="25"/>
  <c r="Y1363" i="25"/>
  <c r="AA1363" i="25"/>
  <c r="W1363" i="25"/>
  <c r="AC1363" i="25"/>
  <c r="Y1364" i="25"/>
  <c r="AA1364" i="25"/>
  <c r="W1364" i="25"/>
  <c r="AC1364" i="25"/>
  <c r="Y1365" i="25"/>
  <c r="AA1365" i="25"/>
  <c r="W1365" i="25"/>
  <c r="AC1365" i="25"/>
  <c r="Y1366" i="25"/>
  <c r="AA1366" i="25"/>
  <c r="W1366" i="25"/>
  <c r="AC1366" i="25"/>
  <c r="Y1367" i="25"/>
  <c r="AA1367" i="25"/>
  <c r="W1367" i="25"/>
  <c r="AC1367" i="25"/>
  <c r="Y1368" i="25"/>
  <c r="AA1368" i="25"/>
  <c r="W1368" i="25"/>
  <c r="AC1368" i="25"/>
  <c r="Y1369" i="25"/>
  <c r="AA1369" i="25"/>
  <c r="W1369" i="25"/>
  <c r="AC1369" i="25"/>
  <c r="Y1370" i="25"/>
  <c r="AA1370" i="25"/>
  <c r="W1370" i="25"/>
  <c r="AC1370" i="25"/>
  <c r="Y1371" i="25"/>
  <c r="AA1371" i="25"/>
  <c r="W1371" i="25"/>
  <c r="AC1371" i="25"/>
  <c r="Y1372" i="25"/>
  <c r="AA1372" i="25"/>
  <c r="W1372" i="25"/>
  <c r="AC1372" i="25"/>
  <c r="Y1373" i="25"/>
  <c r="AA1373" i="25"/>
  <c r="W1373" i="25"/>
  <c r="AC1373" i="25"/>
  <c r="Y1374" i="25"/>
  <c r="AA1374" i="25"/>
  <c r="W1374" i="25"/>
  <c r="AC1374" i="25"/>
  <c r="Y1375" i="25"/>
  <c r="AA1375" i="25"/>
  <c r="W1375" i="25"/>
  <c r="AC1375" i="25"/>
  <c r="Y1376" i="25"/>
  <c r="AA1376" i="25"/>
  <c r="W1376" i="25"/>
  <c r="AC1376" i="25"/>
  <c r="Y1377" i="25"/>
  <c r="AA1377" i="25"/>
  <c r="W1377" i="25"/>
  <c r="AC1377" i="25"/>
  <c r="Y1378" i="25"/>
  <c r="AA1378" i="25"/>
  <c r="W1378" i="25"/>
  <c r="AC1378" i="25"/>
  <c r="Y1379" i="25"/>
  <c r="AA1379" i="25"/>
  <c r="W1379" i="25"/>
  <c r="AC1379" i="25"/>
  <c r="Y1380" i="25"/>
  <c r="AA1380" i="25"/>
  <c r="W1380" i="25"/>
  <c r="AC1380" i="25"/>
  <c r="Y1381" i="25"/>
  <c r="AA1381" i="25"/>
  <c r="W1381" i="25"/>
  <c r="AC1381" i="25"/>
  <c r="Y1382" i="25"/>
  <c r="AA1382" i="25"/>
  <c r="W1382" i="25"/>
  <c r="AC1382" i="25"/>
  <c r="Y1383" i="25"/>
  <c r="AA1383" i="25"/>
  <c r="W1383" i="25"/>
  <c r="AC1383" i="25"/>
  <c r="Y1384" i="25"/>
  <c r="AA1384" i="25"/>
  <c r="W1384" i="25"/>
  <c r="AC1384" i="25"/>
  <c r="Y1385" i="25"/>
  <c r="AA1385" i="25"/>
  <c r="W1385" i="25"/>
  <c r="AC1385" i="25"/>
  <c r="Y1386" i="25"/>
  <c r="AA1386" i="25"/>
  <c r="W1386" i="25"/>
  <c r="AC1386" i="25"/>
  <c r="Y1387" i="25"/>
  <c r="AA1387" i="25"/>
  <c r="W1387" i="25"/>
  <c r="AC1387" i="25"/>
  <c r="Y1388" i="25"/>
  <c r="AA1388" i="25"/>
  <c r="W1388" i="25"/>
  <c r="AC1388" i="25"/>
  <c r="Y1389" i="25"/>
  <c r="AA1389" i="25"/>
  <c r="W1389" i="25"/>
  <c r="AC1389" i="25"/>
  <c r="Y1390" i="25"/>
  <c r="AA1390" i="25"/>
  <c r="W1390" i="25"/>
  <c r="AC1390" i="25"/>
  <c r="Y1391" i="25"/>
  <c r="AA1391" i="25"/>
  <c r="W1391" i="25"/>
  <c r="AC1391" i="25"/>
  <c r="Y1392" i="25"/>
  <c r="AA1392" i="25"/>
  <c r="W1392" i="25"/>
  <c r="AC1392" i="25"/>
  <c r="Y1393" i="25"/>
  <c r="AA1393" i="25"/>
  <c r="W1393" i="25"/>
  <c r="AC1393" i="25"/>
  <c r="Y1394" i="25"/>
  <c r="AA1394" i="25"/>
  <c r="W1394" i="25"/>
  <c r="AC1394" i="25"/>
  <c r="Y1395" i="25"/>
  <c r="AA1395" i="25"/>
  <c r="W1395" i="25"/>
  <c r="AC1395" i="25"/>
  <c r="Y1396" i="25"/>
  <c r="AA1396" i="25"/>
  <c r="W1396" i="25"/>
  <c r="AC1396" i="25"/>
  <c r="Y1397" i="25"/>
  <c r="AA1397" i="25"/>
  <c r="W1397" i="25"/>
  <c r="AC1397" i="25"/>
  <c r="Y1398" i="25"/>
  <c r="AA1398" i="25"/>
  <c r="W1398" i="25"/>
  <c r="AC1398" i="25"/>
  <c r="Y1399" i="25"/>
  <c r="AA1399" i="25"/>
  <c r="W1399" i="25"/>
  <c r="AC1399" i="25"/>
  <c r="Y1400" i="25"/>
  <c r="AA1400" i="25"/>
  <c r="W1400" i="25"/>
  <c r="AC1400" i="25"/>
  <c r="Y1401" i="25"/>
  <c r="AA1401" i="25"/>
  <c r="W1401" i="25"/>
  <c r="AC1401" i="25"/>
  <c r="Y1402" i="25"/>
  <c r="AA1402" i="25"/>
  <c r="W1402" i="25"/>
  <c r="AC1402" i="25"/>
  <c r="Y1403" i="25"/>
  <c r="AA1403" i="25"/>
  <c r="W1403" i="25"/>
  <c r="AC1403" i="25"/>
  <c r="Y1404" i="25"/>
  <c r="AA1404" i="25"/>
  <c r="W1404" i="25"/>
  <c r="AC1404" i="25"/>
  <c r="Y1405" i="25"/>
  <c r="AA1405" i="25"/>
  <c r="W1405" i="25"/>
  <c r="AC1405" i="25"/>
  <c r="Y1406" i="25"/>
  <c r="AA1406" i="25"/>
  <c r="W1406" i="25"/>
  <c r="AC1406" i="25"/>
  <c r="Y1407" i="25"/>
  <c r="AA1407" i="25"/>
  <c r="W1407" i="25"/>
  <c r="AC1407" i="25"/>
  <c r="Y1408" i="25"/>
  <c r="AA1408" i="25"/>
  <c r="W1408" i="25"/>
  <c r="AC1408" i="25"/>
  <c r="Y1409" i="25"/>
  <c r="AA1409" i="25"/>
  <c r="W1409" i="25"/>
  <c r="AC1409" i="25"/>
  <c r="Y1410" i="25"/>
  <c r="AA1410" i="25"/>
  <c r="W1410" i="25"/>
  <c r="AC1410" i="25"/>
  <c r="Y1411" i="25"/>
  <c r="AA1411" i="25"/>
  <c r="W1411" i="25"/>
  <c r="AC1411" i="25"/>
  <c r="Y1412" i="25"/>
  <c r="AA1412" i="25"/>
  <c r="W1412" i="25"/>
  <c r="AC1412" i="25"/>
  <c r="Y1413" i="25"/>
  <c r="AA1413" i="25"/>
  <c r="W1413" i="25"/>
  <c r="AC1413" i="25"/>
  <c r="Y1414" i="25"/>
  <c r="AA1414" i="25"/>
  <c r="W1414" i="25"/>
  <c r="AC1414" i="25"/>
  <c r="Y1415" i="25"/>
  <c r="AA1415" i="25"/>
  <c r="W1415" i="25"/>
  <c r="AC1415" i="25"/>
  <c r="Y1416" i="25"/>
  <c r="AA1416" i="25"/>
  <c r="W1416" i="25"/>
  <c r="AC1416" i="25"/>
  <c r="Y1417" i="25"/>
  <c r="AA1417" i="25"/>
  <c r="W1417" i="25"/>
  <c r="AC1417" i="25"/>
  <c r="Y1418" i="25"/>
  <c r="AA1418" i="25"/>
  <c r="W1418" i="25"/>
  <c r="AC1418" i="25"/>
  <c r="Y1419" i="25"/>
  <c r="AA1419" i="25"/>
  <c r="W1419" i="25"/>
  <c r="AC1419" i="25"/>
  <c r="Y1420" i="25"/>
  <c r="AA1420" i="25"/>
  <c r="W1420" i="25"/>
  <c r="AC1420" i="25"/>
  <c r="Y1421" i="25"/>
  <c r="AA1421" i="25"/>
  <c r="W1421" i="25"/>
  <c r="AC1421" i="25"/>
  <c r="Y1422" i="25"/>
  <c r="AA1422" i="25"/>
  <c r="W1422" i="25"/>
  <c r="AC1422" i="25"/>
  <c r="Y1423" i="25"/>
  <c r="AA1423" i="25"/>
  <c r="W1423" i="25"/>
  <c r="AC1423" i="25"/>
  <c r="Y1424" i="25"/>
  <c r="AA1424" i="25"/>
  <c r="W1424" i="25"/>
  <c r="AC1424" i="25"/>
  <c r="Y1425" i="25"/>
  <c r="AA1425" i="25"/>
  <c r="W1425" i="25"/>
  <c r="AC1425" i="25"/>
  <c r="Y1426" i="25"/>
  <c r="AA1426" i="25"/>
  <c r="W1426" i="25"/>
  <c r="AC1426" i="25"/>
  <c r="Y1427" i="25"/>
  <c r="AA1427" i="25"/>
  <c r="W1427" i="25"/>
  <c r="AC1427" i="25"/>
  <c r="Y1428" i="25"/>
  <c r="AA1428" i="25"/>
  <c r="W1428" i="25"/>
  <c r="AC1428" i="25"/>
  <c r="Y1429" i="25"/>
  <c r="AA1429" i="25"/>
  <c r="W1429" i="25"/>
  <c r="AC1429" i="25"/>
  <c r="Y1430" i="25"/>
  <c r="AA1430" i="25"/>
  <c r="W1430" i="25"/>
  <c r="AC1430" i="25"/>
  <c r="Y1431" i="25"/>
  <c r="AA1431" i="25"/>
  <c r="W1431" i="25"/>
  <c r="AC1431" i="25"/>
  <c r="Y1432" i="25"/>
  <c r="AA1432" i="25"/>
  <c r="W1432" i="25"/>
  <c r="AC1432" i="25"/>
  <c r="Y1433" i="25"/>
  <c r="AA1433" i="25"/>
  <c r="W1433" i="25"/>
  <c r="AC1433" i="25"/>
  <c r="Y1434" i="25"/>
  <c r="AA1434" i="25"/>
  <c r="W1434" i="25"/>
  <c r="AC1434" i="25"/>
  <c r="Y1435" i="25"/>
  <c r="AA1435" i="25"/>
  <c r="W1435" i="25"/>
  <c r="AC1435" i="25"/>
  <c r="Y1436" i="25"/>
  <c r="AA1436" i="25"/>
  <c r="W1436" i="25"/>
  <c r="AC1436" i="25"/>
  <c r="Y1437" i="25"/>
  <c r="AA1437" i="25"/>
  <c r="W1437" i="25"/>
  <c r="AC1437" i="25"/>
  <c r="Y1438" i="25"/>
  <c r="AA1438" i="25"/>
  <c r="W1438" i="25"/>
  <c r="AC1438" i="25"/>
  <c r="Y1439" i="25"/>
  <c r="AA1439" i="25"/>
  <c r="W1439" i="25"/>
  <c r="AC1439" i="25"/>
  <c r="Y1440" i="25"/>
  <c r="AA1440" i="25"/>
  <c r="W1440" i="25"/>
  <c r="AC1440" i="25"/>
  <c r="Y1441" i="25"/>
  <c r="AA1441" i="25"/>
  <c r="W1441" i="25"/>
  <c r="AC1441" i="25"/>
  <c r="Y1442" i="25"/>
  <c r="AA1442" i="25"/>
  <c r="W1442" i="25"/>
  <c r="AC1442" i="25"/>
  <c r="Y1443" i="25"/>
  <c r="AA1443" i="25"/>
  <c r="W1443" i="25"/>
  <c r="AC1443" i="25"/>
  <c r="Y1444" i="25"/>
  <c r="AA1444" i="25"/>
  <c r="W1444" i="25"/>
  <c r="AC1444" i="25"/>
  <c r="Y1445" i="25"/>
  <c r="AA1445" i="25"/>
  <c r="W1445" i="25"/>
  <c r="AC1445" i="25"/>
  <c r="Y1446" i="25"/>
  <c r="AA1446" i="25"/>
  <c r="W1446" i="25"/>
  <c r="AC1446" i="25"/>
  <c r="Y1447" i="25"/>
  <c r="AA1447" i="25"/>
  <c r="W1447" i="25"/>
  <c r="AC1447" i="25"/>
  <c r="Y1448" i="25"/>
  <c r="AA1448" i="25"/>
  <c r="W1448" i="25"/>
  <c r="AC1448" i="25"/>
  <c r="Y1449" i="25"/>
  <c r="AA1449" i="25"/>
  <c r="W1449" i="25"/>
  <c r="AC1449" i="25"/>
  <c r="Y1450" i="25"/>
  <c r="AA1450" i="25"/>
  <c r="W1450" i="25"/>
  <c r="AC1450" i="25"/>
  <c r="Y1451" i="25"/>
  <c r="AA1451" i="25"/>
  <c r="W1451" i="25"/>
  <c r="AC1451" i="25"/>
  <c r="Y1452" i="25"/>
  <c r="AA1452" i="25"/>
  <c r="W1452" i="25"/>
  <c r="AC1452" i="25"/>
  <c r="Y1453" i="25"/>
  <c r="AA1453" i="25"/>
  <c r="W1453" i="25"/>
  <c r="AC1453" i="25"/>
  <c r="Y1454" i="25"/>
  <c r="AA1454" i="25"/>
  <c r="W1454" i="25"/>
  <c r="AC1454" i="25"/>
  <c r="Y1455" i="25"/>
  <c r="AA1455" i="25"/>
  <c r="W1455" i="25"/>
  <c r="AC1455" i="25"/>
  <c r="Y1456" i="25"/>
  <c r="AA1456" i="25"/>
  <c r="W1456" i="25"/>
  <c r="AC1456" i="25"/>
  <c r="Y1457" i="25"/>
  <c r="AA1457" i="25"/>
  <c r="W1457" i="25"/>
  <c r="AC1457" i="25"/>
  <c r="Y1458" i="25"/>
  <c r="AA1458" i="25"/>
  <c r="W1458" i="25"/>
  <c r="AC1458" i="25"/>
  <c r="Y1459" i="25"/>
  <c r="AA1459" i="25"/>
  <c r="W1459" i="25"/>
  <c r="AC1459" i="25"/>
  <c r="Y1460" i="25"/>
  <c r="AA1460" i="25"/>
  <c r="W1460" i="25"/>
  <c r="AC1460" i="25"/>
  <c r="Y1461" i="25"/>
  <c r="AA1461" i="25"/>
  <c r="W1461" i="25"/>
  <c r="AC1461" i="25"/>
  <c r="Y1462" i="25"/>
  <c r="AA1462" i="25"/>
  <c r="W1462" i="25"/>
  <c r="AC1462" i="25"/>
  <c r="Y1463" i="25"/>
  <c r="AA1463" i="25"/>
  <c r="W1463" i="25"/>
  <c r="AC1463" i="25"/>
  <c r="Y1464" i="25"/>
  <c r="AA1464" i="25"/>
  <c r="W1464" i="25"/>
  <c r="AC1464" i="25"/>
  <c r="Y1465" i="25"/>
  <c r="AA1465" i="25"/>
  <c r="W1465" i="25"/>
  <c r="AC1465" i="25"/>
  <c r="Y1466" i="25"/>
  <c r="AA1466" i="25"/>
  <c r="W1466" i="25"/>
  <c r="AC1466" i="25"/>
  <c r="Y1467" i="25"/>
  <c r="AA1467" i="25"/>
  <c r="W1467" i="25"/>
  <c r="AC1467" i="25"/>
  <c r="Y1468" i="25"/>
  <c r="AA1468" i="25"/>
  <c r="W1468" i="25"/>
  <c r="AC1468" i="25"/>
  <c r="Y1469" i="25"/>
  <c r="AA1469" i="25"/>
  <c r="W1469" i="25"/>
  <c r="AC1469" i="25"/>
  <c r="Y1470" i="25"/>
  <c r="AA1470" i="25"/>
  <c r="W1470" i="25"/>
  <c r="AC1470" i="25"/>
  <c r="Y1471" i="25"/>
  <c r="AA1471" i="25"/>
  <c r="W1471" i="25"/>
  <c r="AC1471" i="25"/>
  <c r="Y1472" i="25"/>
  <c r="AA1472" i="25"/>
  <c r="W1472" i="25"/>
  <c r="AC1472" i="25"/>
  <c r="Y1473" i="25"/>
  <c r="AA1473" i="25"/>
  <c r="W1473" i="25"/>
  <c r="AC1473" i="25"/>
  <c r="Y1474" i="25"/>
  <c r="AA1474" i="25"/>
  <c r="W1474" i="25"/>
  <c r="AC1474" i="25"/>
  <c r="Y1475" i="25"/>
  <c r="AA1475" i="25"/>
  <c r="W1475" i="25"/>
  <c r="AC1475" i="25"/>
  <c r="Y1476" i="25"/>
  <c r="AA1476" i="25"/>
  <c r="W1476" i="25"/>
  <c r="AC1476" i="25"/>
  <c r="Y1477" i="25"/>
  <c r="AA1477" i="25"/>
  <c r="W1477" i="25"/>
  <c r="AC1477" i="25"/>
  <c r="Y1478" i="25"/>
  <c r="AA1478" i="25"/>
  <c r="W1478" i="25"/>
  <c r="AC1478" i="25"/>
  <c r="Y1479" i="25"/>
  <c r="AA1479" i="25"/>
  <c r="W1479" i="25"/>
  <c r="AC1479" i="25"/>
  <c r="Y1480" i="25"/>
  <c r="AA1480" i="25"/>
  <c r="W1480" i="25"/>
  <c r="AC1480" i="25"/>
  <c r="Y1481" i="25"/>
  <c r="AA1481" i="25"/>
  <c r="W1481" i="25"/>
  <c r="AC1481" i="25"/>
  <c r="Y1482" i="25"/>
  <c r="AA1482" i="25"/>
  <c r="W1482" i="25"/>
  <c r="AC1482" i="25"/>
  <c r="Y1483" i="25"/>
  <c r="AA1483" i="25"/>
  <c r="W1483" i="25"/>
  <c r="AC1483" i="25"/>
  <c r="Y1484" i="25"/>
  <c r="AA1484" i="25"/>
  <c r="W1484" i="25"/>
  <c r="AC1484" i="25"/>
  <c r="Y1485" i="25"/>
  <c r="AA1485" i="25"/>
  <c r="W1485" i="25"/>
  <c r="AC1485" i="25"/>
  <c r="Y1486" i="25"/>
  <c r="AA1486" i="25"/>
  <c r="W1486" i="25"/>
  <c r="AC1486" i="25"/>
  <c r="Y1487" i="25"/>
  <c r="AA1487" i="25"/>
  <c r="W1487" i="25"/>
  <c r="AC1487" i="25"/>
  <c r="Y1488" i="25"/>
  <c r="AA1488" i="25"/>
  <c r="W1488" i="25"/>
  <c r="AC1488" i="25"/>
  <c r="Y1489" i="25"/>
  <c r="AA1489" i="25"/>
  <c r="W1489" i="25"/>
  <c r="AC1489" i="25"/>
  <c r="Y1490" i="25"/>
  <c r="AA1490" i="25"/>
  <c r="W1490" i="25"/>
  <c r="AC1490" i="25"/>
  <c r="Y1491" i="25"/>
  <c r="AA1491" i="25"/>
  <c r="W1491" i="25"/>
  <c r="AC1491" i="25"/>
  <c r="Y1492" i="25"/>
  <c r="AA1492" i="25"/>
  <c r="W1492" i="25"/>
  <c r="AC1492" i="25"/>
  <c r="Y1493" i="25"/>
  <c r="AA1493" i="25"/>
  <c r="W1493" i="25"/>
  <c r="AC1493" i="25"/>
  <c r="Y1494" i="25"/>
  <c r="AA1494" i="25"/>
  <c r="W1494" i="25"/>
  <c r="AC1494" i="25"/>
  <c r="Y1495" i="25"/>
  <c r="AA1495" i="25"/>
  <c r="W1495" i="25"/>
  <c r="AC1495" i="25"/>
  <c r="Y1496" i="25"/>
  <c r="AA1496" i="25"/>
  <c r="W1496" i="25"/>
  <c r="AC1496" i="25"/>
  <c r="Y1497" i="25"/>
  <c r="AA1497" i="25"/>
  <c r="W1497" i="25"/>
  <c r="AC1497" i="25"/>
  <c r="Y1498" i="25"/>
  <c r="AA1498" i="25"/>
  <c r="W1498" i="25"/>
  <c r="AC1498" i="25"/>
  <c r="Y1499" i="25"/>
  <c r="AA1499" i="25"/>
  <c r="W1499" i="25"/>
  <c r="AC1499" i="25"/>
  <c r="Y1500" i="25"/>
  <c r="AA1500" i="25"/>
  <c r="W1500" i="25"/>
  <c r="AC1500" i="25"/>
  <c r="Y1501" i="25"/>
  <c r="AA1501" i="25"/>
  <c r="W1501" i="25"/>
  <c r="AC1501" i="25"/>
  <c r="Y1502" i="25"/>
  <c r="AA1502" i="25"/>
  <c r="W1502" i="25"/>
  <c r="AC1502" i="25"/>
  <c r="Y1503" i="25"/>
  <c r="AA1503" i="25"/>
  <c r="W1503" i="25"/>
  <c r="AC1503" i="25"/>
  <c r="Y1504" i="25"/>
  <c r="AA1504" i="25"/>
  <c r="W1504" i="25"/>
  <c r="AC1504" i="25"/>
  <c r="Y1505" i="25"/>
  <c r="AA1505" i="25"/>
  <c r="W1505" i="25"/>
  <c r="AC1505" i="25"/>
  <c r="Y1506" i="25"/>
  <c r="AA1506" i="25"/>
  <c r="W1506" i="25"/>
  <c r="AC1506" i="25"/>
  <c r="Y1507" i="25"/>
  <c r="AA1507" i="25"/>
  <c r="W1507" i="25"/>
  <c r="AC1507" i="25"/>
  <c r="Y1508" i="25"/>
  <c r="AA1508" i="25"/>
  <c r="W1508" i="25"/>
  <c r="AC1508" i="25"/>
  <c r="Y1509" i="25"/>
  <c r="AA1509" i="25"/>
  <c r="W1509" i="25"/>
  <c r="AC1509" i="25"/>
  <c r="Y1510" i="25"/>
  <c r="AA1510" i="25"/>
  <c r="W1510" i="25"/>
  <c r="AC1510" i="25"/>
  <c r="Y1511" i="25"/>
  <c r="AA1511" i="25"/>
  <c r="W1511" i="25"/>
  <c r="AC1511" i="25"/>
  <c r="Y1512" i="25"/>
  <c r="AA1512" i="25"/>
  <c r="W1512" i="25"/>
  <c r="AC1512" i="25"/>
  <c r="Y1513" i="25"/>
  <c r="AA1513" i="25"/>
  <c r="W1513" i="25"/>
  <c r="AC1513" i="25"/>
  <c r="Y1514" i="25"/>
  <c r="AA1514" i="25"/>
  <c r="W1514" i="25"/>
  <c r="AC1514" i="25"/>
  <c r="Y1515" i="25"/>
  <c r="AA1515" i="25"/>
  <c r="W1515" i="25"/>
  <c r="AC1515" i="25"/>
  <c r="Y1516" i="25"/>
  <c r="AA1516" i="25"/>
  <c r="W1516" i="25"/>
  <c r="AC1516" i="25"/>
  <c r="Y1517" i="25"/>
  <c r="AA1517" i="25"/>
  <c r="W1517" i="25"/>
  <c r="AC1517" i="25"/>
  <c r="Y1518" i="25"/>
  <c r="AA1518" i="25"/>
  <c r="W1518" i="25"/>
  <c r="AC1518" i="25"/>
  <c r="Y1519" i="25"/>
  <c r="AA1519" i="25"/>
  <c r="W1519" i="25"/>
  <c r="AC1519" i="25"/>
  <c r="Y1520" i="25"/>
  <c r="AA1520" i="25"/>
  <c r="W1520" i="25"/>
  <c r="AC1520" i="25"/>
  <c r="Y1521" i="25"/>
  <c r="AA1521" i="25"/>
  <c r="W1521" i="25"/>
  <c r="AC1521" i="25"/>
  <c r="Y1522" i="25"/>
  <c r="AA1522" i="25"/>
  <c r="W1522" i="25"/>
  <c r="AC1522" i="25"/>
  <c r="Y1523" i="25"/>
  <c r="AA1523" i="25"/>
  <c r="W1523" i="25"/>
  <c r="AC1523" i="25"/>
  <c r="Y1524" i="25"/>
  <c r="AA1524" i="25"/>
  <c r="W1524" i="25"/>
  <c r="AC1524" i="25"/>
  <c r="Y1525" i="25"/>
  <c r="AA1525" i="25"/>
  <c r="W1525" i="25"/>
  <c r="AC1525" i="25"/>
  <c r="Y1526" i="25"/>
  <c r="AA1526" i="25"/>
  <c r="W1526" i="25"/>
  <c r="AC1526" i="25"/>
  <c r="Y1527" i="25"/>
  <c r="AA1527" i="25"/>
  <c r="W1527" i="25"/>
  <c r="AC1527" i="25"/>
  <c r="Y1528" i="25"/>
  <c r="AA1528" i="25"/>
  <c r="W1528" i="25"/>
  <c r="AC1528" i="25"/>
  <c r="Y1529" i="25"/>
  <c r="AA1529" i="25"/>
  <c r="W1529" i="25"/>
  <c r="AC1529" i="25"/>
  <c r="Y1530" i="25"/>
  <c r="AA1530" i="25"/>
  <c r="W1530" i="25"/>
  <c r="AC1530" i="25"/>
  <c r="Y1531" i="25"/>
  <c r="AA1531" i="25"/>
  <c r="W1531" i="25"/>
  <c r="AC1531" i="25"/>
  <c r="Y1532" i="25"/>
  <c r="AA1532" i="25"/>
  <c r="W1532" i="25"/>
  <c r="AC1532" i="25"/>
  <c r="Y1533" i="25"/>
  <c r="AA1533" i="25"/>
  <c r="W1533" i="25"/>
  <c r="AC1533" i="25"/>
  <c r="Y1534" i="25"/>
  <c r="AA1534" i="25"/>
  <c r="W1534" i="25"/>
  <c r="AC1534" i="25"/>
  <c r="Y1535" i="25"/>
  <c r="AA1535" i="25"/>
  <c r="W1535" i="25"/>
  <c r="AC1535" i="25"/>
  <c r="Y1536" i="25"/>
  <c r="AA1536" i="25"/>
  <c r="W1536" i="25"/>
  <c r="AC1536" i="25"/>
  <c r="Y1537" i="25"/>
  <c r="AA1537" i="25"/>
  <c r="W1537" i="25"/>
  <c r="AC1537" i="25"/>
  <c r="Y1538" i="25"/>
  <c r="AA1538" i="25"/>
  <c r="W1538" i="25"/>
  <c r="AC1538" i="25"/>
  <c r="Y1539" i="25"/>
  <c r="AA1539" i="25"/>
  <c r="W1539" i="25"/>
  <c r="AC1539" i="25"/>
  <c r="Y1540" i="25"/>
  <c r="AA1540" i="25"/>
  <c r="W1540" i="25"/>
  <c r="AC1540" i="25"/>
  <c r="Y1541" i="25"/>
  <c r="AA1541" i="25"/>
  <c r="W1541" i="25"/>
  <c r="AC1541" i="25"/>
  <c r="Y1542" i="25"/>
  <c r="AA1542" i="25"/>
  <c r="W1542" i="25"/>
  <c r="AC1542" i="25"/>
  <c r="Y1543" i="25"/>
  <c r="AA1543" i="25"/>
  <c r="W1543" i="25"/>
  <c r="AC1543" i="25"/>
  <c r="Y1544" i="25"/>
  <c r="AA1544" i="25"/>
  <c r="W1544" i="25"/>
  <c r="AC1544" i="25"/>
  <c r="Y1545" i="25"/>
  <c r="AA1545" i="25"/>
  <c r="W1545" i="25"/>
  <c r="AC1545" i="25"/>
  <c r="Y1546" i="25"/>
  <c r="AA1546" i="25"/>
  <c r="W1546" i="25"/>
  <c r="AC1546" i="25"/>
  <c r="Y1547" i="25"/>
  <c r="AA1547" i="25"/>
  <c r="W1547" i="25"/>
  <c r="AC1547" i="25"/>
  <c r="Y1548" i="25"/>
  <c r="AA1548" i="25"/>
  <c r="W1548" i="25"/>
  <c r="AC1548" i="25"/>
  <c r="Y1549" i="25"/>
  <c r="AA1549" i="25"/>
  <c r="W1549" i="25"/>
  <c r="AC1549" i="25"/>
  <c r="Y1550" i="25"/>
  <c r="AA1550" i="25"/>
  <c r="W1550" i="25"/>
  <c r="AC1550" i="25"/>
  <c r="Y1551" i="25"/>
  <c r="AA1551" i="25"/>
  <c r="W1551" i="25"/>
  <c r="AC1551" i="25"/>
  <c r="Y1552" i="25"/>
  <c r="AA1552" i="25"/>
  <c r="W1552" i="25"/>
  <c r="AC1552" i="25"/>
  <c r="Y1553" i="25"/>
  <c r="AA1553" i="25"/>
  <c r="W1553" i="25"/>
  <c r="AC1553" i="25"/>
  <c r="Y1554" i="25"/>
  <c r="AA1554" i="25"/>
  <c r="W1554" i="25"/>
  <c r="AC1554" i="25"/>
  <c r="Y1555" i="25"/>
  <c r="AA1555" i="25"/>
  <c r="W1555" i="25"/>
  <c r="AC1555" i="25"/>
  <c r="Y1556" i="25"/>
  <c r="AA1556" i="25"/>
  <c r="W1556" i="25"/>
  <c r="AC1556" i="25"/>
  <c r="Y1557" i="25"/>
  <c r="AA1557" i="25"/>
  <c r="W1557" i="25"/>
  <c r="AC1557" i="25"/>
  <c r="Y1558" i="25"/>
  <c r="AA1558" i="25"/>
  <c r="W1558" i="25"/>
  <c r="AC1558" i="25"/>
  <c r="Y1559" i="25"/>
  <c r="AA1559" i="25"/>
  <c r="W1559" i="25"/>
  <c r="AC1559" i="25"/>
  <c r="Y1560" i="25"/>
  <c r="AA1560" i="25"/>
  <c r="W1560" i="25"/>
  <c r="AC1560" i="25"/>
  <c r="Y1561" i="25"/>
  <c r="AA1561" i="25"/>
  <c r="W1561" i="25"/>
  <c r="AC1561" i="25"/>
  <c r="Y1562" i="25"/>
  <c r="AA1562" i="25"/>
  <c r="W1562" i="25"/>
  <c r="AC1562" i="25"/>
  <c r="Y1563" i="25"/>
  <c r="AA1563" i="25"/>
  <c r="W1563" i="25"/>
  <c r="AC1563" i="25"/>
  <c r="Y1564" i="25"/>
  <c r="AA1564" i="25"/>
  <c r="W1564" i="25"/>
  <c r="AC1564" i="25"/>
  <c r="Y1565" i="25"/>
  <c r="AA1565" i="25"/>
  <c r="W1565" i="25"/>
  <c r="AC1565" i="25"/>
  <c r="Y1566" i="25"/>
  <c r="AA1566" i="25"/>
  <c r="W1566" i="25"/>
  <c r="AC1566" i="25"/>
  <c r="Y1567" i="25"/>
  <c r="AA1567" i="25"/>
  <c r="W1567" i="25"/>
  <c r="AC1567" i="25"/>
  <c r="Y1568" i="25"/>
  <c r="AA1568" i="25"/>
  <c r="W1568" i="25"/>
  <c r="AC1568" i="25"/>
  <c r="Y1569" i="25"/>
  <c r="AA1569" i="25"/>
  <c r="W1569" i="25"/>
  <c r="AC1569" i="25"/>
  <c r="Y1570" i="25"/>
  <c r="AA1570" i="25"/>
  <c r="W1570" i="25"/>
  <c r="AC1570" i="25"/>
  <c r="Y1571" i="25"/>
  <c r="AA1571" i="25"/>
  <c r="W1571" i="25"/>
  <c r="AC1571" i="25"/>
  <c r="Y1572" i="25"/>
  <c r="AA1572" i="25"/>
  <c r="W1572" i="25"/>
  <c r="AC1572" i="25"/>
  <c r="Y1573" i="25"/>
  <c r="AA1573" i="25"/>
  <c r="W1573" i="25"/>
  <c r="AC1573" i="25"/>
  <c r="Y1574" i="25"/>
  <c r="AA1574" i="25"/>
  <c r="W1574" i="25"/>
  <c r="AC1574" i="25"/>
  <c r="Y1575" i="25"/>
  <c r="AA1575" i="25"/>
  <c r="W1575" i="25"/>
  <c r="AC1575" i="25"/>
  <c r="Y1576" i="25"/>
  <c r="AA1576" i="25"/>
  <c r="W1576" i="25"/>
  <c r="AC1576" i="25"/>
  <c r="Y1577" i="25"/>
  <c r="AA1577" i="25"/>
  <c r="W1577" i="25"/>
  <c r="AC1577" i="25"/>
  <c r="Y1578" i="25"/>
  <c r="AA1578" i="25"/>
  <c r="W1578" i="25"/>
  <c r="AC1578" i="25"/>
  <c r="Y1579" i="25"/>
  <c r="AA1579" i="25"/>
  <c r="W1579" i="25"/>
  <c r="AC1579" i="25"/>
  <c r="Y1580" i="25"/>
  <c r="AA1580" i="25"/>
  <c r="W1580" i="25"/>
  <c r="AC1580" i="25"/>
  <c r="Y1581" i="25"/>
  <c r="AA1581" i="25"/>
  <c r="W1581" i="25"/>
  <c r="AC1581" i="25"/>
  <c r="Y1582" i="25"/>
  <c r="AA1582" i="25"/>
  <c r="W1582" i="25"/>
  <c r="AC1582" i="25"/>
  <c r="Y1583" i="25"/>
  <c r="AA1583" i="25"/>
  <c r="W1583" i="25"/>
  <c r="AC1583" i="25"/>
  <c r="Y1584" i="25"/>
  <c r="AA1584" i="25"/>
  <c r="W1584" i="25"/>
  <c r="AC1584" i="25"/>
  <c r="Y1585" i="25"/>
  <c r="AA1585" i="25"/>
  <c r="W1585" i="25"/>
  <c r="AC1585" i="25"/>
  <c r="Y1586" i="25"/>
  <c r="AA1586" i="25"/>
  <c r="W1586" i="25"/>
  <c r="AC1586" i="25"/>
  <c r="Y1587" i="25"/>
  <c r="AA1587" i="25"/>
  <c r="W1587" i="25"/>
  <c r="AC1587" i="25"/>
  <c r="Y1588" i="25"/>
  <c r="AA1588" i="25"/>
  <c r="W1588" i="25"/>
  <c r="AC1588" i="25"/>
  <c r="Y1589" i="25"/>
  <c r="AA1589" i="25"/>
  <c r="W1589" i="25"/>
  <c r="AC1589" i="25"/>
  <c r="Y1590" i="25"/>
  <c r="AA1590" i="25"/>
  <c r="W1590" i="25"/>
  <c r="AC1590" i="25"/>
  <c r="Y1591" i="25"/>
  <c r="AA1591" i="25"/>
  <c r="W1591" i="25"/>
  <c r="AC1591" i="25"/>
  <c r="Y1592" i="25"/>
  <c r="AA1592" i="25"/>
  <c r="W1592" i="25"/>
  <c r="AC1592" i="25"/>
  <c r="Y1593" i="25"/>
  <c r="AA1593" i="25"/>
  <c r="W1593" i="25"/>
  <c r="AC1593" i="25"/>
  <c r="Y1594" i="25"/>
  <c r="AA1594" i="25"/>
  <c r="W1594" i="25"/>
  <c r="AC1594" i="25"/>
  <c r="Y1595" i="25"/>
  <c r="AA1595" i="25"/>
  <c r="W1595" i="25"/>
  <c r="AC1595" i="25"/>
  <c r="Y1596" i="25"/>
  <c r="AA1596" i="25"/>
  <c r="W1596" i="25"/>
  <c r="AC1596" i="25"/>
  <c r="Y1597" i="25"/>
  <c r="AA1597" i="25"/>
  <c r="W1597" i="25"/>
  <c r="AC1597" i="25"/>
  <c r="Y1598" i="25"/>
  <c r="AA1598" i="25"/>
  <c r="W1598" i="25"/>
  <c r="AC1598" i="25"/>
  <c r="Y1599" i="25"/>
  <c r="AA1599" i="25"/>
  <c r="W1599" i="25"/>
  <c r="AC1599" i="25"/>
  <c r="Y1600" i="25"/>
  <c r="AA1600" i="25"/>
  <c r="W1600" i="25"/>
  <c r="AC1600" i="25"/>
  <c r="Y1601" i="25"/>
  <c r="AA1601" i="25"/>
  <c r="W1601" i="25"/>
  <c r="AC1601" i="25"/>
  <c r="Y1602" i="25"/>
  <c r="AA1602" i="25"/>
  <c r="W1602" i="25"/>
  <c r="AC1602" i="25"/>
  <c r="Y1603" i="25"/>
  <c r="AA1603" i="25"/>
  <c r="W1603" i="25"/>
  <c r="AC1603" i="25"/>
  <c r="Y1604" i="25"/>
  <c r="AA1604" i="25"/>
  <c r="W1604" i="25"/>
  <c r="AC1604" i="25"/>
  <c r="Y1605" i="25"/>
  <c r="AA1605" i="25"/>
  <c r="W1605" i="25"/>
  <c r="AC1605" i="25"/>
  <c r="Y1606" i="25"/>
  <c r="AA1606" i="25"/>
  <c r="W1606" i="25"/>
  <c r="AC1606" i="25"/>
  <c r="Y1607" i="25"/>
  <c r="AA1607" i="25"/>
  <c r="W1607" i="25"/>
  <c r="AC1607" i="25"/>
  <c r="AC3" i="25" a="1"/>
  <c r="AC3" i="25"/>
  <c r="Z7" i="25"/>
  <c r="AB7" i="25"/>
  <c r="Z8" i="25"/>
  <c r="AB8" i="25"/>
  <c r="Z9" i="25"/>
  <c r="AB9" i="25"/>
  <c r="Z10" i="25"/>
  <c r="AB10" i="25"/>
  <c r="Z11" i="25"/>
  <c r="AB11" i="25"/>
  <c r="Z12" i="25"/>
  <c r="AB12" i="25"/>
  <c r="Z13" i="25"/>
  <c r="AB13" i="25"/>
  <c r="Z14" i="25"/>
  <c r="AB14" i="25"/>
  <c r="Z15" i="25"/>
  <c r="AB15" i="25"/>
  <c r="Z16" i="25"/>
  <c r="AB16" i="25"/>
  <c r="Z17" i="25"/>
  <c r="AB17" i="25"/>
  <c r="Z18" i="25"/>
  <c r="AB18" i="25"/>
  <c r="Z19" i="25"/>
  <c r="AB19" i="25"/>
  <c r="Z20" i="25"/>
  <c r="AB20" i="25"/>
  <c r="Z21" i="25"/>
  <c r="AB21" i="25"/>
  <c r="Z22" i="25"/>
  <c r="AB22" i="25"/>
  <c r="Z23" i="25"/>
  <c r="AB23" i="25"/>
  <c r="Z24" i="25"/>
  <c r="AB24" i="25"/>
  <c r="Z25" i="25"/>
  <c r="AB25" i="25"/>
  <c r="Z26" i="25"/>
  <c r="AB26" i="25"/>
  <c r="Z27" i="25"/>
  <c r="AB27" i="25"/>
  <c r="Z28" i="25"/>
  <c r="AB28" i="25"/>
  <c r="Z29" i="25"/>
  <c r="AB29" i="25"/>
  <c r="Z30" i="25"/>
  <c r="AB30" i="25"/>
  <c r="Z31" i="25"/>
  <c r="AB31" i="25"/>
  <c r="Z32" i="25"/>
  <c r="AB32" i="25"/>
  <c r="Z33" i="25"/>
  <c r="AB33" i="25"/>
  <c r="Z34" i="25"/>
  <c r="AB34" i="25"/>
  <c r="Z35" i="25"/>
  <c r="AB35" i="25"/>
  <c r="Z36" i="25"/>
  <c r="AB36" i="25"/>
  <c r="Z37" i="25"/>
  <c r="AB37" i="25"/>
  <c r="Z38" i="25"/>
  <c r="AB38" i="25"/>
  <c r="Z39" i="25"/>
  <c r="AB39" i="25"/>
  <c r="Z40" i="25"/>
  <c r="AB40" i="25"/>
  <c r="Z41" i="25"/>
  <c r="AB41" i="25"/>
  <c r="Z42" i="25"/>
  <c r="AB42" i="25"/>
  <c r="Z43" i="25"/>
  <c r="AB43" i="25"/>
  <c r="Z44" i="25"/>
  <c r="AB44" i="25"/>
  <c r="Z45" i="25"/>
  <c r="AB45" i="25"/>
  <c r="Z46" i="25"/>
  <c r="AB46" i="25"/>
  <c r="Z47" i="25"/>
  <c r="AB47" i="25"/>
  <c r="Z48" i="25"/>
  <c r="AB48" i="25"/>
  <c r="Z49" i="25"/>
  <c r="AB49" i="25"/>
  <c r="Z50" i="25"/>
  <c r="AB50" i="25"/>
  <c r="Z51" i="25"/>
  <c r="AB51" i="25"/>
  <c r="Z52" i="25"/>
  <c r="AB52" i="25"/>
  <c r="Z53" i="25"/>
  <c r="AB53" i="25"/>
  <c r="Z54" i="25"/>
  <c r="AB54" i="25"/>
  <c r="Z55" i="25"/>
  <c r="AB55" i="25"/>
  <c r="Z56" i="25"/>
  <c r="AB56" i="25"/>
  <c r="Z57" i="25"/>
  <c r="AB57" i="25"/>
  <c r="Z58" i="25"/>
  <c r="AB58" i="25"/>
  <c r="Z59" i="25"/>
  <c r="AB59" i="25"/>
  <c r="Z60" i="25"/>
  <c r="AB60" i="25"/>
  <c r="Z61" i="25"/>
  <c r="AB61" i="25"/>
  <c r="Z62" i="25"/>
  <c r="AB62" i="25"/>
  <c r="Z63" i="25"/>
  <c r="AB63" i="25"/>
  <c r="Z64" i="25"/>
  <c r="AB64" i="25"/>
  <c r="Z65" i="25"/>
  <c r="AB65" i="25"/>
  <c r="Z66" i="25"/>
  <c r="AB66" i="25"/>
  <c r="Z67" i="25"/>
  <c r="AB67" i="25"/>
  <c r="Z68" i="25"/>
  <c r="AB68" i="25"/>
  <c r="Z69" i="25"/>
  <c r="AB69" i="25"/>
  <c r="Z70" i="25"/>
  <c r="AB70" i="25"/>
  <c r="Z71" i="25"/>
  <c r="AB71" i="25"/>
  <c r="Z72" i="25"/>
  <c r="AB72" i="25"/>
  <c r="Z73" i="25"/>
  <c r="AB73" i="25"/>
  <c r="Z74" i="25"/>
  <c r="AB74" i="25"/>
  <c r="Z75" i="25"/>
  <c r="AB75" i="25"/>
  <c r="Z76" i="25"/>
  <c r="AB76" i="25"/>
  <c r="Z77" i="25"/>
  <c r="AB77" i="25"/>
  <c r="Z78" i="25"/>
  <c r="AB78" i="25"/>
  <c r="Z79" i="25"/>
  <c r="AB79" i="25"/>
  <c r="Z80" i="25"/>
  <c r="AB80" i="25"/>
  <c r="Z81" i="25"/>
  <c r="AB81" i="25"/>
  <c r="Z82" i="25"/>
  <c r="AB82" i="25"/>
  <c r="Z83" i="25"/>
  <c r="AB83" i="25"/>
  <c r="Z84" i="25"/>
  <c r="AB84" i="25"/>
  <c r="Z85" i="25"/>
  <c r="AB85" i="25"/>
  <c r="Z86" i="25"/>
  <c r="AB86" i="25"/>
  <c r="Z87" i="25"/>
  <c r="AB87" i="25"/>
  <c r="Z88" i="25"/>
  <c r="AB88" i="25"/>
  <c r="Z89" i="25"/>
  <c r="AB89" i="25"/>
  <c r="Z90" i="25"/>
  <c r="AB90" i="25"/>
  <c r="Z91" i="25"/>
  <c r="AB91" i="25"/>
  <c r="Z92" i="25"/>
  <c r="AB92" i="25"/>
  <c r="Z93" i="25"/>
  <c r="AB93" i="25"/>
  <c r="Z94" i="25"/>
  <c r="AB94" i="25"/>
  <c r="Z95" i="25"/>
  <c r="AB95" i="25"/>
  <c r="Z96" i="25"/>
  <c r="AB96" i="25"/>
  <c r="Z97" i="25"/>
  <c r="AB97" i="25"/>
  <c r="Z98" i="25"/>
  <c r="AB98" i="25"/>
  <c r="Z99" i="25"/>
  <c r="AB99" i="25"/>
  <c r="Z100" i="25"/>
  <c r="AB100" i="25"/>
  <c r="Z101" i="25"/>
  <c r="AB101" i="25"/>
  <c r="Z102" i="25"/>
  <c r="AB102" i="25"/>
  <c r="Z103" i="25"/>
  <c r="AB103" i="25"/>
  <c r="Z104" i="25"/>
  <c r="AB104" i="25"/>
  <c r="Z105" i="25"/>
  <c r="AB105" i="25"/>
  <c r="Z106" i="25"/>
  <c r="AB106" i="25"/>
  <c r="Z107" i="25"/>
  <c r="AB107" i="25"/>
  <c r="Z108" i="25"/>
  <c r="AB108" i="25"/>
  <c r="Z109" i="25"/>
  <c r="AB109" i="25"/>
  <c r="Z110" i="25"/>
  <c r="AB110" i="25"/>
  <c r="Z111" i="25"/>
  <c r="AB111" i="25"/>
  <c r="Z112" i="25"/>
  <c r="AB112" i="25"/>
  <c r="Z113" i="25"/>
  <c r="AB113" i="25"/>
  <c r="Z114" i="25"/>
  <c r="AB114" i="25"/>
  <c r="Z115" i="25"/>
  <c r="AB115" i="25"/>
  <c r="Z116" i="25"/>
  <c r="AB116" i="25"/>
  <c r="Z117" i="25"/>
  <c r="AB117" i="25"/>
  <c r="Z118" i="25"/>
  <c r="AB118" i="25"/>
  <c r="Z119" i="25"/>
  <c r="AB119" i="25"/>
  <c r="Z120" i="25"/>
  <c r="AB120" i="25"/>
  <c r="Z121" i="25"/>
  <c r="AB121" i="25"/>
  <c r="Z122" i="25"/>
  <c r="AB122" i="25"/>
  <c r="Z123" i="25"/>
  <c r="AB123" i="25"/>
  <c r="Z124" i="25"/>
  <c r="AB124" i="25"/>
  <c r="Z125" i="25"/>
  <c r="AB125" i="25"/>
  <c r="Z126" i="25"/>
  <c r="AB126" i="25"/>
  <c r="Z127" i="25"/>
  <c r="AB127" i="25"/>
  <c r="Z128" i="25"/>
  <c r="AB128" i="25"/>
  <c r="Z129" i="25"/>
  <c r="AB129" i="25"/>
  <c r="Z130" i="25"/>
  <c r="AB130" i="25"/>
  <c r="Z131" i="25"/>
  <c r="AB131" i="25"/>
  <c r="Z132" i="25"/>
  <c r="AB132" i="25"/>
  <c r="Z133" i="25"/>
  <c r="AB133" i="25"/>
  <c r="Z134" i="25"/>
  <c r="AB134" i="25"/>
  <c r="Z135" i="25"/>
  <c r="AB135" i="25"/>
  <c r="Z136" i="25"/>
  <c r="AB136" i="25"/>
  <c r="Z137" i="25"/>
  <c r="AB137" i="25"/>
  <c r="Z138" i="25"/>
  <c r="AB138" i="25"/>
  <c r="Z139" i="25"/>
  <c r="AB139" i="25"/>
  <c r="Z140" i="25"/>
  <c r="AB140" i="25"/>
  <c r="Z141" i="25"/>
  <c r="AB141" i="25"/>
  <c r="Z142" i="25"/>
  <c r="AB142" i="25"/>
  <c r="Z143" i="25"/>
  <c r="AB143" i="25"/>
  <c r="Z144" i="25"/>
  <c r="AB144" i="25"/>
  <c r="Z145" i="25"/>
  <c r="AB145" i="25"/>
  <c r="Z146" i="25"/>
  <c r="AB146" i="25"/>
  <c r="Z147" i="25"/>
  <c r="AB147" i="25"/>
  <c r="Z148" i="25"/>
  <c r="AB148" i="25"/>
  <c r="Z149" i="25"/>
  <c r="AB149" i="25"/>
  <c r="Z150" i="25"/>
  <c r="AB150" i="25"/>
  <c r="Z151" i="25"/>
  <c r="AB151" i="25"/>
  <c r="Z152" i="25"/>
  <c r="AB152" i="25"/>
  <c r="Z153" i="25"/>
  <c r="AB153" i="25"/>
  <c r="Z154" i="25"/>
  <c r="AB154" i="25"/>
  <c r="Z155" i="25"/>
  <c r="AB155" i="25"/>
  <c r="Z156" i="25"/>
  <c r="AB156" i="25"/>
  <c r="Z157" i="25"/>
  <c r="AB157" i="25"/>
  <c r="Z158" i="25"/>
  <c r="AB158" i="25"/>
  <c r="Z159" i="25"/>
  <c r="AB159" i="25"/>
  <c r="Z160" i="25"/>
  <c r="AB160" i="25"/>
  <c r="Z161" i="25"/>
  <c r="AB161" i="25"/>
  <c r="Z162" i="25"/>
  <c r="AB162" i="25"/>
  <c r="Z163" i="25"/>
  <c r="AB163" i="25"/>
  <c r="Z164" i="25"/>
  <c r="AB164" i="25"/>
  <c r="Z165" i="25"/>
  <c r="AB165" i="25"/>
  <c r="Z166" i="25"/>
  <c r="AB166" i="25"/>
  <c r="Z167" i="25"/>
  <c r="AB167" i="25"/>
  <c r="Z168" i="25"/>
  <c r="AB168" i="25"/>
  <c r="Z169" i="25"/>
  <c r="AB169" i="25"/>
  <c r="Z170" i="25"/>
  <c r="AB170" i="25"/>
  <c r="Z171" i="25"/>
  <c r="AB171" i="25"/>
  <c r="Z172" i="25"/>
  <c r="AB172" i="25"/>
  <c r="Z173" i="25"/>
  <c r="AB173" i="25"/>
  <c r="Z174" i="25"/>
  <c r="AB174" i="25"/>
  <c r="Z175" i="25"/>
  <c r="AB175" i="25"/>
  <c r="Z176" i="25"/>
  <c r="AB176" i="25"/>
  <c r="Z177" i="25"/>
  <c r="AB177" i="25"/>
  <c r="Z178" i="25"/>
  <c r="AB178" i="25"/>
  <c r="Z179" i="25"/>
  <c r="AB179" i="25"/>
  <c r="Z180" i="25"/>
  <c r="AB180" i="25"/>
  <c r="Z181" i="25"/>
  <c r="AB181" i="25"/>
  <c r="Z182" i="25"/>
  <c r="AB182" i="25"/>
  <c r="Z183" i="25"/>
  <c r="AB183" i="25"/>
  <c r="Z184" i="25"/>
  <c r="AB184" i="25"/>
  <c r="Z185" i="25"/>
  <c r="AB185" i="25"/>
  <c r="Z186" i="25"/>
  <c r="AB186" i="25"/>
  <c r="Z187" i="25"/>
  <c r="AB187" i="25"/>
  <c r="Z188" i="25"/>
  <c r="AB188" i="25"/>
  <c r="Z189" i="25"/>
  <c r="AB189" i="25"/>
  <c r="Z190" i="25"/>
  <c r="AB190" i="25"/>
  <c r="Z191" i="25"/>
  <c r="AB191" i="25"/>
  <c r="Z192" i="25"/>
  <c r="AB192" i="25"/>
  <c r="Z193" i="25"/>
  <c r="AB193" i="25"/>
  <c r="Z194" i="25"/>
  <c r="AB194" i="25"/>
  <c r="Z195" i="25"/>
  <c r="AB195" i="25"/>
  <c r="Z196" i="25"/>
  <c r="AB196" i="25"/>
  <c r="Z197" i="25"/>
  <c r="AB197" i="25"/>
  <c r="Z198" i="25"/>
  <c r="AB198" i="25"/>
  <c r="Z199" i="25"/>
  <c r="AB199" i="25"/>
  <c r="Z200" i="25"/>
  <c r="AB200" i="25"/>
  <c r="Z201" i="25"/>
  <c r="AB201" i="25"/>
  <c r="Z202" i="25"/>
  <c r="AB202" i="25"/>
  <c r="Z203" i="25"/>
  <c r="AB203" i="25"/>
  <c r="Z204" i="25"/>
  <c r="AB204" i="25"/>
  <c r="Z205" i="25"/>
  <c r="AB205" i="25"/>
  <c r="Z206" i="25"/>
  <c r="AB206" i="25"/>
  <c r="Z207" i="25"/>
  <c r="AB207" i="25"/>
  <c r="Z208" i="25"/>
  <c r="AB208" i="25"/>
  <c r="Z209" i="25"/>
  <c r="AB209" i="25"/>
  <c r="Z210" i="25"/>
  <c r="AB210" i="25"/>
  <c r="Z211" i="25"/>
  <c r="AB211" i="25"/>
  <c r="Z212" i="25"/>
  <c r="AB212" i="25"/>
  <c r="Z213" i="25"/>
  <c r="AB213" i="25"/>
  <c r="Z214" i="25"/>
  <c r="AB214" i="25"/>
  <c r="Z215" i="25"/>
  <c r="AB215" i="25"/>
  <c r="Z216" i="25"/>
  <c r="AB216" i="25"/>
  <c r="Z217" i="25"/>
  <c r="AB217" i="25"/>
  <c r="Z218" i="25"/>
  <c r="AB218" i="25"/>
  <c r="Z219" i="25"/>
  <c r="AB219" i="25"/>
  <c r="Z220" i="25"/>
  <c r="AB220" i="25"/>
  <c r="Z221" i="25"/>
  <c r="AB221" i="25"/>
  <c r="Z222" i="25"/>
  <c r="AB222" i="25"/>
  <c r="Z223" i="25"/>
  <c r="AB223" i="25"/>
  <c r="Z224" i="25"/>
  <c r="AB224" i="25"/>
  <c r="Z225" i="25"/>
  <c r="AB225" i="25"/>
  <c r="Z226" i="25"/>
  <c r="AB226" i="25"/>
  <c r="Z227" i="25"/>
  <c r="AB227" i="25"/>
  <c r="Z228" i="25"/>
  <c r="AB228" i="25"/>
  <c r="Z229" i="25"/>
  <c r="AB229" i="25"/>
  <c r="Z230" i="25"/>
  <c r="AB230" i="25"/>
  <c r="Z231" i="25"/>
  <c r="AB231" i="25"/>
  <c r="Z232" i="25"/>
  <c r="AB232" i="25"/>
  <c r="Z233" i="25"/>
  <c r="AB233" i="25"/>
  <c r="Z234" i="25"/>
  <c r="AB234" i="25"/>
  <c r="Z235" i="25"/>
  <c r="AB235" i="25"/>
  <c r="Z236" i="25"/>
  <c r="AB236" i="25"/>
  <c r="Z237" i="25"/>
  <c r="AB237" i="25"/>
  <c r="Z238" i="25"/>
  <c r="AB238" i="25"/>
  <c r="Z239" i="25"/>
  <c r="AB239" i="25"/>
  <c r="Z240" i="25"/>
  <c r="AB240" i="25"/>
  <c r="Z241" i="25"/>
  <c r="AB241" i="25"/>
  <c r="Z242" i="25"/>
  <c r="AB242" i="25"/>
  <c r="Z243" i="25"/>
  <c r="AB243" i="25"/>
  <c r="Z244" i="25"/>
  <c r="AB244" i="25"/>
  <c r="Z245" i="25"/>
  <c r="AB245" i="25"/>
  <c r="Z246" i="25"/>
  <c r="AB246" i="25"/>
  <c r="Z247" i="25"/>
  <c r="AB247" i="25"/>
  <c r="Z248" i="25"/>
  <c r="AB248" i="25"/>
  <c r="Z249" i="25"/>
  <c r="AB249" i="25"/>
  <c r="Z250" i="25"/>
  <c r="AB250" i="25"/>
  <c r="Z251" i="25"/>
  <c r="AB251" i="25"/>
  <c r="Z252" i="25"/>
  <c r="AB252" i="25"/>
  <c r="Z253" i="25"/>
  <c r="AB253" i="25"/>
  <c r="Z254" i="25"/>
  <c r="AB254" i="25"/>
  <c r="Z255" i="25"/>
  <c r="AB255" i="25"/>
  <c r="X7" i="25"/>
  <c r="X8" i="25"/>
  <c r="X9" i="25"/>
  <c r="X10" i="25"/>
  <c r="X11" i="25"/>
  <c r="X12" i="25"/>
  <c r="X13" i="25"/>
  <c r="X14" i="25"/>
  <c r="X15" i="25"/>
  <c r="X16" i="25"/>
  <c r="X17" i="25"/>
  <c r="X18" i="25"/>
  <c r="X19" i="25"/>
  <c r="X20" i="25"/>
  <c r="X21" i="25"/>
  <c r="X22" i="25"/>
  <c r="X23" i="25"/>
  <c r="X24" i="25"/>
  <c r="X25" i="25"/>
  <c r="X26" i="25"/>
  <c r="X27" i="25"/>
  <c r="X28" i="25"/>
  <c r="X29" i="25"/>
  <c r="X30" i="25"/>
  <c r="X31" i="25"/>
  <c r="X32" i="25"/>
  <c r="X33" i="25"/>
  <c r="X34" i="25"/>
  <c r="X35" i="25"/>
  <c r="X36" i="25"/>
  <c r="X37" i="25"/>
  <c r="X38" i="25"/>
  <c r="X39" i="25"/>
  <c r="X40" i="25"/>
  <c r="X41" i="25"/>
  <c r="X42" i="25"/>
  <c r="X43" i="25"/>
  <c r="X44" i="25"/>
  <c r="X45" i="25"/>
  <c r="X46" i="25"/>
  <c r="X47" i="25"/>
  <c r="X48" i="25"/>
  <c r="X49" i="25"/>
  <c r="X50" i="25"/>
  <c r="X51" i="25"/>
  <c r="X52" i="25"/>
  <c r="X53" i="25"/>
  <c r="X54" i="25"/>
  <c r="X55" i="25"/>
  <c r="X56" i="25"/>
  <c r="X57" i="25"/>
  <c r="X58" i="25"/>
  <c r="X59" i="25"/>
  <c r="X60" i="25"/>
  <c r="X61" i="25"/>
  <c r="X62" i="25"/>
  <c r="X63" i="25"/>
  <c r="X64" i="25"/>
  <c r="X65" i="25"/>
  <c r="X66" i="25"/>
  <c r="X67" i="25"/>
  <c r="X68" i="25"/>
  <c r="X69" i="25"/>
  <c r="X70" i="25"/>
  <c r="X71" i="25"/>
  <c r="X72" i="25"/>
  <c r="X73" i="25"/>
  <c r="X74" i="25"/>
  <c r="X75" i="25"/>
  <c r="X76" i="25"/>
  <c r="X77" i="25"/>
  <c r="X78" i="25"/>
  <c r="X79" i="25"/>
  <c r="X80" i="25"/>
  <c r="X81" i="25"/>
  <c r="X82" i="25"/>
  <c r="X83" i="25"/>
  <c r="X84" i="25"/>
  <c r="X85" i="25"/>
  <c r="X86" i="25"/>
  <c r="X87" i="25"/>
  <c r="X88" i="25"/>
  <c r="X89" i="25"/>
  <c r="X90" i="25"/>
  <c r="X91" i="25"/>
  <c r="X92" i="25"/>
  <c r="X93" i="25"/>
  <c r="X94" i="25"/>
  <c r="X95" i="25"/>
  <c r="X96" i="25"/>
  <c r="X97" i="25"/>
  <c r="X98" i="25"/>
  <c r="X99" i="25"/>
  <c r="X100" i="25"/>
  <c r="X101" i="25"/>
  <c r="X102" i="25"/>
  <c r="X103" i="25"/>
  <c r="X104" i="25"/>
  <c r="X105" i="25"/>
  <c r="X106" i="25"/>
  <c r="X107" i="25"/>
  <c r="X108" i="25"/>
  <c r="X109" i="25"/>
  <c r="X110" i="25"/>
  <c r="X111" i="25"/>
  <c r="X112" i="25"/>
  <c r="X113" i="25"/>
  <c r="X114" i="25"/>
  <c r="X115" i="25"/>
  <c r="X116" i="25"/>
  <c r="X117" i="25"/>
  <c r="X118" i="25"/>
  <c r="X119" i="25"/>
  <c r="X120" i="25"/>
  <c r="X121" i="25"/>
  <c r="X122" i="25"/>
  <c r="X123" i="25"/>
  <c r="X124" i="25"/>
  <c r="X125" i="25"/>
  <c r="X126" i="25"/>
  <c r="X127" i="25"/>
  <c r="X128" i="25"/>
  <c r="X129" i="25"/>
  <c r="X130" i="25"/>
  <c r="X131" i="25"/>
  <c r="X132" i="25"/>
  <c r="X133" i="25"/>
  <c r="X134" i="25"/>
  <c r="X135" i="25"/>
  <c r="X136" i="25"/>
  <c r="X137" i="25"/>
  <c r="X138" i="25"/>
  <c r="X139" i="25"/>
  <c r="X140" i="25"/>
  <c r="X141" i="25"/>
  <c r="X142" i="25"/>
  <c r="X143" i="25"/>
  <c r="X144" i="25"/>
  <c r="X145" i="25"/>
  <c r="X146" i="25"/>
  <c r="X147" i="25"/>
  <c r="X148" i="25"/>
  <c r="X149" i="25"/>
  <c r="X150" i="25"/>
  <c r="X151" i="25"/>
  <c r="X152" i="25"/>
  <c r="X153" i="25"/>
  <c r="X154" i="25"/>
  <c r="X155" i="25"/>
  <c r="X156" i="25"/>
  <c r="X157" i="25"/>
  <c r="X158" i="25"/>
  <c r="X159" i="25"/>
  <c r="X160" i="25"/>
  <c r="X161" i="25"/>
  <c r="X162" i="25"/>
  <c r="X163" i="25"/>
  <c r="X164" i="25"/>
  <c r="X165" i="25"/>
  <c r="X166" i="25"/>
  <c r="X167" i="25"/>
  <c r="X168" i="25"/>
  <c r="X169" i="25"/>
  <c r="X170" i="25"/>
  <c r="X171" i="25"/>
  <c r="X172" i="25"/>
  <c r="X173" i="25"/>
  <c r="X174" i="25"/>
  <c r="X175" i="25"/>
  <c r="X176" i="25"/>
  <c r="X177" i="25"/>
  <c r="X178" i="25"/>
  <c r="X179" i="25"/>
  <c r="X180" i="25"/>
  <c r="X181" i="25"/>
  <c r="X182" i="25"/>
  <c r="X183" i="25"/>
  <c r="X184" i="25"/>
  <c r="X185" i="25"/>
  <c r="X186" i="25"/>
  <c r="X187" i="25"/>
  <c r="X188" i="25"/>
  <c r="X189" i="25"/>
  <c r="X190" i="25"/>
  <c r="X191" i="25"/>
  <c r="X192" i="25"/>
  <c r="X193" i="25"/>
  <c r="X194" i="25"/>
  <c r="X195" i="25"/>
  <c r="X196" i="25"/>
  <c r="X197" i="25"/>
  <c r="X198" i="25"/>
  <c r="X199" i="25"/>
  <c r="X200" i="25"/>
  <c r="X201" i="25"/>
  <c r="X202" i="25"/>
  <c r="X203" i="25"/>
  <c r="X204" i="25"/>
  <c r="X205" i="25"/>
  <c r="X206" i="25"/>
  <c r="X207" i="25"/>
  <c r="X208" i="25"/>
  <c r="X209" i="25"/>
  <c r="X210" i="25"/>
  <c r="X211" i="25"/>
  <c r="X212" i="25"/>
  <c r="X213" i="25"/>
  <c r="X214" i="25"/>
  <c r="X215" i="25"/>
  <c r="X216" i="25"/>
  <c r="X217" i="25"/>
  <c r="X218" i="25"/>
  <c r="X219" i="25"/>
  <c r="X220" i="25"/>
  <c r="X221" i="25"/>
  <c r="X222" i="25"/>
  <c r="X223" i="25"/>
  <c r="X224" i="25"/>
  <c r="X225" i="25"/>
  <c r="X226" i="25"/>
  <c r="X227" i="25"/>
  <c r="X228" i="25"/>
  <c r="X229" i="25"/>
  <c r="X230" i="25"/>
  <c r="X231" i="25"/>
  <c r="X232" i="25"/>
  <c r="X233" i="25"/>
  <c r="X234" i="25"/>
  <c r="X235" i="25"/>
  <c r="X236" i="25"/>
  <c r="X237" i="25"/>
  <c r="X238" i="25"/>
  <c r="X239" i="25"/>
  <c r="X240" i="25"/>
  <c r="X241" i="25"/>
  <c r="X242" i="25"/>
  <c r="X243" i="25"/>
  <c r="X244" i="25"/>
  <c r="X245" i="25"/>
  <c r="X246" i="25"/>
  <c r="X247" i="25"/>
  <c r="X248" i="25"/>
  <c r="X249" i="25"/>
  <c r="X250" i="25"/>
  <c r="X251" i="25"/>
  <c r="X252" i="25"/>
  <c r="X253" i="25"/>
  <c r="X254" i="25"/>
  <c r="X255" i="25"/>
  <c r="X256" i="25"/>
  <c r="Z256" i="25"/>
  <c r="AB256" i="25"/>
  <c r="X257" i="25"/>
  <c r="Z257" i="25"/>
  <c r="AB257" i="25"/>
  <c r="X258" i="25"/>
  <c r="Z258" i="25"/>
  <c r="AB258" i="25"/>
  <c r="X259" i="25"/>
  <c r="Z259" i="25"/>
  <c r="AB259" i="25"/>
  <c r="X260" i="25"/>
  <c r="Z260" i="25"/>
  <c r="AB260" i="25"/>
  <c r="X261" i="25"/>
  <c r="Z261" i="25"/>
  <c r="AB261" i="25"/>
  <c r="X262" i="25"/>
  <c r="Z262" i="25"/>
  <c r="AB262" i="25"/>
  <c r="X263" i="25"/>
  <c r="Z263" i="25"/>
  <c r="AB263" i="25"/>
  <c r="X264" i="25"/>
  <c r="Z264" i="25"/>
  <c r="AB264" i="25"/>
  <c r="X265" i="25"/>
  <c r="Z265" i="25"/>
  <c r="AB265" i="25"/>
  <c r="X266" i="25"/>
  <c r="Z266" i="25"/>
  <c r="AB266" i="25"/>
  <c r="X267" i="25"/>
  <c r="Z267" i="25"/>
  <c r="AB267" i="25"/>
  <c r="X268" i="25"/>
  <c r="Z268" i="25"/>
  <c r="AB268" i="25"/>
  <c r="X269" i="25"/>
  <c r="Z269" i="25"/>
  <c r="AB269" i="25"/>
  <c r="X270" i="25"/>
  <c r="Z270" i="25"/>
  <c r="AB270" i="25"/>
  <c r="X271" i="25"/>
  <c r="Z271" i="25"/>
  <c r="AB271" i="25"/>
  <c r="X272" i="25"/>
  <c r="Z272" i="25"/>
  <c r="AB272" i="25"/>
  <c r="X273" i="25"/>
  <c r="Z273" i="25"/>
  <c r="AB273" i="25"/>
  <c r="X274" i="25"/>
  <c r="Z274" i="25"/>
  <c r="AB274" i="25"/>
  <c r="X275" i="25"/>
  <c r="Z275" i="25"/>
  <c r="AB275" i="25"/>
  <c r="X276" i="25"/>
  <c r="Z276" i="25"/>
  <c r="AB276" i="25"/>
  <c r="X277" i="25"/>
  <c r="Z277" i="25"/>
  <c r="AB277" i="25"/>
  <c r="X278" i="25"/>
  <c r="Z278" i="25"/>
  <c r="AB278" i="25"/>
  <c r="X279" i="25"/>
  <c r="Z279" i="25"/>
  <c r="AB279" i="25"/>
  <c r="X280" i="25"/>
  <c r="Z280" i="25"/>
  <c r="AB280" i="25"/>
  <c r="X281" i="25"/>
  <c r="Z281" i="25"/>
  <c r="AB281" i="25"/>
  <c r="X282" i="25"/>
  <c r="Z282" i="25"/>
  <c r="AB282" i="25"/>
  <c r="X283" i="25"/>
  <c r="Z283" i="25"/>
  <c r="AB283" i="25"/>
  <c r="X284" i="25"/>
  <c r="Z284" i="25"/>
  <c r="AB284" i="25"/>
  <c r="X285" i="25"/>
  <c r="Z285" i="25"/>
  <c r="AB285" i="25"/>
  <c r="X286" i="25"/>
  <c r="Z286" i="25"/>
  <c r="AB286" i="25"/>
  <c r="X287" i="25"/>
  <c r="Z287" i="25"/>
  <c r="AB287" i="25"/>
  <c r="X288" i="25"/>
  <c r="Z288" i="25"/>
  <c r="AB288" i="25"/>
  <c r="X289" i="25"/>
  <c r="Z289" i="25"/>
  <c r="AB289" i="25"/>
  <c r="X290" i="25"/>
  <c r="Z290" i="25"/>
  <c r="AB290" i="25"/>
  <c r="X291" i="25"/>
  <c r="Z291" i="25"/>
  <c r="AB291" i="25"/>
  <c r="X292" i="25"/>
  <c r="Z292" i="25"/>
  <c r="AB292" i="25"/>
  <c r="X293" i="25"/>
  <c r="Z293" i="25"/>
  <c r="AB293" i="25"/>
  <c r="X294" i="25"/>
  <c r="Z294" i="25"/>
  <c r="AB294" i="25"/>
  <c r="X295" i="25"/>
  <c r="Z295" i="25"/>
  <c r="AB295" i="25"/>
  <c r="X296" i="25"/>
  <c r="Z296" i="25"/>
  <c r="AB296" i="25"/>
  <c r="X297" i="25"/>
  <c r="Z297" i="25"/>
  <c r="AB297" i="25"/>
  <c r="X298" i="25"/>
  <c r="Z298" i="25"/>
  <c r="AB298" i="25"/>
  <c r="X299" i="25"/>
  <c r="Z299" i="25"/>
  <c r="AB299" i="25"/>
  <c r="X300" i="25"/>
  <c r="Z300" i="25"/>
  <c r="AB300" i="25"/>
  <c r="X301" i="25"/>
  <c r="Z301" i="25"/>
  <c r="AB301" i="25"/>
  <c r="X302" i="25"/>
  <c r="Z302" i="25"/>
  <c r="AB302" i="25"/>
  <c r="X303" i="25"/>
  <c r="Z303" i="25"/>
  <c r="AB303" i="25"/>
  <c r="X304" i="25"/>
  <c r="Z304" i="25"/>
  <c r="AB304" i="25"/>
  <c r="X305" i="25"/>
  <c r="Z305" i="25"/>
  <c r="AB305" i="25"/>
  <c r="X306" i="25"/>
  <c r="Z306" i="25"/>
  <c r="AB306" i="25"/>
  <c r="X307" i="25"/>
  <c r="Z307" i="25"/>
  <c r="AB307" i="25"/>
  <c r="X308" i="25"/>
  <c r="Z308" i="25"/>
  <c r="AB308" i="25"/>
  <c r="X309" i="25"/>
  <c r="Z309" i="25"/>
  <c r="AB309" i="25"/>
  <c r="X310" i="25"/>
  <c r="Z310" i="25"/>
  <c r="AB310" i="25"/>
  <c r="X311" i="25"/>
  <c r="Z311" i="25"/>
  <c r="AB311" i="25"/>
  <c r="X312" i="25"/>
  <c r="Z312" i="25"/>
  <c r="AB312" i="25"/>
  <c r="X313" i="25"/>
  <c r="Z313" i="25"/>
  <c r="AB313" i="25"/>
  <c r="X314" i="25"/>
  <c r="Z314" i="25"/>
  <c r="AB314" i="25"/>
  <c r="X315" i="25"/>
  <c r="Z315" i="25"/>
  <c r="AB315" i="25"/>
  <c r="X316" i="25"/>
  <c r="Z316" i="25"/>
  <c r="AB316" i="25"/>
  <c r="X317" i="25"/>
  <c r="Z317" i="25"/>
  <c r="AB317" i="25"/>
  <c r="X318" i="25"/>
  <c r="Z318" i="25"/>
  <c r="AB318" i="25"/>
  <c r="X319" i="25"/>
  <c r="Z319" i="25"/>
  <c r="AB319" i="25"/>
  <c r="X320" i="25"/>
  <c r="Z320" i="25"/>
  <c r="AB320" i="25"/>
  <c r="X321" i="25"/>
  <c r="Z321" i="25"/>
  <c r="AB321" i="25"/>
  <c r="X322" i="25"/>
  <c r="Z322" i="25"/>
  <c r="AB322" i="25"/>
  <c r="X323" i="25"/>
  <c r="Z323" i="25"/>
  <c r="AB323" i="25"/>
  <c r="X324" i="25"/>
  <c r="Z324" i="25"/>
  <c r="AB324" i="25"/>
  <c r="X325" i="25"/>
  <c r="Z325" i="25"/>
  <c r="AB325" i="25"/>
  <c r="X326" i="25"/>
  <c r="Z326" i="25"/>
  <c r="AB326" i="25"/>
  <c r="X327" i="25"/>
  <c r="Z327" i="25"/>
  <c r="AB327" i="25"/>
  <c r="X328" i="25"/>
  <c r="Z328" i="25"/>
  <c r="AB328" i="25"/>
  <c r="X329" i="25"/>
  <c r="Z329" i="25"/>
  <c r="AB329" i="25"/>
  <c r="X330" i="25"/>
  <c r="Z330" i="25"/>
  <c r="AB330" i="25"/>
  <c r="X331" i="25"/>
  <c r="Z331" i="25"/>
  <c r="AB331" i="25"/>
  <c r="X332" i="25"/>
  <c r="Z332" i="25"/>
  <c r="AB332" i="25"/>
  <c r="X333" i="25"/>
  <c r="Z333" i="25"/>
  <c r="AB333" i="25"/>
  <c r="X334" i="25"/>
  <c r="Z334" i="25"/>
  <c r="AB334" i="25"/>
  <c r="X335" i="25"/>
  <c r="Z335" i="25"/>
  <c r="AB335" i="25"/>
  <c r="X336" i="25"/>
  <c r="Z336" i="25"/>
  <c r="AB336" i="25"/>
  <c r="X337" i="25"/>
  <c r="Z337" i="25"/>
  <c r="AB337" i="25"/>
  <c r="X338" i="25"/>
  <c r="Z338" i="25"/>
  <c r="AB338" i="25"/>
  <c r="X339" i="25"/>
  <c r="Z339" i="25"/>
  <c r="AB339" i="25"/>
  <c r="X340" i="25"/>
  <c r="Z340" i="25"/>
  <c r="AB340" i="25"/>
  <c r="X341" i="25"/>
  <c r="Z341" i="25"/>
  <c r="AB341" i="25"/>
  <c r="X342" i="25"/>
  <c r="Z342" i="25"/>
  <c r="AB342" i="25"/>
  <c r="X343" i="25"/>
  <c r="Z343" i="25"/>
  <c r="AB343" i="25"/>
  <c r="X344" i="25"/>
  <c r="Z344" i="25"/>
  <c r="AB344" i="25"/>
  <c r="X345" i="25"/>
  <c r="Z345" i="25"/>
  <c r="AB345" i="25"/>
  <c r="X346" i="25"/>
  <c r="Z346" i="25"/>
  <c r="AB346" i="25"/>
  <c r="X347" i="25"/>
  <c r="Z347" i="25"/>
  <c r="AB347" i="25"/>
  <c r="X348" i="25"/>
  <c r="Z348" i="25"/>
  <c r="AB348" i="25"/>
  <c r="X349" i="25"/>
  <c r="Z349" i="25"/>
  <c r="AB349" i="25"/>
  <c r="X350" i="25"/>
  <c r="Z350" i="25"/>
  <c r="AB350" i="25"/>
  <c r="X351" i="25"/>
  <c r="Z351" i="25"/>
  <c r="AB351" i="25"/>
  <c r="X352" i="25"/>
  <c r="Z352" i="25"/>
  <c r="AB352" i="25"/>
  <c r="X353" i="25"/>
  <c r="Z353" i="25"/>
  <c r="AB353" i="25"/>
  <c r="X354" i="25"/>
  <c r="Z354" i="25"/>
  <c r="AB354" i="25"/>
  <c r="X355" i="25"/>
  <c r="Z355" i="25"/>
  <c r="AB355" i="25"/>
  <c r="X356" i="25"/>
  <c r="Z356" i="25"/>
  <c r="AB356" i="25"/>
  <c r="X357" i="25"/>
  <c r="Z357" i="25"/>
  <c r="AB357" i="25"/>
  <c r="X358" i="25"/>
  <c r="Z358" i="25"/>
  <c r="AB358" i="25"/>
  <c r="X359" i="25"/>
  <c r="Z359" i="25"/>
  <c r="AB359" i="25"/>
  <c r="X360" i="25"/>
  <c r="Z360" i="25"/>
  <c r="AB360" i="25"/>
  <c r="X361" i="25"/>
  <c r="Z361" i="25"/>
  <c r="AB361" i="25"/>
  <c r="X362" i="25"/>
  <c r="Z362" i="25"/>
  <c r="AB362" i="25"/>
  <c r="X363" i="25"/>
  <c r="Z363" i="25"/>
  <c r="AB363" i="25"/>
  <c r="X364" i="25"/>
  <c r="Z364" i="25"/>
  <c r="AB364" i="25"/>
  <c r="X365" i="25"/>
  <c r="Z365" i="25"/>
  <c r="AB365" i="25"/>
  <c r="X366" i="25"/>
  <c r="Z366" i="25"/>
  <c r="AB366" i="25"/>
  <c r="X367" i="25"/>
  <c r="Z367" i="25"/>
  <c r="AB367" i="25"/>
  <c r="X368" i="25"/>
  <c r="Z368" i="25"/>
  <c r="AB368" i="25"/>
  <c r="X369" i="25"/>
  <c r="Z369" i="25"/>
  <c r="AB369" i="25"/>
  <c r="X370" i="25"/>
  <c r="Z370" i="25"/>
  <c r="AB370" i="25"/>
  <c r="X371" i="25"/>
  <c r="Z371" i="25"/>
  <c r="AB371" i="25"/>
  <c r="X372" i="25"/>
  <c r="Z372" i="25"/>
  <c r="AB372" i="25"/>
  <c r="X373" i="25"/>
  <c r="Z373" i="25"/>
  <c r="AB373" i="25"/>
  <c r="X374" i="25"/>
  <c r="Z374" i="25"/>
  <c r="AB374" i="25"/>
  <c r="X375" i="25"/>
  <c r="Z375" i="25"/>
  <c r="AB375" i="25"/>
  <c r="X376" i="25"/>
  <c r="Z376" i="25"/>
  <c r="AB376" i="25"/>
  <c r="X377" i="25"/>
  <c r="Z377" i="25"/>
  <c r="AB377" i="25"/>
  <c r="X378" i="25"/>
  <c r="Z378" i="25"/>
  <c r="AB378" i="25"/>
  <c r="X379" i="25"/>
  <c r="Z379" i="25"/>
  <c r="AB379" i="25"/>
  <c r="X380" i="25"/>
  <c r="Z380" i="25"/>
  <c r="AB380" i="25"/>
  <c r="X381" i="25"/>
  <c r="Z381" i="25"/>
  <c r="AB381" i="25"/>
  <c r="X382" i="25"/>
  <c r="Z382" i="25"/>
  <c r="AB382" i="25"/>
  <c r="X383" i="25"/>
  <c r="Z383" i="25"/>
  <c r="AB383" i="25"/>
  <c r="X384" i="25"/>
  <c r="Z384" i="25"/>
  <c r="AB384" i="25"/>
  <c r="X385" i="25"/>
  <c r="Z385" i="25"/>
  <c r="AB385" i="25"/>
  <c r="X386" i="25"/>
  <c r="Z386" i="25"/>
  <c r="AB386" i="25"/>
  <c r="X387" i="25"/>
  <c r="Z387" i="25"/>
  <c r="AB387" i="25"/>
  <c r="X388" i="25"/>
  <c r="Z388" i="25"/>
  <c r="AB388" i="25"/>
  <c r="X389" i="25"/>
  <c r="Z389" i="25"/>
  <c r="AB389" i="25"/>
  <c r="X390" i="25"/>
  <c r="Z390" i="25"/>
  <c r="AB390" i="25"/>
  <c r="X391" i="25"/>
  <c r="Z391" i="25"/>
  <c r="AB391" i="25"/>
  <c r="X392" i="25"/>
  <c r="Z392" i="25"/>
  <c r="AB392" i="25"/>
  <c r="X393" i="25"/>
  <c r="Z393" i="25"/>
  <c r="AB393" i="25"/>
  <c r="X394" i="25"/>
  <c r="Z394" i="25"/>
  <c r="AB394" i="25"/>
  <c r="X395" i="25"/>
  <c r="Z395" i="25"/>
  <c r="AB395" i="25"/>
  <c r="X396" i="25"/>
  <c r="Z396" i="25"/>
  <c r="AB396" i="25"/>
  <c r="X397" i="25"/>
  <c r="Z397" i="25"/>
  <c r="AB397" i="25"/>
  <c r="X398" i="25"/>
  <c r="Z398" i="25"/>
  <c r="AB398" i="25"/>
  <c r="X399" i="25"/>
  <c r="Z399" i="25"/>
  <c r="AB399" i="25"/>
  <c r="X400" i="25"/>
  <c r="Z400" i="25"/>
  <c r="AB400" i="25"/>
  <c r="X401" i="25"/>
  <c r="Z401" i="25"/>
  <c r="AB401" i="25"/>
  <c r="X402" i="25"/>
  <c r="Z402" i="25"/>
  <c r="AB402" i="25"/>
  <c r="X403" i="25"/>
  <c r="Z403" i="25"/>
  <c r="AB403" i="25"/>
  <c r="X404" i="25"/>
  <c r="Z404" i="25"/>
  <c r="AB404" i="25"/>
  <c r="X405" i="25"/>
  <c r="Z405" i="25"/>
  <c r="AB405" i="25"/>
  <c r="X406" i="25"/>
  <c r="Z406" i="25"/>
  <c r="AB406" i="25"/>
  <c r="X407" i="25"/>
  <c r="Z407" i="25"/>
  <c r="AB407" i="25"/>
  <c r="X408" i="25"/>
  <c r="Z408" i="25"/>
  <c r="AB408" i="25"/>
  <c r="X409" i="25"/>
  <c r="Z409" i="25"/>
  <c r="AB409" i="25"/>
  <c r="X410" i="25"/>
  <c r="Z410" i="25"/>
  <c r="AB410" i="25"/>
  <c r="X411" i="25"/>
  <c r="Z411" i="25"/>
  <c r="AB411" i="25"/>
  <c r="X412" i="25"/>
  <c r="Z412" i="25"/>
  <c r="AB412" i="25"/>
  <c r="X413" i="25"/>
  <c r="Z413" i="25"/>
  <c r="AB413" i="25"/>
  <c r="X414" i="25"/>
  <c r="Z414" i="25"/>
  <c r="AB414" i="25"/>
  <c r="X415" i="25"/>
  <c r="Z415" i="25"/>
  <c r="AB415" i="25"/>
  <c r="X416" i="25"/>
  <c r="Z416" i="25"/>
  <c r="AB416" i="25"/>
  <c r="X417" i="25"/>
  <c r="Z417" i="25"/>
  <c r="AB417" i="25"/>
  <c r="X418" i="25"/>
  <c r="Z418" i="25"/>
  <c r="AB418" i="25"/>
  <c r="X419" i="25"/>
  <c r="Z419" i="25"/>
  <c r="AB419" i="25"/>
  <c r="X420" i="25"/>
  <c r="Z420" i="25"/>
  <c r="AB420" i="25"/>
  <c r="X421" i="25"/>
  <c r="Z421" i="25"/>
  <c r="AB421" i="25"/>
  <c r="X422" i="25"/>
  <c r="Z422" i="25"/>
  <c r="AB422" i="25"/>
  <c r="X423" i="25"/>
  <c r="Z423" i="25"/>
  <c r="AB423" i="25"/>
  <c r="X424" i="25"/>
  <c r="Z424" i="25"/>
  <c r="AB424" i="25"/>
  <c r="X425" i="25"/>
  <c r="Z425" i="25"/>
  <c r="AB425" i="25"/>
  <c r="X426" i="25"/>
  <c r="Z426" i="25"/>
  <c r="AB426" i="25"/>
  <c r="X427" i="25"/>
  <c r="Z427" i="25"/>
  <c r="AB427" i="25"/>
  <c r="X428" i="25"/>
  <c r="Z428" i="25"/>
  <c r="AB428" i="25"/>
  <c r="X429" i="25"/>
  <c r="Z429" i="25"/>
  <c r="AB429" i="25"/>
  <c r="X430" i="25"/>
  <c r="Z430" i="25"/>
  <c r="AB430" i="25"/>
  <c r="X431" i="25"/>
  <c r="Z431" i="25"/>
  <c r="AB431" i="25"/>
  <c r="X432" i="25"/>
  <c r="Z432" i="25"/>
  <c r="AB432" i="25"/>
  <c r="X433" i="25"/>
  <c r="Z433" i="25"/>
  <c r="AB433" i="25"/>
  <c r="X434" i="25"/>
  <c r="Z434" i="25"/>
  <c r="AB434" i="25"/>
  <c r="X435" i="25"/>
  <c r="Z435" i="25"/>
  <c r="AB435" i="25"/>
  <c r="X436" i="25"/>
  <c r="Z436" i="25"/>
  <c r="AB436" i="25"/>
  <c r="X437" i="25"/>
  <c r="Z437" i="25"/>
  <c r="AB437" i="25"/>
  <c r="X438" i="25"/>
  <c r="Z438" i="25"/>
  <c r="AB438" i="25"/>
  <c r="X439" i="25"/>
  <c r="Z439" i="25"/>
  <c r="AB439" i="25"/>
  <c r="X440" i="25"/>
  <c r="Z440" i="25"/>
  <c r="AB440" i="25"/>
  <c r="X441" i="25"/>
  <c r="Z441" i="25"/>
  <c r="AB441" i="25"/>
  <c r="X442" i="25"/>
  <c r="Z442" i="25"/>
  <c r="AB442" i="25"/>
  <c r="X443" i="25"/>
  <c r="Z443" i="25"/>
  <c r="AB443" i="25"/>
  <c r="X444" i="25"/>
  <c r="Z444" i="25"/>
  <c r="AB444" i="25"/>
  <c r="X445" i="25"/>
  <c r="Z445" i="25"/>
  <c r="AB445" i="25"/>
  <c r="X446" i="25"/>
  <c r="Z446" i="25"/>
  <c r="AB446" i="25"/>
  <c r="X447" i="25"/>
  <c r="Z447" i="25"/>
  <c r="AB447" i="25"/>
  <c r="X448" i="25"/>
  <c r="Z448" i="25"/>
  <c r="AB448" i="25"/>
  <c r="X449" i="25"/>
  <c r="Z449" i="25"/>
  <c r="AB449" i="25"/>
  <c r="X450" i="25"/>
  <c r="Z450" i="25"/>
  <c r="AB450" i="25"/>
  <c r="X451" i="25"/>
  <c r="Z451" i="25"/>
  <c r="AB451" i="25"/>
  <c r="X452" i="25"/>
  <c r="Z452" i="25"/>
  <c r="AB452" i="25"/>
  <c r="X453" i="25"/>
  <c r="Z453" i="25"/>
  <c r="AB453" i="25"/>
  <c r="X454" i="25"/>
  <c r="Z454" i="25"/>
  <c r="AB454" i="25"/>
  <c r="X455" i="25"/>
  <c r="Z455" i="25"/>
  <c r="AB455" i="25"/>
  <c r="X456" i="25"/>
  <c r="Z456" i="25"/>
  <c r="AB456" i="25"/>
  <c r="X457" i="25"/>
  <c r="Z457" i="25"/>
  <c r="AB457" i="25"/>
  <c r="X458" i="25"/>
  <c r="Z458" i="25"/>
  <c r="AB458" i="25"/>
  <c r="X459" i="25"/>
  <c r="Z459" i="25"/>
  <c r="AB459" i="25"/>
  <c r="X460" i="25"/>
  <c r="Z460" i="25"/>
  <c r="AB460" i="25"/>
  <c r="X461" i="25"/>
  <c r="Z461" i="25"/>
  <c r="AB461" i="25"/>
  <c r="X462" i="25"/>
  <c r="Z462" i="25"/>
  <c r="AB462" i="25"/>
  <c r="X463" i="25"/>
  <c r="Z463" i="25"/>
  <c r="AB463" i="25"/>
  <c r="X464" i="25"/>
  <c r="Z464" i="25"/>
  <c r="AB464" i="25"/>
  <c r="X465" i="25"/>
  <c r="Z465" i="25"/>
  <c r="AB465" i="25"/>
  <c r="X466" i="25"/>
  <c r="Z466" i="25"/>
  <c r="AB466" i="25"/>
  <c r="X467" i="25"/>
  <c r="Z467" i="25"/>
  <c r="AB467" i="25"/>
  <c r="X468" i="25"/>
  <c r="Z468" i="25"/>
  <c r="AB468" i="25"/>
  <c r="X469" i="25"/>
  <c r="Z469" i="25"/>
  <c r="AB469" i="25"/>
  <c r="X470" i="25"/>
  <c r="Z470" i="25"/>
  <c r="AB470" i="25"/>
  <c r="X471" i="25"/>
  <c r="Z471" i="25"/>
  <c r="AB471" i="25"/>
  <c r="X472" i="25"/>
  <c r="Z472" i="25"/>
  <c r="AB472" i="25"/>
  <c r="X473" i="25"/>
  <c r="Z473" i="25"/>
  <c r="AB473" i="25"/>
  <c r="X474" i="25"/>
  <c r="Z474" i="25"/>
  <c r="AB474" i="25"/>
  <c r="X475" i="25"/>
  <c r="Z475" i="25"/>
  <c r="AB475" i="25"/>
  <c r="X476" i="25"/>
  <c r="Z476" i="25"/>
  <c r="AB476" i="25"/>
  <c r="X477" i="25"/>
  <c r="Z477" i="25"/>
  <c r="AB477" i="25"/>
  <c r="X478" i="25"/>
  <c r="Z478" i="25"/>
  <c r="AB478" i="25"/>
  <c r="X479" i="25"/>
  <c r="Z479" i="25"/>
  <c r="AB479" i="25"/>
  <c r="X480" i="25"/>
  <c r="Z480" i="25"/>
  <c r="AB480" i="25"/>
  <c r="X481" i="25"/>
  <c r="Z481" i="25"/>
  <c r="AB481" i="25"/>
  <c r="X482" i="25"/>
  <c r="Z482" i="25"/>
  <c r="AB482" i="25"/>
  <c r="X483" i="25"/>
  <c r="Z483" i="25"/>
  <c r="AB483" i="25"/>
  <c r="X484" i="25"/>
  <c r="Z484" i="25"/>
  <c r="AB484" i="25"/>
  <c r="X485" i="25"/>
  <c r="Z485" i="25"/>
  <c r="AB485" i="25"/>
  <c r="X486" i="25"/>
  <c r="Z486" i="25"/>
  <c r="AB486" i="25"/>
  <c r="X487" i="25"/>
  <c r="Z487" i="25"/>
  <c r="AB487" i="25"/>
  <c r="X488" i="25"/>
  <c r="Z488" i="25"/>
  <c r="AB488" i="25"/>
  <c r="X489" i="25"/>
  <c r="Z489" i="25"/>
  <c r="AB489" i="25"/>
  <c r="X490" i="25"/>
  <c r="Z490" i="25"/>
  <c r="AB490" i="25"/>
  <c r="X491" i="25"/>
  <c r="Z491" i="25"/>
  <c r="AB491" i="25"/>
  <c r="X492" i="25"/>
  <c r="Z492" i="25"/>
  <c r="AB492" i="25"/>
  <c r="X493" i="25"/>
  <c r="Z493" i="25"/>
  <c r="AB493" i="25"/>
  <c r="X494" i="25"/>
  <c r="Z494" i="25"/>
  <c r="AB494" i="25"/>
  <c r="X495" i="25"/>
  <c r="Z495" i="25"/>
  <c r="AB495" i="25"/>
  <c r="X496" i="25"/>
  <c r="Z496" i="25"/>
  <c r="AB496" i="25"/>
  <c r="X497" i="25"/>
  <c r="Z497" i="25"/>
  <c r="AB497" i="25"/>
  <c r="X498" i="25"/>
  <c r="Z498" i="25"/>
  <c r="AB498" i="25"/>
  <c r="X499" i="25"/>
  <c r="Z499" i="25"/>
  <c r="AB499" i="25"/>
  <c r="X500" i="25"/>
  <c r="Z500" i="25"/>
  <c r="AB500" i="25"/>
  <c r="X501" i="25"/>
  <c r="Z501" i="25"/>
  <c r="AB501" i="25"/>
  <c r="X502" i="25"/>
  <c r="Z502" i="25"/>
  <c r="AB502" i="25"/>
  <c r="X503" i="25"/>
  <c r="Z503" i="25"/>
  <c r="AB503" i="25"/>
  <c r="X504" i="25"/>
  <c r="Z504" i="25"/>
  <c r="AB504" i="25"/>
  <c r="X505" i="25"/>
  <c r="Z505" i="25"/>
  <c r="AB505" i="25"/>
  <c r="X506" i="25"/>
  <c r="Z506" i="25"/>
  <c r="AB506" i="25"/>
  <c r="X507" i="25"/>
  <c r="Z507" i="25"/>
  <c r="AB507" i="25"/>
  <c r="X508" i="25"/>
  <c r="Z508" i="25"/>
  <c r="AB508" i="25"/>
  <c r="X509" i="25"/>
  <c r="Z509" i="25"/>
  <c r="AB509" i="25"/>
  <c r="X510" i="25"/>
  <c r="Z510" i="25"/>
  <c r="AB510" i="25"/>
  <c r="X511" i="25"/>
  <c r="Z511" i="25"/>
  <c r="AB511" i="25"/>
  <c r="X512" i="25"/>
  <c r="Z512" i="25"/>
  <c r="AB512" i="25"/>
  <c r="X513" i="25"/>
  <c r="Z513" i="25"/>
  <c r="AB513" i="25"/>
  <c r="X514" i="25"/>
  <c r="Z514" i="25"/>
  <c r="AB514" i="25"/>
  <c r="X515" i="25"/>
  <c r="Z515" i="25"/>
  <c r="AB515" i="25"/>
  <c r="X516" i="25"/>
  <c r="Z516" i="25"/>
  <c r="AB516" i="25"/>
  <c r="X517" i="25"/>
  <c r="Z517" i="25"/>
  <c r="AB517" i="25"/>
  <c r="X518" i="25"/>
  <c r="Z518" i="25"/>
  <c r="AB518" i="25"/>
  <c r="X519" i="25"/>
  <c r="Z519" i="25"/>
  <c r="AB519" i="25"/>
  <c r="X520" i="25"/>
  <c r="Z520" i="25"/>
  <c r="AB520" i="25"/>
  <c r="X521" i="25"/>
  <c r="Z521" i="25"/>
  <c r="AB521" i="25"/>
  <c r="X522" i="25"/>
  <c r="Z522" i="25"/>
  <c r="AB522" i="25"/>
  <c r="X523" i="25"/>
  <c r="Z523" i="25"/>
  <c r="AB523" i="25"/>
  <c r="X524" i="25"/>
  <c r="Z524" i="25"/>
  <c r="AB524" i="25"/>
  <c r="X525" i="25"/>
  <c r="Z525" i="25"/>
  <c r="AB525" i="25"/>
  <c r="X526" i="25"/>
  <c r="Z526" i="25"/>
  <c r="AB526" i="25"/>
  <c r="X527" i="25"/>
  <c r="Z527" i="25"/>
  <c r="AB527" i="25"/>
  <c r="X528" i="25"/>
  <c r="Z528" i="25"/>
  <c r="AB528" i="25"/>
  <c r="X529" i="25"/>
  <c r="Z529" i="25"/>
  <c r="AB529" i="25"/>
  <c r="X530" i="25"/>
  <c r="Z530" i="25"/>
  <c r="AB530" i="25"/>
  <c r="X531" i="25"/>
  <c r="Z531" i="25"/>
  <c r="AB531" i="25"/>
  <c r="X532" i="25"/>
  <c r="Z532" i="25"/>
  <c r="AB532" i="25"/>
  <c r="X533" i="25"/>
  <c r="Z533" i="25"/>
  <c r="AB533" i="25"/>
  <c r="X534" i="25"/>
  <c r="Z534" i="25"/>
  <c r="AB534" i="25"/>
  <c r="X535" i="25"/>
  <c r="Z535" i="25"/>
  <c r="AB535" i="25"/>
  <c r="X536" i="25"/>
  <c r="Z536" i="25"/>
  <c r="AB536" i="25"/>
  <c r="X537" i="25"/>
  <c r="Z537" i="25"/>
  <c r="AB537" i="25"/>
  <c r="X538" i="25"/>
  <c r="Z538" i="25"/>
  <c r="AB538" i="25"/>
  <c r="X539" i="25"/>
  <c r="Z539" i="25"/>
  <c r="AB539" i="25"/>
  <c r="X540" i="25"/>
  <c r="Z540" i="25"/>
  <c r="AB540" i="25"/>
  <c r="X541" i="25"/>
  <c r="Z541" i="25"/>
  <c r="AB541" i="25"/>
  <c r="X542" i="25"/>
  <c r="Z542" i="25"/>
  <c r="AB542" i="25"/>
  <c r="X543" i="25"/>
  <c r="Z543" i="25"/>
  <c r="AB543" i="25"/>
  <c r="X544" i="25"/>
  <c r="Z544" i="25"/>
  <c r="AB544" i="25"/>
  <c r="X545" i="25"/>
  <c r="Z545" i="25"/>
  <c r="AB545" i="25"/>
  <c r="X546" i="25"/>
  <c r="Z546" i="25"/>
  <c r="AB546" i="25"/>
  <c r="X547" i="25"/>
  <c r="Z547" i="25"/>
  <c r="AB547" i="25"/>
  <c r="X548" i="25"/>
  <c r="Z548" i="25"/>
  <c r="AB548" i="25"/>
  <c r="X549" i="25"/>
  <c r="Z549" i="25"/>
  <c r="AB549" i="25"/>
  <c r="X550" i="25"/>
  <c r="Z550" i="25"/>
  <c r="AB550" i="25"/>
  <c r="X551" i="25"/>
  <c r="Z551" i="25"/>
  <c r="AB551" i="25"/>
  <c r="X552" i="25"/>
  <c r="Z552" i="25"/>
  <c r="AB552" i="25"/>
  <c r="X553" i="25"/>
  <c r="Z553" i="25"/>
  <c r="AB553" i="25"/>
  <c r="X554" i="25"/>
  <c r="Z554" i="25"/>
  <c r="AB554" i="25"/>
  <c r="X555" i="25"/>
  <c r="Z555" i="25"/>
  <c r="AB555" i="25"/>
  <c r="X556" i="25"/>
  <c r="Z556" i="25"/>
  <c r="AB556" i="25"/>
  <c r="X557" i="25"/>
  <c r="Z557" i="25"/>
  <c r="AB557" i="25"/>
  <c r="X558" i="25"/>
  <c r="Z558" i="25"/>
  <c r="AB558" i="25"/>
  <c r="X559" i="25"/>
  <c r="Z559" i="25"/>
  <c r="AB559" i="25"/>
  <c r="X560" i="25"/>
  <c r="Z560" i="25"/>
  <c r="AB560" i="25"/>
  <c r="X561" i="25"/>
  <c r="Z561" i="25"/>
  <c r="AB561" i="25"/>
  <c r="X562" i="25"/>
  <c r="Z562" i="25"/>
  <c r="AB562" i="25"/>
  <c r="X563" i="25"/>
  <c r="Z563" i="25"/>
  <c r="AB563" i="25"/>
  <c r="X564" i="25"/>
  <c r="Z564" i="25"/>
  <c r="AB564" i="25"/>
  <c r="X565" i="25"/>
  <c r="Z565" i="25"/>
  <c r="AB565" i="25"/>
  <c r="X566" i="25"/>
  <c r="Z566" i="25"/>
  <c r="AB566" i="25"/>
  <c r="X567" i="25"/>
  <c r="Z567" i="25"/>
  <c r="AB567" i="25"/>
  <c r="X568" i="25"/>
  <c r="Z568" i="25"/>
  <c r="AB568" i="25"/>
  <c r="X569" i="25"/>
  <c r="Z569" i="25"/>
  <c r="AB569" i="25"/>
  <c r="X570" i="25"/>
  <c r="Z570" i="25"/>
  <c r="AB570" i="25"/>
  <c r="X571" i="25"/>
  <c r="Z571" i="25"/>
  <c r="AB571" i="25"/>
  <c r="X572" i="25"/>
  <c r="Z572" i="25"/>
  <c r="AB572" i="25"/>
  <c r="X573" i="25"/>
  <c r="Z573" i="25"/>
  <c r="AB573" i="25"/>
  <c r="X574" i="25"/>
  <c r="Z574" i="25"/>
  <c r="AB574" i="25"/>
  <c r="X575" i="25"/>
  <c r="Z575" i="25"/>
  <c r="AB575" i="25"/>
  <c r="X576" i="25"/>
  <c r="Z576" i="25"/>
  <c r="AB576" i="25"/>
  <c r="X577" i="25"/>
  <c r="Z577" i="25"/>
  <c r="AB577" i="25"/>
  <c r="X578" i="25"/>
  <c r="Z578" i="25"/>
  <c r="AB578" i="25"/>
  <c r="X579" i="25"/>
  <c r="Z579" i="25"/>
  <c r="AB579" i="25"/>
  <c r="X580" i="25"/>
  <c r="Z580" i="25"/>
  <c r="AB580" i="25"/>
  <c r="X581" i="25"/>
  <c r="Z581" i="25"/>
  <c r="AB581" i="25"/>
  <c r="X582" i="25"/>
  <c r="Z582" i="25"/>
  <c r="AB582" i="25"/>
  <c r="X583" i="25"/>
  <c r="Z583" i="25"/>
  <c r="AB583" i="25"/>
  <c r="X584" i="25"/>
  <c r="Z584" i="25"/>
  <c r="AB584" i="25"/>
  <c r="X585" i="25"/>
  <c r="Z585" i="25"/>
  <c r="AB585" i="25"/>
  <c r="X586" i="25"/>
  <c r="Z586" i="25"/>
  <c r="AB586" i="25"/>
  <c r="X587" i="25"/>
  <c r="Z587" i="25"/>
  <c r="AB587" i="25"/>
  <c r="X588" i="25"/>
  <c r="Z588" i="25"/>
  <c r="AB588" i="25"/>
  <c r="X589" i="25"/>
  <c r="Z589" i="25"/>
  <c r="AB589" i="25"/>
  <c r="X590" i="25"/>
  <c r="Z590" i="25"/>
  <c r="AB590" i="25"/>
  <c r="X591" i="25"/>
  <c r="Z591" i="25"/>
  <c r="AB591" i="25"/>
  <c r="X592" i="25"/>
  <c r="Z592" i="25"/>
  <c r="AB592" i="25"/>
  <c r="X593" i="25"/>
  <c r="Z593" i="25"/>
  <c r="AB593" i="25"/>
  <c r="X594" i="25"/>
  <c r="Z594" i="25"/>
  <c r="AB594" i="25"/>
  <c r="X595" i="25"/>
  <c r="Z595" i="25"/>
  <c r="AB595" i="25"/>
  <c r="X596" i="25"/>
  <c r="Z596" i="25"/>
  <c r="AB596" i="25"/>
  <c r="X597" i="25"/>
  <c r="Z597" i="25"/>
  <c r="AB597" i="25"/>
  <c r="X598" i="25"/>
  <c r="Z598" i="25"/>
  <c r="AB598" i="25"/>
  <c r="X599" i="25"/>
  <c r="Z599" i="25"/>
  <c r="AB599" i="25"/>
  <c r="X600" i="25"/>
  <c r="Z600" i="25"/>
  <c r="AB600" i="25"/>
  <c r="X601" i="25"/>
  <c r="Z601" i="25"/>
  <c r="AB601" i="25"/>
  <c r="X602" i="25"/>
  <c r="Z602" i="25"/>
  <c r="AB602" i="25"/>
  <c r="X603" i="25"/>
  <c r="Z603" i="25"/>
  <c r="AB603" i="25"/>
  <c r="X604" i="25"/>
  <c r="Z604" i="25"/>
  <c r="AB604" i="25"/>
  <c r="X605" i="25"/>
  <c r="Z605" i="25"/>
  <c r="AB605" i="25"/>
  <c r="X606" i="25"/>
  <c r="Z606" i="25"/>
  <c r="AB606" i="25"/>
  <c r="X607" i="25"/>
  <c r="Z607" i="25"/>
  <c r="AB607" i="25"/>
  <c r="X608" i="25"/>
  <c r="Z608" i="25"/>
  <c r="AB608" i="25"/>
  <c r="X609" i="25"/>
  <c r="Z609" i="25"/>
  <c r="AB609" i="25"/>
  <c r="X610" i="25"/>
  <c r="Z610" i="25"/>
  <c r="AB610" i="25"/>
  <c r="X611" i="25"/>
  <c r="Z611" i="25"/>
  <c r="AB611" i="25"/>
  <c r="X612" i="25"/>
  <c r="Z612" i="25"/>
  <c r="AB612" i="25"/>
  <c r="X613" i="25"/>
  <c r="Z613" i="25"/>
  <c r="AB613" i="25"/>
  <c r="X614" i="25"/>
  <c r="Z614" i="25"/>
  <c r="AB614" i="25"/>
  <c r="X615" i="25"/>
  <c r="Z615" i="25"/>
  <c r="AB615" i="25"/>
  <c r="X616" i="25"/>
  <c r="Z616" i="25"/>
  <c r="AB616" i="25"/>
  <c r="X617" i="25"/>
  <c r="Z617" i="25"/>
  <c r="AB617" i="25"/>
  <c r="X618" i="25"/>
  <c r="Z618" i="25"/>
  <c r="AB618" i="25"/>
  <c r="X619" i="25"/>
  <c r="Z619" i="25"/>
  <c r="AB619" i="25"/>
  <c r="X620" i="25"/>
  <c r="Z620" i="25"/>
  <c r="AB620" i="25"/>
  <c r="X621" i="25"/>
  <c r="Z621" i="25"/>
  <c r="AB621" i="25"/>
  <c r="X622" i="25"/>
  <c r="Z622" i="25"/>
  <c r="AB622" i="25"/>
  <c r="X623" i="25"/>
  <c r="Z623" i="25"/>
  <c r="AB623" i="25"/>
  <c r="X624" i="25"/>
  <c r="Z624" i="25"/>
  <c r="AB624" i="25"/>
  <c r="X625" i="25"/>
  <c r="Z625" i="25"/>
  <c r="AB625" i="25"/>
  <c r="X626" i="25"/>
  <c r="Z626" i="25"/>
  <c r="AB626" i="25"/>
  <c r="X627" i="25"/>
  <c r="Z627" i="25"/>
  <c r="AB627" i="25"/>
  <c r="X628" i="25"/>
  <c r="Z628" i="25"/>
  <c r="AB628" i="25"/>
  <c r="X629" i="25"/>
  <c r="Z629" i="25"/>
  <c r="AB629" i="25"/>
  <c r="X630" i="25"/>
  <c r="Z630" i="25"/>
  <c r="AB630" i="25"/>
  <c r="X631" i="25"/>
  <c r="Z631" i="25"/>
  <c r="AB631" i="25"/>
  <c r="X632" i="25"/>
  <c r="Z632" i="25"/>
  <c r="AB632" i="25"/>
  <c r="X633" i="25"/>
  <c r="Z633" i="25"/>
  <c r="AB633" i="25"/>
  <c r="X634" i="25"/>
  <c r="Z634" i="25"/>
  <c r="AB634" i="25"/>
  <c r="X635" i="25"/>
  <c r="Z635" i="25"/>
  <c r="AB635" i="25"/>
  <c r="X636" i="25"/>
  <c r="Z636" i="25"/>
  <c r="AB636" i="25"/>
  <c r="X637" i="25"/>
  <c r="Z637" i="25"/>
  <c r="AB637" i="25"/>
  <c r="X638" i="25"/>
  <c r="Z638" i="25"/>
  <c r="AB638" i="25"/>
  <c r="X639" i="25"/>
  <c r="Z639" i="25"/>
  <c r="AB639" i="25"/>
  <c r="X640" i="25"/>
  <c r="Z640" i="25"/>
  <c r="AB640" i="25"/>
  <c r="X641" i="25"/>
  <c r="Z641" i="25"/>
  <c r="AB641" i="25"/>
  <c r="X642" i="25"/>
  <c r="Z642" i="25"/>
  <c r="AB642" i="25"/>
  <c r="X643" i="25"/>
  <c r="Z643" i="25"/>
  <c r="AB643" i="25"/>
  <c r="X644" i="25"/>
  <c r="Z644" i="25"/>
  <c r="AB644" i="25"/>
  <c r="X645" i="25"/>
  <c r="Z645" i="25"/>
  <c r="AB645" i="25"/>
  <c r="X646" i="25"/>
  <c r="Z646" i="25"/>
  <c r="AB646" i="25"/>
  <c r="X647" i="25"/>
  <c r="Z647" i="25"/>
  <c r="AB647" i="25"/>
  <c r="X648" i="25"/>
  <c r="Z648" i="25"/>
  <c r="AB648" i="25"/>
  <c r="X649" i="25"/>
  <c r="Z649" i="25"/>
  <c r="AB649" i="25"/>
  <c r="X650" i="25"/>
  <c r="Z650" i="25"/>
  <c r="AB650" i="25"/>
  <c r="X651" i="25"/>
  <c r="Z651" i="25"/>
  <c r="AB651" i="25"/>
  <c r="X652" i="25"/>
  <c r="Z652" i="25"/>
  <c r="AB652" i="25"/>
  <c r="X653" i="25"/>
  <c r="Z653" i="25"/>
  <c r="AB653" i="25"/>
  <c r="X654" i="25"/>
  <c r="Z654" i="25"/>
  <c r="AB654" i="25"/>
  <c r="X655" i="25"/>
  <c r="Z655" i="25"/>
  <c r="AB655" i="25"/>
  <c r="X656" i="25"/>
  <c r="Z656" i="25"/>
  <c r="AB656" i="25"/>
  <c r="X657" i="25"/>
  <c r="Z657" i="25"/>
  <c r="AB657" i="25"/>
  <c r="X658" i="25"/>
  <c r="Z658" i="25"/>
  <c r="AB658" i="25"/>
  <c r="X659" i="25"/>
  <c r="Z659" i="25"/>
  <c r="AB659" i="25"/>
  <c r="X660" i="25"/>
  <c r="Z660" i="25"/>
  <c r="AB660" i="25"/>
  <c r="X661" i="25"/>
  <c r="Z661" i="25"/>
  <c r="AB661" i="25"/>
  <c r="X662" i="25"/>
  <c r="Z662" i="25"/>
  <c r="AB662" i="25"/>
  <c r="X663" i="25"/>
  <c r="Z663" i="25"/>
  <c r="AB663" i="25"/>
  <c r="X664" i="25"/>
  <c r="Z664" i="25"/>
  <c r="AB664" i="25"/>
  <c r="X665" i="25"/>
  <c r="Z665" i="25"/>
  <c r="AB665" i="25"/>
  <c r="X666" i="25"/>
  <c r="Z666" i="25"/>
  <c r="AB666" i="25"/>
  <c r="X667" i="25"/>
  <c r="Z667" i="25"/>
  <c r="AB667" i="25"/>
  <c r="X668" i="25"/>
  <c r="Z668" i="25"/>
  <c r="AB668" i="25"/>
  <c r="X669" i="25"/>
  <c r="Z669" i="25"/>
  <c r="AB669" i="25"/>
  <c r="X670" i="25"/>
  <c r="Z670" i="25"/>
  <c r="AB670" i="25"/>
  <c r="X671" i="25"/>
  <c r="Z671" i="25"/>
  <c r="AB671" i="25"/>
  <c r="X672" i="25"/>
  <c r="Z672" i="25"/>
  <c r="AB672" i="25"/>
  <c r="X673" i="25"/>
  <c r="Z673" i="25"/>
  <c r="AB673" i="25"/>
  <c r="X674" i="25"/>
  <c r="Z674" i="25"/>
  <c r="AB674" i="25"/>
  <c r="X675" i="25"/>
  <c r="Z675" i="25"/>
  <c r="AB675" i="25"/>
  <c r="X676" i="25"/>
  <c r="Z676" i="25"/>
  <c r="AB676" i="25"/>
  <c r="X677" i="25"/>
  <c r="Z677" i="25"/>
  <c r="AB677" i="25"/>
  <c r="X678" i="25"/>
  <c r="Z678" i="25"/>
  <c r="AB678" i="25"/>
  <c r="X679" i="25"/>
  <c r="Z679" i="25"/>
  <c r="AB679" i="25"/>
  <c r="X680" i="25"/>
  <c r="Z680" i="25"/>
  <c r="AB680" i="25"/>
  <c r="X681" i="25"/>
  <c r="Z681" i="25"/>
  <c r="AB681" i="25"/>
  <c r="X682" i="25"/>
  <c r="Z682" i="25"/>
  <c r="AB682" i="25"/>
  <c r="X683" i="25"/>
  <c r="Z683" i="25"/>
  <c r="AB683" i="25"/>
  <c r="X684" i="25"/>
  <c r="Z684" i="25"/>
  <c r="AB684" i="25"/>
  <c r="X685" i="25"/>
  <c r="Z685" i="25"/>
  <c r="AB685" i="25"/>
  <c r="X686" i="25"/>
  <c r="Z686" i="25"/>
  <c r="AB686" i="25"/>
  <c r="X687" i="25"/>
  <c r="Z687" i="25"/>
  <c r="AB687" i="25"/>
  <c r="X688" i="25"/>
  <c r="Z688" i="25"/>
  <c r="AB688" i="25"/>
  <c r="X689" i="25"/>
  <c r="Z689" i="25"/>
  <c r="AB689" i="25"/>
  <c r="X690" i="25"/>
  <c r="Z690" i="25"/>
  <c r="AB690" i="25"/>
  <c r="X691" i="25"/>
  <c r="Z691" i="25"/>
  <c r="AB691" i="25"/>
  <c r="X692" i="25"/>
  <c r="Z692" i="25"/>
  <c r="AB692" i="25"/>
  <c r="X693" i="25"/>
  <c r="Z693" i="25"/>
  <c r="AB693" i="25"/>
  <c r="X694" i="25"/>
  <c r="Z694" i="25"/>
  <c r="AB694" i="25"/>
  <c r="X695" i="25"/>
  <c r="Z695" i="25"/>
  <c r="AB695" i="25"/>
  <c r="X696" i="25"/>
  <c r="Z696" i="25"/>
  <c r="AB696" i="25"/>
  <c r="X697" i="25"/>
  <c r="Z697" i="25"/>
  <c r="AB697" i="25"/>
  <c r="X698" i="25"/>
  <c r="Z698" i="25"/>
  <c r="AB698" i="25"/>
  <c r="X699" i="25"/>
  <c r="Z699" i="25"/>
  <c r="AB699" i="25"/>
  <c r="X700" i="25"/>
  <c r="Z700" i="25"/>
  <c r="AB700" i="25"/>
  <c r="X701" i="25"/>
  <c r="Z701" i="25"/>
  <c r="AB701" i="25"/>
  <c r="X702" i="25"/>
  <c r="Z702" i="25"/>
  <c r="AB702" i="25"/>
  <c r="X703" i="25"/>
  <c r="Z703" i="25"/>
  <c r="AB703" i="25"/>
  <c r="X704" i="25"/>
  <c r="Z704" i="25"/>
  <c r="AB704" i="25"/>
  <c r="X705" i="25"/>
  <c r="Z705" i="25"/>
  <c r="AB705" i="25"/>
  <c r="X706" i="25"/>
  <c r="Z706" i="25"/>
  <c r="AB706" i="25"/>
  <c r="X707" i="25"/>
  <c r="Z707" i="25"/>
  <c r="AB707" i="25"/>
  <c r="X708" i="25"/>
  <c r="Z708" i="25"/>
  <c r="AB708" i="25"/>
  <c r="X709" i="25"/>
  <c r="Z709" i="25"/>
  <c r="AB709" i="25"/>
  <c r="X710" i="25"/>
  <c r="Z710" i="25"/>
  <c r="AB710" i="25"/>
  <c r="X711" i="25"/>
  <c r="Z711" i="25"/>
  <c r="AB711" i="25"/>
  <c r="X712" i="25"/>
  <c r="Z712" i="25"/>
  <c r="AB712" i="25"/>
  <c r="X713" i="25"/>
  <c r="Z713" i="25"/>
  <c r="AB713" i="25"/>
  <c r="X714" i="25"/>
  <c r="Z714" i="25"/>
  <c r="AB714" i="25"/>
  <c r="X715" i="25"/>
  <c r="Z715" i="25"/>
  <c r="AB715" i="25"/>
  <c r="X716" i="25"/>
  <c r="Z716" i="25"/>
  <c r="AB716" i="25"/>
  <c r="X717" i="25"/>
  <c r="Z717" i="25"/>
  <c r="AB717" i="25"/>
  <c r="X718" i="25"/>
  <c r="Z718" i="25"/>
  <c r="AB718" i="25"/>
  <c r="X719" i="25"/>
  <c r="Z719" i="25"/>
  <c r="AB719" i="25"/>
  <c r="X720" i="25"/>
  <c r="Z720" i="25"/>
  <c r="AB720" i="25"/>
  <c r="X721" i="25"/>
  <c r="Z721" i="25"/>
  <c r="AB721" i="25"/>
  <c r="X722" i="25"/>
  <c r="Z722" i="25"/>
  <c r="AB722" i="25"/>
  <c r="X723" i="25"/>
  <c r="Z723" i="25"/>
  <c r="AB723" i="25"/>
  <c r="X724" i="25"/>
  <c r="Z724" i="25"/>
  <c r="AB724" i="25"/>
  <c r="X725" i="25"/>
  <c r="Z725" i="25"/>
  <c r="AB725" i="25"/>
  <c r="X726" i="25"/>
  <c r="Z726" i="25"/>
  <c r="AB726" i="25"/>
  <c r="X727" i="25"/>
  <c r="Z727" i="25"/>
  <c r="AB727" i="25"/>
  <c r="X728" i="25"/>
  <c r="Z728" i="25"/>
  <c r="AB728" i="25"/>
  <c r="X729" i="25"/>
  <c r="Z729" i="25"/>
  <c r="AB729" i="25"/>
  <c r="X730" i="25"/>
  <c r="Z730" i="25"/>
  <c r="AB730" i="25"/>
  <c r="X731" i="25"/>
  <c r="Z731" i="25"/>
  <c r="AB731" i="25"/>
  <c r="X732" i="25"/>
  <c r="Z732" i="25"/>
  <c r="AB732" i="25"/>
  <c r="X733" i="25"/>
  <c r="Z733" i="25"/>
  <c r="AB733" i="25"/>
  <c r="X734" i="25"/>
  <c r="Z734" i="25"/>
  <c r="AB734" i="25"/>
  <c r="X735" i="25"/>
  <c r="Z735" i="25"/>
  <c r="AB735" i="25"/>
  <c r="X736" i="25"/>
  <c r="Z736" i="25"/>
  <c r="AB736" i="25"/>
  <c r="X737" i="25"/>
  <c r="Z737" i="25"/>
  <c r="AB737" i="25"/>
  <c r="X738" i="25"/>
  <c r="Z738" i="25"/>
  <c r="AB738" i="25"/>
  <c r="X739" i="25"/>
  <c r="Z739" i="25"/>
  <c r="AB739" i="25"/>
  <c r="X740" i="25"/>
  <c r="Z740" i="25"/>
  <c r="AB740" i="25"/>
  <c r="X741" i="25"/>
  <c r="Z741" i="25"/>
  <c r="AB741" i="25"/>
  <c r="X742" i="25"/>
  <c r="Z742" i="25"/>
  <c r="AB742" i="25"/>
  <c r="X743" i="25"/>
  <c r="Z743" i="25"/>
  <c r="AB743" i="25"/>
  <c r="X744" i="25"/>
  <c r="Z744" i="25"/>
  <c r="AB744" i="25"/>
  <c r="X745" i="25"/>
  <c r="Z745" i="25"/>
  <c r="AB745" i="25"/>
  <c r="X746" i="25"/>
  <c r="Z746" i="25"/>
  <c r="AB746" i="25"/>
  <c r="X747" i="25"/>
  <c r="Z747" i="25"/>
  <c r="AB747" i="25"/>
  <c r="X748" i="25"/>
  <c r="Z748" i="25"/>
  <c r="AB748" i="25"/>
  <c r="X749" i="25"/>
  <c r="Z749" i="25"/>
  <c r="AB749" i="25"/>
  <c r="X750" i="25"/>
  <c r="Z750" i="25"/>
  <c r="AB750" i="25"/>
  <c r="X751" i="25"/>
  <c r="Z751" i="25"/>
  <c r="AB751" i="25"/>
  <c r="X752" i="25"/>
  <c r="Z752" i="25"/>
  <c r="AB752" i="25"/>
  <c r="X753" i="25"/>
  <c r="Z753" i="25"/>
  <c r="AB753" i="25"/>
  <c r="X754" i="25"/>
  <c r="Z754" i="25"/>
  <c r="AB754" i="25"/>
  <c r="X755" i="25"/>
  <c r="Z755" i="25"/>
  <c r="AB755" i="25"/>
  <c r="X756" i="25"/>
  <c r="Z756" i="25"/>
  <c r="AB756" i="25"/>
  <c r="X757" i="25"/>
  <c r="Z757" i="25"/>
  <c r="AB757" i="25"/>
  <c r="X758" i="25"/>
  <c r="Z758" i="25"/>
  <c r="AB758" i="25"/>
  <c r="X759" i="25"/>
  <c r="Z759" i="25"/>
  <c r="AB759" i="25"/>
  <c r="X760" i="25"/>
  <c r="Z760" i="25"/>
  <c r="AB760" i="25"/>
  <c r="X761" i="25"/>
  <c r="Z761" i="25"/>
  <c r="AB761" i="25"/>
  <c r="X762" i="25"/>
  <c r="Z762" i="25"/>
  <c r="AB762" i="25"/>
  <c r="X763" i="25"/>
  <c r="Z763" i="25"/>
  <c r="AB763" i="25"/>
  <c r="X764" i="25"/>
  <c r="Z764" i="25"/>
  <c r="AB764" i="25"/>
  <c r="X765" i="25"/>
  <c r="Z765" i="25"/>
  <c r="AB765" i="25"/>
  <c r="X766" i="25"/>
  <c r="Z766" i="25"/>
  <c r="AB766" i="25"/>
  <c r="X767" i="25"/>
  <c r="Z767" i="25"/>
  <c r="AB767" i="25"/>
  <c r="X768" i="25"/>
  <c r="Z768" i="25"/>
  <c r="AB768" i="25"/>
  <c r="X769" i="25"/>
  <c r="Z769" i="25"/>
  <c r="AB769" i="25"/>
  <c r="X770" i="25"/>
  <c r="Z770" i="25"/>
  <c r="AB770" i="25"/>
  <c r="X771" i="25"/>
  <c r="Z771" i="25"/>
  <c r="AB771" i="25"/>
  <c r="X772" i="25"/>
  <c r="Z772" i="25"/>
  <c r="AB772" i="25"/>
  <c r="X773" i="25"/>
  <c r="Z773" i="25"/>
  <c r="AB773" i="25"/>
  <c r="X774" i="25"/>
  <c r="Z774" i="25"/>
  <c r="AB774" i="25"/>
  <c r="X775" i="25"/>
  <c r="Z775" i="25"/>
  <c r="AB775" i="25"/>
  <c r="X776" i="25"/>
  <c r="Z776" i="25"/>
  <c r="AB776" i="25"/>
  <c r="X777" i="25"/>
  <c r="Z777" i="25"/>
  <c r="AB777" i="25"/>
  <c r="X778" i="25"/>
  <c r="Z778" i="25"/>
  <c r="AB778" i="25"/>
  <c r="X779" i="25"/>
  <c r="Z779" i="25"/>
  <c r="AB779" i="25"/>
  <c r="X780" i="25"/>
  <c r="Z780" i="25"/>
  <c r="AB780" i="25"/>
  <c r="X781" i="25"/>
  <c r="Z781" i="25"/>
  <c r="AB781" i="25"/>
  <c r="X782" i="25"/>
  <c r="Z782" i="25"/>
  <c r="AB782" i="25"/>
  <c r="X783" i="25"/>
  <c r="Z783" i="25"/>
  <c r="AB783" i="25"/>
  <c r="X784" i="25"/>
  <c r="Z784" i="25"/>
  <c r="AB784" i="25"/>
  <c r="X785" i="25"/>
  <c r="Z785" i="25"/>
  <c r="AB785" i="25"/>
  <c r="X786" i="25"/>
  <c r="Z786" i="25"/>
  <c r="AB786" i="25"/>
  <c r="X787" i="25"/>
  <c r="Z787" i="25"/>
  <c r="AB787" i="25"/>
  <c r="X788" i="25"/>
  <c r="Z788" i="25"/>
  <c r="AB788" i="25"/>
  <c r="X789" i="25"/>
  <c r="Z789" i="25"/>
  <c r="AB789" i="25"/>
  <c r="X790" i="25"/>
  <c r="Z790" i="25"/>
  <c r="AB790" i="25"/>
  <c r="X791" i="25"/>
  <c r="Z791" i="25"/>
  <c r="AB791" i="25"/>
  <c r="X792" i="25"/>
  <c r="Z792" i="25"/>
  <c r="AB792" i="25"/>
  <c r="X793" i="25"/>
  <c r="Z793" i="25"/>
  <c r="AB793" i="25"/>
  <c r="X794" i="25"/>
  <c r="Z794" i="25"/>
  <c r="AB794" i="25"/>
  <c r="X795" i="25"/>
  <c r="Z795" i="25"/>
  <c r="AB795" i="25"/>
  <c r="X796" i="25"/>
  <c r="Z796" i="25"/>
  <c r="AB796" i="25"/>
  <c r="X797" i="25"/>
  <c r="Z797" i="25"/>
  <c r="AB797" i="25"/>
  <c r="X798" i="25"/>
  <c r="Z798" i="25"/>
  <c r="AB798" i="25"/>
  <c r="X799" i="25"/>
  <c r="Z799" i="25"/>
  <c r="AB799" i="25"/>
  <c r="X800" i="25"/>
  <c r="Z800" i="25"/>
  <c r="AB800" i="25"/>
  <c r="X801" i="25"/>
  <c r="Z801" i="25"/>
  <c r="AB801" i="25"/>
  <c r="X802" i="25"/>
  <c r="Z802" i="25"/>
  <c r="AB802" i="25"/>
  <c r="X803" i="25"/>
  <c r="Z803" i="25"/>
  <c r="AB803" i="25"/>
  <c r="X804" i="25"/>
  <c r="Z804" i="25"/>
  <c r="AB804" i="25"/>
  <c r="X805" i="25"/>
  <c r="Z805" i="25"/>
  <c r="AB805" i="25"/>
  <c r="X806" i="25"/>
  <c r="Z806" i="25"/>
  <c r="AB806" i="25"/>
  <c r="X807" i="25"/>
  <c r="Z807" i="25"/>
  <c r="AB807" i="25"/>
  <c r="X808" i="25"/>
  <c r="Z808" i="25"/>
  <c r="AB808" i="25"/>
  <c r="X809" i="25"/>
  <c r="Z809" i="25"/>
  <c r="AB809" i="25"/>
  <c r="X810" i="25"/>
  <c r="Z810" i="25"/>
  <c r="AB810" i="25"/>
  <c r="X811" i="25"/>
  <c r="Z811" i="25"/>
  <c r="AB811" i="25"/>
  <c r="X812" i="25"/>
  <c r="Z812" i="25"/>
  <c r="AB812" i="25"/>
  <c r="X813" i="25"/>
  <c r="Z813" i="25"/>
  <c r="AB813" i="25"/>
  <c r="X814" i="25"/>
  <c r="Z814" i="25"/>
  <c r="AB814" i="25"/>
  <c r="X815" i="25"/>
  <c r="Z815" i="25"/>
  <c r="AB815" i="25"/>
  <c r="X816" i="25"/>
  <c r="Z816" i="25"/>
  <c r="AB816" i="25"/>
  <c r="X817" i="25"/>
  <c r="Z817" i="25"/>
  <c r="AB817" i="25"/>
  <c r="X818" i="25"/>
  <c r="Z818" i="25"/>
  <c r="AB818" i="25"/>
  <c r="X819" i="25"/>
  <c r="Z819" i="25"/>
  <c r="AB819" i="25"/>
  <c r="X820" i="25"/>
  <c r="Z820" i="25"/>
  <c r="AB820" i="25"/>
  <c r="X821" i="25"/>
  <c r="Z821" i="25"/>
  <c r="AB821" i="25"/>
  <c r="X822" i="25"/>
  <c r="Z822" i="25"/>
  <c r="AB822" i="25"/>
  <c r="X823" i="25"/>
  <c r="Z823" i="25"/>
  <c r="AB823" i="25"/>
  <c r="X824" i="25"/>
  <c r="Z824" i="25"/>
  <c r="AB824" i="25"/>
  <c r="X825" i="25"/>
  <c r="Z825" i="25"/>
  <c r="AB825" i="25"/>
  <c r="X826" i="25"/>
  <c r="Z826" i="25"/>
  <c r="AB826" i="25"/>
  <c r="X827" i="25"/>
  <c r="Z827" i="25"/>
  <c r="AB827" i="25"/>
  <c r="X828" i="25"/>
  <c r="Z828" i="25"/>
  <c r="AB828" i="25"/>
  <c r="X829" i="25"/>
  <c r="Z829" i="25"/>
  <c r="AB829" i="25"/>
  <c r="X830" i="25"/>
  <c r="Z830" i="25"/>
  <c r="AB830" i="25"/>
  <c r="X831" i="25"/>
  <c r="Z831" i="25"/>
  <c r="AB831" i="25"/>
  <c r="X832" i="25"/>
  <c r="Z832" i="25"/>
  <c r="AB832" i="25"/>
  <c r="X833" i="25"/>
  <c r="Z833" i="25"/>
  <c r="AB833" i="25"/>
  <c r="X834" i="25"/>
  <c r="Z834" i="25"/>
  <c r="AB834" i="25"/>
  <c r="X835" i="25"/>
  <c r="Z835" i="25"/>
  <c r="AB835" i="25"/>
  <c r="X836" i="25"/>
  <c r="Z836" i="25"/>
  <c r="AB836" i="25"/>
  <c r="X837" i="25"/>
  <c r="Z837" i="25"/>
  <c r="AB837" i="25"/>
  <c r="X838" i="25"/>
  <c r="Z838" i="25"/>
  <c r="AB838" i="25"/>
  <c r="X839" i="25"/>
  <c r="Z839" i="25"/>
  <c r="AB839" i="25"/>
  <c r="X840" i="25"/>
  <c r="Z840" i="25"/>
  <c r="AB840" i="25"/>
  <c r="X841" i="25"/>
  <c r="Z841" i="25"/>
  <c r="AB841" i="25"/>
  <c r="X842" i="25"/>
  <c r="Z842" i="25"/>
  <c r="AB842" i="25"/>
  <c r="X843" i="25"/>
  <c r="Z843" i="25"/>
  <c r="AB843" i="25"/>
  <c r="X844" i="25"/>
  <c r="Z844" i="25"/>
  <c r="AB844" i="25"/>
  <c r="X845" i="25"/>
  <c r="Z845" i="25"/>
  <c r="AB845" i="25"/>
  <c r="X846" i="25"/>
  <c r="Z846" i="25"/>
  <c r="AB846" i="25"/>
  <c r="X847" i="25"/>
  <c r="Z847" i="25"/>
  <c r="AB847" i="25"/>
  <c r="X848" i="25"/>
  <c r="Z848" i="25"/>
  <c r="AB848" i="25"/>
  <c r="X849" i="25"/>
  <c r="Z849" i="25"/>
  <c r="AB849" i="25"/>
  <c r="X850" i="25"/>
  <c r="Z850" i="25"/>
  <c r="AB850" i="25"/>
  <c r="X851" i="25"/>
  <c r="Z851" i="25"/>
  <c r="AB851" i="25"/>
  <c r="X852" i="25"/>
  <c r="Z852" i="25"/>
  <c r="AB852" i="25"/>
  <c r="X853" i="25"/>
  <c r="Z853" i="25"/>
  <c r="AB853" i="25"/>
  <c r="X854" i="25"/>
  <c r="Z854" i="25"/>
  <c r="AB854" i="25"/>
  <c r="X855" i="25"/>
  <c r="Z855" i="25"/>
  <c r="AB855" i="25"/>
  <c r="X856" i="25"/>
  <c r="Z856" i="25"/>
  <c r="AB856" i="25"/>
  <c r="X857" i="25"/>
  <c r="Z857" i="25"/>
  <c r="AB857" i="25"/>
  <c r="X858" i="25"/>
  <c r="Z858" i="25"/>
  <c r="AB858" i="25"/>
  <c r="X859" i="25"/>
  <c r="Z859" i="25"/>
  <c r="AB859" i="25"/>
  <c r="X860" i="25"/>
  <c r="Z860" i="25"/>
  <c r="AB860" i="25"/>
  <c r="X861" i="25"/>
  <c r="Z861" i="25"/>
  <c r="AB861" i="25"/>
  <c r="X862" i="25"/>
  <c r="Z862" i="25"/>
  <c r="AB862" i="25"/>
  <c r="X863" i="25"/>
  <c r="Z863" i="25"/>
  <c r="AB863" i="25"/>
  <c r="X864" i="25"/>
  <c r="Z864" i="25"/>
  <c r="AB864" i="25"/>
  <c r="X865" i="25"/>
  <c r="Z865" i="25"/>
  <c r="AB865" i="25"/>
  <c r="X866" i="25"/>
  <c r="Z866" i="25"/>
  <c r="AB866" i="25"/>
  <c r="X867" i="25"/>
  <c r="Z867" i="25"/>
  <c r="AB867" i="25"/>
  <c r="X868" i="25"/>
  <c r="Z868" i="25"/>
  <c r="AB868" i="25"/>
  <c r="X869" i="25"/>
  <c r="Z869" i="25"/>
  <c r="AB869" i="25"/>
  <c r="X870" i="25"/>
  <c r="Z870" i="25"/>
  <c r="AB870" i="25"/>
  <c r="X871" i="25"/>
  <c r="Z871" i="25"/>
  <c r="AB871" i="25"/>
  <c r="X872" i="25"/>
  <c r="Z872" i="25"/>
  <c r="AB872" i="25"/>
  <c r="X873" i="25"/>
  <c r="Z873" i="25"/>
  <c r="AB873" i="25"/>
  <c r="X874" i="25"/>
  <c r="Z874" i="25"/>
  <c r="AB874" i="25"/>
  <c r="X875" i="25"/>
  <c r="Z875" i="25"/>
  <c r="AB875" i="25"/>
  <c r="X876" i="25"/>
  <c r="Z876" i="25"/>
  <c r="AB876" i="25"/>
  <c r="X877" i="25"/>
  <c r="Z877" i="25"/>
  <c r="AB877" i="25"/>
  <c r="X878" i="25"/>
  <c r="Z878" i="25"/>
  <c r="AB878" i="25"/>
  <c r="X879" i="25"/>
  <c r="Z879" i="25"/>
  <c r="AB879" i="25"/>
  <c r="X880" i="25"/>
  <c r="Z880" i="25"/>
  <c r="AB880" i="25"/>
  <c r="X881" i="25"/>
  <c r="Z881" i="25"/>
  <c r="AB881" i="25"/>
  <c r="X882" i="25"/>
  <c r="Z882" i="25"/>
  <c r="AB882" i="25"/>
  <c r="X883" i="25"/>
  <c r="Z883" i="25"/>
  <c r="AB883" i="25"/>
  <c r="X884" i="25"/>
  <c r="Z884" i="25"/>
  <c r="AB884" i="25"/>
  <c r="X885" i="25"/>
  <c r="Z885" i="25"/>
  <c r="AB885" i="25"/>
  <c r="X886" i="25"/>
  <c r="Z886" i="25"/>
  <c r="AB886" i="25"/>
  <c r="X887" i="25"/>
  <c r="Z887" i="25"/>
  <c r="AB887" i="25"/>
  <c r="X888" i="25"/>
  <c r="Z888" i="25"/>
  <c r="AB888" i="25"/>
  <c r="X889" i="25"/>
  <c r="Z889" i="25"/>
  <c r="AB889" i="25"/>
  <c r="X890" i="25"/>
  <c r="Z890" i="25"/>
  <c r="AB890" i="25"/>
  <c r="X891" i="25"/>
  <c r="Z891" i="25"/>
  <c r="AB891" i="25"/>
  <c r="X892" i="25"/>
  <c r="Z892" i="25"/>
  <c r="AB892" i="25"/>
  <c r="X893" i="25"/>
  <c r="Z893" i="25"/>
  <c r="AB893" i="25"/>
  <c r="X894" i="25"/>
  <c r="Z894" i="25"/>
  <c r="AB894" i="25"/>
  <c r="X895" i="25"/>
  <c r="Z895" i="25"/>
  <c r="AB895" i="25"/>
  <c r="X896" i="25"/>
  <c r="Z896" i="25"/>
  <c r="AB896" i="25"/>
  <c r="X897" i="25"/>
  <c r="Z897" i="25"/>
  <c r="AB897" i="25"/>
  <c r="X898" i="25"/>
  <c r="Z898" i="25"/>
  <c r="AB898" i="25"/>
  <c r="X899" i="25"/>
  <c r="Z899" i="25"/>
  <c r="AB899" i="25"/>
  <c r="X900" i="25"/>
  <c r="Z900" i="25"/>
  <c r="AB900" i="25"/>
  <c r="X901" i="25"/>
  <c r="Z901" i="25"/>
  <c r="AB901" i="25"/>
  <c r="X902" i="25"/>
  <c r="Z902" i="25"/>
  <c r="AB902" i="25"/>
  <c r="X903" i="25"/>
  <c r="Z903" i="25"/>
  <c r="AB903" i="25"/>
  <c r="X904" i="25"/>
  <c r="Z904" i="25"/>
  <c r="AB904" i="25"/>
  <c r="X905" i="25"/>
  <c r="Z905" i="25"/>
  <c r="AB905" i="25"/>
  <c r="X906" i="25"/>
  <c r="Z906" i="25"/>
  <c r="AB906" i="25"/>
  <c r="X907" i="25"/>
  <c r="Z907" i="25"/>
  <c r="AB907" i="25"/>
  <c r="X908" i="25"/>
  <c r="Z908" i="25"/>
  <c r="AB908" i="25"/>
  <c r="X909" i="25"/>
  <c r="Z909" i="25"/>
  <c r="AB909" i="25"/>
  <c r="X910" i="25"/>
  <c r="Z910" i="25"/>
  <c r="AB910" i="25"/>
  <c r="X911" i="25"/>
  <c r="Z911" i="25"/>
  <c r="AB911" i="25"/>
  <c r="X912" i="25"/>
  <c r="Z912" i="25"/>
  <c r="AB912" i="25"/>
  <c r="X913" i="25"/>
  <c r="Z913" i="25"/>
  <c r="AB913" i="25"/>
  <c r="X914" i="25"/>
  <c r="Z914" i="25"/>
  <c r="AB914" i="25"/>
  <c r="X915" i="25"/>
  <c r="Z915" i="25"/>
  <c r="AB915" i="25"/>
  <c r="X916" i="25"/>
  <c r="Z916" i="25"/>
  <c r="AB916" i="25"/>
  <c r="X917" i="25"/>
  <c r="Z917" i="25"/>
  <c r="AB917" i="25"/>
  <c r="X918" i="25"/>
  <c r="Z918" i="25"/>
  <c r="AB918" i="25"/>
  <c r="X919" i="25"/>
  <c r="Z919" i="25"/>
  <c r="AB919" i="25"/>
  <c r="X920" i="25"/>
  <c r="Z920" i="25"/>
  <c r="AB920" i="25"/>
  <c r="X921" i="25"/>
  <c r="Z921" i="25"/>
  <c r="AB921" i="25"/>
  <c r="X922" i="25"/>
  <c r="Z922" i="25"/>
  <c r="AB922" i="25"/>
  <c r="X923" i="25"/>
  <c r="Z923" i="25"/>
  <c r="AB923" i="25"/>
  <c r="X924" i="25"/>
  <c r="Z924" i="25"/>
  <c r="AB924" i="25"/>
  <c r="X925" i="25"/>
  <c r="Z925" i="25"/>
  <c r="AB925" i="25"/>
  <c r="X926" i="25"/>
  <c r="Z926" i="25"/>
  <c r="AB926" i="25"/>
  <c r="X927" i="25"/>
  <c r="Z927" i="25"/>
  <c r="AB927" i="25"/>
  <c r="X928" i="25"/>
  <c r="Z928" i="25"/>
  <c r="AB928" i="25"/>
  <c r="X929" i="25"/>
  <c r="Z929" i="25"/>
  <c r="AB929" i="25"/>
  <c r="X930" i="25"/>
  <c r="Z930" i="25"/>
  <c r="AB930" i="25"/>
  <c r="X931" i="25"/>
  <c r="Z931" i="25"/>
  <c r="AB931" i="25"/>
  <c r="X932" i="25"/>
  <c r="Z932" i="25"/>
  <c r="AB932" i="25"/>
  <c r="X933" i="25"/>
  <c r="Z933" i="25"/>
  <c r="AB933" i="25"/>
  <c r="X934" i="25"/>
  <c r="Z934" i="25"/>
  <c r="AB934" i="25"/>
  <c r="X935" i="25"/>
  <c r="Z935" i="25"/>
  <c r="AB935" i="25"/>
  <c r="X936" i="25"/>
  <c r="Z936" i="25"/>
  <c r="AB936" i="25"/>
  <c r="X937" i="25"/>
  <c r="Z937" i="25"/>
  <c r="AB937" i="25"/>
  <c r="X938" i="25"/>
  <c r="Z938" i="25"/>
  <c r="AB938" i="25"/>
  <c r="X939" i="25"/>
  <c r="Z939" i="25"/>
  <c r="AB939" i="25"/>
  <c r="X940" i="25"/>
  <c r="Z940" i="25"/>
  <c r="AB940" i="25"/>
  <c r="X941" i="25"/>
  <c r="Z941" i="25"/>
  <c r="AB941" i="25"/>
  <c r="X942" i="25"/>
  <c r="Z942" i="25"/>
  <c r="AB942" i="25"/>
  <c r="X943" i="25"/>
  <c r="Z943" i="25"/>
  <c r="AB943" i="25"/>
  <c r="X944" i="25"/>
  <c r="Z944" i="25"/>
  <c r="AB944" i="25"/>
  <c r="X945" i="25"/>
  <c r="Z945" i="25"/>
  <c r="AB945" i="25"/>
  <c r="X946" i="25"/>
  <c r="Z946" i="25"/>
  <c r="AB946" i="25"/>
  <c r="X947" i="25"/>
  <c r="Z947" i="25"/>
  <c r="AB947" i="25"/>
  <c r="X948" i="25"/>
  <c r="Z948" i="25"/>
  <c r="AB948" i="25"/>
  <c r="X949" i="25"/>
  <c r="Z949" i="25"/>
  <c r="AB949" i="25"/>
  <c r="X950" i="25"/>
  <c r="Z950" i="25"/>
  <c r="AB950" i="25"/>
  <c r="X951" i="25"/>
  <c r="Z951" i="25"/>
  <c r="AB951" i="25"/>
  <c r="X952" i="25"/>
  <c r="Z952" i="25"/>
  <c r="AB952" i="25"/>
  <c r="X953" i="25"/>
  <c r="Z953" i="25"/>
  <c r="AB953" i="25"/>
  <c r="X954" i="25"/>
  <c r="Z954" i="25"/>
  <c r="AB954" i="25"/>
  <c r="X955" i="25"/>
  <c r="Z955" i="25"/>
  <c r="AB955" i="25"/>
  <c r="X956" i="25"/>
  <c r="Z956" i="25"/>
  <c r="AB956" i="25"/>
  <c r="X957" i="25"/>
  <c r="Z957" i="25"/>
  <c r="AB957" i="25"/>
  <c r="X958" i="25"/>
  <c r="Z958" i="25"/>
  <c r="AB958" i="25"/>
  <c r="X959" i="25"/>
  <c r="Z959" i="25"/>
  <c r="AB959" i="25"/>
  <c r="X960" i="25"/>
  <c r="Z960" i="25"/>
  <c r="AB960" i="25"/>
  <c r="X961" i="25"/>
  <c r="Z961" i="25"/>
  <c r="AB961" i="25"/>
  <c r="X962" i="25"/>
  <c r="Z962" i="25"/>
  <c r="AB962" i="25"/>
  <c r="X963" i="25"/>
  <c r="Z963" i="25"/>
  <c r="AB963" i="25"/>
  <c r="X964" i="25"/>
  <c r="Z964" i="25"/>
  <c r="AB964" i="25"/>
  <c r="X965" i="25"/>
  <c r="Z965" i="25"/>
  <c r="AB965" i="25"/>
  <c r="X966" i="25"/>
  <c r="Z966" i="25"/>
  <c r="AB966" i="25"/>
  <c r="X967" i="25"/>
  <c r="Z967" i="25"/>
  <c r="AB967" i="25"/>
  <c r="X968" i="25"/>
  <c r="Z968" i="25"/>
  <c r="AB968" i="25"/>
  <c r="X969" i="25"/>
  <c r="Z969" i="25"/>
  <c r="AB969" i="25"/>
  <c r="X970" i="25"/>
  <c r="Z970" i="25"/>
  <c r="AB970" i="25"/>
  <c r="X971" i="25"/>
  <c r="Z971" i="25"/>
  <c r="AB971" i="25"/>
  <c r="X972" i="25"/>
  <c r="Z972" i="25"/>
  <c r="AB972" i="25"/>
  <c r="X973" i="25"/>
  <c r="Z973" i="25"/>
  <c r="AB973" i="25"/>
  <c r="X974" i="25"/>
  <c r="Z974" i="25"/>
  <c r="AB974" i="25"/>
  <c r="X975" i="25"/>
  <c r="Z975" i="25"/>
  <c r="AB975" i="25"/>
  <c r="X976" i="25"/>
  <c r="Z976" i="25"/>
  <c r="AB976" i="25"/>
  <c r="X977" i="25"/>
  <c r="Z977" i="25"/>
  <c r="AB977" i="25"/>
  <c r="X978" i="25"/>
  <c r="Z978" i="25"/>
  <c r="AB978" i="25"/>
  <c r="X979" i="25"/>
  <c r="Z979" i="25"/>
  <c r="AB979" i="25"/>
  <c r="X980" i="25"/>
  <c r="Z980" i="25"/>
  <c r="AB980" i="25"/>
  <c r="X981" i="25"/>
  <c r="Z981" i="25"/>
  <c r="AB981" i="25"/>
  <c r="X982" i="25"/>
  <c r="Z982" i="25"/>
  <c r="AB982" i="25"/>
  <c r="X983" i="25"/>
  <c r="Z983" i="25"/>
  <c r="AB983" i="25"/>
  <c r="X984" i="25"/>
  <c r="Z984" i="25"/>
  <c r="AB984" i="25"/>
  <c r="X985" i="25"/>
  <c r="Z985" i="25"/>
  <c r="AB985" i="25"/>
  <c r="X986" i="25"/>
  <c r="Z986" i="25"/>
  <c r="AB986" i="25"/>
  <c r="X987" i="25"/>
  <c r="Z987" i="25"/>
  <c r="AB987" i="25"/>
  <c r="X988" i="25"/>
  <c r="Z988" i="25"/>
  <c r="AB988" i="25"/>
  <c r="X989" i="25"/>
  <c r="Z989" i="25"/>
  <c r="AB989" i="25"/>
  <c r="X990" i="25"/>
  <c r="Z990" i="25"/>
  <c r="AB990" i="25"/>
  <c r="X991" i="25"/>
  <c r="Z991" i="25"/>
  <c r="AB991" i="25"/>
  <c r="X992" i="25"/>
  <c r="Z992" i="25"/>
  <c r="AB992" i="25"/>
  <c r="X993" i="25"/>
  <c r="Z993" i="25"/>
  <c r="AB993" i="25"/>
  <c r="X994" i="25"/>
  <c r="Z994" i="25"/>
  <c r="AB994" i="25"/>
  <c r="X995" i="25"/>
  <c r="Z995" i="25"/>
  <c r="AB995" i="25"/>
  <c r="X996" i="25"/>
  <c r="Z996" i="25"/>
  <c r="AB996" i="25"/>
  <c r="X997" i="25"/>
  <c r="Z997" i="25"/>
  <c r="AB997" i="25"/>
  <c r="X998" i="25"/>
  <c r="Z998" i="25"/>
  <c r="AB998" i="25"/>
  <c r="X999" i="25"/>
  <c r="Z999" i="25"/>
  <c r="AB999" i="25"/>
  <c r="X1000" i="25"/>
  <c r="Z1000" i="25"/>
  <c r="AB1000" i="25"/>
  <c r="X1001" i="25"/>
  <c r="Z1001" i="25"/>
  <c r="AB1001" i="25"/>
  <c r="X1002" i="25"/>
  <c r="Z1002" i="25"/>
  <c r="AB1002" i="25"/>
  <c r="X1003" i="25"/>
  <c r="Z1003" i="25"/>
  <c r="AB1003" i="25"/>
  <c r="X1004" i="25"/>
  <c r="Z1004" i="25"/>
  <c r="AB1004" i="25"/>
  <c r="X1005" i="25"/>
  <c r="Z1005" i="25"/>
  <c r="AB1005" i="25"/>
  <c r="X1006" i="25"/>
  <c r="Z1006" i="25"/>
  <c r="AB1006" i="25"/>
  <c r="X1007" i="25"/>
  <c r="Z1007" i="25"/>
  <c r="AB1007" i="25"/>
  <c r="X1008" i="25"/>
  <c r="Z1008" i="25"/>
  <c r="AB1008" i="25"/>
  <c r="X1009" i="25"/>
  <c r="Z1009" i="25"/>
  <c r="AB1009" i="25"/>
  <c r="X1010" i="25"/>
  <c r="Z1010" i="25"/>
  <c r="AB1010" i="25"/>
  <c r="X1011" i="25"/>
  <c r="Z1011" i="25"/>
  <c r="AB1011" i="25"/>
  <c r="X1012" i="25"/>
  <c r="Z1012" i="25"/>
  <c r="AB1012" i="25"/>
  <c r="X1013" i="25"/>
  <c r="Z1013" i="25"/>
  <c r="AB1013" i="25"/>
  <c r="X1014" i="25"/>
  <c r="Z1014" i="25"/>
  <c r="AB1014" i="25"/>
  <c r="X1015" i="25"/>
  <c r="Z1015" i="25"/>
  <c r="AB1015" i="25"/>
  <c r="X1016" i="25"/>
  <c r="Z1016" i="25"/>
  <c r="AB1016" i="25"/>
  <c r="X1017" i="25"/>
  <c r="Z1017" i="25"/>
  <c r="AB1017" i="25"/>
  <c r="X1018" i="25"/>
  <c r="Z1018" i="25"/>
  <c r="AB1018" i="25"/>
  <c r="X1019" i="25"/>
  <c r="Z1019" i="25"/>
  <c r="AB1019" i="25"/>
  <c r="X1020" i="25"/>
  <c r="Z1020" i="25"/>
  <c r="AB1020" i="25"/>
  <c r="X1021" i="25"/>
  <c r="Z1021" i="25"/>
  <c r="AB1021" i="25"/>
  <c r="X1022" i="25"/>
  <c r="Z1022" i="25"/>
  <c r="AB1022" i="25"/>
  <c r="X1023" i="25"/>
  <c r="Z1023" i="25"/>
  <c r="AB1023" i="25"/>
  <c r="X1024" i="25"/>
  <c r="Z1024" i="25"/>
  <c r="AB1024" i="25"/>
  <c r="X1025" i="25"/>
  <c r="Z1025" i="25"/>
  <c r="AB1025" i="25"/>
  <c r="X1026" i="25"/>
  <c r="Z1026" i="25"/>
  <c r="AB1026" i="25"/>
  <c r="X1027" i="25"/>
  <c r="Z1027" i="25"/>
  <c r="AB1027" i="25"/>
  <c r="X1028" i="25"/>
  <c r="Z1028" i="25"/>
  <c r="AB1028" i="25"/>
  <c r="X1029" i="25"/>
  <c r="Z1029" i="25"/>
  <c r="AB1029" i="25"/>
  <c r="X1030" i="25"/>
  <c r="Z1030" i="25"/>
  <c r="AB1030" i="25"/>
  <c r="X1031" i="25"/>
  <c r="Z1031" i="25"/>
  <c r="AB1031" i="25"/>
  <c r="X1032" i="25"/>
  <c r="Z1032" i="25"/>
  <c r="AB1032" i="25"/>
  <c r="X1033" i="25"/>
  <c r="Z1033" i="25"/>
  <c r="AB1033" i="25"/>
  <c r="X1034" i="25"/>
  <c r="Z1034" i="25"/>
  <c r="AB1034" i="25"/>
  <c r="X1035" i="25"/>
  <c r="Z1035" i="25"/>
  <c r="AB1035" i="25"/>
  <c r="X1036" i="25"/>
  <c r="Z1036" i="25"/>
  <c r="AB1036" i="25"/>
  <c r="X1037" i="25"/>
  <c r="Z1037" i="25"/>
  <c r="AB1037" i="25"/>
  <c r="X1038" i="25"/>
  <c r="Z1038" i="25"/>
  <c r="AB1038" i="25"/>
  <c r="X1039" i="25"/>
  <c r="Z1039" i="25"/>
  <c r="AB1039" i="25"/>
  <c r="X1040" i="25"/>
  <c r="Z1040" i="25"/>
  <c r="AB1040" i="25"/>
  <c r="X1041" i="25"/>
  <c r="Z1041" i="25"/>
  <c r="AB1041" i="25"/>
  <c r="X1042" i="25"/>
  <c r="Z1042" i="25"/>
  <c r="AB1042" i="25"/>
  <c r="X1043" i="25"/>
  <c r="Z1043" i="25"/>
  <c r="AB1043" i="25"/>
  <c r="X1044" i="25"/>
  <c r="Z1044" i="25"/>
  <c r="AB1044" i="25"/>
  <c r="X1045" i="25"/>
  <c r="Z1045" i="25"/>
  <c r="AB1045" i="25"/>
  <c r="X1046" i="25"/>
  <c r="Z1046" i="25"/>
  <c r="AB1046" i="25"/>
  <c r="X1047" i="25"/>
  <c r="Z1047" i="25"/>
  <c r="AB1047" i="25"/>
  <c r="X1048" i="25"/>
  <c r="Z1048" i="25"/>
  <c r="AB1048" i="25"/>
  <c r="X1049" i="25"/>
  <c r="Z1049" i="25"/>
  <c r="AB1049" i="25"/>
  <c r="X1050" i="25"/>
  <c r="Z1050" i="25"/>
  <c r="AB1050" i="25"/>
  <c r="X1051" i="25"/>
  <c r="Z1051" i="25"/>
  <c r="AB1051" i="25"/>
  <c r="X1052" i="25"/>
  <c r="Z1052" i="25"/>
  <c r="AB1052" i="25"/>
  <c r="X1053" i="25"/>
  <c r="Z1053" i="25"/>
  <c r="AB1053" i="25"/>
  <c r="X1054" i="25"/>
  <c r="Z1054" i="25"/>
  <c r="AB1054" i="25"/>
  <c r="X1055" i="25"/>
  <c r="Z1055" i="25"/>
  <c r="AB1055" i="25"/>
  <c r="X1056" i="25"/>
  <c r="Z1056" i="25"/>
  <c r="AB1056" i="25"/>
  <c r="X1057" i="25"/>
  <c r="Z1057" i="25"/>
  <c r="AB1057" i="25"/>
  <c r="X1058" i="25"/>
  <c r="Z1058" i="25"/>
  <c r="AB1058" i="25"/>
  <c r="X1059" i="25"/>
  <c r="Z1059" i="25"/>
  <c r="AB1059" i="25"/>
  <c r="X1060" i="25"/>
  <c r="Z1060" i="25"/>
  <c r="AB1060" i="25"/>
  <c r="X1061" i="25"/>
  <c r="Z1061" i="25"/>
  <c r="AB1061" i="25"/>
  <c r="X1062" i="25"/>
  <c r="Z1062" i="25"/>
  <c r="AB1062" i="25"/>
  <c r="X1063" i="25"/>
  <c r="Z1063" i="25"/>
  <c r="AB1063" i="25"/>
  <c r="X1064" i="25"/>
  <c r="Z1064" i="25"/>
  <c r="AB1064" i="25"/>
  <c r="X1065" i="25"/>
  <c r="Z1065" i="25"/>
  <c r="AB1065" i="25"/>
  <c r="X1066" i="25"/>
  <c r="Z1066" i="25"/>
  <c r="AB1066" i="25"/>
  <c r="X1067" i="25"/>
  <c r="Z1067" i="25"/>
  <c r="AB1067" i="25"/>
  <c r="X1068" i="25"/>
  <c r="Z1068" i="25"/>
  <c r="AB1068" i="25"/>
  <c r="X1069" i="25"/>
  <c r="Z1069" i="25"/>
  <c r="AB1069" i="25"/>
  <c r="X1070" i="25"/>
  <c r="Z1070" i="25"/>
  <c r="AB1070" i="25"/>
  <c r="X1071" i="25"/>
  <c r="Z1071" i="25"/>
  <c r="AB1071" i="25"/>
  <c r="X1072" i="25"/>
  <c r="Z1072" i="25"/>
  <c r="AB1072" i="25"/>
  <c r="X1073" i="25"/>
  <c r="Z1073" i="25"/>
  <c r="AB1073" i="25"/>
  <c r="X1074" i="25"/>
  <c r="Z1074" i="25"/>
  <c r="AB1074" i="25"/>
  <c r="X1075" i="25"/>
  <c r="Z1075" i="25"/>
  <c r="AB1075" i="25"/>
  <c r="X1076" i="25"/>
  <c r="Z1076" i="25"/>
  <c r="AB1076" i="25"/>
  <c r="X1077" i="25"/>
  <c r="Z1077" i="25"/>
  <c r="AB1077" i="25"/>
  <c r="X1078" i="25"/>
  <c r="Z1078" i="25"/>
  <c r="AB1078" i="25"/>
  <c r="X1079" i="25"/>
  <c r="Z1079" i="25"/>
  <c r="AB1079" i="25"/>
  <c r="X1080" i="25"/>
  <c r="Z1080" i="25"/>
  <c r="AB1080" i="25"/>
  <c r="X1081" i="25"/>
  <c r="Z1081" i="25"/>
  <c r="AB1081" i="25"/>
  <c r="X1082" i="25"/>
  <c r="Z1082" i="25"/>
  <c r="AB1082" i="25"/>
  <c r="X1083" i="25"/>
  <c r="Z1083" i="25"/>
  <c r="AB1083" i="25"/>
  <c r="X1084" i="25"/>
  <c r="Z1084" i="25"/>
  <c r="AB1084" i="25"/>
  <c r="X1085" i="25"/>
  <c r="Z1085" i="25"/>
  <c r="AB1085" i="25"/>
  <c r="X1086" i="25"/>
  <c r="Z1086" i="25"/>
  <c r="AB1086" i="25"/>
  <c r="X1087" i="25"/>
  <c r="Z1087" i="25"/>
  <c r="AB1087" i="25"/>
  <c r="X1088" i="25"/>
  <c r="Z1088" i="25"/>
  <c r="AB1088" i="25"/>
  <c r="X1089" i="25"/>
  <c r="Z1089" i="25"/>
  <c r="AB1089" i="25"/>
  <c r="X1090" i="25"/>
  <c r="Z1090" i="25"/>
  <c r="AB1090" i="25"/>
  <c r="X1091" i="25"/>
  <c r="Z1091" i="25"/>
  <c r="AB1091" i="25"/>
  <c r="X1092" i="25"/>
  <c r="Z1092" i="25"/>
  <c r="AB1092" i="25"/>
  <c r="X1093" i="25"/>
  <c r="Z1093" i="25"/>
  <c r="AB1093" i="25"/>
  <c r="X1094" i="25"/>
  <c r="Z1094" i="25"/>
  <c r="AB1094" i="25"/>
  <c r="X1095" i="25"/>
  <c r="Z1095" i="25"/>
  <c r="AB1095" i="25"/>
  <c r="X1096" i="25"/>
  <c r="Z1096" i="25"/>
  <c r="AB1096" i="25"/>
  <c r="X1097" i="25"/>
  <c r="Z1097" i="25"/>
  <c r="AB1097" i="25"/>
  <c r="X1098" i="25"/>
  <c r="Z1098" i="25"/>
  <c r="AB1098" i="25"/>
  <c r="X1099" i="25"/>
  <c r="Z1099" i="25"/>
  <c r="AB1099" i="25"/>
  <c r="X1100" i="25"/>
  <c r="Z1100" i="25"/>
  <c r="AB1100" i="25"/>
  <c r="X1101" i="25"/>
  <c r="Z1101" i="25"/>
  <c r="AB1101" i="25"/>
  <c r="X1102" i="25"/>
  <c r="Z1102" i="25"/>
  <c r="AB1102" i="25"/>
  <c r="X1103" i="25"/>
  <c r="Z1103" i="25"/>
  <c r="AB1103" i="25"/>
  <c r="X1104" i="25"/>
  <c r="Z1104" i="25"/>
  <c r="AB1104" i="25"/>
  <c r="X1105" i="25"/>
  <c r="Z1105" i="25"/>
  <c r="AB1105" i="25"/>
  <c r="X1106" i="25"/>
  <c r="Z1106" i="25"/>
  <c r="AB1106" i="25"/>
  <c r="X1107" i="25"/>
  <c r="Z1107" i="25"/>
  <c r="AB1107" i="25"/>
  <c r="X1108" i="25"/>
  <c r="Z1108" i="25"/>
  <c r="AB1108" i="25"/>
  <c r="X1109" i="25"/>
  <c r="Z1109" i="25"/>
  <c r="AB1109" i="25"/>
  <c r="X1110" i="25"/>
  <c r="Z1110" i="25"/>
  <c r="AB1110" i="25"/>
  <c r="X1111" i="25"/>
  <c r="Z1111" i="25"/>
  <c r="AB1111" i="25"/>
  <c r="X1112" i="25"/>
  <c r="Z1112" i="25"/>
  <c r="AB1112" i="25"/>
  <c r="X1113" i="25"/>
  <c r="Z1113" i="25"/>
  <c r="AB1113" i="25"/>
  <c r="X1114" i="25"/>
  <c r="Z1114" i="25"/>
  <c r="AB1114" i="25"/>
  <c r="X1115" i="25"/>
  <c r="Z1115" i="25"/>
  <c r="AB1115" i="25"/>
  <c r="X1116" i="25"/>
  <c r="Z1116" i="25"/>
  <c r="AB1116" i="25"/>
  <c r="X1117" i="25"/>
  <c r="Z1117" i="25"/>
  <c r="AB1117" i="25"/>
  <c r="X1118" i="25"/>
  <c r="Z1118" i="25"/>
  <c r="AB1118" i="25"/>
  <c r="X1119" i="25"/>
  <c r="Z1119" i="25"/>
  <c r="AB1119" i="25"/>
  <c r="X1120" i="25"/>
  <c r="Z1120" i="25"/>
  <c r="AB1120" i="25"/>
  <c r="X1121" i="25"/>
  <c r="Z1121" i="25"/>
  <c r="AB1121" i="25"/>
  <c r="X1122" i="25"/>
  <c r="Z1122" i="25"/>
  <c r="AB1122" i="25"/>
  <c r="X1123" i="25"/>
  <c r="Z1123" i="25"/>
  <c r="AB1123" i="25"/>
  <c r="X1124" i="25"/>
  <c r="Z1124" i="25"/>
  <c r="AB1124" i="25"/>
  <c r="X1125" i="25"/>
  <c r="Z1125" i="25"/>
  <c r="AB1125" i="25"/>
  <c r="X1126" i="25"/>
  <c r="Z1126" i="25"/>
  <c r="AB1126" i="25"/>
  <c r="X1127" i="25"/>
  <c r="Z1127" i="25"/>
  <c r="AB1127" i="25"/>
  <c r="X1128" i="25"/>
  <c r="Z1128" i="25"/>
  <c r="AB1128" i="25"/>
  <c r="X1129" i="25"/>
  <c r="Z1129" i="25"/>
  <c r="AB1129" i="25"/>
  <c r="X1130" i="25"/>
  <c r="Z1130" i="25"/>
  <c r="AB1130" i="25"/>
  <c r="X1131" i="25"/>
  <c r="Z1131" i="25"/>
  <c r="AB1131" i="25"/>
  <c r="X1132" i="25"/>
  <c r="Z1132" i="25"/>
  <c r="AB1132" i="25"/>
  <c r="X1133" i="25"/>
  <c r="Z1133" i="25"/>
  <c r="AB1133" i="25"/>
  <c r="X1134" i="25"/>
  <c r="Z1134" i="25"/>
  <c r="AB1134" i="25"/>
  <c r="X1135" i="25"/>
  <c r="Z1135" i="25"/>
  <c r="AB1135" i="25"/>
  <c r="X1136" i="25"/>
  <c r="Z1136" i="25"/>
  <c r="AB1136" i="25"/>
  <c r="X1137" i="25"/>
  <c r="Z1137" i="25"/>
  <c r="AB1137" i="25"/>
  <c r="X1138" i="25"/>
  <c r="Z1138" i="25"/>
  <c r="AB1138" i="25"/>
  <c r="X1139" i="25"/>
  <c r="Z1139" i="25"/>
  <c r="AB1139" i="25"/>
  <c r="X1140" i="25"/>
  <c r="Z1140" i="25"/>
  <c r="AB1140" i="25"/>
  <c r="X1141" i="25"/>
  <c r="Z1141" i="25"/>
  <c r="AB1141" i="25"/>
  <c r="X1142" i="25"/>
  <c r="Z1142" i="25"/>
  <c r="AB1142" i="25"/>
  <c r="X1143" i="25"/>
  <c r="Z1143" i="25"/>
  <c r="AB1143" i="25"/>
  <c r="X1144" i="25"/>
  <c r="Z1144" i="25"/>
  <c r="AB1144" i="25"/>
  <c r="X1145" i="25"/>
  <c r="Z1145" i="25"/>
  <c r="AB1145" i="25"/>
  <c r="X1146" i="25"/>
  <c r="Z1146" i="25"/>
  <c r="AB1146" i="25"/>
  <c r="X1147" i="25"/>
  <c r="Z1147" i="25"/>
  <c r="AB1147" i="25"/>
  <c r="X1148" i="25"/>
  <c r="Z1148" i="25"/>
  <c r="AB1148" i="25"/>
  <c r="X1149" i="25"/>
  <c r="Z1149" i="25"/>
  <c r="AB1149" i="25"/>
  <c r="X1150" i="25"/>
  <c r="Z1150" i="25"/>
  <c r="AB1150" i="25"/>
  <c r="X1151" i="25"/>
  <c r="Z1151" i="25"/>
  <c r="AB1151" i="25"/>
  <c r="X1152" i="25"/>
  <c r="Z1152" i="25"/>
  <c r="AB1152" i="25"/>
  <c r="X1153" i="25"/>
  <c r="Z1153" i="25"/>
  <c r="AB1153" i="25"/>
  <c r="X1154" i="25"/>
  <c r="Z1154" i="25"/>
  <c r="AB1154" i="25"/>
  <c r="X1155" i="25"/>
  <c r="Z1155" i="25"/>
  <c r="AB1155" i="25"/>
  <c r="X1156" i="25"/>
  <c r="Z1156" i="25"/>
  <c r="AB1156" i="25"/>
  <c r="X1157" i="25"/>
  <c r="Z1157" i="25"/>
  <c r="AB1157" i="25"/>
  <c r="X1158" i="25"/>
  <c r="Z1158" i="25"/>
  <c r="AB1158" i="25"/>
  <c r="X1159" i="25"/>
  <c r="Z1159" i="25"/>
  <c r="AB1159" i="25"/>
  <c r="X1160" i="25"/>
  <c r="Z1160" i="25"/>
  <c r="AB1160" i="25"/>
  <c r="X1161" i="25"/>
  <c r="Z1161" i="25"/>
  <c r="AB1161" i="25"/>
  <c r="X1162" i="25"/>
  <c r="Z1162" i="25"/>
  <c r="AB1162" i="25"/>
  <c r="X1163" i="25"/>
  <c r="Z1163" i="25"/>
  <c r="AB1163" i="25"/>
  <c r="X1164" i="25"/>
  <c r="Z1164" i="25"/>
  <c r="AB1164" i="25"/>
  <c r="X1165" i="25"/>
  <c r="Z1165" i="25"/>
  <c r="AB1165" i="25"/>
  <c r="X1166" i="25"/>
  <c r="Z1166" i="25"/>
  <c r="AB1166" i="25"/>
  <c r="X1167" i="25"/>
  <c r="Z1167" i="25"/>
  <c r="AB1167" i="25"/>
  <c r="X1168" i="25"/>
  <c r="Z1168" i="25"/>
  <c r="AB1168" i="25"/>
  <c r="X1169" i="25"/>
  <c r="Z1169" i="25"/>
  <c r="AB1169" i="25"/>
  <c r="X1170" i="25"/>
  <c r="Z1170" i="25"/>
  <c r="AB1170" i="25"/>
  <c r="X1171" i="25"/>
  <c r="Z1171" i="25"/>
  <c r="AB1171" i="25"/>
  <c r="X1172" i="25"/>
  <c r="Z1172" i="25"/>
  <c r="AB1172" i="25"/>
  <c r="X1173" i="25"/>
  <c r="Z1173" i="25"/>
  <c r="AB1173" i="25"/>
  <c r="X1174" i="25"/>
  <c r="Z1174" i="25"/>
  <c r="AB1174" i="25"/>
  <c r="X1175" i="25"/>
  <c r="Z1175" i="25"/>
  <c r="AB1175" i="25"/>
  <c r="X1176" i="25"/>
  <c r="Z1176" i="25"/>
  <c r="AB1176" i="25"/>
  <c r="X1177" i="25"/>
  <c r="Z1177" i="25"/>
  <c r="AB1177" i="25"/>
  <c r="X1178" i="25"/>
  <c r="Z1178" i="25"/>
  <c r="AB1178" i="25"/>
  <c r="X1179" i="25"/>
  <c r="Z1179" i="25"/>
  <c r="AB1179" i="25"/>
  <c r="X1180" i="25"/>
  <c r="Z1180" i="25"/>
  <c r="AB1180" i="25"/>
  <c r="X1181" i="25"/>
  <c r="Z1181" i="25"/>
  <c r="AB1181" i="25"/>
  <c r="X1182" i="25"/>
  <c r="Z1182" i="25"/>
  <c r="AB1182" i="25"/>
  <c r="X1183" i="25"/>
  <c r="Z1183" i="25"/>
  <c r="AB1183" i="25"/>
  <c r="X1184" i="25"/>
  <c r="Z1184" i="25"/>
  <c r="AB1184" i="25"/>
  <c r="X1185" i="25"/>
  <c r="Z1185" i="25"/>
  <c r="AB1185" i="25"/>
  <c r="X1186" i="25"/>
  <c r="Z1186" i="25"/>
  <c r="AB1186" i="25"/>
  <c r="X1187" i="25"/>
  <c r="Z1187" i="25"/>
  <c r="AB1187" i="25"/>
  <c r="X1188" i="25"/>
  <c r="Z1188" i="25"/>
  <c r="AB1188" i="25"/>
  <c r="X1189" i="25"/>
  <c r="Z1189" i="25"/>
  <c r="AB1189" i="25"/>
  <c r="X1190" i="25"/>
  <c r="Z1190" i="25"/>
  <c r="AB1190" i="25"/>
  <c r="X1191" i="25"/>
  <c r="Z1191" i="25"/>
  <c r="AB1191" i="25"/>
  <c r="X1192" i="25"/>
  <c r="Z1192" i="25"/>
  <c r="AB1192" i="25"/>
  <c r="X1193" i="25"/>
  <c r="Z1193" i="25"/>
  <c r="AB1193" i="25"/>
  <c r="X1194" i="25"/>
  <c r="Z1194" i="25"/>
  <c r="AB1194" i="25"/>
  <c r="X1195" i="25"/>
  <c r="Z1195" i="25"/>
  <c r="AB1195" i="25"/>
  <c r="X1196" i="25"/>
  <c r="Z1196" i="25"/>
  <c r="AB1196" i="25"/>
  <c r="X1197" i="25"/>
  <c r="Z1197" i="25"/>
  <c r="AB1197" i="25"/>
  <c r="X1198" i="25"/>
  <c r="Z1198" i="25"/>
  <c r="AB1198" i="25"/>
  <c r="X1199" i="25"/>
  <c r="Z1199" i="25"/>
  <c r="AB1199" i="25"/>
  <c r="X1200" i="25"/>
  <c r="Z1200" i="25"/>
  <c r="AB1200" i="25"/>
  <c r="X1201" i="25"/>
  <c r="Z1201" i="25"/>
  <c r="AB1201" i="25"/>
  <c r="X1202" i="25"/>
  <c r="Z1202" i="25"/>
  <c r="AB1202" i="25"/>
  <c r="X1203" i="25"/>
  <c r="Z1203" i="25"/>
  <c r="AB1203" i="25"/>
  <c r="X1204" i="25"/>
  <c r="Z1204" i="25"/>
  <c r="AB1204" i="25"/>
  <c r="X1205" i="25"/>
  <c r="Z1205" i="25"/>
  <c r="AB1205" i="25"/>
  <c r="X1206" i="25"/>
  <c r="Z1206" i="25"/>
  <c r="AB1206" i="25"/>
  <c r="X1207" i="25"/>
  <c r="Z1207" i="25"/>
  <c r="AB1207" i="25"/>
  <c r="X1208" i="25"/>
  <c r="Z1208" i="25"/>
  <c r="AB1208" i="25"/>
  <c r="X1209" i="25"/>
  <c r="Z1209" i="25"/>
  <c r="AB1209" i="25"/>
  <c r="X1210" i="25"/>
  <c r="Z1210" i="25"/>
  <c r="AB1210" i="25"/>
  <c r="X1211" i="25"/>
  <c r="Z1211" i="25"/>
  <c r="AB1211" i="25"/>
  <c r="X1212" i="25"/>
  <c r="Z1212" i="25"/>
  <c r="AB1212" i="25"/>
  <c r="X1213" i="25"/>
  <c r="Z1213" i="25"/>
  <c r="AB1213" i="25"/>
  <c r="X1214" i="25"/>
  <c r="Z1214" i="25"/>
  <c r="AB1214" i="25"/>
  <c r="X1215" i="25"/>
  <c r="Z1215" i="25"/>
  <c r="AB1215" i="25"/>
  <c r="X1216" i="25"/>
  <c r="Z1216" i="25"/>
  <c r="AB1216" i="25"/>
  <c r="X1217" i="25"/>
  <c r="Z1217" i="25"/>
  <c r="AB1217" i="25"/>
  <c r="X1218" i="25"/>
  <c r="Z1218" i="25"/>
  <c r="AB1218" i="25"/>
  <c r="X1219" i="25"/>
  <c r="Z1219" i="25"/>
  <c r="AB1219" i="25"/>
  <c r="X1220" i="25"/>
  <c r="Z1220" i="25"/>
  <c r="AB1220" i="25"/>
  <c r="X1221" i="25"/>
  <c r="Z1221" i="25"/>
  <c r="AB1221" i="25"/>
  <c r="X1222" i="25"/>
  <c r="Z1222" i="25"/>
  <c r="AB1222" i="25"/>
  <c r="X1223" i="25"/>
  <c r="Z1223" i="25"/>
  <c r="AB1223" i="25"/>
  <c r="X1224" i="25"/>
  <c r="Z1224" i="25"/>
  <c r="AB1224" i="25"/>
  <c r="X1225" i="25"/>
  <c r="Z1225" i="25"/>
  <c r="AB1225" i="25"/>
  <c r="X1226" i="25"/>
  <c r="Z1226" i="25"/>
  <c r="AB1226" i="25"/>
  <c r="X1227" i="25"/>
  <c r="Z1227" i="25"/>
  <c r="AB1227" i="25"/>
  <c r="X1228" i="25"/>
  <c r="Z1228" i="25"/>
  <c r="AB1228" i="25"/>
  <c r="X1229" i="25"/>
  <c r="Z1229" i="25"/>
  <c r="AB1229" i="25"/>
  <c r="X1230" i="25"/>
  <c r="Z1230" i="25"/>
  <c r="AB1230" i="25"/>
  <c r="X1231" i="25"/>
  <c r="Z1231" i="25"/>
  <c r="AB1231" i="25"/>
  <c r="X1232" i="25"/>
  <c r="Z1232" i="25"/>
  <c r="AB1232" i="25"/>
  <c r="X1233" i="25"/>
  <c r="Z1233" i="25"/>
  <c r="AB1233" i="25"/>
  <c r="X1234" i="25"/>
  <c r="Z1234" i="25"/>
  <c r="AB1234" i="25"/>
  <c r="X1235" i="25"/>
  <c r="Z1235" i="25"/>
  <c r="AB1235" i="25"/>
  <c r="X1236" i="25"/>
  <c r="Z1236" i="25"/>
  <c r="AB1236" i="25"/>
  <c r="X1237" i="25"/>
  <c r="Z1237" i="25"/>
  <c r="AB1237" i="25"/>
  <c r="X1238" i="25"/>
  <c r="Z1238" i="25"/>
  <c r="AB1238" i="25"/>
  <c r="X1239" i="25"/>
  <c r="Z1239" i="25"/>
  <c r="AB1239" i="25"/>
  <c r="X1240" i="25"/>
  <c r="Z1240" i="25"/>
  <c r="AB1240" i="25"/>
  <c r="X1241" i="25"/>
  <c r="Z1241" i="25"/>
  <c r="AB1241" i="25"/>
  <c r="X1242" i="25"/>
  <c r="Z1242" i="25"/>
  <c r="AB1242" i="25"/>
  <c r="X1243" i="25"/>
  <c r="Z1243" i="25"/>
  <c r="AB1243" i="25"/>
  <c r="X1244" i="25"/>
  <c r="Z1244" i="25"/>
  <c r="AB1244" i="25"/>
  <c r="X1245" i="25"/>
  <c r="Z1245" i="25"/>
  <c r="AB1245" i="25"/>
  <c r="X1246" i="25"/>
  <c r="Z1246" i="25"/>
  <c r="AB1246" i="25"/>
  <c r="X1247" i="25"/>
  <c r="Z1247" i="25"/>
  <c r="AB1247" i="25"/>
  <c r="X1248" i="25"/>
  <c r="Z1248" i="25"/>
  <c r="AB1248" i="25"/>
  <c r="X1249" i="25"/>
  <c r="Z1249" i="25"/>
  <c r="AB1249" i="25"/>
  <c r="X1250" i="25"/>
  <c r="Z1250" i="25"/>
  <c r="AB1250" i="25"/>
  <c r="X1251" i="25"/>
  <c r="Z1251" i="25"/>
  <c r="AB1251" i="25"/>
  <c r="X1252" i="25"/>
  <c r="Z1252" i="25"/>
  <c r="AB1252" i="25"/>
  <c r="X1253" i="25"/>
  <c r="Z1253" i="25"/>
  <c r="AB1253" i="25"/>
  <c r="X1254" i="25"/>
  <c r="Z1254" i="25"/>
  <c r="AB1254" i="25"/>
  <c r="X1255" i="25"/>
  <c r="Z1255" i="25"/>
  <c r="AB1255" i="25"/>
  <c r="X1256" i="25"/>
  <c r="Z1256" i="25"/>
  <c r="AB1256" i="25"/>
  <c r="X1257" i="25"/>
  <c r="Z1257" i="25"/>
  <c r="AB1257" i="25"/>
  <c r="X1258" i="25"/>
  <c r="Z1258" i="25"/>
  <c r="AB1258" i="25"/>
  <c r="X1259" i="25"/>
  <c r="Z1259" i="25"/>
  <c r="AB1259" i="25"/>
  <c r="X1260" i="25"/>
  <c r="Z1260" i="25"/>
  <c r="AB1260" i="25"/>
  <c r="X1261" i="25"/>
  <c r="Z1261" i="25"/>
  <c r="AB1261" i="25"/>
  <c r="X1262" i="25"/>
  <c r="Z1262" i="25"/>
  <c r="AB1262" i="25"/>
  <c r="X1263" i="25"/>
  <c r="Z1263" i="25"/>
  <c r="AB1263" i="25"/>
  <c r="X1264" i="25"/>
  <c r="Z1264" i="25"/>
  <c r="AB1264" i="25"/>
  <c r="X1265" i="25"/>
  <c r="Z1265" i="25"/>
  <c r="AB1265" i="25"/>
  <c r="X1266" i="25"/>
  <c r="Z1266" i="25"/>
  <c r="AB1266" i="25"/>
  <c r="X1267" i="25"/>
  <c r="Z1267" i="25"/>
  <c r="AB1267" i="25"/>
  <c r="X1268" i="25"/>
  <c r="Z1268" i="25"/>
  <c r="AB1268" i="25"/>
  <c r="X1269" i="25"/>
  <c r="Z1269" i="25"/>
  <c r="AB1269" i="25"/>
  <c r="X1270" i="25"/>
  <c r="Z1270" i="25"/>
  <c r="AB1270" i="25"/>
  <c r="X1271" i="25"/>
  <c r="Z1271" i="25"/>
  <c r="AB1271" i="25"/>
  <c r="X1272" i="25"/>
  <c r="Z1272" i="25"/>
  <c r="AB1272" i="25"/>
  <c r="X1273" i="25"/>
  <c r="Z1273" i="25"/>
  <c r="AB1273" i="25"/>
  <c r="X1274" i="25"/>
  <c r="Z1274" i="25"/>
  <c r="AB1274" i="25"/>
  <c r="X1275" i="25"/>
  <c r="Z1275" i="25"/>
  <c r="AB1275" i="25"/>
  <c r="X1276" i="25"/>
  <c r="Z1276" i="25"/>
  <c r="AB1276" i="25"/>
  <c r="X1277" i="25"/>
  <c r="Z1277" i="25"/>
  <c r="AB1277" i="25"/>
  <c r="X1278" i="25"/>
  <c r="Z1278" i="25"/>
  <c r="AB1278" i="25"/>
  <c r="X1279" i="25"/>
  <c r="Z1279" i="25"/>
  <c r="AB1279" i="25"/>
  <c r="X1280" i="25"/>
  <c r="Z1280" i="25"/>
  <c r="AB1280" i="25"/>
  <c r="X1281" i="25"/>
  <c r="Z1281" i="25"/>
  <c r="AB1281" i="25"/>
  <c r="X1282" i="25"/>
  <c r="Z1282" i="25"/>
  <c r="AB1282" i="25"/>
  <c r="X1283" i="25"/>
  <c r="Z1283" i="25"/>
  <c r="AB1283" i="25"/>
  <c r="X1284" i="25"/>
  <c r="Z1284" i="25"/>
  <c r="AB1284" i="25"/>
  <c r="X1285" i="25"/>
  <c r="Z1285" i="25"/>
  <c r="AB1285" i="25"/>
  <c r="X1286" i="25"/>
  <c r="Z1286" i="25"/>
  <c r="AB1286" i="25"/>
  <c r="X1287" i="25"/>
  <c r="Z1287" i="25"/>
  <c r="AB1287" i="25"/>
  <c r="X1288" i="25"/>
  <c r="Z1288" i="25"/>
  <c r="AB1288" i="25"/>
  <c r="X1289" i="25"/>
  <c r="Z1289" i="25"/>
  <c r="AB1289" i="25"/>
  <c r="X1290" i="25"/>
  <c r="Z1290" i="25"/>
  <c r="AB1290" i="25"/>
  <c r="X1291" i="25"/>
  <c r="Z1291" i="25"/>
  <c r="AB1291" i="25"/>
  <c r="X1292" i="25"/>
  <c r="Z1292" i="25"/>
  <c r="AB1292" i="25"/>
  <c r="X1293" i="25"/>
  <c r="Z1293" i="25"/>
  <c r="AB1293" i="25"/>
  <c r="X1294" i="25"/>
  <c r="Z1294" i="25"/>
  <c r="AB1294" i="25"/>
  <c r="X1295" i="25"/>
  <c r="Z1295" i="25"/>
  <c r="AB1295" i="25"/>
  <c r="X1296" i="25"/>
  <c r="Z1296" i="25"/>
  <c r="AB1296" i="25"/>
  <c r="X1297" i="25"/>
  <c r="Z1297" i="25"/>
  <c r="AB1297" i="25"/>
  <c r="X1298" i="25"/>
  <c r="Z1298" i="25"/>
  <c r="AB1298" i="25"/>
  <c r="X1299" i="25"/>
  <c r="Z1299" i="25"/>
  <c r="AB1299" i="25"/>
  <c r="X1300" i="25"/>
  <c r="Z1300" i="25"/>
  <c r="AB1300" i="25"/>
  <c r="X1301" i="25"/>
  <c r="Z1301" i="25"/>
  <c r="AB1301" i="25"/>
  <c r="X1302" i="25"/>
  <c r="Z1302" i="25"/>
  <c r="AB1302" i="25"/>
  <c r="X1303" i="25"/>
  <c r="Z1303" i="25"/>
  <c r="AB1303" i="25"/>
  <c r="X1304" i="25"/>
  <c r="Z1304" i="25"/>
  <c r="AB1304" i="25"/>
  <c r="X1305" i="25"/>
  <c r="Z1305" i="25"/>
  <c r="AB1305" i="25"/>
  <c r="X1306" i="25"/>
  <c r="Z1306" i="25"/>
  <c r="AB1306" i="25"/>
  <c r="X1307" i="25"/>
  <c r="Z1307" i="25"/>
  <c r="AB1307" i="25"/>
  <c r="X1308" i="25"/>
  <c r="Z1308" i="25"/>
  <c r="AB1308" i="25"/>
  <c r="X1309" i="25"/>
  <c r="Z1309" i="25"/>
  <c r="AB1309" i="25"/>
  <c r="X1310" i="25"/>
  <c r="Z1310" i="25"/>
  <c r="AB1310" i="25"/>
  <c r="X1311" i="25"/>
  <c r="Z1311" i="25"/>
  <c r="AB1311" i="25"/>
  <c r="X1312" i="25"/>
  <c r="Z1312" i="25"/>
  <c r="AB1312" i="25"/>
  <c r="X1313" i="25"/>
  <c r="Z1313" i="25"/>
  <c r="AB1313" i="25"/>
  <c r="X1314" i="25"/>
  <c r="Z1314" i="25"/>
  <c r="AB1314" i="25"/>
  <c r="X1315" i="25"/>
  <c r="Z1315" i="25"/>
  <c r="AB1315" i="25"/>
  <c r="X1316" i="25"/>
  <c r="Z1316" i="25"/>
  <c r="AB1316" i="25"/>
  <c r="X1317" i="25"/>
  <c r="Z1317" i="25"/>
  <c r="AB1317" i="25"/>
  <c r="X1318" i="25"/>
  <c r="Z1318" i="25"/>
  <c r="AB1318" i="25"/>
  <c r="X1319" i="25"/>
  <c r="Z1319" i="25"/>
  <c r="AB1319" i="25"/>
  <c r="X1320" i="25"/>
  <c r="Z1320" i="25"/>
  <c r="AB1320" i="25"/>
  <c r="X1321" i="25"/>
  <c r="Z1321" i="25"/>
  <c r="AB1321" i="25"/>
  <c r="X1322" i="25"/>
  <c r="Z1322" i="25"/>
  <c r="AB1322" i="25"/>
  <c r="X1323" i="25"/>
  <c r="Z1323" i="25"/>
  <c r="AB1323" i="25"/>
  <c r="X1324" i="25"/>
  <c r="Z1324" i="25"/>
  <c r="AB1324" i="25"/>
  <c r="X1325" i="25"/>
  <c r="Z1325" i="25"/>
  <c r="AB1325" i="25"/>
  <c r="X1326" i="25"/>
  <c r="Z1326" i="25"/>
  <c r="AB1326" i="25"/>
  <c r="X1327" i="25"/>
  <c r="Z1327" i="25"/>
  <c r="AB1327" i="25"/>
  <c r="X1328" i="25"/>
  <c r="Z1328" i="25"/>
  <c r="AB1328" i="25"/>
  <c r="X1329" i="25"/>
  <c r="Z1329" i="25"/>
  <c r="AB1329" i="25"/>
  <c r="X1330" i="25"/>
  <c r="Z1330" i="25"/>
  <c r="AB1330" i="25"/>
  <c r="X1331" i="25"/>
  <c r="Z1331" i="25"/>
  <c r="AB1331" i="25"/>
  <c r="X1332" i="25"/>
  <c r="Z1332" i="25"/>
  <c r="AB1332" i="25"/>
  <c r="X1333" i="25"/>
  <c r="Z1333" i="25"/>
  <c r="AB1333" i="25"/>
  <c r="X1334" i="25"/>
  <c r="Z1334" i="25"/>
  <c r="AB1334" i="25"/>
  <c r="X1335" i="25"/>
  <c r="Z1335" i="25"/>
  <c r="AB1335" i="25"/>
  <c r="X1336" i="25"/>
  <c r="Z1336" i="25"/>
  <c r="AB1336" i="25"/>
  <c r="X1337" i="25"/>
  <c r="Z1337" i="25"/>
  <c r="AB1337" i="25"/>
  <c r="X1338" i="25"/>
  <c r="Z1338" i="25"/>
  <c r="AB1338" i="25"/>
  <c r="X1339" i="25"/>
  <c r="Z1339" i="25"/>
  <c r="AB1339" i="25"/>
  <c r="X1340" i="25"/>
  <c r="Z1340" i="25"/>
  <c r="AB1340" i="25"/>
  <c r="X1341" i="25"/>
  <c r="Z1341" i="25"/>
  <c r="AB1341" i="25"/>
  <c r="X1342" i="25"/>
  <c r="Z1342" i="25"/>
  <c r="AB1342" i="25"/>
  <c r="X1343" i="25"/>
  <c r="Z1343" i="25"/>
  <c r="AB1343" i="25"/>
  <c r="X1344" i="25"/>
  <c r="Z1344" i="25"/>
  <c r="AB1344" i="25"/>
  <c r="X1345" i="25"/>
  <c r="Z1345" i="25"/>
  <c r="AB1345" i="25"/>
  <c r="X1346" i="25"/>
  <c r="Z1346" i="25"/>
  <c r="AB1346" i="25"/>
  <c r="X1347" i="25"/>
  <c r="Z1347" i="25"/>
  <c r="AB1347" i="25"/>
  <c r="X1348" i="25"/>
  <c r="Z1348" i="25"/>
  <c r="AB1348" i="25"/>
  <c r="X1349" i="25"/>
  <c r="Z1349" i="25"/>
  <c r="AB1349" i="25"/>
  <c r="X1350" i="25"/>
  <c r="Z1350" i="25"/>
  <c r="AB1350" i="25"/>
  <c r="X1351" i="25"/>
  <c r="Z1351" i="25"/>
  <c r="AB1351" i="25"/>
  <c r="X1352" i="25"/>
  <c r="Z1352" i="25"/>
  <c r="AB1352" i="25"/>
  <c r="X1353" i="25"/>
  <c r="Z1353" i="25"/>
  <c r="AB1353" i="25"/>
  <c r="X1354" i="25"/>
  <c r="Z1354" i="25"/>
  <c r="AB1354" i="25"/>
  <c r="X1355" i="25"/>
  <c r="Z1355" i="25"/>
  <c r="AB1355" i="25"/>
  <c r="X1356" i="25"/>
  <c r="Z1356" i="25"/>
  <c r="AB1356" i="25"/>
  <c r="X1357" i="25"/>
  <c r="Z1357" i="25"/>
  <c r="AB1357" i="25"/>
  <c r="X1358" i="25"/>
  <c r="Z1358" i="25"/>
  <c r="AB1358" i="25"/>
  <c r="X1359" i="25"/>
  <c r="Z1359" i="25"/>
  <c r="AB1359" i="25"/>
  <c r="X1360" i="25"/>
  <c r="Z1360" i="25"/>
  <c r="AB1360" i="25"/>
  <c r="X1361" i="25"/>
  <c r="Z1361" i="25"/>
  <c r="AB1361" i="25"/>
  <c r="X1362" i="25"/>
  <c r="Z1362" i="25"/>
  <c r="AB1362" i="25"/>
  <c r="X1363" i="25"/>
  <c r="Z1363" i="25"/>
  <c r="AB1363" i="25"/>
  <c r="X1364" i="25"/>
  <c r="Z1364" i="25"/>
  <c r="AB1364" i="25"/>
  <c r="X1365" i="25"/>
  <c r="Z1365" i="25"/>
  <c r="AB1365" i="25"/>
  <c r="X1366" i="25"/>
  <c r="Z1366" i="25"/>
  <c r="AB1366" i="25"/>
  <c r="X1367" i="25"/>
  <c r="Z1367" i="25"/>
  <c r="AB1367" i="25"/>
  <c r="X1368" i="25"/>
  <c r="Z1368" i="25"/>
  <c r="AB1368" i="25"/>
  <c r="X1369" i="25"/>
  <c r="Z1369" i="25"/>
  <c r="AB1369" i="25"/>
  <c r="X1370" i="25"/>
  <c r="Z1370" i="25"/>
  <c r="AB1370" i="25"/>
  <c r="X1371" i="25"/>
  <c r="Z1371" i="25"/>
  <c r="AB1371" i="25"/>
  <c r="X1372" i="25"/>
  <c r="Z1372" i="25"/>
  <c r="AB1372" i="25"/>
  <c r="X1373" i="25"/>
  <c r="Z1373" i="25"/>
  <c r="AB1373" i="25"/>
  <c r="X1374" i="25"/>
  <c r="Z1374" i="25"/>
  <c r="AB1374" i="25"/>
  <c r="X1375" i="25"/>
  <c r="Z1375" i="25"/>
  <c r="AB1375" i="25"/>
  <c r="X1376" i="25"/>
  <c r="Z1376" i="25"/>
  <c r="AB1376" i="25"/>
  <c r="X1377" i="25"/>
  <c r="Z1377" i="25"/>
  <c r="AB1377" i="25"/>
  <c r="X1378" i="25"/>
  <c r="Z1378" i="25"/>
  <c r="AB1378" i="25"/>
  <c r="X1379" i="25"/>
  <c r="Z1379" i="25"/>
  <c r="AB1379" i="25"/>
  <c r="X1380" i="25"/>
  <c r="Z1380" i="25"/>
  <c r="AB1380" i="25"/>
  <c r="X1381" i="25"/>
  <c r="Z1381" i="25"/>
  <c r="AB1381" i="25"/>
  <c r="X1382" i="25"/>
  <c r="Z1382" i="25"/>
  <c r="AB1382" i="25"/>
  <c r="X1383" i="25"/>
  <c r="Z1383" i="25"/>
  <c r="AB1383" i="25"/>
  <c r="X1384" i="25"/>
  <c r="Z1384" i="25"/>
  <c r="AB1384" i="25"/>
  <c r="X1385" i="25"/>
  <c r="Z1385" i="25"/>
  <c r="AB1385" i="25"/>
  <c r="X1386" i="25"/>
  <c r="Z1386" i="25"/>
  <c r="AB1386" i="25"/>
  <c r="X1387" i="25"/>
  <c r="Z1387" i="25"/>
  <c r="AB1387" i="25"/>
  <c r="X1388" i="25"/>
  <c r="Z1388" i="25"/>
  <c r="AB1388" i="25"/>
  <c r="X1389" i="25"/>
  <c r="Z1389" i="25"/>
  <c r="AB1389" i="25"/>
  <c r="X1390" i="25"/>
  <c r="Z1390" i="25"/>
  <c r="AB1390" i="25"/>
  <c r="X1391" i="25"/>
  <c r="Z1391" i="25"/>
  <c r="AB1391" i="25"/>
  <c r="X1392" i="25"/>
  <c r="Z1392" i="25"/>
  <c r="AB1392" i="25"/>
  <c r="X1393" i="25"/>
  <c r="Z1393" i="25"/>
  <c r="AB1393" i="25"/>
  <c r="X1394" i="25"/>
  <c r="Z1394" i="25"/>
  <c r="AB1394" i="25"/>
  <c r="X1395" i="25"/>
  <c r="Z1395" i="25"/>
  <c r="AB1395" i="25"/>
  <c r="X1396" i="25"/>
  <c r="Z1396" i="25"/>
  <c r="AB1396" i="25"/>
  <c r="X1397" i="25"/>
  <c r="Z1397" i="25"/>
  <c r="AB1397" i="25"/>
  <c r="X1398" i="25"/>
  <c r="Z1398" i="25"/>
  <c r="AB1398" i="25"/>
  <c r="X1399" i="25"/>
  <c r="Z1399" i="25"/>
  <c r="AB1399" i="25"/>
  <c r="X1400" i="25"/>
  <c r="Z1400" i="25"/>
  <c r="AB1400" i="25"/>
  <c r="X1401" i="25"/>
  <c r="Z1401" i="25"/>
  <c r="AB1401" i="25"/>
  <c r="X1402" i="25"/>
  <c r="Z1402" i="25"/>
  <c r="AB1402" i="25"/>
  <c r="X1403" i="25"/>
  <c r="Z1403" i="25"/>
  <c r="AB1403" i="25"/>
  <c r="X1404" i="25"/>
  <c r="Z1404" i="25"/>
  <c r="AB1404" i="25"/>
  <c r="X1405" i="25"/>
  <c r="Z1405" i="25"/>
  <c r="AB1405" i="25"/>
  <c r="X1406" i="25"/>
  <c r="Z1406" i="25"/>
  <c r="AB1406" i="25"/>
  <c r="X1407" i="25"/>
  <c r="Z1407" i="25"/>
  <c r="AB1407" i="25"/>
  <c r="X1408" i="25"/>
  <c r="Z1408" i="25"/>
  <c r="AB1408" i="25"/>
  <c r="X1409" i="25"/>
  <c r="Z1409" i="25"/>
  <c r="AB1409" i="25"/>
  <c r="X1410" i="25"/>
  <c r="Z1410" i="25"/>
  <c r="AB1410" i="25"/>
  <c r="X1411" i="25"/>
  <c r="Z1411" i="25"/>
  <c r="AB1411" i="25"/>
  <c r="X1412" i="25"/>
  <c r="Z1412" i="25"/>
  <c r="AB1412" i="25"/>
  <c r="X1413" i="25"/>
  <c r="Z1413" i="25"/>
  <c r="AB1413" i="25"/>
  <c r="X1414" i="25"/>
  <c r="Z1414" i="25"/>
  <c r="AB1414" i="25"/>
  <c r="X1415" i="25"/>
  <c r="Z1415" i="25"/>
  <c r="AB1415" i="25"/>
  <c r="X1416" i="25"/>
  <c r="Z1416" i="25"/>
  <c r="AB1416" i="25"/>
  <c r="X1417" i="25"/>
  <c r="Z1417" i="25"/>
  <c r="AB1417" i="25"/>
  <c r="X1418" i="25"/>
  <c r="Z1418" i="25"/>
  <c r="AB1418" i="25"/>
  <c r="X1419" i="25"/>
  <c r="Z1419" i="25"/>
  <c r="AB1419" i="25"/>
  <c r="X1420" i="25"/>
  <c r="Z1420" i="25"/>
  <c r="AB1420" i="25"/>
  <c r="X1421" i="25"/>
  <c r="Z1421" i="25"/>
  <c r="AB1421" i="25"/>
  <c r="X1422" i="25"/>
  <c r="Z1422" i="25"/>
  <c r="AB1422" i="25"/>
  <c r="X1423" i="25"/>
  <c r="Z1423" i="25"/>
  <c r="AB1423" i="25"/>
  <c r="X1424" i="25"/>
  <c r="Z1424" i="25"/>
  <c r="AB1424" i="25"/>
  <c r="X1425" i="25"/>
  <c r="Z1425" i="25"/>
  <c r="AB1425" i="25"/>
  <c r="X1426" i="25"/>
  <c r="Z1426" i="25"/>
  <c r="AB1426" i="25"/>
  <c r="X1427" i="25"/>
  <c r="Z1427" i="25"/>
  <c r="AB1427" i="25"/>
  <c r="X1428" i="25"/>
  <c r="Z1428" i="25"/>
  <c r="AB1428" i="25"/>
  <c r="X1429" i="25"/>
  <c r="Z1429" i="25"/>
  <c r="AB1429" i="25"/>
  <c r="X1430" i="25"/>
  <c r="Z1430" i="25"/>
  <c r="AB1430" i="25"/>
  <c r="X1431" i="25"/>
  <c r="Z1431" i="25"/>
  <c r="AB1431" i="25"/>
  <c r="X1432" i="25"/>
  <c r="Z1432" i="25"/>
  <c r="AB1432" i="25"/>
  <c r="X1433" i="25"/>
  <c r="Z1433" i="25"/>
  <c r="AB1433" i="25"/>
  <c r="X1434" i="25"/>
  <c r="Z1434" i="25"/>
  <c r="AB1434" i="25"/>
  <c r="X1435" i="25"/>
  <c r="Z1435" i="25"/>
  <c r="AB1435" i="25"/>
  <c r="X1436" i="25"/>
  <c r="Z1436" i="25"/>
  <c r="AB1436" i="25"/>
  <c r="X1437" i="25"/>
  <c r="Z1437" i="25"/>
  <c r="AB1437" i="25"/>
  <c r="X1438" i="25"/>
  <c r="Z1438" i="25"/>
  <c r="AB1438" i="25"/>
  <c r="X1439" i="25"/>
  <c r="Z1439" i="25"/>
  <c r="AB1439" i="25"/>
  <c r="X1440" i="25"/>
  <c r="Z1440" i="25"/>
  <c r="AB1440" i="25"/>
  <c r="X1441" i="25"/>
  <c r="Z1441" i="25"/>
  <c r="AB1441" i="25"/>
  <c r="X1442" i="25"/>
  <c r="Z1442" i="25"/>
  <c r="AB1442" i="25"/>
  <c r="X1443" i="25"/>
  <c r="Z1443" i="25"/>
  <c r="AB1443" i="25"/>
  <c r="X1444" i="25"/>
  <c r="Z1444" i="25"/>
  <c r="AB1444" i="25"/>
  <c r="X1445" i="25"/>
  <c r="Z1445" i="25"/>
  <c r="AB1445" i="25"/>
  <c r="X1446" i="25"/>
  <c r="Z1446" i="25"/>
  <c r="AB1446" i="25"/>
  <c r="X1447" i="25"/>
  <c r="Z1447" i="25"/>
  <c r="AB1447" i="25"/>
  <c r="X1448" i="25"/>
  <c r="Z1448" i="25"/>
  <c r="AB1448" i="25"/>
  <c r="X1449" i="25"/>
  <c r="Z1449" i="25"/>
  <c r="AB1449" i="25"/>
  <c r="X1450" i="25"/>
  <c r="Z1450" i="25"/>
  <c r="AB1450" i="25"/>
  <c r="X1451" i="25"/>
  <c r="Z1451" i="25"/>
  <c r="AB1451" i="25"/>
  <c r="X1452" i="25"/>
  <c r="Z1452" i="25"/>
  <c r="AB1452" i="25"/>
  <c r="X1453" i="25"/>
  <c r="Z1453" i="25"/>
  <c r="AB1453" i="25"/>
  <c r="X1454" i="25"/>
  <c r="Z1454" i="25"/>
  <c r="AB1454" i="25"/>
  <c r="X1455" i="25"/>
  <c r="Z1455" i="25"/>
  <c r="AB1455" i="25"/>
  <c r="X1456" i="25"/>
  <c r="Z1456" i="25"/>
  <c r="AB1456" i="25"/>
  <c r="X1457" i="25"/>
  <c r="Z1457" i="25"/>
  <c r="AB1457" i="25"/>
  <c r="X1458" i="25"/>
  <c r="Z1458" i="25"/>
  <c r="AB1458" i="25"/>
  <c r="X1459" i="25"/>
  <c r="Z1459" i="25"/>
  <c r="AB1459" i="25"/>
  <c r="X1460" i="25"/>
  <c r="Z1460" i="25"/>
  <c r="AB1460" i="25"/>
  <c r="X1461" i="25"/>
  <c r="Z1461" i="25"/>
  <c r="AB1461" i="25"/>
  <c r="X1462" i="25"/>
  <c r="Z1462" i="25"/>
  <c r="AB1462" i="25"/>
  <c r="X1463" i="25"/>
  <c r="Z1463" i="25"/>
  <c r="AB1463" i="25"/>
  <c r="X1464" i="25"/>
  <c r="Z1464" i="25"/>
  <c r="AB1464" i="25"/>
  <c r="X1465" i="25"/>
  <c r="Z1465" i="25"/>
  <c r="AB1465" i="25"/>
  <c r="X1466" i="25"/>
  <c r="Z1466" i="25"/>
  <c r="AB1466" i="25"/>
  <c r="X1467" i="25"/>
  <c r="Z1467" i="25"/>
  <c r="AB1467" i="25"/>
  <c r="X1468" i="25"/>
  <c r="Z1468" i="25"/>
  <c r="AB1468" i="25"/>
  <c r="X1469" i="25"/>
  <c r="Z1469" i="25"/>
  <c r="AB1469" i="25"/>
  <c r="X1470" i="25"/>
  <c r="Z1470" i="25"/>
  <c r="AB1470" i="25"/>
  <c r="X1471" i="25"/>
  <c r="Z1471" i="25"/>
  <c r="AB1471" i="25"/>
  <c r="X1472" i="25"/>
  <c r="Z1472" i="25"/>
  <c r="AB1472" i="25"/>
  <c r="X1473" i="25"/>
  <c r="Z1473" i="25"/>
  <c r="AB1473" i="25"/>
  <c r="X1474" i="25"/>
  <c r="Z1474" i="25"/>
  <c r="AB1474" i="25"/>
  <c r="X1475" i="25"/>
  <c r="Z1475" i="25"/>
  <c r="AB1475" i="25"/>
  <c r="X1476" i="25"/>
  <c r="Z1476" i="25"/>
  <c r="AB1476" i="25"/>
  <c r="X1477" i="25"/>
  <c r="Z1477" i="25"/>
  <c r="AB1477" i="25"/>
  <c r="X1478" i="25"/>
  <c r="Z1478" i="25"/>
  <c r="AB1478" i="25"/>
  <c r="X1479" i="25"/>
  <c r="Z1479" i="25"/>
  <c r="AB1479" i="25"/>
  <c r="X1480" i="25"/>
  <c r="Z1480" i="25"/>
  <c r="AB1480" i="25"/>
  <c r="X1481" i="25"/>
  <c r="Z1481" i="25"/>
  <c r="AB1481" i="25"/>
  <c r="X1482" i="25"/>
  <c r="Z1482" i="25"/>
  <c r="AB1482" i="25"/>
  <c r="X1483" i="25"/>
  <c r="Z1483" i="25"/>
  <c r="AB1483" i="25"/>
  <c r="X1484" i="25"/>
  <c r="Z1484" i="25"/>
  <c r="AB1484" i="25"/>
  <c r="X1485" i="25"/>
  <c r="Z1485" i="25"/>
  <c r="AB1485" i="25"/>
  <c r="X1486" i="25"/>
  <c r="Z1486" i="25"/>
  <c r="AB1486" i="25"/>
  <c r="X1487" i="25"/>
  <c r="Z1487" i="25"/>
  <c r="AB1487" i="25"/>
  <c r="X1488" i="25"/>
  <c r="Z1488" i="25"/>
  <c r="AB1488" i="25"/>
  <c r="X1489" i="25"/>
  <c r="Z1489" i="25"/>
  <c r="AB1489" i="25"/>
  <c r="X1490" i="25"/>
  <c r="Z1490" i="25"/>
  <c r="AB1490" i="25"/>
  <c r="X1491" i="25"/>
  <c r="Z1491" i="25"/>
  <c r="AB1491" i="25"/>
  <c r="X1492" i="25"/>
  <c r="Z1492" i="25"/>
  <c r="AB1492" i="25"/>
  <c r="X1493" i="25"/>
  <c r="Z1493" i="25"/>
  <c r="AB1493" i="25"/>
  <c r="X1494" i="25"/>
  <c r="Z1494" i="25"/>
  <c r="AB1494" i="25"/>
  <c r="X1495" i="25"/>
  <c r="Z1495" i="25"/>
  <c r="AB1495" i="25"/>
  <c r="X1496" i="25"/>
  <c r="Z1496" i="25"/>
  <c r="AB1496" i="25"/>
  <c r="X1497" i="25"/>
  <c r="Z1497" i="25"/>
  <c r="AB1497" i="25"/>
  <c r="X1498" i="25"/>
  <c r="Z1498" i="25"/>
  <c r="AB1498" i="25"/>
  <c r="X1499" i="25"/>
  <c r="Z1499" i="25"/>
  <c r="AB1499" i="25"/>
  <c r="X1500" i="25"/>
  <c r="Z1500" i="25"/>
  <c r="AB1500" i="25"/>
  <c r="X1501" i="25"/>
  <c r="Z1501" i="25"/>
  <c r="AB1501" i="25"/>
  <c r="X1502" i="25"/>
  <c r="Z1502" i="25"/>
  <c r="AB1502" i="25"/>
  <c r="X1503" i="25"/>
  <c r="Z1503" i="25"/>
  <c r="AB1503" i="25"/>
  <c r="X1504" i="25"/>
  <c r="Z1504" i="25"/>
  <c r="AB1504" i="25"/>
  <c r="X1505" i="25"/>
  <c r="Z1505" i="25"/>
  <c r="AB1505" i="25"/>
  <c r="X1506" i="25"/>
  <c r="Z1506" i="25"/>
  <c r="AB1506" i="25"/>
  <c r="X1507" i="25"/>
  <c r="Z1507" i="25"/>
  <c r="AB1507" i="25"/>
  <c r="X1508" i="25"/>
  <c r="Z1508" i="25"/>
  <c r="AB1508" i="25"/>
  <c r="X1509" i="25"/>
  <c r="Z1509" i="25"/>
  <c r="AB1509" i="25"/>
  <c r="X1510" i="25"/>
  <c r="Z1510" i="25"/>
  <c r="AB1510" i="25"/>
  <c r="X1511" i="25"/>
  <c r="Z1511" i="25"/>
  <c r="AB1511" i="25"/>
  <c r="X1512" i="25"/>
  <c r="Z1512" i="25"/>
  <c r="AB1512" i="25"/>
  <c r="X1513" i="25"/>
  <c r="Z1513" i="25"/>
  <c r="AB1513" i="25"/>
  <c r="X1514" i="25"/>
  <c r="Z1514" i="25"/>
  <c r="AB1514" i="25"/>
  <c r="X1515" i="25"/>
  <c r="Z1515" i="25"/>
  <c r="AB1515" i="25"/>
  <c r="X1516" i="25"/>
  <c r="Z1516" i="25"/>
  <c r="AB1516" i="25"/>
  <c r="X1517" i="25"/>
  <c r="Z1517" i="25"/>
  <c r="AB1517" i="25"/>
  <c r="X1518" i="25"/>
  <c r="Z1518" i="25"/>
  <c r="AB1518" i="25"/>
  <c r="X1519" i="25"/>
  <c r="Z1519" i="25"/>
  <c r="AB1519" i="25"/>
  <c r="X1520" i="25"/>
  <c r="Z1520" i="25"/>
  <c r="AB1520" i="25"/>
  <c r="X1521" i="25"/>
  <c r="Z1521" i="25"/>
  <c r="AB1521" i="25"/>
  <c r="X1522" i="25"/>
  <c r="Z1522" i="25"/>
  <c r="AB1522" i="25"/>
  <c r="X1523" i="25"/>
  <c r="Z1523" i="25"/>
  <c r="AB1523" i="25"/>
  <c r="X1524" i="25"/>
  <c r="Z1524" i="25"/>
  <c r="AB1524" i="25"/>
  <c r="X1525" i="25"/>
  <c r="Z1525" i="25"/>
  <c r="AB1525" i="25"/>
  <c r="X1526" i="25"/>
  <c r="Z1526" i="25"/>
  <c r="AB1526" i="25"/>
  <c r="X1527" i="25"/>
  <c r="Z1527" i="25"/>
  <c r="AB1527" i="25"/>
  <c r="X1528" i="25"/>
  <c r="Z1528" i="25"/>
  <c r="AB1528" i="25"/>
  <c r="X1529" i="25"/>
  <c r="Z1529" i="25"/>
  <c r="AB1529" i="25"/>
  <c r="X1530" i="25"/>
  <c r="Z1530" i="25"/>
  <c r="AB1530" i="25"/>
  <c r="X1531" i="25"/>
  <c r="Z1531" i="25"/>
  <c r="AB1531" i="25"/>
  <c r="X1532" i="25"/>
  <c r="Z1532" i="25"/>
  <c r="AB1532" i="25"/>
  <c r="X1533" i="25"/>
  <c r="Z1533" i="25"/>
  <c r="AB1533" i="25"/>
  <c r="X1534" i="25"/>
  <c r="Z1534" i="25"/>
  <c r="AB1534" i="25"/>
  <c r="X1535" i="25"/>
  <c r="Z1535" i="25"/>
  <c r="AB1535" i="25"/>
  <c r="X1536" i="25"/>
  <c r="Z1536" i="25"/>
  <c r="AB1536" i="25"/>
  <c r="X1537" i="25"/>
  <c r="Z1537" i="25"/>
  <c r="AB1537" i="25"/>
  <c r="X1538" i="25"/>
  <c r="Z1538" i="25"/>
  <c r="AB1538" i="25"/>
  <c r="X1539" i="25"/>
  <c r="Z1539" i="25"/>
  <c r="AB1539" i="25"/>
  <c r="X1540" i="25"/>
  <c r="Z1540" i="25"/>
  <c r="AB1540" i="25"/>
  <c r="X1541" i="25"/>
  <c r="Z1541" i="25"/>
  <c r="AB1541" i="25"/>
  <c r="X1542" i="25"/>
  <c r="Z1542" i="25"/>
  <c r="AB1542" i="25"/>
  <c r="X1543" i="25"/>
  <c r="Z1543" i="25"/>
  <c r="AB1543" i="25"/>
  <c r="X1544" i="25"/>
  <c r="Z1544" i="25"/>
  <c r="AB1544" i="25"/>
  <c r="X1545" i="25"/>
  <c r="Z1545" i="25"/>
  <c r="AB1545" i="25"/>
  <c r="X1546" i="25"/>
  <c r="Z1546" i="25"/>
  <c r="AB1546" i="25"/>
  <c r="X1547" i="25"/>
  <c r="Z1547" i="25"/>
  <c r="AB1547" i="25"/>
  <c r="X1548" i="25"/>
  <c r="Z1548" i="25"/>
  <c r="AB1548" i="25"/>
  <c r="X1549" i="25"/>
  <c r="Z1549" i="25"/>
  <c r="AB1549" i="25"/>
  <c r="X1550" i="25"/>
  <c r="Z1550" i="25"/>
  <c r="AB1550" i="25"/>
  <c r="X1551" i="25"/>
  <c r="Z1551" i="25"/>
  <c r="AB1551" i="25"/>
  <c r="X1552" i="25"/>
  <c r="Z1552" i="25"/>
  <c r="AB1552" i="25"/>
  <c r="X1553" i="25"/>
  <c r="Z1553" i="25"/>
  <c r="AB1553" i="25"/>
  <c r="X1554" i="25"/>
  <c r="Z1554" i="25"/>
  <c r="AB1554" i="25"/>
  <c r="X1555" i="25"/>
  <c r="Z1555" i="25"/>
  <c r="AB1555" i="25"/>
  <c r="X1556" i="25"/>
  <c r="Z1556" i="25"/>
  <c r="AB1556" i="25"/>
  <c r="X1557" i="25"/>
  <c r="Z1557" i="25"/>
  <c r="AB1557" i="25"/>
  <c r="X1558" i="25"/>
  <c r="Z1558" i="25"/>
  <c r="AB1558" i="25"/>
  <c r="X1559" i="25"/>
  <c r="Z1559" i="25"/>
  <c r="AB1559" i="25"/>
  <c r="X1560" i="25"/>
  <c r="Z1560" i="25"/>
  <c r="AB1560" i="25"/>
  <c r="X1561" i="25"/>
  <c r="Z1561" i="25"/>
  <c r="AB1561" i="25"/>
  <c r="X1562" i="25"/>
  <c r="Z1562" i="25"/>
  <c r="AB1562" i="25"/>
  <c r="X1563" i="25"/>
  <c r="Z1563" i="25"/>
  <c r="AB1563" i="25"/>
  <c r="X1564" i="25"/>
  <c r="Z1564" i="25"/>
  <c r="AB1564" i="25"/>
  <c r="X1565" i="25"/>
  <c r="Z1565" i="25"/>
  <c r="AB1565" i="25"/>
  <c r="X1566" i="25"/>
  <c r="Z1566" i="25"/>
  <c r="AB1566" i="25"/>
  <c r="X1567" i="25"/>
  <c r="Z1567" i="25"/>
  <c r="AB1567" i="25"/>
  <c r="X1568" i="25"/>
  <c r="Z1568" i="25"/>
  <c r="AB1568" i="25"/>
  <c r="X1569" i="25"/>
  <c r="Z1569" i="25"/>
  <c r="AB1569" i="25"/>
  <c r="X1570" i="25"/>
  <c r="Z1570" i="25"/>
  <c r="AB1570" i="25"/>
  <c r="X1571" i="25"/>
  <c r="Z1571" i="25"/>
  <c r="AB1571" i="25"/>
  <c r="X1572" i="25"/>
  <c r="Z1572" i="25"/>
  <c r="AB1572" i="25"/>
  <c r="X1573" i="25"/>
  <c r="Z1573" i="25"/>
  <c r="AB1573" i="25"/>
  <c r="X1574" i="25"/>
  <c r="Z1574" i="25"/>
  <c r="AB1574" i="25"/>
  <c r="X1575" i="25"/>
  <c r="Z1575" i="25"/>
  <c r="AB1575" i="25"/>
  <c r="X1576" i="25"/>
  <c r="Z1576" i="25"/>
  <c r="AB1576" i="25"/>
  <c r="X1577" i="25"/>
  <c r="Z1577" i="25"/>
  <c r="AB1577" i="25"/>
  <c r="X1578" i="25"/>
  <c r="Z1578" i="25"/>
  <c r="AB1578" i="25"/>
  <c r="X1579" i="25"/>
  <c r="Z1579" i="25"/>
  <c r="AB1579" i="25"/>
  <c r="X1580" i="25"/>
  <c r="Z1580" i="25"/>
  <c r="AB1580" i="25"/>
  <c r="X1581" i="25"/>
  <c r="Z1581" i="25"/>
  <c r="AB1581" i="25"/>
  <c r="X1582" i="25"/>
  <c r="Z1582" i="25"/>
  <c r="AB1582" i="25"/>
  <c r="X1583" i="25"/>
  <c r="Z1583" i="25"/>
  <c r="AB1583" i="25"/>
  <c r="X1584" i="25"/>
  <c r="Z1584" i="25"/>
  <c r="AB1584" i="25"/>
  <c r="X1585" i="25"/>
  <c r="Z1585" i="25"/>
  <c r="AB1585" i="25"/>
  <c r="X1586" i="25"/>
  <c r="Z1586" i="25"/>
  <c r="AB1586" i="25"/>
  <c r="X1587" i="25"/>
  <c r="Z1587" i="25"/>
  <c r="AB1587" i="25"/>
  <c r="X1588" i="25"/>
  <c r="Z1588" i="25"/>
  <c r="AB1588" i="25"/>
  <c r="X1589" i="25"/>
  <c r="Z1589" i="25"/>
  <c r="AB1589" i="25"/>
  <c r="X1590" i="25"/>
  <c r="Z1590" i="25"/>
  <c r="AB1590" i="25"/>
  <c r="X1591" i="25"/>
  <c r="Z1591" i="25"/>
  <c r="AB1591" i="25"/>
  <c r="X1592" i="25"/>
  <c r="Z1592" i="25"/>
  <c r="AB1592" i="25"/>
  <c r="X1593" i="25"/>
  <c r="Z1593" i="25"/>
  <c r="AB1593" i="25"/>
  <c r="X1594" i="25"/>
  <c r="Z1594" i="25"/>
  <c r="AB1594" i="25"/>
  <c r="X1595" i="25"/>
  <c r="Z1595" i="25"/>
  <c r="AB1595" i="25"/>
  <c r="X1596" i="25"/>
  <c r="Z1596" i="25"/>
  <c r="AB1596" i="25"/>
  <c r="X1597" i="25"/>
  <c r="Z1597" i="25"/>
  <c r="AB1597" i="25"/>
  <c r="X1598" i="25"/>
  <c r="Z1598" i="25"/>
  <c r="AB1598" i="25"/>
  <c r="X1599" i="25"/>
  <c r="Z1599" i="25"/>
  <c r="AB1599" i="25"/>
  <c r="X1600" i="25"/>
  <c r="Z1600" i="25"/>
  <c r="AB1600" i="25"/>
  <c r="X1601" i="25"/>
  <c r="Z1601" i="25"/>
  <c r="AB1601" i="25"/>
  <c r="X1602" i="25"/>
  <c r="Z1602" i="25"/>
  <c r="AB1602" i="25"/>
  <c r="X1603" i="25"/>
  <c r="Z1603" i="25"/>
  <c r="AB1603" i="25"/>
  <c r="X1604" i="25"/>
  <c r="Z1604" i="25"/>
  <c r="AB1604" i="25"/>
  <c r="X1605" i="25"/>
  <c r="Z1605" i="25"/>
  <c r="AB1605" i="25"/>
  <c r="X1606" i="25"/>
  <c r="Z1606" i="25"/>
  <c r="AB1606" i="25"/>
  <c r="X1607" i="25"/>
  <c r="Z1607" i="25"/>
  <c r="AB1607" i="25"/>
  <c r="AB3" i="25" a="1"/>
  <c r="AB3" i="25"/>
  <c r="W1608" i="25"/>
  <c r="X1608" i="25"/>
  <c r="Y1608" i="25"/>
  <c r="Z1608" i="25"/>
  <c r="AA1608" i="25"/>
  <c r="AB1608" i="25"/>
  <c r="AC1608" i="25"/>
  <c r="W1609" i="25"/>
  <c r="X1609" i="25"/>
  <c r="Y1609" i="25"/>
  <c r="Z1609" i="25"/>
  <c r="AA1609" i="25"/>
  <c r="AB1609" i="25"/>
  <c r="AC1609" i="25"/>
  <c r="W1610" i="25"/>
  <c r="X1610" i="25"/>
  <c r="Y1610" i="25"/>
  <c r="Z1610" i="25"/>
  <c r="AA1610" i="25"/>
  <c r="AB1610" i="25"/>
  <c r="AC1610" i="25"/>
  <c r="W1611" i="25"/>
  <c r="X1611" i="25"/>
  <c r="Y1611" i="25"/>
  <c r="Z1611" i="25"/>
  <c r="AA1611" i="25"/>
  <c r="AB1611" i="25"/>
  <c r="AC1611" i="25"/>
  <c r="W1612" i="25"/>
  <c r="X1612" i="25"/>
  <c r="Y1612" i="25"/>
  <c r="Z1612" i="25"/>
  <c r="AA1612" i="25"/>
  <c r="AB1612" i="25"/>
  <c r="AC1612" i="25"/>
  <c r="W1613" i="25"/>
  <c r="X1613" i="25"/>
  <c r="Y1613" i="25"/>
  <c r="Z1613" i="25"/>
  <c r="AA1613" i="25"/>
  <c r="AB1613" i="25"/>
  <c r="AC1613" i="25"/>
  <c r="W1614" i="25"/>
  <c r="X1614" i="25"/>
  <c r="Y1614" i="25"/>
  <c r="Z1614" i="25"/>
  <c r="AA1614" i="25"/>
  <c r="AB1614" i="25"/>
  <c r="AC1614" i="25"/>
  <c r="W1615" i="25"/>
  <c r="X1615" i="25"/>
  <c r="Y1615" i="25"/>
  <c r="Z1615" i="25"/>
  <c r="AA1615" i="25"/>
  <c r="AB1615" i="25"/>
  <c r="AC1615" i="25"/>
  <c r="W1616" i="25"/>
  <c r="X1616" i="25"/>
  <c r="Y1616" i="25"/>
  <c r="Z1616" i="25"/>
  <c r="AA1616" i="25"/>
  <c r="AB1616" i="25"/>
  <c r="AC1616" i="25"/>
  <c r="W1617" i="25"/>
  <c r="X1617" i="25"/>
  <c r="Y1617" i="25"/>
  <c r="Z1617" i="25"/>
  <c r="AA1617" i="25"/>
  <c r="AB1617" i="25"/>
  <c r="AC1617" i="25"/>
  <c r="W1618" i="25"/>
  <c r="X1618" i="25"/>
  <c r="Y1618" i="25"/>
  <c r="Z1618" i="25"/>
  <c r="AA1618" i="25"/>
  <c r="AB1618" i="25"/>
  <c r="AC1618" i="25"/>
  <c r="AG8" i="25"/>
  <c r="AG3" i="25"/>
  <c r="Y1" i="25"/>
  <c r="B2" i="25"/>
  <c r="AC5" i="25" a="1"/>
  <c r="AC5" i="25"/>
  <c r="AG10" i="25"/>
  <c r="AI10" i="25" a="1"/>
  <c r="AI10" i="25"/>
  <c r="AE10" i="25" a="1"/>
  <c r="AE10" i="25"/>
  <c r="AB5" i="25" a="1"/>
  <c r="AB5" i="25"/>
  <c r="AG5" i="25"/>
  <c r="AI5" i="25" a="1"/>
  <c r="AI5" i="25"/>
  <c r="AE5" i="25" a="1"/>
  <c r="AE5" i="25"/>
  <c r="AF5" i="25" a="1"/>
  <c r="AF5" i="25"/>
  <c r="AH5" i="25" a="1"/>
  <c r="AH5" i="25"/>
  <c r="AF10" i="25" a="1"/>
  <c r="AF10" i="25"/>
  <c r="AH10" i="25" a="1"/>
  <c r="AH10" i="2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<sst xmlns="http://schemas.openxmlformats.org/spreadsheetml/2006/main" count="62" uniqueCount="59">
  <si>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</si>
  <si>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</si>
  <si>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</si>
  <si>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</si>
  <si>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</si>
  <si>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</si>
  <si>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</si>
  <si>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</si>
  <si>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</si>
  <si>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</si>
  <si>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</si>
  <si>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Rename this sheet to "xlwings.conf" to activate it.  The settings have to start in cell A1.</t>
  </si>
  <si>
    <t>If you delete a row from here, it will fall back to the first non-empty value xlwings finds in an xlwings.conf file and otherwise use the default values.</t>
  </si>
  <si>
    <t>python</t>
  </si>
  <si>
    <t>Show Console</t>
  </si>
  <si>
    <t>tickers</t>
  </si>
  <si>
    <t>headers</t>
  </si>
  <si>
    <t>currency</t>
  </si>
  <si>
    <t>USD</t>
  </si>
  <si>
    <t>EUR</t>
  </si>
  <si>
    <t>EUR_USD</t>
  </si>
  <si>
    <t>TTF_M1_forecast</t>
  </si>
  <si>
    <t>returns</t>
  </si>
  <si>
    <t>days</t>
  </si>
  <si>
    <t>bullish</t>
  </si>
  <si>
    <t>bearish</t>
  </si>
  <si>
    <t>bullish returns</t>
  </si>
  <si>
    <t>bearish returns</t>
  </si>
  <si>
    <t>start</t>
  </si>
  <si>
    <t>FVG</t>
  </si>
  <si>
    <t>MVA FVG</t>
  </si>
  <si>
    <t>TFMBMc1</t>
  </si>
  <si>
    <t>LCOc1</t>
  </si>
  <si>
    <t>JKMc1</t>
  </si>
  <si>
    <t>AFCMc1</t>
  </si>
  <si>
    <t>EUR=</t>
  </si>
  <si>
    <t>TTF_M1</t>
  </si>
  <si>
    <t>Brent_M1</t>
  </si>
  <si>
    <t>JKM_M1</t>
  </si>
  <si>
    <t>coal_M1</t>
  </si>
  <si>
    <t>p-value</t>
  </si>
  <si>
    <t>mean</t>
  </si>
  <si>
    <t/>
  </si>
  <si>
    <t>Date</t>
  </si>
  <si>
    <t>TTF_M1_CLOSE</t>
  </si>
  <si>
    <t>Brent_M1_CLOSE</t>
  </si>
  <si>
    <t>JKM_M1_CLOSE</t>
  </si>
  <si>
    <t>coal_M1_CLOSE</t>
  </si>
  <si>
    <t>Month_1</t>
  </si>
  <si>
    <t>Month_2</t>
  </si>
  <si>
    <t>Month_3</t>
  </si>
  <si>
    <t>Month_4</t>
  </si>
  <si>
    <t>Month_5</t>
  </si>
  <si>
    <t>Month_6</t>
  </si>
  <si>
    <t>Month_7</t>
  </si>
  <si>
    <t>Month_8</t>
  </si>
  <si>
    <t>Month_9</t>
  </si>
  <si>
    <t>Month_10</t>
  </si>
  <si>
    <t>Month_11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</si>
</sst>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5" formatCode="0.0000%"/>
    <numFmt numFmtId="166" formatCode="0.0%"/>
  </numFmts>
  <fonts count="5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32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14" fontId="0" fillId="0" borderId="0" xfId="0" applyNumberFormat="1"/>
    <xf numFmtId="0" fontId="0" fillId="2" borderId="0" xfId="0" applyFill="1"/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0" fillId="2" borderId="0" xfId="0" applyFill="1" applyAlignment="1">
      <alignment horizontal="center"/>
    </xf>
    <xf numFmtId="14" fontId="1" fillId="0" borderId="0" xfId="0" applyNumberFormat="1" applyFont="1" applyAlignment="1">
      <alignment horizontal="center"/>
    </xf>
    <xf numFmtId="2" fontId="0" fillId="0" borderId="0" xfId="0" applyNumberFormat="1"/>
    <xf numFmtId="0" fontId="2" fillId="0" borderId="0" xfId="0" applyFont="1"/>
    <xf numFmtId="2" fontId="0" fillId="0" borderId="0" xfId="0" applyNumberFormat="1" applyAlignment="1">
      <alignment horizontal="center"/>
    </xf>
    <xf numFmtId="0" fontId="4" fillId="0" borderId="0" xfId="0" applyFont="1"/>
    <xf numFmtId="10" fontId="2" fillId="0" borderId="0" xfId="1" applyNumberFormat="1" applyFont="1"/>
    <xf numFmtId="0" fontId="2" fillId="2" borderId="0" xfId="0" applyFont="1" applyFill="1"/>
    <xf numFmtId="9" fontId="0" fillId="2" borderId="0" xfId="1" applyFont="1" applyFill="1"/>
    <xf numFmtId="165" fontId="0" fillId="0" borderId="0" xfId="1" applyNumberFormat="1" applyFont="1"/>
    <xf numFmtId="10" fontId="0" fillId="0" borderId="0" xfId="1" applyNumberFormat="1" applyFont="1"/>
    <xf numFmtId="9" fontId="0" fillId="0" borderId="0" xfId="1" applyFont="1"/>
    <xf numFmtId="0" fontId="0" fillId="0" borderId="0" xfId="0" quotePrefix="1"/>
    <xf numFmtId="2" fontId="2" fillId="0" borderId="0" xfId="0" applyNumberFormat="1" applyFont="1"/>
    <xf numFmtId="0" fontId="0" fillId="3" borderId="0" xfId="0" applyFill="1" applyAlignment="1">
      <alignment horizontal="center"/>
    </xf>
    <xf numFmtId="0" fontId="2" fillId="2" borderId="0" xfId="0" applyFont="1" applyFill="1" applyAlignment="1">
      <alignment horizontal="center"/>
    </xf>
    <xf numFmtId="9" fontId="0" fillId="0" borderId="0" xfId="0" applyNumberFormat="1" applyAlignment="1">
      <alignment horizontal="center"/>
    </xf>
    <xf numFmtId="10" fontId="0" fillId="0" borderId="0" xfId="0" applyNumberFormat="1" applyAlignment="1">
      <alignment horizontal="center"/>
    </xf>
    <xf numFmtId="166" fontId="0" fillId="0" borderId="0" xfId="1" applyNumberFormat="1" applyFont="1" applyAlignment="1">
      <alignment horizontal="center"/>
    </xf>
    <xf numFmtId="165" fontId="0" fillId="0" borderId="0" xfId="1" applyNumberFormat="1" applyFont="1" applyAlignment="1">
      <alignment horizontal="center"/>
    </xf>
    <xf numFmtId="14" fontId="0" fillId="2" borderId="0" xfId="0" applyNumberFormat="1" applyFill="1"/>
    <xf numFmtId="0" fontId="0" fillId="2" borderId="0" xfId="0" applyFont="1" applyFill="1" applyAlignment="1">
      <alignment horizontal="center"/>
    </xf>
    <xf numFmtId="2" fontId="0" fillId="2" borderId="0" xfId="0" applyNumberFormat="1" applyFill="1" applyAlignment="1">
      <alignment horizontal="center"/>
    </xf>
    <xf numFmtId="2" fontId="2" fillId="2" borderId="0" xfId="0" applyNumberFormat="1" applyFont="1" applyFill="1"/>
  </cellXfs>
  <cellStyles count="2">
    <cellStyle name="Normal" xfId="0" builtinId="0"/>
    <cellStyle name="Percent" xfId="1" builtinId="5"/>
  </cellStyles>
  <dxfs count="0"/>
  <tableStyles count="0" defaultTableStyle="TableStyleMedium9" defaultPivotStyle="PivotStyleMedium4"/>
  <colors>
    <mruColors>
      <color rgb="FFCCFF99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2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percentStacked"/>
        <c:varyColors val="0"/>
        <c:ser>
          <c:idx val="3"/>
          <c:order val="5"/>
          <c:tx>
            <c:strRef>
              <c:f>'M1'!$Z$6</c:f>
              <c:strCache>
                <c:ptCount val="1"/>
                <c:pt idx="0">
                  <c:v>bullish</c:v>
                </c:pt>
              </c:strCache>
            </c:strRef>
          </c:tx>
          <c:spPr>
            <a:solidFill>
              <a:srgbClr val="CCFF99"/>
            </a:solidFill>
            <a:ln>
              <a:noFill/>
            </a:ln>
            <a:effectLst/>
          </c:spPr>
          <c:val>
            <c:numRef>
              <c:f>'M1'!$Z$7:$Z$1621</c:f>
              <c:numCache>
                <c:formatCode>General</c:formatCode>
                <c:ptCount val="16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1</c:v>
                </c:pt>
                <c:pt idx="503">
                  <c:v>1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1</c:v>
                </c:pt>
                <c:pt idx="509">
                  <c:v>1</c:v>
                </c:pt>
                <c:pt idx="510">
                  <c:v>1</c:v>
                </c:pt>
                <c:pt idx="511">
                  <c:v>1</c:v>
                </c:pt>
                <c:pt idx="512">
                  <c:v>1</c:v>
                </c:pt>
                <c:pt idx="513">
                  <c:v>1</c:v>
                </c:pt>
                <c:pt idx="514">
                  <c:v>1</c:v>
                </c:pt>
                <c:pt idx="515">
                  <c:v>1</c:v>
                </c:pt>
                <c:pt idx="516">
                  <c:v>1</c:v>
                </c:pt>
                <c:pt idx="517">
                  <c:v>1</c:v>
                </c:pt>
                <c:pt idx="518">
                  <c:v>1</c:v>
                </c:pt>
                <c:pt idx="519">
                  <c:v>1</c:v>
                </c:pt>
                <c:pt idx="520">
                  <c:v>1</c:v>
                </c:pt>
                <c:pt idx="521">
                  <c:v>1</c:v>
                </c:pt>
                <c:pt idx="522">
                  <c:v>1</c:v>
                </c:pt>
                <c:pt idx="523">
                  <c:v>1</c:v>
                </c:pt>
                <c:pt idx="524">
                  <c:v>1</c:v>
                </c:pt>
                <c:pt idx="525">
                  <c:v>1</c:v>
                </c:pt>
                <c:pt idx="526">
                  <c:v>1</c:v>
                </c:pt>
                <c:pt idx="527">
                  <c:v>1</c:v>
                </c:pt>
                <c:pt idx="528">
                  <c:v>1</c:v>
                </c:pt>
                <c:pt idx="529">
                  <c:v>1</c:v>
                </c:pt>
                <c:pt idx="530">
                  <c:v>1</c:v>
                </c:pt>
                <c:pt idx="531">
                  <c:v>1</c:v>
                </c:pt>
                <c:pt idx="532">
                  <c:v>1</c:v>
                </c:pt>
                <c:pt idx="533">
                  <c:v>1</c:v>
                </c:pt>
                <c:pt idx="534">
                  <c:v>1</c:v>
                </c:pt>
                <c:pt idx="535">
                  <c:v>1</c:v>
                </c:pt>
                <c:pt idx="536">
                  <c:v>1</c:v>
                </c:pt>
                <c:pt idx="537">
                  <c:v>1</c:v>
                </c:pt>
                <c:pt idx="538">
                  <c:v>1</c:v>
                </c:pt>
                <c:pt idx="539">
                  <c:v>1</c:v>
                </c:pt>
                <c:pt idx="540">
                  <c:v>1</c:v>
                </c:pt>
                <c:pt idx="541">
                  <c:v>1</c:v>
                </c:pt>
                <c:pt idx="542">
                  <c:v>1</c:v>
                </c:pt>
                <c:pt idx="543">
                  <c:v>1</c:v>
                </c:pt>
                <c:pt idx="544">
                  <c:v>1</c:v>
                </c:pt>
                <c:pt idx="545">
                  <c:v>1</c:v>
                </c:pt>
                <c:pt idx="546">
                  <c:v>1</c:v>
                </c:pt>
                <c:pt idx="547">
                  <c:v>1</c:v>
                </c:pt>
                <c:pt idx="548">
                  <c:v>1</c:v>
                </c:pt>
                <c:pt idx="549">
                  <c:v>1</c:v>
                </c:pt>
                <c:pt idx="550">
                  <c:v>1</c:v>
                </c:pt>
                <c:pt idx="551">
                  <c:v>1</c:v>
                </c:pt>
                <c:pt idx="552">
                  <c:v>1</c:v>
                </c:pt>
                <c:pt idx="553">
                  <c:v>1</c:v>
                </c:pt>
                <c:pt idx="554">
                  <c:v>1</c:v>
                </c:pt>
                <c:pt idx="555">
                  <c:v>1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1</c:v>
                </c:pt>
                <c:pt idx="576">
                  <c:v>1</c:v>
                </c:pt>
                <c:pt idx="577">
                  <c:v>1</c:v>
                </c:pt>
                <c:pt idx="578">
                  <c:v>1</c:v>
                </c:pt>
                <c:pt idx="579">
                  <c:v>1</c:v>
                </c:pt>
                <c:pt idx="580">
                  <c:v>1</c:v>
                </c:pt>
                <c:pt idx="581">
                  <c:v>1</c:v>
                </c:pt>
                <c:pt idx="582">
                  <c:v>1</c:v>
                </c:pt>
                <c:pt idx="583">
                  <c:v>1</c:v>
                </c:pt>
                <c:pt idx="584">
                  <c:v>1</c:v>
                </c:pt>
                <c:pt idx="585">
                  <c:v>1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1</c:v>
                </c:pt>
                <c:pt idx="592">
                  <c:v>1</c:v>
                </c:pt>
                <c:pt idx="593">
                  <c:v>1</c:v>
                </c:pt>
                <c:pt idx="594">
                  <c:v>1</c:v>
                </c:pt>
                <c:pt idx="595">
                  <c:v>1</c:v>
                </c:pt>
                <c:pt idx="596">
                  <c:v>1</c:v>
                </c:pt>
                <c:pt idx="597">
                  <c:v>1</c:v>
                </c:pt>
                <c:pt idx="598">
                  <c:v>1</c:v>
                </c:pt>
                <c:pt idx="599">
                  <c:v>1</c:v>
                </c:pt>
                <c:pt idx="600">
                  <c:v>1</c:v>
                </c:pt>
                <c:pt idx="601">
                  <c:v>1</c:v>
                </c:pt>
                <c:pt idx="602">
                  <c:v>1</c:v>
                </c:pt>
                <c:pt idx="603">
                  <c:v>1</c:v>
                </c:pt>
                <c:pt idx="604">
                  <c:v>1</c:v>
                </c:pt>
                <c:pt idx="605">
                  <c:v>1</c:v>
                </c:pt>
                <c:pt idx="606">
                  <c:v>1</c:v>
                </c:pt>
                <c:pt idx="607">
                  <c:v>1</c:v>
                </c:pt>
                <c:pt idx="608">
                  <c:v>1</c:v>
                </c:pt>
                <c:pt idx="609">
                  <c:v>1</c:v>
                </c:pt>
                <c:pt idx="610">
                  <c:v>1</c:v>
                </c:pt>
                <c:pt idx="611">
                  <c:v>1</c:v>
                </c:pt>
                <c:pt idx="612">
                  <c:v>1</c:v>
                </c:pt>
                <c:pt idx="613">
                  <c:v>1</c:v>
                </c:pt>
                <c:pt idx="614">
                  <c:v>1</c:v>
                </c:pt>
                <c:pt idx="615">
                  <c:v>1</c:v>
                </c:pt>
                <c:pt idx="616">
                  <c:v>1</c:v>
                </c:pt>
                <c:pt idx="617">
                  <c:v>1</c:v>
                </c:pt>
                <c:pt idx="618">
                  <c:v>1</c:v>
                </c:pt>
                <c:pt idx="619">
                  <c:v>1</c:v>
                </c:pt>
                <c:pt idx="620">
                  <c:v>1</c:v>
                </c:pt>
                <c:pt idx="621">
                  <c:v>1</c:v>
                </c:pt>
                <c:pt idx="622">
                  <c:v>1</c:v>
                </c:pt>
                <c:pt idx="623">
                  <c:v>1</c:v>
                </c:pt>
                <c:pt idx="624">
                  <c:v>1</c:v>
                </c:pt>
                <c:pt idx="625">
                  <c:v>1</c:v>
                </c:pt>
                <c:pt idx="626">
                  <c:v>1</c:v>
                </c:pt>
                <c:pt idx="627">
                  <c:v>1</c:v>
                </c:pt>
                <c:pt idx="628">
                  <c:v>1</c:v>
                </c:pt>
                <c:pt idx="629">
                  <c:v>1</c:v>
                </c:pt>
                <c:pt idx="630">
                  <c:v>1</c:v>
                </c:pt>
                <c:pt idx="631">
                  <c:v>1</c:v>
                </c:pt>
                <c:pt idx="632">
                  <c:v>1</c:v>
                </c:pt>
                <c:pt idx="633">
                  <c:v>1</c:v>
                </c:pt>
                <c:pt idx="634">
                  <c:v>1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1</c:v>
                </c:pt>
                <c:pt idx="641">
                  <c:v>1</c:v>
                </c:pt>
                <c:pt idx="642">
                  <c:v>1</c:v>
                </c:pt>
                <c:pt idx="643">
                  <c:v>1</c:v>
                </c:pt>
                <c:pt idx="644">
                  <c:v>1</c:v>
                </c:pt>
                <c:pt idx="645">
                  <c:v>1</c:v>
                </c:pt>
                <c:pt idx="646">
                  <c:v>1</c:v>
                </c:pt>
                <c:pt idx="647">
                  <c:v>1</c:v>
                </c:pt>
                <c:pt idx="648">
                  <c:v>1</c:v>
                </c:pt>
                <c:pt idx="649">
                  <c:v>1</c:v>
                </c:pt>
                <c:pt idx="650">
                  <c:v>1</c:v>
                </c:pt>
                <c:pt idx="651">
                  <c:v>1</c:v>
                </c:pt>
                <c:pt idx="652">
                  <c:v>1</c:v>
                </c:pt>
                <c:pt idx="653">
                  <c:v>1</c:v>
                </c:pt>
                <c:pt idx="654">
                  <c:v>1</c:v>
                </c:pt>
                <c:pt idx="655">
                  <c:v>1</c:v>
                </c:pt>
                <c:pt idx="656">
                  <c:v>1</c:v>
                </c:pt>
                <c:pt idx="657">
                  <c:v>1</c:v>
                </c:pt>
                <c:pt idx="658">
                  <c:v>1</c:v>
                </c:pt>
                <c:pt idx="659">
                  <c:v>1</c:v>
                </c:pt>
                <c:pt idx="660">
                  <c:v>1</c:v>
                </c:pt>
                <c:pt idx="661">
                  <c:v>1</c:v>
                </c:pt>
                <c:pt idx="662">
                  <c:v>1</c:v>
                </c:pt>
                <c:pt idx="663">
                  <c:v>1</c:v>
                </c:pt>
                <c:pt idx="664">
                  <c:v>1</c:v>
                </c:pt>
                <c:pt idx="665">
                  <c:v>1</c:v>
                </c:pt>
                <c:pt idx="666">
                  <c:v>1</c:v>
                </c:pt>
                <c:pt idx="667">
                  <c:v>1</c:v>
                </c:pt>
                <c:pt idx="668">
                  <c:v>1</c:v>
                </c:pt>
                <c:pt idx="669">
                  <c:v>1</c:v>
                </c:pt>
                <c:pt idx="670">
                  <c:v>1</c:v>
                </c:pt>
                <c:pt idx="671">
                  <c:v>1</c:v>
                </c:pt>
                <c:pt idx="672">
                  <c:v>1</c:v>
                </c:pt>
                <c:pt idx="673">
                  <c:v>1</c:v>
                </c:pt>
                <c:pt idx="674">
                  <c:v>1</c:v>
                </c:pt>
                <c:pt idx="675">
                  <c:v>1</c:v>
                </c:pt>
                <c:pt idx="676">
                  <c:v>1</c:v>
                </c:pt>
                <c:pt idx="677">
                  <c:v>1</c:v>
                </c:pt>
                <c:pt idx="678">
                  <c:v>1</c:v>
                </c:pt>
                <c:pt idx="679">
                  <c:v>1</c:v>
                </c:pt>
                <c:pt idx="680">
                  <c:v>1</c:v>
                </c:pt>
                <c:pt idx="681">
                  <c:v>1</c:v>
                </c:pt>
                <c:pt idx="682">
                  <c:v>1</c:v>
                </c:pt>
                <c:pt idx="683">
                  <c:v>1</c:v>
                </c:pt>
                <c:pt idx="684">
                  <c:v>1</c:v>
                </c:pt>
                <c:pt idx="685">
                  <c:v>1</c:v>
                </c:pt>
                <c:pt idx="686">
                  <c:v>1</c:v>
                </c:pt>
                <c:pt idx="687">
                  <c:v>1</c:v>
                </c:pt>
                <c:pt idx="688">
                  <c:v>1</c:v>
                </c:pt>
                <c:pt idx="689">
                  <c:v>1</c:v>
                </c:pt>
                <c:pt idx="690">
                  <c:v>1</c:v>
                </c:pt>
                <c:pt idx="691">
                  <c:v>1</c:v>
                </c:pt>
                <c:pt idx="692">
                  <c:v>1</c:v>
                </c:pt>
                <c:pt idx="693">
                  <c:v>1</c:v>
                </c:pt>
                <c:pt idx="694">
                  <c:v>1</c:v>
                </c:pt>
                <c:pt idx="695">
                  <c:v>1</c:v>
                </c:pt>
                <c:pt idx="696">
                  <c:v>1</c:v>
                </c:pt>
                <c:pt idx="697">
                  <c:v>1</c:v>
                </c:pt>
                <c:pt idx="698">
                  <c:v>1</c:v>
                </c:pt>
                <c:pt idx="699">
                  <c:v>1</c:v>
                </c:pt>
                <c:pt idx="700">
                  <c:v>1</c:v>
                </c:pt>
                <c:pt idx="701">
                  <c:v>1</c:v>
                </c:pt>
                <c:pt idx="702">
                  <c:v>1</c:v>
                </c:pt>
                <c:pt idx="703">
                  <c:v>1</c:v>
                </c:pt>
                <c:pt idx="704">
                  <c:v>1</c:v>
                </c:pt>
                <c:pt idx="705">
                  <c:v>1</c:v>
                </c:pt>
                <c:pt idx="706">
                  <c:v>1</c:v>
                </c:pt>
                <c:pt idx="707">
                  <c:v>1</c:v>
                </c:pt>
                <c:pt idx="708">
                  <c:v>1</c:v>
                </c:pt>
                <c:pt idx="709">
                  <c:v>1</c:v>
                </c:pt>
                <c:pt idx="710">
                  <c:v>1</c:v>
                </c:pt>
                <c:pt idx="711">
                  <c:v>1</c:v>
                </c:pt>
                <c:pt idx="712">
                  <c:v>1</c:v>
                </c:pt>
                <c:pt idx="713">
                  <c:v>1</c:v>
                </c:pt>
                <c:pt idx="714">
                  <c:v>1</c:v>
                </c:pt>
                <c:pt idx="715">
                  <c:v>1</c:v>
                </c:pt>
                <c:pt idx="716">
                  <c:v>1</c:v>
                </c:pt>
                <c:pt idx="717">
                  <c:v>1</c:v>
                </c:pt>
                <c:pt idx="718">
                  <c:v>1</c:v>
                </c:pt>
                <c:pt idx="719">
                  <c:v>1</c:v>
                </c:pt>
                <c:pt idx="720">
                  <c:v>1</c:v>
                </c:pt>
                <c:pt idx="721">
                  <c:v>1</c:v>
                </c:pt>
                <c:pt idx="722">
                  <c:v>1</c:v>
                </c:pt>
                <c:pt idx="723">
                  <c:v>1</c:v>
                </c:pt>
                <c:pt idx="724">
                  <c:v>1</c:v>
                </c:pt>
                <c:pt idx="725">
                  <c:v>1</c:v>
                </c:pt>
                <c:pt idx="726">
                  <c:v>1</c:v>
                </c:pt>
                <c:pt idx="727">
                  <c:v>1</c:v>
                </c:pt>
                <c:pt idx="728">
                  <c:v>1</c:v>
                </c:pt>
                <c:pt idx="729">
                  <c:v>1</c:v>
                </c:pt>
                <c:pt idx="730">
                  <c:v>1</c:v>
                </c:pt>
                <c:pt idx="731">
                  <c:v>1</c:v>
                </c:pt>
                <c:pt idx="732">
                  <c:v>1</c:v>
                </c:pt>
                <c:pt idx="733">
                  <c:v>1</c:v>
                </c:pt>
                <c:pt idx="734">
                  <c:v>1</c:v>
                </c:pt>
                <c:pt idx="735">
                  <c:v>1</c:v>
                </c:pt>
                <c:pt idx="736">
                  <c:v>1</c:v>
                </c:pt>
                <c:pt idx="737">
                  <c:v>1</c:v>
                </c:pt>
                <c:pt idx="738">
                  <c:v>1</c:v>
                </c:pt>
                <c:pt idx="739">
                  <c:v>1</c:v>
                </c:pt>
                <c:pt idx="740">
                  <c:v>1</c:v>
                </c:pt>
                <c:pt idx="741">
                  <c:v>1</c:v>
                </c:pt>
                <c:pt idx="742">
                  <c:v>1</c:v>
                </c:pt>
                <c:pt idx="743">
                  <c:v>1</c:v>
                </c:pt>
                <c:pt idx="744">
                  <c:v>1</c:v>
                </c:pt>
                <c:pt idx="745">
                  <c:v>1</c:v>
                </c:pt>
                <c:pt idx="746">
                  <c:v>1</c:v>
                </c:pt>
                <c:pt idx="747">
                  <c:v>1</c:v>
                </c:pt>
                <c:pt idx="748">
                  <c:v>1</c:v>
                </c:pt>
                <c:pt idx="749">
                  <c:v>1</c:v>
                </c:pt>
                <c:pt idx="750">
                  <c:v>1</c:v>
                </c:pt>
                <c:pt idx="751">
                  <c:v>1</c:v>
                </c:pt>
                <c:pt idx="752">
                  <c:v>1</c:v>
                </c:pt>
                <c:pt idx="753">
                  <c:v>1</c:v>
                </c:pt>
                <c:pt idx="754">
                  <c:v>1</c:v>
                </c:pt>
                <c:pt idx="755">
                  <c:v>1</c:v>
                </c:pt>
                <c:pt idx="756">
                  <c:v>1</c:v>
                </c:pt>
                <c:pt idx="757">
                  <c:v>1</c:v>
                </c:pt>
                <c:pt idx="758">
                  <c:v>1</c:v>
                </c:pt>
                <c:pt idx="759">
                  <c:v>1</c:v>
                </c:pt>
                <c:pt idx="760">
                  <c:v>1</c:v>
                </c:pt>
                <c:pt idx="761">
                  <c:v>1</c:v>
                </c:pt>
                <c:pt idx="762">
                  <c:v>1</c:v>
                </c:pt>
                <c:pt idx="763">
                  <c:v>1</c:v>
                </c:pt>
                <c:pt idx="764">
                  <c:v>1</c:v>
                </c:pt>
                <c:pt idx="765">
                  <c:v>1</c:v>
                </c:pt>
                <c:pt idx="766">
                  <c:v>1</c:v>
                </c:pt>
                <c:pt idx="767">
                  <c:v>1</c:v>
                </c:pt>
                <c:pt idx="768">
                  <c:v>1</c:v>
                </c:pt>
                <c:pt idx="769">
                  <c:v>1</c:v>
                </c:pt>
                <c:pt idx="770">
                  <c:v>1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1</c:v>
                </c:pt>
                <c:pt idx="804">
                  <c:v>1</c:v>
                </c:pt>
                <c:pt idx="805">
                  <c:v>1</c:v>
                </c:pt>
                <c:pt idx="806">
                  <c:v>1</c:v>
                </c:pt>
                <c:pt idx="807">
                  <c:v>1</c:v>
                </c:pt>
                <c:pt idx="808">
                  <c:v>1</c:v>
                </c:pt>
                <c:pt idx="809">
                  <c:v>1</c:v>
                </c:pt>
                <c:pt idx="810">
                  <c:v>1</c:v>
                </c:pt>
                <c:pt idx="811">
                  <c:v>1</c:v>
                </c:pt>
                <c:pt idx="812">
                  <c:v>1</c:v>
                </c:pt>
                <c:pt idx="813">
                  <c:v>1</c:v>
                </c:pt>
                <c:pt idx="814">
                  <c:v>1</c:v>
                </c:pt>
                <c:pt idx="815">
                  <c:v>1</c:v>
                </c:pt>
                <c:pt idx="816">
                  <c:v>1</c:v>
                </c:pt>
                <c:pt idx="817">
                  <c:v>1</c:v>
                </c:pt>
                <c:pt idx="818">
                  <c:v>1</c:v>
                </c:pt>
                <c:pt idx="819">
                  <c:v>1</c:v>
                </c:pt>
                <c:pt idx="820">
                  <c:v>1</c:v>
                </c:pt>
                <c:pt idx="821">
                  <c:v>1</c:v>
                </c:pt>
                <c:pt idx="822">
                  <c:v>1</c:v>
                </c:pt>
                <c:pt idx="823">
                  <c:v>1</c:v>
                </c:pt>
                <c:pt idx="824">
                  <c:v>1</c:v>
                </c:pt>
                <c:pt idx="825">
                  <c:v>1</c:v>
                </c:pt>
                <c:pt idx="826">
                  <c:v>1</c:v>
                </c:pt>
                <c:pt idx="827">
                  <c:v>1</c:v>
                </c:pt>
                <c:pt idx="828">
                  <c:v>1</c:v>
                </c:pt>
                <c:pt idx="829">
                  <c:v>1</c:v>
                </c:pt>
                <c:pt idx="830">
                  <c:v>1</c:v>
                </c:pt>
                <c:pt idx="831">
                  <c:v>1</c:v>
                </c:pt>
                <c:pt idx="832">
                  <c:v>1</c:v>
                </c:pt>
                <c:pt idx="833">
                  <c:v>1</c:v>
                </c:pt>
                <c:pt idx="834">
                  <c:v>1</c:v>
                </c:pt>
                <c:pt idx="835">
                  <c:v>1</c:v>
                </c:pt>
                <c:pt idx="836">
                  <c:v>1</c:v>
                </c:pt>
                <c:pt idx="837">
                  <c:v>1</c:v>
                </c:pt>
                <c:pt idx="838">
                  <c:v>1</c:v>
                </c:pt>
                <c:pt idx="839">
                  <c:v>1</c:v>
                </c:pt>
                <c:pt idx="840">
                  <c:v>1</c:v>
                </c:pt>
                <c:pt idx="841">
                  <c:v>1</c:v>
                </c:pt>
                <c:pt idx="842">
                  <c:v>1</c:v>
                </c:pt>
                <c:pt idx="843">
                  <c:v>1</c:v>
                </c:pt>
                <c:pt idx="844">
                  <c:v>1</c:v>
                </c:pt>
                <c:pt idx="845">
                  <c:v>1</c:v>
                </c:pt>
                <c:pt idx="846">
                  <c:v>1</c:v>
                </c:pt>
                <c:pt idx="847">
                  <c:v>1</c:v>
                </c:pt>
                <c:pt idx="848">
                  <c:v>1</c:v>
                </c:pt>
                <c:pt idx="849">
                  <c:v>1</c:v>
                </c:pt>
                <c:pt idx="850">
                  <c:v>1</c:v>
                </c:pt>
                <c:pt idx="851">
                  <c:v>1</c:v>
                </c:pt>
                <c:pt idx="852">
                  <c:v>1</c:v>
                </c:pt>
                <c:pt idx="853">
                  <c:v>1</c:v>
                </c:pt>
                <c:pt idx="854">
                  <c:v>1</c:v>
                </c:pt>
                <c:pt idx="855">
                  <c:v>1</c:v>
                </c:pt>
                <c:pt idx="856">
                  <c:v>1</c:v>
                </c:pt>
                <c:pt idx="857">
                  <c:v>1</c:v>
                </c:pt>
                <c:pt idx="858">
                  <c:v>1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1</c:v>
                </c:pt>
                <c:pt idx="877">
                  <c:v>1</c:v>
                </c:pt>
                <c:pt idx="878">
                  <c:v>1</c:v>
                </c:pt>
                <c:pt idx="879">
                  <c:v>1</c:v>
                </c:pt>
                <c:pt idx="880">
                  <c:v>1</c:v>
                </c:pt>
                <c:pt idx="881">
                  <c:v>1</c:v>
                </c:pt>
                <c:pt idx="882">
                  <c:v>1</c:v>
                </c:pt>
                <c:pt idx="883">
                  <c:v>1</c:v>
                </c:pt>
                <c:pt idx="884">
                  <c:v>1</c:v>
                </c:pt>
                <c:pt idx="885">
                  <c:v>1</c:v>
                </c:pt>
                <c:pt idx="886">
                  <c:v>1</c:v>
                </c:pt>
                <c:pt idx="887">
                  <c:v>1</c:v>
                </c:pt>
                <c:pt idx="888">
                  <c:v>1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1</c:v>
                </c:pt>
                <c:pt idx="902">
                  <c:v>1</c:v>
                </c:pt>
                <c:pt idx="903">
                  <c:v>1</c:v>
                </c:pt>
                <c:pt idx="904">
                  <c:v>1</c:v>
                </c:pt>
                <c:pt idx="905">
                  <c:v>1</c:v>
                </c:pt>
                <c:pt idx="906">
                  <c:v>1</c:v>
                </c:pt>
                <c:pt idx="907">
                  <c:v>1</c:v>
                </c:pt>
                <c:pt idx="908">
                  <c:v>1</c:v>
                </c:pt>
                <c:pt idx="909">
                  <c:v>1</c:v>
                </c:pt>
                <c:pt idx="910">
                  <c:v>1</c:v>
                </c:pt>
                <c:pt idx="911">
                  <c:v>1</c:v>
                </c:pt>
                <c:pt idx="912">
                  <c:v>1</c:v>
                </c:pt>
                <c:pt idx="913">
                  <c:v>1</c:v>
                </c:pt>
                <c:pt idx="914">
                  <c:v>1</c:v>
                </c:pt>
                <c:pt idx="915">
                  <c:v>1</c:v>
                </c:pt>
                <c:pt idx="916">
                  <c:v>1</c:v>
                </c:pt>
                <c:pt idx="917">
                  <c:v>1</c:v>
                </c:pt>
                <c:pt idx="918">
                  <c:v>1</c:v>
                </c:pt>
                <c:pt idx="919">
                  <c:v>1</c:v>
                </c:pt>
                <c:pt idx="920">
                  <c:v>1</c:v>
                </c:pt>
                <c:pt idx="921">
                  <c:v>1</c:v>
                </c:pt>
                <c:pt idx="922">
                  <c:v>1</c:v>
                </c:pt>
                <c:pt idx="923">
                  <c:v>1</c:v>
                </c:pt>
                <c:pt idx="924">
                  <c:v>1</c:v>
                </c:pt>
                <c:pt idx="925">
                  <c:v>1</c:v>
                </c:pt>
                <c:pt idx="926">
                  <c:v>1</c:v>
                </c:pt>
                <c:pt idx="927">
                  <c:v>1</c:v>
                </c:pt>
                <c:pt idx="928">
                  <c:v>1</c:v>
                </c:pt>
                <c:pt idx="929">
                  <c:v>1</c:v>
                </c:pt>
                <c:pt idx="930">
                  <c:v>1</c:v>
                </c:pt>
                <c:pt idx="931">
                  <c:v>1</c:v>
                </c:pt>
                <c:pt idx="932">
                  <c:v>1</c:v>
                </c:pt>
                <c:pt idx="933">
                  <c:v>1</c:v>
                </c:pt>
                <c:pt idx="934">
                  <c:v>1</c:v>
                </c:pt>
                <c:pt idx="935">
                  <c:v>1</c:v>
                </c:pt>
                <c:pt idx="936">
                  <c:v>1</c:v>
                </c:pt>
                <c:pt idx="937">
                  <c:v>1</c:v>
                </c:pt>
                <c:pt idx="938">
                  <c:v>1</c:v>
                </c:pt>
                <c:pt idx="939">
                  <c:v>1</c:v>
                </c:pt>
                <c:pt idx="940">
                  <c:v>1</c:v>
                </c:pt>
                <c:pt idx="941">
                  <c:v>1</c:v>
                </c:pt>
                <c:pt idx="942">
                  <c:v>1</c:v>
                </c:pt>
                <c:pt idx="943">
                  <c:v>1</c:v>
                </c:pt>
                <c:pt idx="944">
                  <c:v>1</c:v>
                </c:pt>
                <c:pt idx="945">
                  <c:v>1</c:v>
                </c:pt>
                <c:pt idx="946">
                  <c:v>1</c:v>
                </c:pt>
                <c:pt idx="947">
                  <c:v>1</c:v>
                </c:pt>
                <c:pt idx="948">
                  <c:v>1</c:v>
                </c:pt>
                <c:pt idx="949">
                  <c:v>1</c:v>
                </c:pt>
                <c:pt idx="950">
                  <c:v>1</c:v>
                </c:pt>
                <c:pt idx="951">
                  <c:v>1</c:v>
                </c:pt>
                <c:pt idx="952">
                  <c:v>1</c:v>
                </c:pt>
                <c:pt idx="953">
                  <c:v>1</c:v>
                </c:pt>
                <c:pt idx="954">
                  <c:v>1</c:v>
                </c:pt>
                <c:pt idx="955">
                  <c:v>1</c:v>
                </c:pt>
                <c:pt idx="956">
                  <c:v>1</c:v>
                </c:pt>
                <c:pt idx="957">
                  <c:v>1</c:v>
                </c:pt>
                <c:pt idx="958">
                  <c:v>1</c:v>
                </c:pt>
                <c:pt idx="959">
                  <c:v>1</c:v>
                </c:pt>
                <c:pt idx="960">
                  <c:v>1</c:v>
                </c:pt>
                <c:pt idx="961">
                  <c:v>1</c:v>
                </c:pt>
                <c:pt idx="962">
                  <c:v>1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1</c:v>
                </c:pt>
                <c:pt idx="997">
                  <c:v>1</c:v>
                </c:pt>
                <c:pt idx="998">
                  <c:v>1</c:v>
                </c:pt>
                <c:pt idx="999">
                  <c:v>1</c:v>
                </c:pt>
                <c:pt idx="1000">
                  <c:v>1</c:v>
                </c:pt>
                <c:pt idx="1001">
                  <c:v>1</c:v>
                </c:pt>
                <c:pt idx="1002">
                  <c:v>1</c:v>
                </c:pt>
                <c:pt idx="1003">
                  <c:v>1</c:v>
                </c:pt>
                <c:pt idx="1004">
                  <c:v>1</c:v>
                </c:pt>
                <c:pt idx="1005">
                  <c:v>1</c:v>
                </c:pt>
                <c:pt idx="1006">
                  <c:v>1</c:v>
                </c:pt>
                <c:pt idx="1007">
                  <c:v>1</c:v>
                </c:pt>
                <c:pt idx="1008">
                  <c:v>1</c:v>
                </c:pt>
                <c:pt idx="1009">
                  <c:v>1</c:v>
                </c:pt>
                <c:pt idx="1010">
                  <c:v>1</c:v>
                </c:pt>
                <c:pt idx="1011">
                  <c:v>1</c:v>
                </c:pt>
                <c:pt idx="1012">
                  <c:v>1</c:v>
                </c:pt>
                <c:pt idx="1013">
                  <c:v>1</c:v>
                </c:pt>
                <c:pt idx="1014">
                  <c:v>1</c:v>
                </c:pt>
                <c:pt idx="1015">
                  <c:v>1</c:v>
                </c:pt>
                <c:pt idx="1016">
                  <c:v>1</c:v>
                </c:pt>
                <c:pt idx="1017">
                  <c:v>1</c:v>
                </c:pt>
                <c:pt idx="1018">
                  <c:v>1</c:v>
                </c:pt>
                <c:pt idx="1019">
                  <c:v>1</c:v>
                </c:pt>
                <c:pt idx="1020">
                  <c:v>1</c:v>
                </c:pt>
                <c:pt idx="1021">
                  <c:v>1</c:v>
                </c:pt>
                <c:pt idx="1022">
                  <c:v>1</c:v>
                </c:pt>
                <c:pt idx="1023">
                  <c:v>1</c:v>
                </c:pt>
                <c:pt idx="1024">
                  <c:v>1</c:v>
                </c:pt>
                <c:pt idx="1025">
                  <c:v>1</c:v>
                </c:pt>
                <c:pt idx="1026">
                  <c:v>1</c:v>
                </c:pt>
                <c:pt idx="1027">
                  <c:v>1</c:v>
                </c:pt>
                <c:pt idx="1028">
                  <c:v>1</c:v>
                </c:pt>
                <c:pt idx="1029">
                  <c:v>1</c:v>
                </c:pt>
                <c:pt idx="1030">
                  <c:v>1</c:v>
                </c:pt>
                <c:pt idx="1031">
                  <c:v>1</c:v>
                </c:pt>
                <c:pt idx="1032">
                  <c:v>1</c:v>
                </c:pt>
                <c:pt idx="1033">
                  <c:v>1</c:v>
                </c:pt>
                <c:pt idx="1034">
                  <c:v>1</c:v>
                </c:pt>
                <c:pt idx="1035">
                  <c:v>1</c:v>
                </c:pt>
                <c:pt idx="1036">
                  <c:v>1</c:v>
                </c:pt>
                <c:pt idx="1037">
                  <c:v>1</c:v>
                </c:pt>
                <c:pt idx="1038">
                  <c:v>1</c:v>
                </c:pt>
                <c:pt idx="1039">
                  <c:v>1</c:v>
                </c:pt>
                <c:pt idx="1040">
                  <c:v>1</c:v>
                </c:pt>
                <c:pt idx="1041">
                  <c:v>1</c:v>
                </c:pt>
                <c:pt idx="1042">
                  <c:v>1</c:v>
                </c:pt>
                <c:pt idx="1043">
                  <c:v>1</c:v>
                </c:pt>
                <c:pt idx="1044">
                  <c:v>1</c:v>
                </c:pt>
                <c:pt idx="1045">
                  <c:v>1</c:v>
                </c:pt>
                <c:pt idx="1046">
                  <c:v>1</c:v>
                </c:pt>
                <c:pt idx="1047">
                  <c:v>1</c:v>
                </c:pt>
                <c:pt idx="1048">
                  <c:v>1</c:v>
                </c:pt>
                <c:pt idx="1049">
                  <c:v>1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1</c:v>
                </c:pt>
                <c:pt idx="1096">
                  <c:v>1</c:v>
                </c:pt>
                <c:pt idx="1097">
                  <c:v>1</c:v>
                </c:pt>
                <c:pt idx="1098">
                  <c:v>1</c:v>
                </c:pt>
                <c:pt idx="1099">
                  <c:v>1</c:v>
                </c:pt>
                <c:pt idx="1100">
                  <c:v>1</c:v>
                </c:pt>
                <c:pt idx="1101">
                  <c:v>1</c:v>
                </c:pt>
                <c:pt idx="1102">
                  <c:v>1</c:v>
                </c:pt>
                <c:pt idx="1103">
                  <c:v>1</c:v>
                </c:pt>
                <c:pt idx="1104">
                  <c:v>1</c:v>
                </c:pt>
                <c:pt idx="1105">
                  <c:v>1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1</c:v>
                </c:pt>
                <c:pt idx="1129">
                  <c:v>1</c:v>
                </c:pt>
                <c:pt idx="1130">
                  <c:v>1</c:v>
                </c:pt>
                <c:pt idx="1131">
                  <c:v>1</c:v>
                </c:pt>
                <c:pt idx="1132">
                  <c:v>1</c:v>
                </c:pt>
                <c:pt idx="1133">
                  <c:v>1</c:v>
                </c:pt>
                <c:pt idx="1134">
                  <c:v>1</c:v>
                </c:pt>
                <c:pt idx="1135">
                  <c:v>1</c:v>
                </c:pt>
                <c:pt idx="1136">
                  <c:v>1</c:v>
                </c:pt>
                <c:pt idx="1137">
                  <c:v>1</c:v>
                </c:pt>
                <c:pt idx="1138">
                  <c:v>1</c:v>
                </c:pt>
                <c:pt idx="1139">
                  <c:v>1</c:v>
                </c:pt>
                <c:pt idx="1140">
                  <c:v>1</c:v>
                </c:pt>
                <c:pt idx="1141">
                  <c:v>1</c:v>
                </c:pt>
                <c:pt idx="1142">
                  <c:v>1</c:v>
                </c:pt>
                <c:pt idx="1143">
                  <c:v>1</c:v>
                </c:pt>
                <c:pt idx="1144">
                  <c:v>1</c:v>
                </c:pt>
                <c:pt idx="1145">
                  <c:v>1</c:v>
                </c:pt>
                <c:pt idx="1146">
                  <c:v>1</c:v>
                </c:pt>
                <c:pt idx="1147">
                  <c:v>1</c:v>
                </c:pt>
                <c:pt idx="1148">
                  <c:v>1</c:v>
                </c:pt>
                <c:pt idx="1149">
                  <c:v>1</c:v>
                </c:pt>
                <c:pt idx="1150">
                  <c:v>1</c:v>
                </c:pt>
                <c:pt idx="1151">
                  <c:v>1</c:v>
                </c:pt>
                <c:pt idx="1152">
                  <c:v>1</c:v>
                </c:pt>
                <c:pt idx="1153">
                  <c:v>1</c:v>
                </c:pt>
                <c:pt idx="1154">
                  <c:v>1</c:v>
                </c:pt>
                <c:pt idx="1155">
                  <c:v>1</c:v>
                </c:pt>
                <c:pt idx="1156">
                  <c:v>1</c:v>
                </c:pt>
                <c:pt idx="1157">
                  <c:v>1</c:v>
                </c:pt>
                <c:pt idx="1158">
                  <c:v>1</c:v>
                </c:pt>
                <c:pt idx="1159">
                  <c:v>1</c:v>
                </c:pt>
                <c:pt idx="1160">
                  <c:v>1</c:v>
                </c:pt>
                <c:pt idx="1161">
                  <c:v>1</c:v>
                </c:pt>
                <c:pt idx="1162">
                  <c:v>1</c:v>
                </c:pt>
                <c:pt idx="1163">
                  <c:v>1</c:v>
                </c:pt>
                <c:pt idx="1164">
                  <c:v>1</c:v>
                </c:pt>
                <c:pt idx="1165">
                  <c:v>1</c:v>
                </c:pt>
                <c:pt idx="1166">
                  <c:v>1</c:v>
                </c:pt>
                <c:pt idx="1167">
                  <c:v>1</c:v>
                </c:pt>
                <c:pt idx="1168">
                  <c:v>1</c:v>
                </c:pt>
                <c:pt idx="1169">
                  <c:v>1</c:v>
                </c:pt>
                <c:pt idx="1170">
                  <c:v>1</c:v>
                </c:pt>
                <c:pt idx="1171">
                  <c:v>1</c:v>
                </c:pt>
                <c:pt idx="1172">
                  <c:v>1</c:v>
                </c:pt>
                <c:pt idx="1173">
                  <c:v>1</c:v>
                </c:pt>
                <c:pt idx="1174">
                  <c:v>1</c:v>
                </c:pt>
                <c:pt idx="1175">
                  <c:v>1</c:v>
                </c:pt>
                <c:pt idx="1176">
                  <c:v>1</c:v>
                </c:pt>
                <c:pt idx="1177">
                  <c:v>1</c:v>
                </c:pt>
                <c:pt idx="1178">
                  <c:v>1</c:v>
                </c:pt>
                <c:pt idx="1179">
                  <c:v>1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1</c:v>
                </c:pt>
                <c:pt idx="1333">
                  <c:v>1</c:v>
                </c:pt>
                <c:pt idx="1334">
                  <c:v>1</c:v>
                </c:pt>
                <c:pt idx="1335">
                  <c:v>1</c:v>
                </c:pt>
                <c:pt idx="1336">
                  <c:v>1</c:v>
                </c:pt>
                <c:pt idx="1337">
                  <c:v>1</c:v>
                </c:pt>
                <c:pt idx="1338">
                  <c:v>1</c:v>
                </c:pt>
                <c:pt idx="1339">
                  <c:v>1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1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1</c:v>
                </c:pt>
                <c:pt idx="1365">
                  <c:v>1</c:v>
                </c:pt>
                <c:pt idx="1366">
                  <c:v>1</c:v>
                </c:pt>
                <c:pt idx="1367">
                  <c:v>1</c:v>
                </c:pt>
                <c:pt idx="1368">
                  <c:v>1</c:v>
                </c:pt>
                <c:pt idx="1369">
                  <c:v>1</c:v>
                </c:pt>
                <c:pt idx="1370">
                  <c:v>1</c:v>
                </c:pt>
                <c:pt idx="1371">
                  <c:v>1</c:v>
                </c:pt>
                <c:pt idx="1372">
                  <c:v>1</c:v>
                </c:pt>
                <c:pt idx="1373">
                  <c:v>1</c:v>
                </c:pt>
                <c:pt idx="1374">
                  <c:v>1</c:v>
                </c:pt>
                <c:pt idx="1375">
                  <c:v>1</c:v>
                </c:pt>
                <c:pt idx="1376">
                  <c:v>1</c:v>
                </c:pt>
                <c:pt idx="1377">
                  <c:v>1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1</c:v>
                </c:pt>
                <c:pt idx="1404">
                  <c:v>1</c:v>
                </c:pt>
                <c:pt idx="1405">
                  <c:v>1</c:v>
                </c:pt>
                <c:pt idx="1406">
                  <c:v>1</c:v>
                </c:pt>
                <c:pt idx="1407">
                  <c:v>1</c:v>
                </c:pt>
                <c:pt idx="1408">
                  <c:v>1</c:v>
                </c:pt>
                <c:pt idx="1409">
                  <c:v>1</c:v>
                </c:pt>
                <c:pt idx="1410">
                  <c:v>1</c:v>
                </c:pt>
                <c:pt idx="1411">
                  <c:v>1</c:v>
                </c:pt>
                <c:pt idx="1412">
                  <c:v>1</c:v>
                </c:pt>
                <c:pt idx="1413">
                  <c:v>1</c:v>
                </c:pt>
                <c:pt idx="1414">
                  <c:v>1</c:v>
                </c:pt>
                <c:pt idx="1415">
                  <c:v>1</c:v>
                </c:pt>
                <c:pt idx="1416">
                  <c:v>1</c:v>
                </c:pt>
                <c:pt idx="1417">
                  <c:v>1</c:v>
                </c:pt>
                <c:pt idx="1418">
                  <c:v>1</c:v>
                </c:pt>
                <c:pt idx="1419">
                  <c:v>1</c:v>
                </c:pt>
                <c:pt idx="1420">
                  <c:v>1</c:v>
                </c:pt>
                <c:pt idx="1421">
                  <c:v>1</c:v>
                </c:pt>
                <c:pt idx="1422">
                  <c:v>1</c:v>
                </c:pt>
                <c:pt idx="1423">
                  <c:v>1</c:v>
                </c:pt>
                <c:pt idx="1424">
                  <c:v>1</c:v>
                </c:pt>
                <c:pt idx="1425">
                  <c:v>1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1</c:v>
                </c:pt>
                <c:pt idx="1432">
                  <c:v>1</c:v>
                </c:pt>
                <c:pt idx="1433">
                  <c:v>1</c:v>
                </c:pt>
                <c:pt idx="1434">
                  <c:v>1</c:v>
                </c:pt>
                <c:pt idx="1435">
                  <c:v>1</c:v>
                </c:pt>
                <c:pt idx="1436">
                  <c:v>1</c:v>
                </c:pt>
                <c:pt idx="1437">
                  <c:v>1</c:v>
                </c:pt>
                <c:pt idx="1438">
                  <c:v>1</c:v>
                </c:pt>
                <c:pt idx="1439">
                  <c:v>1</c:v>
                </c:pt>
                <c:pt idx="1440">
                  <c:v>1</c:v>
                </c:pt>
                <c:pt idx="1441">
                  <c:v>1</c:v>
                </c:pt>
                <c:pt idx="1442">
                  <c:v>1</c:v>
                </c:pt>
                <c:pt idx="1443">
                  <c:v>1</c:v>
                </c:pt>
                <c:pt idx="1444">
                  <c:v>1</c:v>
                </c:pt>
                <c:pt idx="1445">
                  <c:v>1</c:v>
                </c:pt>
                <c:pt idx="1446">
                  <c:v>1</c:v>
                </c:pt>
                <c:pt idx="1447">
                  <c:v>1</c:v>
                </c:pt>
                <c:pt idx="1448">
                  <c:v>1</c:v>
                </c:pt>
                <c:pt idx="1449">
                  <c:v>1</c:v>
                </c:pt>
                <c:pt idx="1450">
                  <c:v>1</c:v>
                </c:pt>
                <c:pt idx="1451">
                  <c:v>1</c:v>
                </c:pt>
                <c:pt idx="1452">
                  <c:v>1</c:v>
                </c:pt>
                <c:pt idx="1453">
                  <c:v>1</c:v>
                </c:pt>
                <c:pt idx="1454">
                  <c:v>1</c:v>
                </c:pt>
                <c:pt idx="1455">
                  <c:v>1</c:v>
                </c:pt>
                <c:pt idx="1456">
                  <c:v>1</c:v>
                </c:pt>
                <c:pt idx="1457">
                  <c:v>1</c:v>
                </c:pt>
                <c:pt idx="1458">
                  <c:v>1</c:v>
                </c:pt>
                <c:pt idx="1459">
                  <c:v>1</c:v>
                </c:pt>
                <c:pt idx="1460">
                  <c:v>1</c:v>
                </c:pt>
                <c:pt idx="1461">
                  <c:v>1</c:v>
                </c:pt>
                <c:pt idx="1462">
                  <c:v>1</c:v>
                </c:pt>
                <c:pt idx="1463">
                  <c:v>1</c:v>
                </c:pt>
                <c:pt idx="1464">
                  <c:v>1</c:v>
                </c:pt>
                <c:pt idx="1465">
                  <c:v>1</c:v>
                </c:pt>
                <c:pt idx="1466">
                  <c:v>1</c:v>
                </c:pt>
                <c:pt idx="1467">
                  <c:v>1</c:v>
                </c:pt>
                <c:pt idx="1468">
                  <c:v>1</c:v>
                </c:pt>
                <c:pt idx="1469">
                  <c:v>1</c:v>
                </c:pt>
                <c:pt idx="1470">
                  <c:v>1</c:v>
                </c:pt>
                <c:pt idx="1471">
                  <c:v>1</c:v>
                </c:pt>
                <c:pt idx="1472">
                  <c:v>1</c:v>
                </c:pt>
                <c:pt idx="1473">
                  <c:v>1</c:v>
                </c:pt>
                <c:pt idx="1474">
                  <c:v>1</c:v>
                </c:pt>
                <c:pt idx="1475">
                  <c:v>1</c:v>
                </c:pt>
                <c:pt idx="1476">
                  <c:v>1</c:v>
                </c:pt>
                <c:pt idx="1477">
                  <c:v>1</c:v>
                </c:pt>
                <c:pt idx="1478">
                  <c:v>1</c:v>
                </c:pt>
                <c:pt idx="1479">
                  <c:v>1</c:v>
                </c:pt>
                <c:pt idx="1480">
                  <c:v>1</c:v>
                </c:pt>
                <c:pt idx="1481">
                  <c:v>1</c:v>
                </c:pt>
                <c:pt idx="1482">
                  <c:v>1</c:v>
                </c:pt>
                <c:pt idx="1483">
                  <c:v>1</c:v>
                </c:pt>
                <c:pt idx="1484">
                  <c:v>1</c:v>
                </c:pt>
                <c:pt idx="1485">
                  <c:v>1</c:v>
                </c:pt>
                <c:pt idx="1486">
                  <c:v>1</c:v>
                </c:pt>
                <c:pt idx="1487">
                  <c:v>1</c:v>
                </c:pt>
                <c:pt idx="1488">
                  <c:v>1</c:v>
                </c:pt>
                <c:pt idx="1489">
                  <c:v>1</c:v>
                </c:pt>
                <c:pt idx="1490">
                  <c:v>1</c:v>
                </c:pt>
                <c:pt idx="1491">
                  <c:v>1</c:v>
                </c:pt>
                <c:pt idx="1492">
                  <c:v>1</c:v>
                </c:pt>
                <c:pt idx="1493">
                  <c:v>1</c:v>
                </c:pt>
                <c:pt idx="1494">
                  <c:v>1</c:v>
                </c:pt>
                <c:pt idx="1495">
                  <c:v>1</c:v>
                </c:pt>
                <c:pt idx="1496">
                  <c:v>1</c:v>
                </c:pt>
                <c:pt idx="1497">
                  <c:v>1</c:v>
                </c:pt>
                <c:pt idx="1498">
                  <c:v>1</c:v>
                </c:pt>
                <c:pt idx="1499">
                  <c:v>1</c:v>
                </c:pt>
                <c:pt idx="1500">
                  <c:v>1</c:v>
                </c:pt>
                <c:pt idx="1501">
                  <c:v>1</c:v>
                </c:pt>
                <c:pt idx="1502">
                  <c:v>1</c:v>
                </c:pt>
                <c:pt idx="1503">
                  <c:v>1</c:v>
                </c:pt>
                <c:pt idx="1504">
                  <c:v>1</c:v>
                </c:pt>
                <c:pt idx="1505">
                  <c:v>1</c:v>
                </c:pt>
                <c:pt idx="1506">
                  <c:v>1</c:v>
                </c:pt>
                <c:pt idx="1507">
                  <c:v>1</c:v>
                </c:pt>
                <c:pt idx="1508">
                  <c:v>1</c:v>
                </c:pt>
                <c:pt idx="1509">
                  <c:v>1</c:v>
                </c:pt>
                <c:pt idx="1510">
                  <c:v>1</c:v>
                </c:pt>
                <c:pt idx="1511">
                  <c:v>1</c:v>
                </c:pt>
                <c:pt idx="1512">
                  <c:v>1</c:v>
                </c:pt>
                <c:pt idx="1513">
                  <c:v>1</c:v>
                </c:pt>
                <c:pt idx="1514">
                  <c:v>1</c:v>
                </c:pt>
                <c:pt idx="1515">
                  <c:v>1</c:v>
                </c:pt>
                <c:pt idx="1516">
                  <c:v>1</c:v>
                </c:pt>
                <c:pt idx="1517">
                  <c:v>1</c:v>
                </c:pt>
                <c:pt idx="1518">
                  <c:v>1</c:v>
                </c:pt>
                <c:pt idx="1519">
                  <c:v>1</c:v>
                </c:pt>
                <c:pt idx="1520">
                  <c:v>1</c:v>
                </c:pt>
                <c:pt idx="1521">
                  <c:v>1</c:v>
                </c:pt>
                <c:pt idx="1522">
                  <c:v>1</c:v>
                </c:pt>
                <c:pt idx="1523">
                  <c:v>1</c:v>
                </c:pt>
                <c:pt idx="1524">
                  <c:v>1</c:v>
                </c:pt>
                <c:pt idx="1525">
                  <c:v>1</c:v>
                </c:pt>
                <c:pt idx="1526">
                  <c:v>1</c:v>
                </c:pt>
                <c:pt idx="1527">
                  <c:v>1</c:v>
                </c:pt>
                <c:pt idx="1528">
                  <c:v>1</c:v>
                </c:pt>
                <c:pt idx="1529">
                  <c:v>1</c:v>
                </c:pt>
                <c:pt idx="1530">
                  <c:v>1</c:v>
                </c:pt>
                <c:pt idx="1531">
                  <c:v>1</c:v>
                </c:pt>
                <c:pt idx="1532">
                  <c:v>1</c:v>
                </c:pt>
                <c:pt idx="1533">
                  <c:v>1</c:v>
                </c:pt>
                <c:pt idx="1534">
                  <c:v>1</c:v>
                </c:pt>
                <c:pt idx="1535">
                  <c:v>1</c:v>
                </c:pt>
                <c:pt idx="1536">
                  <c:v>1</c:v>
                </c:pt>
                <c:pt idx="1537">
                  <c:v>1</c:v>
                </c:pt>
                <c:pt idx="1538">
                  <c:v>1</c:v>
                </c:pt>
                <c:pt idx="1539">
                  <c:v>1</c:v>
                </c:pt>
                <c:pt idx="1540">
                  <c:v>1</c:v>
                </c:pt>
                <c:pt idx="1541">
                  <c:v>1</c:v>
                </c:pt>
                <c:pt idx="1542">
                  <c:v>1</c:v>
                </c:pt>
                <c:pt idx="1543">
                  <c:v>1</c:v>
                </c:pt>
                <c:pt idx="1544">
                  <c:v>1</c:v>
                </c:pt>
                <c:pt idx="1545">
                  <c:v>1</c:v>
                </c:pt>
                <c:pt idx="1546">
                  <c:v>1</c:v>
                </c:pt>
                <c:pt idx="1547">
                  <c:v>1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1</c:v>
                </c:pt>
                <c:pt idx="1552">
                  <c:v>1</c:v>
                </c:pt>
                <c:pt idx="1553">
                  <c:v>1</c:v>
                </c:pt>
                <c:pt idx="1554">
                  <c:v>1</c:v>
                </c:pt>
                <c:pt idx="1555">
                  <c:v>1</c:v>
                </c:pt>
                <c:pt idx="1556">
                  <c:v>1</c:v>
                </c:pt>
                <c:pt idx="1557">
                  <c:v>1</c:v>
                </c:pt>
                <c:pt idx="1558">
                  <c:v>1</c:v>
                </c:pt>
                <c:pt idx="1559">
                  <c:v>1</c:v>
                </c:pt>
                <c:pt idx="1560">
                  <c:v>1</c:v>
                </c:pt>
                <c:pt idx="1561">
                  <c:v>1</c:v>
                </c:pt>
                <c:pt idx="1562">
                  <c:v>1</c:v>
                </c:pt>
                <c:pt idx="1563">
                  <c:v>1</c:v>
                </c:pt>
                <c:pt idx="1564">
                  <c:v>1</c:v>
                </c:pt>
                <c:pt idx="1565">
                  <c:v>1</c:v>
                </c:pt>
                <c:pt idx="1566">
                  <c:v>1</c:v>
                </c:pt>
                <c:pt idx="1567">
                  <c:v>1</c:v>
                </c:pt>
                <c:pt idx="1568">
                  <c:v>1</c:v>
                </c:pt>
                <c:pt idx="1569">
                  <c:v>1</c:v>
                </c:pt>
                <c:pt idx="1570">
                  <c:v>1</c:v>
                </c:pt>
                <c:pt idx="1571">
                  <c:v>1</c:v>
                </c:pt>
                <c:pt idx="1572">
                  <c:v>1</c:v>
                </c:pt>
                <c:pt idx="1573">
                  <c:v>1</c:v>
                </c:pt>
                <c:pt idx="1574">
                  <c:v>1</c:v>
                </c:pt>
                <c:pt idx="1575">
                  <c:v>1</c:v>
                </c:pt>
                <c:pt idx="1576">
                  <c:v>1</c:v>
                </c:pt>
                <c:pt idx="1577">
                  <c:v>1</c:v>
                </c:pt>
                <c:pt idx="1578">
                  <c:v>1</c:v>
                </c:pt>
                <c:pt idx="1579">
                  <c:v>1</c:v>
                </c:pt>
                <c:pt idx="1580">
                  <c:v>1</c:v>
                </c:pt>
                <c:pt idx="1581">
                  <c:v>1</c:v>
                </c:pt>
                <c:pt idx="1582">
                  <c:v>1</c:v>
                </c:pt>
                <c:pt idx="1583">
                  <c:v>1</c:v>
                </c:pt>
                <c:pt idx="1584">
                  <c:v>1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1</c:v>
                </c:pt>
                <c:pt idx="1596">
                  <c:v>1</c:v>
                </c:pt>
                <c:pt idx="1597">
                  <c:v>1</c:v>
                </c:pt>
                <c:pt idx="1598">
                  <c:v>1</c:v>
                </c:pt>
                <c:pt idx="1599">
                  <c:v>1</c:v>
                </c:pt>
                <c:pt idx="1600">
                  <c:v>1</c:v>
                </c:pt>
                <c:pt idx="1601">
                  <c:v>1</c:v>
                </c:pt>
                <c:pt idx="1602">
                  <c:v>0</c:v>
                </c:pt>
                <c:pt idx="1603">
                  <c:v>1</c:v>
                </c:pt>
                <c:pt idx="1604">
                  <c:v>1</c:v>
                </c:pt>
                <c:pt idx="1605">
                  <c:v>1</c:v>
                </c:pt>
                <c:pt idx="1606">
                  <c:v>1</c:v>
                </c:pt>
                <c:pt idx="1607">
                  <c:v>1</c:v>
                </c:pt>
                <c:pt idx="1608">
                  <c:v>1</c:v>
                </c:pt>
                <c:pt idx="1609">
                  <c:v>1</c:v>
                </c:pt>
                <c:pt idx="1610">
                  <c:v>1</c:v>
                </c:pt>
                <c:pt idx="161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EB-42CD-AD23-1403467BE27D}"/>
            </c:ext>
          </c:extLst>
        </c:ser>
        <c:ser>
          <c:idx val="4"/>
          <c:order val="6"/>
          <c:tx>
            <c:strRef>
              <c:f>'M1'!$AA$6</c:f>
              <c:strCache>
                <c:ptCount val="1"/>
                <c:pt idx="0">
                  <c:v>bearish</c:v>
                </c:pt>
              </c:strCache>
            </c:strRef>
          </c:tx>
          <c:spPr>
            <a:solidFill>
              <a:srgbClr val="FF7C80"/>
            </a:solidFill>
            <a:ln>
              <a:noFill/>
            </a:ln>
            <a:effectLst/>
          </c:spPr>
          <c:val>
            <c:numRef>
              <c:f>'M1'!$AA$7:$AA$1621</c:f>
              <c:numCache>
                <c:formatCode>General</c:formatCode>
                <c:ptCount val="16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1</c:v>
                </c:pt>
                <c:pt idx="500">
                  <c:v>1</c:v>
                </c:pt>
                <c:pt idx="501">
                  <c:v>1</c:v>
                </c:pt>
                <c:pt idx="502">
                  <c:v>0</c:v>
                </c:pt>
                <c:pt idx="503">
                  <c:v>0</c:v>
                </c:pt>
                <c:pt idx="504">
                  <c:v>1</c:v>
                </c:pt>
                <c:pt idx="505">
                  <c:v>1</c:v>
                </c:pt>
                <c:pt idx="506">
                  <c:v>1</c:v>
                </c:pt>
                <c:pt idx="507">
                  <c:v>1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1</c:v>
                </c:pt>
                <c:pt idx="557">
                  <c:v>1</c:v>
                </c:pt>
                <c:pt idx="558">
                  <c:v>1</c:v>
                </c:pt>
                <c:pt idx="559">
                  <c:v>1</c:v>
                </c:pt>
                <c:pt idx="560">
                  <c:v>1</c:v>
                </c:pt>
                <c:pt idx="561">
                  <c:v>1</c:v>
                </c:pt>
                <c:pt idx="562">
                  <c:v>1</c:v>
                </c:pt>
                <c:pt idx="563">
                  <c:v>1</c:v>
                </c:pt>
                <c:pt idx="564">
                  <c:v>1</c:v>
                </c:pt>
                <c:pt idx="565">
                  <c:v>1</c:v>
                </c:pt>
                <c:pt idx="566">
                  <c:v>1</c:v>
                </c:pt>
                <c:pt idx="567">
                  <c:v>1</c:v>
                </c:pt>
                <c:pt idx="568">
                  <c:v>1</c:v>
                </c:pt>
                <c:pt idx="569">
                  <c:v>1</c:v>
                </c:pt>
                <c:pt idx="570">
                  <c:v>1</c:v>
                </c:pt>
                <c:pt idx="571">
                  <c:v>1</c:v>
                </c:pt>
                <c:pt idx="572">
                  <c:v>1</c:v>
                </c:pt>
                <c:pt idx="573">
                  <c:v>1</c:v>
                </c:pt>
                <c:pt idx="574">
                  <c:v>1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1</c:v>
                </c:pt>
                <c:pt idx="587">
                  <c:v>1</c:v>
                </c:pt>
                <c:pt idx="588">
                  <c:v>1</c:v>
                </c:pt>
                <c:pt idx="589">
                  <c:v>1</c:v>
                </c:pt>
                <c:pt idx="590">
                  <c:v>1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1</c:v>
                </c:pt>
                <c:pt idx="636">
                  <c:v>1</c:v>
                </c:pt>
                <c:pt idx="637">
                  <c:v>1</c:v>
                </c:pt>
                <c:pt idx="638">
                  <c:v>1</c:v>
                </c:pt>
                <c:pt idx="639">
                  <c:v>1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1</c:v>
                </c:pt>
                <c:pt idx="772">
                  <c:v>1</c:v>
                </c:pt>
                <c:pt idx="773">
                  <c:v>1</c:v>
                </c:pt>
                <c:pt idx="774">
                  <c:v>1</c:v>
                </c:pt>
                <c:pt idx="775">
                  <c:v>1</c:v>
                </c:pt>
                <c:pt idx="776">
                  <c:v>1</c:v>
                </c:pt>
                <c:pt idx="777">
                  <c:v>1</c:v>
                </c:pt>
                <c:pt idx="778">
                  <c:v>1</c:v>
                </c:pt>
                <c:pt idx="779">
                  <c:v>1</c:v>
                </c:pt>
                <c:pt idx="780">
                  <c:v>1</c:v>
                </c:pt>
                <c:pt idx="781">
                  <c:v>1</c:v>
                </c:pt>
                <c:pt idx="782">
                  <c:v>1</c:v>
                </c:pt>
                <c:pt idx="783">
                  <c:v>1</c:v>
                </c:pt>
                <c:pt idx="784">
                  <c:v>1</c:v>
                </c:pt>
                <c:pt idx="785">
                  <c:v>1</c:v>
                </c:pt>
                <c:pt idx="786">
                  <c:v>1</c:v>
                </c:pt>
                <c:pt idx="787">
                  <c:v>1</c:v>
                </c:pt>
                <c:pt idx="788">
                  <c:v>1</c:v>
                </c:pt>
                <c:pt idx="789">
                  <c:v>1</c:v>
                </c:pt>
                <c:pt idx="790">
                  <c:v>1</c:v>
                </c:pt>
                <c:pt idx="791">
                  <c:v>1</c:v>
                </c:pt>
                <c:pt idx="792">
                  <c:v>1</c:v>
                </c:pt>
                <c:pt idx="793">
                  <c:v>1</c:v>
                </c:pt>
                <c:pt idx="794">
                  <c:v>1</c:v>
                </c:pt>
                <c:pt idx="795">
                  <c:v>1</c:v>
                </c:pt>
                <c:pt idx="796">
                  <c:v>1</c:v>
                </c:pt>
                <c:pt idx="797">
                  <c:v>1</c:v>
                </c:pt>
                <c:pt idx="798">
                  <c:v>1</c:v>
                </c:pt>
                <c:pt idx="799">
                  <c:v>1</c:v>
                </c:pt>
                <c:pt idx="800">
                  <c:v>1</c:v>
                </c:pt>
                <c:pt idx="801">
                  <c:v>1</c:v>
                </c:pt>
                <c:pt idx="802">
                  <c:v>1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1</c:v>
                </c:pt>
                <c:pt idx="860">
                  <c:v>1</c:v>
                </c:pt>
                <c:pt idx="861">
                  <c:v>1</c:v>
                </c:pt>
                <c:pt idx="862">
                  <c:v>1</c:v>
                </c:pt>
                <c:pt idx="863">
                  <c:v>1</c:v>
                </c:pt>
                <c:pt idx="864">
                  <c:v>1</c:v>
                </c:pt>
                <c:pt idx="865">
                  <c:v>1</c:v>
                </c:pt>
                <c:pt idx="866">
                  <c:v>1</c:v>
                </c:pt>
                <c:pt idx="867">
                  <c:v>1</c:v>
                </c:pt>
                <c:pt idx="868">
                  <c:v>1</c:v>
                </c:pt>
                <c:pt idx="869">
                  <c:v>1</c:v>
                </c:pt>
                <c:pt idx="870">
                  <c:v>1</c:v>
                </c:pt>
                <c:pt idx="871">
                  <c:v>1</c:v>
                </c:pt>
                <c:pt idx="872">
                  <c:v>1</c:v>
                </c:pt>
                <c:pt idx="873">
                  <c:v>1</c:v>
                </c:pt>
                <c:pt idx="874">
                  <c:v>1</c:v>
                </c:pt>
                <c:pt idx="875">
                  <c:v>1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1</c:v>
                </c:pt>
                <c:pt idx="890">
                  <c:v>1</c:v>
                </c:pt>
                <c:pt idx="891">
                  <c:v>1</c:v>
                </c:pt>
                <c:pt idx="892">
                  <c:v>1</c:v>
                </c:pt>
                <c:pt idx="893">
                  <c:v>1</c:v>
                </c:pt>
                <c:pt idx="894">
                  <c:v>1</c:v>
                </c:pt>
                <c:pt idx="895">
                  <c:v>1</c:v>
                </c:pt>
                <c:pt idx="896">
                  <c:v>1</c:v>
                </c:pt>
                <c:pt idx="897">
                  <c:v>1</c:v>
                </c:pt>
                <c:pt idx="898">
                  <c:v>1</c:v>
                </c:pt>
                <c:pt idx="899">
                  <c:v>1</c:v>
                </c:pt>
                <c:pt idx="900">
                  <c:v>1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1</c:v>
                </c:pt>
                <c:pt idx="964">
                  <c:v>1</c:v>
                </c:pt>
                <c:pt idx="965">
                  <c:v>1</c:v>
                </c:pt>
                <c:pt idx="966">
                  <c:v>1</c:v>
                </c:pt>
                <c:pt idx="967">
                  <c:v>1</c:v>
                </c:pt>
                <c:pt idx="968">
                  <c:v>1</c:v>
                </c:pt>
                <c:pt idx="969">
                  <c:v>1</c:v>
                </c:pt>
                <c:pt idx="970">
                  <c:v>1</c:v>
                </c:pt>
                <c:pt idx="971">
                  <c:v>1</c:v>
                </c:pt>
                <c:pt idx="972">
                  <c:v>1</c:v>
                </c:pt>
                <c:pt idx="973">
                  <c:v>1</c:v>
                </c:pt>
                <c:pt idx="974">
                  <c:v>1</c:v>
                </c:pt>
                <c:pt idx="975">
                  <c:v>1</c:v>
                </c:pt>
                <c:pt idx="976">
                  <c:v>1</c:v>
                </c:pt>
                <c:pt idx="977">
                  <c:v>1</c:v>
                </c:pt>
                <c:pt idx="978">
                  <c:v>1</c:v>
                </c:pt>
                <c:pt idx="979">
                  <c:v>1</c:v>
                </c:pt>
                <c:pt idx="980">
                  <c:v>1</c:v>
                </c:pt>
                <c:pt idx="981">
                  <c:v>1</c:v>
                </c:pt>
                <c:pt idx="982">
                  <c:v>1</c:v>
                </c:pt>
                <c:pt idx="983">
                  <c:v>1</c:v>
                </c:pt>
                <c:pt idx="984">
                  <c:v>1</c:v>
                </c:pt>
                <c:pt idx="985">
                  <c:v>1</c:v>
                </c:pt>
                <c:pt idx="986">
                  <c:v>1</c:v>
                </c:pt>
                <c:pt idx="987">
                  <c:v>1</c:v>
                </c:pt>
                <c:pt idx="988">
                  <c:v>1</c:v>
                </c:pt>
                <c:pt idx="989">
                  <c:v>1</c:v>
                </c:pt>
                <c:pt idx="990">
                  <c:v>1</c:v>
                </c:pt>
                <c:pt idx="991">
                  <c:v>1</c:v>
                </c:pt>
                <c:pt idx="992">
                  <c:v>1</c:v>
                </c:pt>
                <c:pt idx="993">
                  <c:v>1</c:v>
                </c:pt>
                <c:pt idx="994">
                  <c:v>1</c:v>
                </c:pt>
                <c:pt idx="995">
                  <c:v>1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1</c:v>
                </c:pt>
                <c:pt idx="1051">
                  <c:v>1</c:v>
                </c:pt>
                <c:pt idx="1052">
                  <c:v>1</c:v>
                </c:pt>
                <c:pt idx="1053">
                  <c:v>1</c:v>
                </c:pt>
                <c:pt idx="1054">
                  <c:v>1</c:v>
                </c:pt>
                <c:pt idx="1055">
                  <c:v>1</c:v>
                </c:pt>
                <c:pt idx="1056">
                  <c:v>1</c:v>
                </c:pt>
                <c:pt idx="1057">
                  <c:v>1</c:v>
                </c:pt>
                <c:pt idx="1058">
                  <c:v>1</c:v>
                </c:pt>
                <c:pt idx="1059">
                  <c:v>1</c:v>
                </c:pt>
                <c:pt idx="1060">
                  <c:v>1</c:v>
                </c:pt>
                <c:pt idx="1061">
                  <c:v>1</c:v>
                </c:pt>
                <c:pt idx="1062">
                  <c:v>1</c:v>
                </c:pt>
                <c:pt idx="1063">
                  <c:v>1</c:v>
                </c:pt>
                <c:pt idx="1064">
                  <c:v>1</c:v>
                </c:pt>
                <c:pt idx="1065">
                  <c:v>1</c:v>
                </c:pt>
                <c:pt idx="1066">
                  <c:v>1</c:v>
                </c:pt>
                <c:pt idx="1067">
                  <c:v>1</c:v>
                </c:pt>
                <c:pt idx="1068">
                  <c:v>1</c:v>
                </c:pt>
                <c:pt idx="1069">
                  <c:v>1</c:v>
                </c:pt>
                <c:pt idx="1070">
                  <c:v>1</c:v>
                </c:pt>
                <c:pt idx="1071">
                  <c:v>1</c:v>
                </c:pt>
                <c:pt idx="1072">
                  <c:v>1</c:v>
                </c:pt>
                <c:pt idx="1073">
                  <c:v>1</c:v>
                </c:pt>
                <c:pt idx="1074">
                  <c:v>1</c:v>
                </c:pt>
                <c:pt idx="1075">
                  <c:v>1</c:v>
                </c:pt>
                <c:pt idx="1076">
                  <c:v>1</c:v>
                </c:pt>
                <c:pt idx="1077">
                  <c:v>1</c:v>
                </c:pt>
                <c:pt idx="1078">
                  <c:v>1</c:v>
                </c:pt>
                <c:pt idx="1079">
                  <c:v>1</c:v>
                </c:pt>
                <c:pt idx="1080">
                  <c:v>1</c:v>
                </c:pt>
                <c:pt idx="1081">
                  <c:v>1</c:v>
                </c:pt>
                <c:pt idx="1082">
                  <c:v>1</c:v>
                </c:pt>
                <c:pt idx="1083">
                  <c:v>1</c:v>
                </c:pt>
                <c:pt idx="1084">
                  <c:v>1</c:v>
                </c:pt>
                <c:pt idx="1085">
                  <c:v>1</c:v>
                </c:pt>
                <c:pt idx="1086">
                  <c:v>1</c:v>
                </c:pt>
                <c:pt idx="1087">
                  <c:v>1</c:v>
                </c:pt>
                <c:pt idx="1088">
                  <c:v>1</c:v>
                </c:pt>
                <c:pt idx="1089">
                  <c:v>1</c:v>
                </c:pt>
                <c:pt idx="1090">
                  <c:v>1</c:v>
                </c:pt>
                <c:pt idx="1091">
                  <c:v>1</c:v>
                </c:pt>
                <c:pt idx="1092">
                  <c:v>1</c:v>
                </c:pt>
                <c:pt idx="1093">
                  <c:v>1</c:v>
                </c:pt>
                <c:pt idx="1094">
                  <c:v>1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1</c:v>
                </c:pt>
                <c:pt idx="1107">
                  <c:v>1</c:v>
                </c:pt>
                <c:pt idx="1108">
                  <c:v>1</c:v>
                </c:pt>
                <c:pt idx="1109">
                  <c:v>1</c:v>
                </c:pt>
                <c:pt idx="1110">
                  <c:v>1</c:v>
                </c:pt>
                <c:pt idx="1111">
                  <c:v>1</c:v>
                </c:pt>
                <c:pt idx="1112">
                  <c:v>1</c:v>
                </c:pt>
                <c:pt idx="1113">
                  <c:v>1</c:v>
                </c:pt>
                <c:pt idx="1114">
                  <c:v>1</c:v>
                </c:pt>
                <c:pt idx="1115">
                  <c:v>1</c:v>
                </c:pt>
                <c:pt idx="1116">
                  <c:v>1</c:v>
                </c:pt>
                <c:pt idx="1117">
                  <c:v>1</c:v>
                </c:pt>
                <c:pt idx="1118">
                  <c:v>1</c:v>
                </c:pt>
                <c:pt idx="1119">
                  <c:v>1</c:v>
                </c:pt>
                <c:pt idx="1120">
                  <c:v>1</c:v>
                </c:pt>
                <c:pt idx="1121">
                  <c:v>1</c:v>
                </c:pt>
                <c:pt idx="1122">
                  <c:v>1</c:v>
                </c:pt>
                <c:pt idx="1123">
                  <c:v>1</c:v>
                </c:pt>
                <c:pt idx="1124">
                  <c:v>1</c:v>
                </c:pt>
                <c:pt idx="1125">
                  <c:v>1</c:v>
                </c:pt>
                <c:pt idx="1126">
                  <c:v>1</c:v>
                </c:pt>
                <c:pt idx="1127">
                  <c:v>1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1</c:v>
                </c:pt>
                <c:pt idx="1181">
                  <c:v>1</c:v>
                </c:pt>
                <c:pt idx="1182">
                  <c:v>1</c:v>
                </c:pt>
                <c:pt idx="1183">
                  <c:v>1</c:v>
                </c:pt>
                <c:pt idx="1184">
                  <c:v>1</c:v>
                </c:pt>
                <c:pt idx="1185">
                  <c:v>1</c:v>
                </c:pt>
                <c:pt idx="1186">
                  <c:v>1</c:v>
                </c:pt>
                <c:pt idx="1187">
                  <c:v>1</c:v>
                </c:pt>
                <c:pt idx="1188">
                  <c:v>1</c:v>
                </c:pt>
                <c:pt idx="1189">
                  <c:v>1</c:v>
                </c:pt>
                <c:pt idx="1190">
                  <c:v>1</c:v>
                </c:pt>
                <c:pt idx="1191">
                  <c:v>1</c:v>
                </c:pt>
                <c:pt idx="1192">
                  <c:v>1</c:v>
                </c:pt>
                <c:pt idx="1193">
                  <c:v>1</c:v>
                </c:pt>
                <c:pt idx="1194">
                  <c:v>1</c:v>
                </c:pt>
                <c:pt idx="1195">
                  <c:v>1</c:v>
                </c:pt>
                <c:pt idx="1196">
                  <c:v>1</c:v>
                </c:pt>
                <c:pt idx="1197">
                  <c:v>1</c:v>
                </c:pt>
                <c:pt idx="1198">
                  <c:v>1</c:v>
                </c:pt>
                <c:pt idx="1199">
                  <c:v>1</c:v>
                </c:pt>
                <c:pt idx="1200">
                  <c:v>1</c:v>
                </c:pt>
                <c:pt idx="1201">
                  <c:v>1</c:v>
                </c:pt>
                <c:pt idx="1202">
                  <c:v>1</c:v>
                </c:pt>
                <c:pt idx="1203">
                  <c:v>1</c:v>
                </c:pt>
                <c:pt idx="1204">
                  <c:v>1</c:v>
                </c:pt>
                <c:pt idx="1205">
                  <c:v>1</c:v>
                </c:pt>
                <c:pt idx="1206">
                  <c:v>1</c:v>
                </c:pt>
                <c:pt idx="1207">
                  <c:v>1</c:v>
                </c:pt>
                <c:pt idx="1208">
                  <c:v>1</c:v>
                </c:pt>
                <c:pt idx="1209">
                  <c:v>1</c:v>
                </c:pt>
                <c:pt idx="1210">
                  <c:v>1</c:v>
                </c:pt>
                <c:pt idx="1211">
                  <c:v>1</c:v>
                </c:pt>
                <c:pt idx="1212">
                  <c:v>1</c:v>
                </c:pt>
                <c:pt idx="1213">
                  <c:v>1</c:v>
                </c:pt>
                <c:pt idx="1214">
                  <c:v>1</c:v>
                </c:pt>
                <c:pt idx="1215">
                  <c:v>1</c:v>
                </c:pt>
                <c:pt idx="1216">
                  <c:v>1</c:v>
                </c:pt>
                <c:pt idx="1217">
                  <c:v>1</c:v>
                </c:pt>
                <c:pt idx="1218">
                  <c:v>1</c:v>
                </c:pt>
                <c:pt idx="1219">
                  <c:v>1</c:v>
                </c:pt>
                <c:pt idx="1220">
                  <c:v>1</c:v>
                </c:pt>
                <c:pt idx="1221">
                  <c:v>1</c:v>
                </c:pt>
                <c:pt idx="1222">
                  <c:v>1</c:v>
                </c:pt>
                <c:pt idx="1223">
                  <c:v>1</c:v>
                </c:pt>
                <c:pt idx="1224">
                  <c:v>1</c:v>
                </c:pt>
                <c:pt idx="1225">
                  <c:v>1</c:v>
                </c:pt>
                <c:pt idx="1226">
                  <c:v>1</c:v>
                </c:pt>
                <c:pt idx="1227">
                  <c:v>1</c:v>
                </c:pt>
                <c:pt idx="1228">
                  <c:v>1</c:v>
                </c:pt>
                <c:pt idx="1229">
                  <c:v>1</c:v>
                </c:pt>
                <c:pt idx="1230">
                  <c:v>1</c:v>
                </c:pt>
                <c:pt idx="1231">
                  <c:v>1</c:v>
                </c:pt>
                <c:pt idx="1232">
                  <c:v>1</c:v>
                </c:pt>
                <c:pt idx="1233">
                  <c:v>1</c:v>
                </c:pt>
                <c:pt idx="1234">
                  <c:v>1</c:v>
                </c:pt>
                <c:pt idx="1235">
                  <c:v>1</c:v>
                </c:pt>
                <c:pt idx="1236">
                  <c:v>1</c:v>
                </c:pt>
                <c:pt idx="1237">
                  <c:v>1</c:v>
                </c:pt>
                <c:pt idx="1238">
                  <c:v>1</c:v>
                </c:pt>
                <c:pt idx="1239">
                  <c:v>1</c:v>
                </c:pt>
                <c:pt idx="1240">
                  <c:v>1</c:v>
                </c:pt>
                <c:pt idx="1241">
                  <c:v>1</c:v>
                </c:pt>
                <c:pt idx="1242">
                  <c:v>1</c:v>
                </c:pt>
                <c:pt idx="1243">
                  <c:v>1</c:v>
                </c:pt>
                <c:pt idx="1244">
                  <c:v>1</c:v>
                </c:pt>
                <c:pt idx="1245">
                  <c:v>1</c:v>
                </c:pt>
                <c:pt idx="1246">
                  <c:v>1</c:v>
                </c:pt>
                <c:pt idx="1247">
                  <c:v>1</c:v>
                </c:pt>
                <c:pt idx="1248">
                  <c:v>1</c:v>
                </c:pt>
                <c:pt idx="1249">
                  <c:v>1</c:v>
                </c:pt>
                <c:pt idx="1250">
                  <c:v>1</c:v>
                </c:pt>
                <c:pt idx="1251">
                  <c:v>1</c:v>
                </c:pt>
                <c:pt idx="1252">
                  <c:v>1</c:v>
                </c:pt>
                <c:pt idx="1253">
                  <c:v>1</c:v>
                </c:pt>
                <c:pt idx="1254">
                  <c:v>1</c:v>
                </c:pt>
                <c:pt idx="1255">
                  <c:v>1</c:v>
                </c:pt>
                <c:pt idx="1256">
                  <c:v>1</c:v>
                </c:pt>
                <c:pt idx="1257">
                  <c:v>1</c:v>
                </c:pt>
                <c:pt idx="1258">
                  <c:v>1</c:v>
                </c:pt>
                <c:pt idx="1259">
                  <c:v>1</c:v>
                </c:pt>
                <c:pt idx="1260">
                  <c:v>1</c:v>
                </c:pt>
                <c:pt idx="1261">
                  <c:v>1</c:v>
                </c:pt>
                <c:pt idx="1262">
                  <c:v>1</c:v>
                </c:pt>
                <c:pt idx="1263">
                  <c:v>1</c:v>
                </c:pt>
                <c:pt idx="1264">
                  <c:v>1</c:v>
                </c:pt>
                <c:pt idx="1265">
                  <c:v>1</c:v>
                </c:pt>
                <c:pt idx="1266">
                  <c:v>1</c:v>
                </c:pt>
                <c:pt idx="1267">
                  <c:v>1</c:v>
                </c:pt>
                <c:pt idx="1268">
                  <c:v>1</c:v>
                </c:pt>
                <c:pt idx="1269">
                  <c:v>1</c:v>
                </c:pt>
                <c:pt idx="1270">
                  <c:v>1</c:v>
                </c:pt>
                <c:pt idx="1271">
                  <c:v>1</c:v>
                </c:pt>
                <c:pt idx="1272">
                  <c:v>1</c:v>
                </c:pt>
                <c:pt idx="1273">
                  <c:v>1</c:v>
                </c:pt>
                <c:pt idx="1274">
                  <c:v>1</c:v>
                </c:pt>
                <c:pt idx="1275">
                  <c:v>1</c:v>
                </c:pt>
                <c:pt idx="1276">
                  <c:v>1</c:v>
                </c:pt>
                <c:pt idx="1277">
                  <c:v>1</c:v>
                </c:pt>
                <c:pt idx="1278">
                  <c:v>1</c:v>
                </c:pt>
                <c:pt idx="1279">
                  <c:v>1</c:v>
                </c:pt>
                <c:pt idx="1280">
                  <c:v>1</c:v>
                </c:pt>
                <c:pt idx="1281">
                  <c:v>1</c:v>
                </c:pt>
                <c:pt idx="1282">
                  <c:v>1</c:v>
                </c:pt>
                <c:pt idx="1283">
                  <c:v>1</c:v>
                </c:pt>
                <c:pt idx="1284">
                  <c:v>1</c:v>
                </c:pt>
                <c:pt idx="1285">
                  <c:v>1</c:v>
                </c:pt>
                <c:pt idx="1286">
                  <c:v>1</c:v>
                </c:pt>
                <c:pt idx="1287">
                  <c:v>1</c:v>
                </c:pt>
                <c:pt idx="1288">
                  <c:v>1</c:v>
                </c:pt>
                <c:pt idx="1289">
                  <c:v>1</c:v>
                </c:pt>
                <c:pt idx="1290">
                  <c:v>1</c:v>
                </c:pt>
                <c:pt idx="1291">
                  <c:v>1</c:v>
                </c:pt>
                <c:pt idx="1292">
                  <c:v>1</c:v>
                </c:pt>
                <c:pt idx="1293">
                  <c:v>1</c:v>
                </c:pt>
                <c:pt idx="1294">
                  <c:v>1</c:v>
                </c:pt>
                <c:pt idx="1295">
                  <c:v>1</c:v>
                </c:pt>
                <c:pt idx="1296">
                  <c:v>1</c:v>
                </c:pt>
                <c:pt idx="1297">
                  <c:v>1</c:v>
                </c:pt>
                <c:pt idx="1298">
                  <c:v>1</c:v>
                </c:pt>
                <c:pt idx="1299">
                  <c:v>1</c:v>
                </c:pt>
                <c:pt idx="1300">
                  <c:v>1</c:v>
                </c:pt>
                <c:pt idx="1301">
                  <c:v>1</c:v>
                </c:pt>
                <c:pt idx="1302">
                  <c:v>1</c:v>
                </c:pt>
                <c:pt idx="1303">
                  <c:v>1</c:v>
                </c:pt>
                <c:pt idx="1304">
                  <c:v>1</c:v>
                </c:pt>
                <c:pt idx="1305">
                  <c:v>1</c:v>
                </c:pt>
                <c:pt idx="1306">
                  <c:v>1</c:v>
                </c:pt>
                <c:pt idx="1307">
                  <c:v>1</c:v>
                </c:pt>
                <c:pt idx="1308">
                  <c:v>1</c:v>
                </c:pt>
                <c:pt idx="1309">
                  <c:v>1</c:v>
                </c:pt>
                <c:pt idx="1310">
                  <c:v>1</c:v>
                </c:pt>
                <c:pt idx="1311">
                  <c:v>1</c:v>
                </c:pt>
                <c:pt idx="1312">
                  <c:v>1</c:v>
                </c:pt>
                <c:pt idx="1313">
                  <c:v>1</c:v>
                </c:pt>
                <c:pt idx="1314">
                  <c:v>1</c:v>
                </c:pt>
                <c:pt idx="1315">
                  <c:v>1</c:v>
                </c:pt>
                <c:pt idx="1316">
                  <c:v>1</c:v>
                </c:pt>
                <c:pt idx="1317">
                  <c:v>1</c:v>
                </c:pt>
                <c:pt idx="1318">
                  <c:v>1</c:v>
                </c:pt>
                <c:pt idx="1319">
                  <c:v>1</c:v>
                </c:pt>
                <c:pt idx="1320">
                  <c:v>1</c:v>
                </c:pt>
                <c:pt idx="1321">
                  <c:v>1</c:v>
                </c:pt>
                <c:pt idx="1322">
                  <c:v>1</c:v>
                </c:pt>
                <c:pt idx="1323">
                  <c:v>1</c:v>
                </c:pt>
                <c:pt idx="1324">
                  <c:v>1</c:v>
                </c:pt>
                <c:pt idx="1325">
                  <c:v>1</c:v>
                </c:pt>
                <c:pt idx="1326">
                  <c:v>1</c:v>
                </c:pt>
                <c:pt idx="1327">
                  <c:v>1</c:v>
                </c:pt>
                <c:pt idx="1328">
                  <c:v>1</c:v>
                </c:pt>
                <c:pt idx="1329">
                  <c:v>1</c:v>
                </c:pt>
                <c:pt idx="1330">
                  <c:v>1</c:v>
                </c:pt>
                <c:pt idx="1331">
                  <c:v>1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1</c:v>
                </c:pt>
                <c:pt idx="1341">
                  <c:v>1</c:v>
                </c:pt>
                <c:pt idx="1342">
                  <c:v>1</c:v>
                </c:pt>
                <c:pt idx="1343">
                  <c:v>1</c:v>
                </c:pt>
                <c:pt idx="1344">
                  <c:v>1</c:v>
                </c:pt>
                <c:pt idx="1345">
                  <c:v>0</c:v>
                </c:pt>
                <c:pt idx="1346">
                  <c:v>1</c:v>
                </c:pt>
                <c:pt idx="1347">
                  <c:v>1</c:v>
                </c:pt>
                <c:pt idx="1348">
                  <c:v>1</c:v>
                </c:pt>
                <c:pt idx="1349">
                  <c:v>1</c:v>
                </c:pt>
                <c:pt idx="1350">
                  <c:v>1</c:v>
                </c:pt>
                <c:pt idx="1351">
                  <c:v>1</c:v>
                </c:pt>
                <c:pt idx="1352">
                  <c:v>1</c:v>
                </c:pt>
                <c:pt idx="1353">
                  <c:v>1</c:v>
                </c:pt>
                <c:pt idx="1354">
                  <c:v>1</c:v>
                </c:pt>
                <c:pt idx="1355">
                  <c:v>1</c:v>
                </c:pt>
                <c:pt idx="1356">
                  <c:v>1</c:v>
                </c:pt>
                <c:pt idx="1357">
                  <c:v>1</c:v>
                </c:pt>
                <c:pt idx="1358">
                  <c:v>1</c:v>
                </c:pt>
                <c:pt idx="1359">
                  <c:v>1</c:v>
                </c:pt>
                <c:pt idx="1360">
                  <c:v>1</c:v>
                </c:pt>
                <c:pt idx="1361">
                  <c:v>1</c:v>
                </c:pt>
                <c:pt idx="1362">
                  <c:v>1</c:v>
                </c:pt>
                <c:pt idx="1363">
                  <c:v>1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1</c:v>
                </c:pt>
                <c:pt idx="1379">
                  <c:v>1</c:v>
                </c:pt>
                <c:pt idx="1380">
                  <c:v>1</c:v>
                </c:pt>
                <c:pt idx="1381">
                  <c:v>1</c:v>
                </c:pt>
                <c:pt idx="1382">
                  <c:v>1</c:v>
                </c:pt>
                <c:pt idx="1383">
                  <c:v>1</c:v>
                </c:pt>
                <c:pt idx="1384">
                  <c:v>1</c:v>
                </c:pt>
                <c:pt idx="1385">
                  <c:v>1</c:v>
                </c:pt>
                <c:pt idx="1386">
                  <c:v>1</c:v>
                </c:pt>
                <c:pt idx="1387">
                  <c:v>1</c:v>
                </c:pt>
                <c:pt idx="1388">
                  <c:v>1</c:v>
                </c:pt>
                <c:pt idx="1389">
                  <c:v>1</c:v>
                </c:pt>
                <c:pt idx="1390">
                  <c:v>1</c:v>
                </c:pt>
                <c:pt idx="1391">
                  <c:v>1</c:v>
                </c:pt>
                <c:pt idx="1392">
                  <c:v>1</c:v>
                </c:pt>
                <c:pt idx="1393">
                  <c:v>1</c:v>
                </c:pt>
                <c:pt idx="1394">
                  <c:v>1</c:v>
                </c:pt>
                <c:pt idx="1395">
                  <c:v>1</c:v>
                </c:pt>
                <c:pt idx="1396">
                  <c:v>1</c:v>
                </c:pt>
                <c:pt idx="1397">
                  <c:v>1</c:v>
                </c:pt>
                <c:pt idx="1398">
                  <c:v>1</c:v>
                </c:pt>
                <c:pt idx="1399">
                  <c:v>1</c:v>
                </c:pt>
                <c:pt idx="1400">
                  <c:v>1</c:v>
                </c:pt>
                <c:pt idx="1401">
                  <c:v>1</c:v>
                </c:pt>
                <c:pt idx="1402">
                  <c:v>1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1</c:v>
                </c:pt>
                <c:pt idx="1427">
                  <c:v>1</c:v>
                </c:pt>
                <c:pt idx="1428">
                  <c:v>1</c:v>
                </c:pt>
                <c:pt idx="1429">
                  <c:v>1</c:v>
                </c:pt>
                <c:pt idx="1430">
                  <c:v>1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1</c:v>
                </c:pt>
                <c:pt idx="1549">
                  <c:v>1</c:v>
                </c:pt>
                <c:pt idx="1550">
                  <c:v>1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1</c:v>
                </c:pt>
                <c:pt idx="1586">
                  <c:v>1</c:v>
                </c:pt>
                <c:pt idx="1587">
                  <c:v>1</c:v>
                </c:pt>
                <c:pt idx="1588">
                  <c:v>1</c:v>
                </c:pt>
                <c:pt idx="1589">
                  <c:v>1</c:v>
                </c:pt>
                <c:pt idx="1590">
                  <c:v>1</c:v>
                </c:pt>
                <c:pt idx="1591">
                  <c:v>1</c:v>
                </c:pt>
                <c:pt idx="1592">
                  <c:v>1</c:v>
                </c:pt>
                <c:pt idx="1593">
                  <c:v>1</c:v>
                </c:pt>
                <c:pt idx="1594">
                  <c:v>1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1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4EB-42CD-AD23-1403467BE2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4952808"/>
        <c:axId val="2134953792"/>
      </c:areaChart>
      <c:barChart>
        <c:barDir val="col"/>
        <c:grouping val="clustered"/>
        <c:varyColors val="0"/>
        <c:ser>
          <c:idx val="2"/>
          <c:order val="2"/>
          <c:tx>
            <c:strRef>
              <c:f>'M1'!$V$6</c:f>
              <c:strCache>
                <c:ptCount val="1"/>
                <c:pt idx="0">
                  <c:v>MVA FVG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val>
            <c:numRef>
              <c:f>'M1'!$V$7:$V$1621</c:f>
              <c:numCache>
                <c:formatCode>0.00</c:formatCode>
                <c:ptCount val="16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0.31869631127445364</c:v>
                </c:pt>
                <c:pt idx="500">
                  <c:v>0.13462731179680931</c:v>
                </c:pt>
                <c:pt idx="501">
                  <c:v>4.0335404049234747E-2</c:v>
                </c:pt>
                <c:pt idx="502">
                  <c:v>-2.9557219326160622E-3</c:v>
                </c:pt>
                <c:pt idx="503">
                  <c:v>-1.8912991240664256E-2</c:v>
                </c:pt>
                <c:pt idx="504">
                  <c:v>2.9152873143125386E-2</c:v>
                </c:pt>
                <c:pt idx="505">
                  <c:v>4.4874485956826894E-2</c:v>
                </c:pt>
                <c:pt idx="506">
                  <c:v>3.5210662057223868E-2</c:v>
                </c:pt>
                <c:pt idx="507">
                  <c:v>2.3968779174787297E-3</c:v>
                </c:pt>
                <c:pt idx="508">
                  <c:v>-4.7143755716985793E-2</c:v>
                </c:pt>
                <c:pt idx="509">
                  <c:v>-8.8006758020112569E-2</c:v>
                </c:pt>
                <c:pt idx="510">
                  <c:v>-0.12971826042105197</c:v>
                </c:pt>
                <c:pt idx="511">
                  <c:v>-0.17608468333401811</c:v>
                </c:pt>
                <c:pt idx="512">
                  <c:v>-0.22629535823209038</c:v>
                </c:pt>
                <c:pt idx="513">
                  <c:v>-0.28336090947984033</c:v>
                </c:pt>
                <c:pt idx="514">
                  <c:v>-0.24794535871314885</c:v>
                </c:pt>
                <c:pt idx="515">
                  <c:v>-0.19600804058080112</c:v>
                </c:pt>
                <c:pt idx="516">
                  <c:v>-0.17065518954740988</c:v>
                </c:pt>
                <c:pt idx="517">
                  <c:v>-0.15460459089155454</c:v>
                </c:pt>
                <c:pt idx="518">
                  <c:v>-0.1349164635278047</c:v>
                </c:pt>
                <c:pt idx="519">
                  <c:v>-0.15821610123833246</c:v>
                </c:pt>
                <c:pt idx="520">
                  <c:v>-0.17470575647457248</c:v>
                </c:pt>
                <c:pt idx="521">
                  <c:v>-0.199254334085646</c:v>
                </c:pt>
                <c:pt idx="522">
                  <c:v>-0.22146630910209258</c:v>
                </c:pt>
                <c:pt idx="523">
                  <c:v>-0.2404995928111025</c:v>
                </c:pt>
                <c:pt idx="524">
                  <c:v>-0.25650604004713695</c:v>
                </c:pt>
                <c:pt idx="525">
                  <c:v>-0.29089467321756179</c:v>
                </c:pt>
                <c:pt idx="526">
                  <c:v>-0.32090358985544487</c:v>
                </c:pt>
                <c:pt idx="527">
                  <c:v>-0.3476830310701714</c:v>
                </c:pt>
                <c:pt idx="528">
                  <c:v>-0.37000648066587066</c:v>
                </c:pt>
                <c:pt idx="529">
                  <c:v>-0.40273370740200776</c:v>
                </c:pt>
                <c:pt idx="530">
                  <c:v>-0.41738052154559357</c:v>
                </c:pt>
                <c:pt idx="531">
                  <c:v>-0.40882790919577616</c:v>
                </c:pt>
                <c:pt idx="532">
                  <c:v>-0.3861718045691328</c:v>
                </c:pt>
                <c:pt idx="533">
                  <c:v>-0.3464270536332415</c:v>
                </c:pt>
                <c:pt idx="534">
                  <c:v>-0.39080760123316882</c:v>
                </c:pt>
                <c:pt idx="535">
                  <c:v>-0.45759090408590064</c:v>
                </c:pt>
                <c:pt idx="536">
                  <c:v>-0.51696499300425636</c:v>
                </c:pt>
                <c:pt idx="537">
                  <c:v>-0.56829960888635567</c:v>
                </c:pt>
                <c:pt idx="538">
                  <c:v>-0.62941151003525886</c:v>
                </c:pt>
                <c:pt idx="539">
                  <c:v>-0.66475977388499241</c:v>
                </c:pt>
                <c:pt idx="540">
                  <c:v>-0.66955985149237518</c:v>
                </c:pt>
                <c:pt idx="541">
                  <c:v>-0.64315794562151807</c:v>
                </c:pt>
                <c:pt idx="542">
                  <c:v>-0.6142893336655072</c:v>
                </c:pt>
                <c:pt idx="543">
                  <c:v>-0.58296920705533883</c:v>
                </c:pt>
                <c:pt idx="544">
                  <c:v>-0.56074895527356627</c:v>
                </c:pt>
                <c:pt idx="545">
                  <c:v>-0.5115622549620038</c:v>
                </c:pt>
                <c:pt idx="546">
                  <c:v>-0.45980267030114075</c:v>
                </c:pt>
                <c:pt idx="547">
                  <c:v>-0.41871179076282489</c:v>
                </c:pt>
                <c:pt idx="548">
                  <c:v>-0.35858498841202191</c:v>
                </c:pt>
                <c:pt idx="549">
                  <c:v>-0.29118618260806739</c:v>
                </c:pt>
                <c:pt idx="550">
                  <c:v>-0.2292390957914229</c:v>
                </c:pt>
                <c:pt idx="551">
                  <c:v>-0.18610981807743227</c:v>
                </c:pt>
                <c:pt idx="552">
                  <c:v>-0.15707035784636111</c:v>
                </c:pt>
                <c:pt idx="553">
                  <c:v>-0.12728291640373515</c:v>
                </c:pt>
                <c:pt idx="554">
                  <c:v>-7.5194858202093887E-2</c:v>
                </c:pt>
                <c:pt idx="555">
                  <c:v>-1.429483032018326E-2</c:v>
                </c:pt>
                <c:pt idx="556">
                  <c:v>4.4634042503537627E-2</c:v>
                </c:pt>
                <c:pt idx="557">
                  <c:v>0.10731573304702424</c:v>
                </c:pt>
                <c:pt idx="558">
                  <c:v>0.16678897627635428</c:v>
                </c:pt>
                <c:pt idx="559">
                  <c:v>0.22155554516051001</c:v>
                </c:pt>
                <c:pt idx="560">
                  <c:v>0.25574252606166931</c:v>
                </c:pt>
                <c:pt idx="561">
                  <c:v>0.27221782649154302</c:v>
                </c:pt>
                <c:pt idx="562">
                  <c:v>0.27988400536545532</c:v>
                </c:pt>
                <c:pt idx="563">
                  <c:v>0.27394938848466471</c:v>
                </c:pt>
                <c:pt idx="564">
                  <c:v>0.26158076318787721</c:v>
                </c:pt>
                <c:pt idx="565">
                  <c:v>0.24240825256181506</c:v>
                </c:pt>
                <c:pt idx="566">
                  <c:v>0.21535289461043555</c:v>
                </c:pt>
                <c:pt idx="567">
                  <c:v>0.197375815391543</c:v>
                </c:pt>
                <c:pt idx="568">
                  <c:v>0.1663769655836343</c:v>
                </c:pt>
                <c:pt idx="569">
                  <c:v>0.14047451919915732</c:v>
                </c:pt>
                <c:pt idx="570">
                  <c:v>0.10717234461029561</c:v>
                </c:pt>
                <c:pt idx="571">
                  <c:v>7.7635709458348592E-2</c:v>
                </c:pt>
                <c:pt idx="572">
                  <c:v>5.6788576422063253E-2</c:v>
                </c:pt>
                <c:pt idx="573">
                  <c:v>3.3990342397108894E-2</c:v>
                </c:pt>
                <c:pt idx="574">
                  <c:v>6.9418821832995508E-3</c:v>
                </c:pt>
                <c:pt idx="575">
                  <c:v>-2.6140533434533784E-2</c:v>
                </c:pt>
                <c:pt idx="576">
                  <c:v>-5.332710767832867E-2</c:v>
                </c:pt>
                <c:pt idx="577">
                  <c:v>-9.0162108438032157E-2</c:v>
                </c:pt>
                <c:pt idx="578">
                  <c:v>-0.11339617091897172</c:v>
                </c:pt>
                <c:pt idx="579">
                  <c:v>-8.7282805141973438E-2</c:v>
                </c:pt>
                <c:pt idx="580">
                  <c:v>-7.1144339775083526E-2</c:v>
                </c:pt>
                <c:pt idx="581">
                  <c:v>-6.2747738315384688E-2</c:v>
                </c:pt>
                <c:pt idx="582">
                  <c:v>-4.9886861829074092E-2</c:v>
                </c:pt>
                <c:pt idx="583">
                  <c:v>-2.8799030736928077E-2</c:v>
                </c:pt>
                <c:pt idx="584">
                  <c:v>-1.3576415007507031E-2</c:v>
                </c:pt>
                <c:pt idx="585">
                  <c:v>-5.446367797280194E-5</c:v>
                </c:pt>
                <c:pt idx="586">
                  <c:v>1.3150995879503021E-2</c:v>
                </c:pt>
                <c:pt idx="587">
                  <c:v>3.1389400893774275E-2</c:v>
                </c:pt>
                <c:pt idx="588">
                  <c:v>2.7294760123427547E-2</c:v>
                </c:pt>
                <c:pt idx="589">
                  <c:v>1.9716603011224593E-2</c:v>
                </c:pt>
                <c:pt idx="590">
                  <c:v>1.1004907301121044E-2</c:v>
                </c:pt>
                <c:pt idx="591">
                  <c:v>-4.1464813381521196E-3</c:v>
                </c:pt>
                <c:pt idx="592">
                  <c:v>-1.955013785264792E-2</c:v>
                </c:pt>
                <c:pt idx="593">
                  <c:v>-3.5318329767630809E-2</c:v>
                </c:pt>
                <c:pt idx="594">
                  <c:v>-5.7017680269869586E-2</c:v>
                </c:pt>
                <c:pt idx="595">
                  <c:v>-7.2768194194539421E-2</c:v>
                </c:pt>
                <c:pt idx="596">
                  <c:v>-8.6398401846520617E-2</c:v>
                </c:pt>
                <c:pt idx="597">
                  <c:v>-4.1205014242018924E-2</c:v>
                </c:pt>
                <c:pt idx="598">
                  <c:v>-1.6502840546904051E-2</c:v>
                </c:pt>
                <c:pt idx="599">
                  <c:v>-4.5398009352488666E-2</c:v>
                </c:pt>
                <c:pt idx="600">
                  <c:v>-6.2360339519449859E-2</c:v>
                </c:pt>
                <c:pt idx="601">
                  <c:v>-7.5721356527183842E-2</c:v>
                </c:pt>
                <c:pt idx="602">
                  <c:v>-8.5838731231608997E-2</c:v>
                </c:pt>
                <c:pt idx="603">
                  <c:v>-0.10145429180223102</c:v>
                </c:pt>
                <c:pt idx="604">
                  <c:v>-0.11894177931301508</c:v>
                </c:pt>
                <c:pt idx="605">
                  <c:v>-0.12923479490317996</c:v>
                </c:pt>
                <c:pt idx="606">
                  <c:v>-0.13249246547315102</c:v>
                </c:pt>
                <c:pt idx="607">
                  <c:v>-0.13642504229390423</c:v>
                </c:pt>
                <c:pt idx="608">
                  <c:v>-0.11883478584038809</c:v>
                </c:pt>
                <c:pt idx="609">
                  <c:v>-0.10773133661456383</c:v>
                </c:pt>
                <c:pt idx="610">
                  <c:v>-0.10080793357273524</c:v>
                </c:pt>
                <c:pt idx="611">
                  <c:v>-8.9800254177090408E-2</c:v>
                </c:pt>
                <c:pt idx="612">
                  <c:v>-8.3804438659061106E-2</c:v>
                </c:pt>
                <c:pt idx="613">
                  <c:v>-8.490017816623828E-2</c:v>
                </c:pt>
                <c:pt idx="614">
                  <c:v>-8.9540247343052701E-2</c:v>
                </c:pt>
                <c:pt idx="615">
                  <c:v>-9.2398957608240573E-2</c:v>
                </c:pt>
                <c:pt idx="616">
                  <c:v>-8.9848919341254843E-2</c:v>
                </c:pt>
                <c:pt idx="617">
                  <c:v>-0.13783717118505584</c:v>
                </c:pt>
                <c:pt idx="618">
                  <c:v>-0.17355653164155327</c:v>
                </c:pt>
                <c:pt idx="619">
                  <c:v>-0.20191361637768662</c:v>
                </c:pt>
                <c:pt idx="620">
                  <c:v>-0.18098009617606153</c:v>
                </c:pt>
                <c:pt idx="621">
                  <c:v>-0.16092193331071383</c:v>
                </c:pt>
                <c:pt idx="622">
                  <c:v>-0.14889672001419504</c:v>
                </c:pt>
                <c:pt idx="623">
                  <c:v>-0.13712735884240074</c:v>
                </c:pt>
                <c:pt idx="624">
                  <c:v>-0.12610461903699927</c:v>
                </c:pt>
                <c:pt idx="625">
                  <c:v>-0.12511468920470531</c:v>
                </c:pt>
                <c:pt idx="626">
                  <c:v>-0.11917366232851659</c:v>
                </c:pt>
                <c:pt idx="627">
                  <c:v>-0.10923139709066867</c:v>
                </c:pt>
                <c:pt idx="628">
                  <c:v>-0.10032400716542611</c:v>
                </c:pt>
                <c:pt idx="629">
                  <c:v>-9.0807610000929712E-2</c:v>
                </c:pt>
                <c:pt idx="630">
                  <c:v>-7.3203210336495531E-2</c:v>
                </c:pt>
                <c:pt idx="631">
                  <c:v>-5.9216102119830784E-2</c:v>
                </c:pt>
                <c:pt idx="632">
                  <c:v>-4.4577672662360276E-2</c:v>
                </c:pt>
                <c:pt idx="633">
                  <c:v>-3.2025380017653794E-2</c:v>
                </c:pt>
                <c:pt idx="634">
                  <c:v>-1.2653727697176109E-2</c:v>
                </c:pt>
                <c:pt idx="635">
                  <c:v>2.7128164927941456E-3</c:v>
                </c:pt>
                <c:pt idx="636">
                  <c:v>1.6458333157817563E-2</c:v>
                </c:pt>
                <c:pt idx="637">
                  <c:v>2.2341636564545731E-2</c:v>
                </c:pt>
                <c:pt idx="638">
                  <c:v>2.0997500048345375E-2</c:v>
                </c:pt>
                <c:pt idx="639">
                  <c:v>1.1520852824502914E-2</c:v>
                </c:pt>
                <c:pt idx="640">
                  <c:v>-4.5676021473870697E-2</c:v>
                </c:pt>
                <c:pt idx="641">
                  <c:v>-9.4123948239354521E-2</c:v>
                </c:pt>
                <c:pt idx="642">
                  <c:v>-0.11399717122087141</c:v>
                </c:pt>
                <c:pt idx="643">
                  <c:v>-0.1235812284110632</c:v>
                </c:pt>
                <c:pt idx="644">
                  <c:v>-0.12759031236611945</c:v>
                </c:pt>
                <c:pt idx="645">
                  <c:v>-0.1276321901333857</c:v>
                </c:pt>
                <c:pt idx="646">
                  <c:v>-0.12786705673220791</c:v>
                </c:pt>
                <c:pt idx="647">
                  <c:v>-0.12792238356836805</c:v>
                </c:pt>
                <c:pt idx="648">
                  <c:v>-0.12912747845629113</c:v>
                </c:pt>
                <c:pt idx="649">
                  <c:v>-0.12642322022056796</c:v>
                </c:pt>
                <c:pt idx="650">
                  <c:v>-0.13535038257746446</c:v>
                </c:pt>
                <c:pt idx="651">
                  <c:v>-0.1433385838757929</c:v>
                </c:pt>
                <c:pt idx="652">
                  <c:v>-0.15126554143017296</c:v>
                </c:pt>
                <c:pt idx="653">
                  <c:v>-0.15540154436633724</c:v>
                </c:pt>
                <c:pt idx="654">
                  <c:v>-0.15956301335644837</c:v>
                </c:pt>
                <c:pt idx="655">
                  <c:v>-0.1728015643476489</c:v>
                </c:pt>
                <c:pt idx="656">
                  <c:v>-0.18240761093573526</c:v>
                </c:pt>
                <c:pt idx="657">
                  <c:v>-0.18465153325671044</c:v>
                </c:pt>
                <c:pt idx="658">
                  <c:v>-0.17981552213850391</c:v>
                </c:pt>
                <c:pt idx="659">
                  <c:v>-0.18032813204747969</c:v>
                </c:pt>
                <c:pt idx="660">
                  <c:v>-0.17642670078441414</c:v>
                </c:pt>
                <c:pt idx="661">
                  <c:v>-0.17511428422514155</c:v>
                </c:pt>
                <c:pt idx="662">
                  <c:v>-0.19499131050173629</c:v>
                </c:pt>
                <c:pt idx="663">
                  <c:v>-0.25034448995940506</c:v>
                </c:pt>
                <c:pt idx="664">
                  <c:v>-0.30534100785316926</c:v>
                </c:pt>
                <c:pt idx="665">
                  <c:v>-0.35086305514359628</c:v>
                </c:pt>
                <c:pt idx="666">
                  <c:v>-0.39242390280081951</c:v>
                </c:pt>
                <c:pt idx="667">
                  <c:v>-0.43982824506489421</c:v>
                </c:pt>
                <c:pt idx="668">
                  <c:v>-0.47737321172017405</c:v>
                </c:pt>
                <c:pt idx="669">
                  <c:v>-0.51515248557032911</c:v>
                </c:pt>
                <c:pt idx="670">
                  <c:v>-0.54400466942546977</c:v>
                </c:pt>
                <c:pt idx="671">
                  <c:v>-0.57065353923982864</c:v>
                </c:pt>
                <c:pt idx="672">
                  <c:v>-0.58812570914181594</c:v>
                </c:pt>
                <c:pt idx="673">
                  <c:v>-0.5965973656275001</c:v>
                </c:pt>
                <c:pt idx="674">
                  <c:v>-0.60608761221217589</c:v>
                </c:pt>
                <c:pt idx="675">
                  <c:v>-0.60433163100099629</c:v>
                </c:pt>
                <c:pt idx="676">
                  <c:v>-0.60086638220613309</c:v>
                </c:pt>
                <c:pt idx="677">
                  <c:v>-0.60463543345854798</c:v>
                </c:pt>
                <c:pt idx="678">
                  <c:v>-0.60269485758866881</c:v>
                </c:pt>
                <c:pt idx="679">
                  <c:v>-0.59696444448181984</c:v>
                </c:pt>
                <c:pt idx="680">
                  <c:v>-0.59580342497009375</c:v>
                </c:pt>
                <c:pt idx="681">
                  <c:v>-0.59756235876423802</c:v>
                </c:pt>
                <c:pt idx="682">
                  <c:v>-0.5961752581287485</c:v>
                </c:pt>
                <c:pt idx="683">
                  <c:v>-0.5704133192164591</c:v>
                </c:pt>
                <c:pt idx="684">
                  <c:v>-0.54410697416882869</c:v>
                </c:pt>
                <c:pt idx="685">
                  <c:v>-0.52407493842906361</c:v>
                </c:pt>
                <c:pt idx="686">
                  <c:v>-0.52270104674309692</c:v>
                </c:pt>
                <c:pt idx="687">
                  <c:v>-0.50973522188853715</c:v>
                </c:pt>
                <c:pt idx="688">
                  <c:v>-0.50517769711826876</c:v>
                </c:pt>
                <c:pt idx="689">
                  <c:v>-0.49202578120114238</c:v>
                </c:pt>
                <c:pt idx="690">
                  <c:v>-0.47784929394379161</c:v>
                </c:pt>
                <c:pt idx="691">
                  <c:v>-0.45802516455989223</c:v>
                </c:pt>
                <c:pt idx="692">
                  <c:v>-0.44775878752539489</c:v>
                </c:pt>
                <c:pt idx="693">
                  <c:v>-0.44239919148875273</c:v>
                </c:pt>
                <c:pt idx="694">
                  <c:v>-0.42928666707551832</c:v>
                </c:pt>
                <c:pt idx="695">
                  <c:v>-0.42551588201954604</c:v>
                </c:pt>
                <c:pt idx="696">
                  <c:v>-0.41921109744946872</c:v>
                </c:pt>
                <c:pt idx="697">
                  <c:v>-0.38273357384800827</c:v>
                </c:pt>
                <c:pt idx="698">
                  <c:v>-0.35102859870388498</c:v>
                </c:pt>
                <c:pt idx="699">
                  <c:v>-0.30551591288194024</c:v>
                </c:pt>
                <c:pt idx="700">
                  <c:v>-0.26469959072851246</c:v>
                </c:pt>
                <c:pt idx="701">
                  <c:v>-0.22092671684848639</c:v>
                </c:pt>
                <c:pt idx="702">
                  <c:v>-0.19998111382069442</c:v>
                </c:pt>
                <c:pt idx="703">
                  <c:v>-0.17466896006753166</c:v>
                </c:pt>
                <c:pt idx="704">
                  <c:v>-0.15681889402879717</c:v>
                </c:pt>
                <c:pt idx="705">
                  <c:v>-0.14183125657820922</c:v>
                </c:pt>
                <c:pt idx="706">
                  <c:v>-0.10726233475492072</c:v>
                </c:pt>
                <c:pt idx="707">
                  <c:v>-9.6725226961960425E-2</c:v>
                </c:pt>
                <c:pt idx="708">
                  <c:v>-8.730460204693305E-2</c:v>
                </c:pt>
                <c:pt idx="709">
                  <c:v>-8.1781786666653949E-2</c:v>
                </c:pt>
                <c:pt idx="710">
                  <c:v>-7.6723905434459727E-2</c:v>
                </c:pt>
                <c:pt idx="711">
                  <c:v>-7.7207615269518887E-2</c:v>
                </c:pt>
                <c:pt idx="712">
                  <c:v>-7.7268733461506034E-2</c:v>
                </c:pt>
                <c:pt idx="713">
                  <c:v>-7.8419199108282905E-2</c:v>
                </c:pt>
                <c:pt idx="714">
                  <c:v>-8.2187550073986329E-2</c:v>
                </c:pt>
                <c:pt idx="715">
                  <c:v>-7.1204833954581728E-2</c:v>
                </c:pt>
                <c:pt idx="716">
                  <c:v>-6.7853496944289285E-2</c:v>
                </c:pt>
                <c:pt idx="717">
                  <c:v>-8.3264014951902249E-2</c:v>
                </c:pt>
                <c:pt idx="718">
                  <c:v>-9.4144890670531958E-2</c:v>
                </c:pt>
                <c:pt idx="719">
                  <c:v>-0.1234848803745687</c:v>
                </c:pt>
                <c:pt idx="720">
                  <c:v>-0.14923064521113855</c:v>
                </c:pt>
                <c:pt idx="721">
                  <c:v>-0.16335397189253609</c:v>
                </c:pt>
                <c:pt idx="722">
                  <c:v>-0.16149793340617738</c:v>
                </c:pt>
                <c:pt idx="723">
                  <c:v>-0.15581554396822131</c:v>
                </c:pt>
                <c:pt idx="724">
                  <c:v>-0.15440556848657522</c:v>
                </c:pt>
                <c:pt idx="725">
                  <c:v>-0.13659902137672619</c:v>
                </c:pt>
                <c:pt idx="726">
                  <c:v>-0.12172761750243792</c:v>
                </c:pt>
                <c:pt idx="727">
                  <c:v>-8.4890137122333398E-2</c:v>
                </c:pt>
                <c:pt idx="728">
                  <c:v>-5.6493898027861311E-2</c:v>
                </c:pt>
                <c:pt idx="729">
                  <c:v>-6.1445956713343367E-2</c:v>
                </c:pt>
                <c:pt idx="730">
                  <c:v>-6.7682864260231887E-2</c:v>
                </c:pt>
                <c:pt idx="731">
                  <c:v>-6.524678370322809E-2</c:v>
                </c:pt>
                <c:pt idx="732">
                  <c:v>-7.7013045109131123E-2</c:v>
                </c:pt>
                <c:pt idx="733">
                  <c:v>-9.5371396613937454E-2</c:v>
                </c:pt>
                <c:pt idx="734">
                  <c:v>-0.11469147193260895</c:v>
                </c:pt>
                <c:pt idx="735">
                  <c:v>-0.14692037066735145</c:v>
                </c:pt>
                <c:pt idx="736">
                  <c:v>-0.18018966931601776</c:v>
                </c:pt>
                <c:pt idx="737">
                  <c:v>-0.22357912306824504</c:v>
                </c:pt>
                <c:pt idx="738">
                  <c:v>-0.25676169209830313</c:v>
                </c:pt>
                <c:pt idx="739">
                  <c:v>-0.26732621769687109</c:v>
                </c:pt>
                <c:pt idx="740">
                  <c:v>-0.27786940545392425</c:v>
                </c:pt>
                <c:pt idx="741">
                  <c:v>-0.29286743019303868</c:v>
                </c:pt>
                <c:pt idx="742">
                  <c:v>-0.32046000714837158</c:v>
                </c:pt>
                <c:pt idx="743">
                  <c:v>-0.36075632964334831</c:v>
                </c:pt>
                <c:pt idx="744">
                  <c:v>-0.3895144995307615</c:v>
                </c:pt>
                <c:pt idx="745">
                  <c:v>-0.43777826378925244</c:v>
                </c:pt>
                <c:pt idx="746">
                  <c:v>-0.50363824022311987</c:v>
                </c:pt>
                <c:pt idx="747">
                  <c:v>-0.56570877283344556</c:v>
                </c:pt>
                <c:pt idx="748">
                  <c:v>-0.59239789192918613</c:v>
                </c:pt>
                <c:pt idx="749">
                  <c:v>-0.58742405416964882</c:v>
                </c:pt>
                <c:pt idx="750">
                  <c:v>-0.58269474398741494</c:v>
                </c:pt>
                <c:pt idx="751">
                  <c:v>-0.64525096598077769</c:v>
                </c:pt>
                <c:pt idx="752">
                  <c:v>-0.68969475162365612</c:v>
                </c:pt>
                <c:pt idx="753">
                  <c:v>-0.72061048160442109</c:v>
                </c:pt>
                <c:pt idx="754">
                  <c:v>-0.73627284057344378</c:v>
                </c:pt>
                <c:pt idx="755">
                  <c:v>-0.74169233907038601</c:v>
                </c:pt>
                <c:pt idx="756">
                  <c:v>-0.72537556858573082</c:v>
                </c:pt>
                <c:pt idx="757">
                  <c:v>-0.70091706554491928</c:v>
                </c:pt>
                <c:pt idx="758">
                  <c:v>-0.69488767930315953</c:v>
                </c:pt>
                <c:pt idx="759">
                  <c:v>-0.67789014443597828</c:v>
                </c:pt>
                <c:pt idx="760">
                  <c:v>-0.66969308821797879</c:v>
                </c:pt>
                <c:pt idx="761">
                  <c:v>-0.65882519738411482</c:v>
                </c:pt>
                <c:pt idx="762">
                  <c:v>-0.60552396074881265</c:v>
                </c:pt>
                <c:pt idx="763">
                  <c:v>-0.53637966390484038</c:v>
                </c:pt>
                <c:pt idx="764">
                  <c:v>-0.47746577213791658</c:v>
                </c:pt>
                <c:pt idx="765">
                  <c:v>-0.40492552813192956</c:v>
                </c:pt>
                <c:pt idx="766">
                  <c:v>-0.3122205877501894</c:v>
                </c:pt>
                <c:pt idx="767">
                  <c:v>-0.217618305537531</c:v>
                </c:pt>
                <c:pt idx="768">
                  <c:v>-0.16555708849137796</c:v>
                </c:pt>
                <c:pt idx="769">
                  <c:v>-0.11490251498130247</c:v>
                </c:pt>
                <c:pt idx="770">
                  <c:v>-6.027320406211565E-2</c:v>
                </c:pt>
                <c:pt idx="771">
                  <c:v>5.5938238194713795E-2</c:v>
                </c:pt>
                <c:pt idx="772">
                  <c:v>0.16893919578374733</c:v>
                </c:pt>
                <c:pt idx="773">
                  <c:v>0.27779432376341423</c:v>
                </c:pt>
                <c:pt idx="774">
                  <c:v>0.36557946965080551</c:v>
                </c:pt>
                <c:pt idx="775">
                  <c:v>0.43588012102415108</c:v>
                </c:pt>
                <c:pt idx="776">
                  <c:v>0.47971481011595368</c:v>
                </c:pt>
                <c:pt idx="777">
                  <c:v>0.51651340547229452</c:v>
                </c:pt>
                <c:pt idx="778">
                  <c:v>0.53732623960696968</c:v>
                </c:pt>
                <c:pt idx="779">
                  <c:v>0.54686900494541624</c:v>
                </c:pt>
                <c:pt idx="780">
                  <c:v>0.56150163191763303</c:v>
                </c:pt>
                <c:pt idx="781">
                  <c:v>0.57813516974596868</c:v>
                </c:pt>
                <c:pt idx="782">
                  <c:v>0.56526891692693737</c:v>
                </c:pt>
                <c:pt idx="783">
                  <c:v>0.5479468651729924</c:v>
                </c:pt>
                <c:pt idx="784">
                  <c:v>0.52373741329089052</c:v>
                </c:pt>
                <c:pt idx="785">
                  <c:v>0.4889225267912557</c:v>
                </c:pt>
                <c:pt idx="786">
                  <c:v>0.44483747425137948</c:v>
                </c:pt>
                <c:pt idx="787">
                  <c:v>0.39622736430285854</c:v>
                </c:pt>
                <c:pt idx="788">
                  <c:v>0.36509346742249527</c:v>
                </c:pt>
                <c:pt idx="789">
                  <c:v>0.35060193168377563</c:v>
                </c:pt>
                <c:pt idx="790">
                  <c:v>0.33220293381531285</c:v>
                </c:pt>
                <c:pt idx="791">
                  <c:v>0.29121422338221831</c:v>
                </c:pt>
                <c:pt idx="792">
                  <c:v>0.26310497216150852</c:v>
                </c:pt>
                <c:pt idx="793">
                  <c:v>0.22792024689497675</c:v>
                </c:pt>
                <c:pt idx="794">
                  <c:v>0.20929665940319092</c:v>
                </c:pt>
                <c:pt idx="795">
                  <c:v>0.17947034294817307</c:v>
                </c:pt>
                <c:pt idx="796">
                  <c:v>0.14940917586554631</c:v>
                </c:pt>
                <c:pt idx="797">
                  <c:v>0.12556740949493569</c:v>
                </c:pt>
                <c:pt idx="798">
                  <c:v>0.12003310898047474</c:v>
                </c:pt>
                <c:pt idx="799">
                  <c:v>0.10032443153739887</c:v>
                </c:pt>
                <c:pt idx="800">
                  <c:v>7.4981591727947314E-2</c:v>
                </c:pt>
                <c:pt idx="801">
                  <c:v>4.408706136720654E-2</c:v>
                </c:pt>
                <c:pt idx="802">
                  <c:v>2.1924502800132521E-2</c:v>
                </c:pt>
                <c:pt idx="803">
                  <c:v>-3.1349017661762971E-2</c:v>
                </c:pt>
                <c:pt idx="804">
                  <c:v>-9.213267530032257E-2</c:v>
                </c:pt>
                <c:pt idx="805">
                  <c:v>-0.14879401720496335</c:v>
                </c:pt>
                <c:pt idx="806">
                  <c:v>-0.1839293293099932</c:v>
                </c:pt>
                <c:pt idx="807">
                  <c:v>-0.22112760734936385</c:v>
                </c:pt>
                <c:pt idx="808">
                  <c:v>-0.27163938770917068</c:v>
                </c:pt>
                <c:pt idx="809">
                  <c:v>-0.27863192728160868</c:v>
                </c:pt>
                <c:pt idx="810">
                  <c:v>-0.29288018843290436</c:v>
                </c:pt>
                <c:pt idx="811">
                  <c:v>-0.23500453688107945</c:v>
                </c:pt>
                <c:pt idx="812">
                  <c:v>-0.26979458616541474</c:v>
                </c:pt>
                <c:pt idx="813">
                  <c:v>-0.30902873676558479</c:v>
                </c:pt>
                <c:pt idx="814">
                  <c:v>-0.3493979397876984</c:v>
                </c:pt>
                <c:pt idx="815">
                  <c:v>-0.37751322535476445</c:v>
                </c:pt>
                <c:pt idx="816">
                  <c:v>-0.40454748795767037</c:v>
                </c:pt>
                <c:pt idx="817">
                  <c:v>-0.44117741623189677</c:v>
                </c:pt>
                <c:pt idx="818">
                  <c:v>-0.48568293256316231</c:v>
                </c:pt>
                <c:pt idx="819">
                  <c:v>-0.55107202480244377</c:v>
                </c:pt>
                <c:pt idx="820">
                  <c:v>-0.59687047463777987</c:v>
                </c:pt>
                <c:pt idx="821">
                  <c:v>-0.61329524360274823</c:v>
                </c:pt>
                <c:pt idx="822">
                  <c:v>-0.64578014404528716</c:v>
                </c:pt>
                <c:pt idx="823">
                  <c:v>-0.63996924256307297</c:v>
                </c:pt>
                <c:pt idx="824">
                  <c:v>-0.61549674120558839</c:v>
                </c:pt>
                <c:pt idx="825">
                  <c:v>-0.58598619010789166</c:v>
                </c:pt>
                <c:pt idx="826">
                  <c:v>-0.57618256761168274</c:v>
                </c:pt>
                <c:pt idx="827">
                  <c:v>-0.55426142926944899</c:v>
                </c:pt>
                <c:pt idx="828">
                  <c:v>-0.49735679970914431</c:v>
                </c:pt>
                <c:pt idx="829">
                  <c:v>-0.48837550868184321</c:v>
                </c:pt>
                <c:pt idx="830">
                  <c:v>-0.48435094296302383</c:v>
                </c:pt>
                <c:pt idx="831">
                  <c:v>-0.5258796325176831</c:v>
                </c:pt>
                <c:pt idx="832">
                  <c:v>-0.47917193774015476</c:v>
                </c:pt>
                <c:pt idx="833">
                  <c:v>-0.48848248786068782</c:v>
                </c:pt>
                <c:pt idx="834">
                  <c:v>-0.49819398596547576</c:v>
                </c:pt>
                <c:pt idx="835">
                  <c:v>-0.48145494162688796</c:v>
                </c:pt>
                <c:pt idx="836">
                  <c:v>-0.45786427188748446</c:v>
                </c:pt>
                <c:pt idx="837">
                  <c:v>-0.43717563636889023</c:v>
                </c:pt>
                <c:pt idx="838">
                  <c:v>-0.40099057384546744</c:v>
                </c:pt>
                <c:pt idx="839">
                  <c:v>-0.34776824900917819</c:v>
                </c:pt>
                <c:pt idx="840">
                  <c:v>-0.29664382505283504</c:v>
                </c:pt>
                <c:pt idx="841">
                  <c:v>-0.28635911712873463</c:v>
                </c:pt>
                <c:pt idx="842">
                  <c:v>-0.26689492112492919</c:v>
                </c:pt>
                <c:pt idx="843">
                  <c:v>-0.24684475826566549</c:v>
                </c:pt>
                <c:pt idx="844">
                  <c:v>-0.22254917764246351</c:v>
                </c:pt>
                <c:pt idx="845">
                  <c:v>-0.20657255492485005</c:v>
                </c:pt>
                <c:pt idx="846">
                  <c:v>-0.18538567596821426</c:v>
                </c:pt>
                <c:pt idx="847">
                  <c:v>-0.17617616882121828</c:v>
                </c:pt>
                <c:pt idx="848">
                  <c:v>-0.18292133337463362</c:v>
                </c:pt>
                <c:pt idx="849">
                  <c:v>-0.19997756789647766</c:v>
                </c:pt>
                <c:pt idx="850">
                  <c:v>-0.2071780108076236</c:v>
                </c:pt>
                <c:pt idx="851">
                  <c:v>-0.22241177896910513</c:v>
                </c:pt>
                <c:pt idx="852">
                  <c:v>-0.23600328670231571</c:v>
                </c:pt>
                <c:pt idx="853">
                  <c:v>-0.18970737146641317</c:v>
                </c:pt>
                <c:pt idx="854">
                  <c:v>-0.14385467267004182</c:v>
                </c:pt>
                <c:pt idx="855">
                  <c:v>-0.11598244017513268</c:v>
                </c:pt>
                <c:pt idx="856">
                  <c:v>-9.2910382674183167E-2</c:v>
                </c:pt>
                <c:pt idx="857">
                  <c:v>-6.3709786061072027E-2</c:v>
                </c:pt>
                <c:pt idx="858">
                  <c:v>-3.5467941570096952E-2</c:v>
                </c:pt>
                <c:pt idx="859">
                  <c:v>1.4926136893243958E-3</c:v>
                </c:pt>
                <c:pt idx="860">
                  <c:v>2.8371786986733382E-2</c:v>
                </c:pt>
                <c:pt idx="861">
                  <c:v>5.2141393014533424E-2</c:v>
                </c:pt>
                <c:pt idx="862">
                  <c:v>6.9471214665985256E-2</c:v>
                </c:pt>
                <c:pt idx="863">
                  <c:v>7.6604220087671482E-2</c:v>
                </c:pt>
                <c:pt idx="864">
                  <c:v>9.0335397813674653E-2</c:v>
                </c:pt>
                <c:pt idx="865">
                  <c:v>9.0552282215072416E-2</c:v>
                </c:pt>
                <c:pt idx="866">
                  <c:v>9.096212324772579E-2</c:v>
                </c:pt>
                <c:pt idx="867">
                  <c:v>8.5001577228669606E-2</c:v>
                </c:pt>
                <c:pt idx="868">
                  <c:v>6.1534924689251036E-2</c:v>
                </c:pt>
                <c:pt idx="869">
                  <c:v>5.1177021581725199E-2</c:v>
                </c:pt>
                <c:pt idx="870">
                  <c:v>4.2944039538488375E-2</c:v>
                </c:pt>
                <c:pt idx="871">
                  <c:v>5.5797411012288155E-2</c:v>
                </c:pt>
                <c:pt idx="872">
                  <c:v>5.9651095229381099E-2</c:v>
                </c:pt>
                <c:pt idx="873">
                  <c:v>4.8595197832961456E-2</c:v>
                </c:pt>
                <c:pt idx="874">
                  <c:v>2.1872372240287329E-2</c:v>
                </c:pt>
                <c:pt idx="875">
                  <c:v>8.790558752379541E-3</c:v>
                </c:pt>
                <c:pt idx="876">
                  <c:v>-9.0683082925314788E-3</c:v>
                </c:pt>
                <c:pt idx="877">
                  <c:v>-2.7292528739399125E-2</c:v>
                </c:pt>
                <c:pt idx="878">
                  <c:v>-3.8041894462914186E-2</c:v>
                </c:pt>
                <c:pt idx="879">
                  <c:v>-4.8587804379353658E-2</c:v>
                </c:pt>
                <c:pt idx="880">
                  <c:v>-5.777631226137795E-2</c:v>
                </c:pt>
                <c:pt idx="881">
                  <c:v>-5.779223728227819E-2</c:v>
                </c:pt>
                <c:pt idx="882">
                  <c:v>-4.7852780917952295E-2</c:v>
                </c:pt>
                <c:pt idx="883">
                  <c:v>-4.8606266552007671E-2</c:v>
                </c:pt>
                <c:pt idx="884">
                  <c:v>-7.0982950375785295E-2</c:v>
                </c:pt>
                <c:pt idx="885">
                  <c:v>-6.7826830446741843E-2</c:v>
                </c:pt>
                <c:pt idx="886">
                  <c:v>-5.94784046679495E-2</c:v>
                </c:pt>
                <c:pt idx="887">
                  <c:v>-5.0590988266280487E-2</c:v>
                </c:pt>
                <c:pt idx="888">
                  <c:v>-1.4495372301655252E-2</c:v>
                </c:pt>
                <c:pt idx="889">
                  <c:v>1.0478073107485686E-2</c:v>
                </c:pt>
                <c:pt idx="890">
                  <c:v>2.4004698856086037E-2</c:v>
                </c:pt>
                <c:pt idx="891">
                  <c:v>2.0453285387916444E-2</c:v>
                </c:pt>
                <c:pt idx="892">
                  <c:v>1.5660092775150736E-2</c:v>
                </c:pt>
                <c:pt idx="893">
                  <c:v>3.712603617011221E-2</c:v>
                </c:pt>
                <c:pt idx="894">
                  <c:v>5.5245023152100538E-2</c:v>
                </c:pt>
                <c:pt idx="895">
                  <c:v>6.2475499955820704E-2</c:v>
                </c:pt>
                <c:pt idx="896">
                  <c:v>7.792803231213917E-2</c:v>
                </c:pt>
                <c:pt idx="897">
                  <c:v>6.3141600979973705E-2</c:v>
                </c:pt>
                <c:pt idx="898">
                  <c:v>4.5435384228838992E-2</c:v>
                </c:pt>
                <c:pt idx="899">
                  <c:v>3.426292483783229E-2</c:v>
                </c:pt>
                <c:pt idx="900">
                  <c:v>1.7421108662881612E-2</c:v>
                </c:pt>
                <c:pt idx="901">
                  <c:v>-1.0932573783438483E-3</c:v>
                </c:pt>
                <c:pt idx="902">
                  <c:v>-2.7374807172504234E-2</c:v>
                </c:pt>
                <c:pt idx="903">
                  <c:v>-3.7343706274976282E-2</c:v>
                </c:pt>
                <c:pt idx="904">
                  <c:v>-3.8882411535984873E-2</c:v>
                </c:pt>
                <c:pt idx="905">
                  <c:v>-3.2528309645047306E-2</c:v>
                </c:pt>
                <c:pt idx="906">
                  <c:v>-4.2091247774454367E-2</c:v>
                </c:pt>
                <c:pt idx="907">
                  <c:v>-5.3408887338873189E-2</c:v>
                </c:pt>
                <c:pt idx="908">
                  <c:v>-6.8807640685100147E-2</c:v>
                </c:pt>
                <c:pt idx="909">
                  <c:v>-8.2815216138789977E-2</c:v>
                </c:pt>
                <c:pt idx="910">
                  <c:v>-8.6465826533346696E-2</c:v>
                </c:pt>
                <c:pt idx="911">
                  <c:v>-8.8640457243015003E-2</c:v>
                </c:pt>
                <c:pt idx="912">
                  <c:v>-8.7385226830931056E-2</c:v>
                </c:pt>
                <c:pt idx="913">
                  <c:v>-9.3592361610646643E-2</c:v>
                </c:pt>
                <c:pt idx="914">
                  <c:v>-9.4125684892733069E-2</c:v>
                </c:pt>
                <c:pt idx="915">
                  <c:v>-8.9535326582431907E-2</c:v>
                </c:pt>
                <c:pt idx="916">
                  <c:v>-8.0119680624721495E-2</c:v>
                </c:pt>
                <c:pt idx="917">
                  <c:v>-5.9606624714365911E-2</c:v>
                </c:pt>
                <c:pt idx="918">
                  <c:v>-4.7501831854938517E-2</c:v>
                </c:pt>
                <c:pt idx="919">
                  <c:v>-6.025712212982217E-2</c:v>
                </c:pt>
                <c:pt idx="920">
                  <c:v>-5.9157593472019612E-2</c:v>
                </c:pt>
                <c:pt idx="921">
                  <c:v>-6.4950175714981837E-2</c:v>
                </c:pt>
                <c:pt idx="922">
                  <c:v>-6.7513475819862404E-2</c:v>
                </c:pt>
                <c:pt idx="923">
                  <c:v>-7.3599147528473741E-2</c:v>
                </c:pt>
                <c:pt idx="924">
                  <c:v>-8.1886935357067842E-2</c:v>
                </c:pt>
                <c:pt idx="925">
                  <c:v>-0.10323748837721532</c:v>
                </c:pt>
                <c:pt idx="926">
                  <c:v>-0.11156267016509842</c:v>
                </c:pt>
                <c:pt idx="927">
                  <c:v>-0.13021772626443856</c:v>
                </c:pt>
                <c:pt idx="928">
                  <c:v>-0.1565435234490217</c:v>
                </c:pt>
                <c:pt idx="929">
                  <c:v>-0.18576787067114284</c:v>
                </c:pt>
                <c:pt idx="930">
                  <c:v>-0.21902109540726328</c:v>
                </c:pt>
                <c:pt idx="931">
                  <c:v>-0.25560659827433824</c:v>
                </c:pt>
                <c:pt idx="932">
                  <c:v>-0.28921794411371166</c:v>
                </c:pt>
                <c:pt idx="933">
                  <c:v>-0.33022498224779567</c:v>
                </c:pt>
                <c:pt idx="934">
                  <c:v>-0.35864725471028358</c:v>
                </c:pt>
                <c:pt idx="935">
                  <c:v>-0.39550723034259444</c:v>
                </c:pt>
                <c:pt idx="936">
                  <c:v>-0.43737285257502412</c:v>
                </c:pt>
                <c:pt idx="937">
                  <c:v>-0.46252680714607619</c:v>
                </c:pt>
                <c:pt idx="938">
                  <c:v>-0.48549161352787784</c:v>
                </c:pt>
                <c:pt idx="939">
                  <c:v>-0.49724161302153125</c:v>
                </c:pt>
                <c:pt idx="940">
                  <c:v>-0.51345971087356967</c:v>
                </c:pt>
                <c:pt idx="941">
                  <c:v>-0.50907685465927899</c:v>
                </c:pt>
                <c:pt idx="942">
                  <c:v>-0.56037398739011646</c:v>
                </c:pt>
                <c:pt idx="943">
                  <c:v>-0.58862032721557855</c:v>
                </c:pt>
                <c:pt idx="944">
                  <c:v>-0.60492038000961235</c:v>
                </c:pt>
                <c:pt idx="945">
                  <c:v>-0.6231080966714132</c:v>
                </c:pt>
                <c:pt idx="946">
                  <c:v>-0.64131775513587796</c:v>
                </c:pt>
                <c:pt idx="947">
                  <c:v>-0.65589647286073927</c:v>
                </c:pt>
                <c:pt idx="948">
                  <c:v>-0.64236514387467514</c:v>
                </c:pt>
                <c:pt idx="949">
                  <c:v>-0.59263419137655637</c:v>
                </c:pt>
                <c:pt idx="950">
                  <c:v>-0.53806447595428375</c:v>
                </c:pt>
                <c:pt idx="951">
                  <c:v>-0.4820987803197358</c:v>
                </c:pt>
                <c:pt idx="952">
                  <c:v>-0.45131948898041763</c:v>
                </c:pt>
                <c:pt idx="953">
                  <c:v>-0.393369517238224</c:v>
                </c:pt>
                <c:pt idx="954">
                  <c:v>-0.36059774173520154</c:v>
                </c:pt>
                <c:pt idx="955">
                  <c:v>-0.33687821623058511</c:v>
                </c:pt>
                <c:pt idx="956">
                  <c:v>-0.30875380636917971</c:v>
                </c:pt>
                <c:pt idx="957">
                  <c:v>-0.27192240949623236</c:v>
                </c:pt>
                <c:pt idx="958">
                  <c:v>-0.23452391139694467</c:v>
                </c:pt>
                <c:pt idx="959">
                  <c:v>-0.17601032588751883</c:v>
                </c:pt>
                <c:pt idx="960">
                  <c:v>-0.10593017756765108</c:v>
                </c:pt>
                <c:pt idx="961">
                  <c:v>-4.5313337496726037E-2</c:v>
                </c:pt>
                <c:pt idx="962">
                  <c:v>-1.6465864126504349E-2</c:v>
                </c:pt>
                <c:pt idx="963">
                  <c:v>1.3193771529802755E-2</c:v>
                </c:pt>
                <c:pt idx="964">
                  <c:v>6.035794399608755E-2</c:v>
                </c:pt>
                <c:pt idx="965">
                  <c:v>9.3585047401963467E-2</c:v>
                </c:pt>
                <c:pt idx="966">
                  <c:v>0.11462902791593639</c:v>
                </c:pt>
                <c:pt idx="967">
                  <c:v>0.16332306854611706</c:v>
                </c:pt>
                <c:pt idx="968">
                  <c:v>0.19652601457549013</c:v>
                </c:pt>
                <c:pt idx="969">
                  <c:v>0.1920024701713004</c:v>
                </c:pt>
                <c:pt idx="970">
                  <c:v>0.1772935918542633</c:v>
                </c:pt>
                <c:pt idx="971">
                  <c:v>0.14990477672890351</c:v>
                </c:pt>
                <c:pt idx="972">
                  <c:v>0.14690212613920478</c:v>
                </c:pt>
                <c:pt idx="973">
                  <c:v>0.13023469117084074</c:v>
                </c:pt>
                <c:pt idx="974">
                  <c:v>0.13037637475544042</c:v>
                </c:pt>
                <c:pt idx="975">
                  <c:v>0.13908986807759524</c:v>
                </c:pt>
                <c:pt idx="976">
                  <c:v>0.13332175738541804</c:v>
                </c:pt>
                <c:pt idx="977">
                  <c:v>0.14024277120920384</c:v>
                </c:pt>
                <c:pt idx="978">
                  <c:v>0.13929527652311066</c:v>
                </c:pt>
                <c:pt idx="979">
                  <c:v>0.13606556242294363</c:v>
                </c:pt>
                <c:pt idx="980">
                  <c:v>0.12627908683844924</c:v>
                </c:pt>
                <c:pt idx="981">
                  <c:v>0.12174011894998531</c:v>
                </c:pt>
                <c:pt idx="982">
                  <c:v>0.19535024298181061</c:v>
                </c:pt>
                <c:pt idx="983">
                  <c:v>0.2482792881997716</c:v>
                </c:pt>
                <c:pt idx="984">
                  <c:v>0.26842507889544953</c:v>
                </c:pt>
                <c:pt idx="985">
                  <c:v>0.2689949796164226</c:v>
                </c:pt>
                <c:pt idx="986">
                  <c:v>0.270803692909731</c:v>
                </c:pt>
                <c:pt idx="987">
                  <c:v>0.26773187510967322</c:v>
                </c:pt>
                <c:pt idx="988">
                  <c:v>0.24504303710413783</c:v>
                </c:pt>
                <c:pt idx="989">
                  <c:v>0.21680874255151278</c:v>
                </c:pt>
                <c:pt idx="990">
                  <c:v>0.19781454942034543</c:v>
                </c:pt>
                <c:pt idx="991">
                  <c:v>0.1936292352283176</c:v>
                </c:pt>
                <c:pt idx="992">
                  <c:v>0.16687421916148695</c:v>
                </c:pt>
                <c:pt idx="993">
                  <c:v>0.10631458499409474</c:v>
                </c:pt>
                <c:pt idx="994">
                  <c:v>5.4477297413531398E-2</c:v>
                </c:pt>
                <c:pt idx="995">
                  <c:v>5.6606095365344614E-3</c:v>
                </c:pt>
                <c:pt idx="996">
                  <c:v>-1.6498366706607877E-2</c:v>
                </c:pt>
                <c:pt idx="997">
                  <c:v>-2.6314445635495183E-2</c:v>
                </c:pt>
                <c:pt idx="998">
                  <c:v>-4.3881144294503835E-2</c:v>
                </c:pt>
                <c:pt idx="999">
                  <c:v>-7.2508845746237865E-2</c:v>
                </c:pt>
                <c:pt idx="1000">
                  <c:v>-0.11101060524415854</c:v>
                </c:pt>
                <c:pt idx="1001">
                  <c:v>-0.16339093528222293</c:v>
                </c:pt>
                <c:pt idx="1002">
                  <c:v>-0.1974960437910383</c:v>
                </c:pt>
                <c:pt idx="1003">
                  <c:v>-0.24558734770226001</c:v>
                </c:pt>
                <c:pt idx="1004">
                  <c:v>-0.27304539405122619</c:v>
                </c:pt>
                <c:pt idx="1005">
                  <c:v>-0.27165417522069613</c:v>
                </c:pt>
                <c:pt idx="1006">
                  <c:v>-0.26492645802274761</c:v>
                </c:pt>
                <c:pt idx="1007">
                  <c:v>-0.33318539663955765</c:v>
                </c:pt>
                <c:pt idx="1008">
                  <c:v>-0.37744838509316647</c:v>
                </c:pt>
                <c:pt idx="1009">
                  <c:v>-0.40292693041069416</c:v>
                </c:pt>
                <c:pt idx="1010">
                  <c:v>-0.41611898526083263</c:v>
                </c:pt>
                <c:pt idx="1011">
                  <c:v>-0.42670039726469994</c:v>
                </c:pt>
                <c:pt idx="1012">
                  <c:v>-0.418110835930952</c:v>
                </c:pt>
                <c:pt idx="1013">
                  <c:v>-0.38246325732599373</c:v>
                </c:pt>
                <c:pt idx="1014">
                  <c:v>-0.35994953006628772</c:v>
                </c:pt>
                <c:pt idx="1015">
                  <c:v>-0.3345475418221846</c:v>
                </c:pt>
                <c:pt idx="1016">
                  <c:v>-0.32333665580615012</c:v>
                </c:pt>
                <c:pt idx="1017">
                  <c:v>-0.3381112719818527</c:v>
                </c:pt>
                <c:pt idx="1018">
                  <c:v>-0.32563547817739019</c:v>
                </c:pt>
                <c:pt idx="1019">
                  <c:v>-0.32012534595530495</c:v>
                </c:pt>
                <c:pt idx="1020">
                  <c:v>-0.32227352198302434</c:v>
                </c:pt>
                <c:pt idx="1021">
                  <c:v>-0.3235860443829483</c:v>
                </c:pt>
                <c:pt idx="1022">
                  <c:v>-0.32835926566395213</c:v>
                </c:pt>
                <c:pt idx="1023">
                  <c:v>-0.30700009209444029</c:v>
                </c:pt>
                <c:pt idx="1024">
                  <c:v>-0.28718616955626508</c:v>
                </c:pt>
                <c:pt idx="1025">
                  <c:v>-0.2480858957561439</c:v>
                </c:pt>
                <c:pt idx="1026">
                  <c:v>-0.3131397345193152</c:v>
                </c:pt>
                <c:pt idx="1027">
                  <c:v>-0.3041655593441413</c:v>
                </c:pt>
                <c:pt idx="1028">
                  <c:v>-0.31789225020774758</c:v>
                </c:pt>
                <c:pt idx="1029">
                  <c:v>-0.3197785584828593</c:v>
                </c:pt>
                <c:pt idx="1030">
                  <c:v>-0.33653703903213872</c:v>
                </c:pt>
                <c:pt idx="1031">
                  <c:v>-0.35182063023307331</c:v>
                </c:pt>
                <c:pt idx="1032">
                  <c:v>-0.35989108683089349</c:v>
                </c:pt>
                <c:pt idx="1033">
                  <c:v>-0.37283710316085206</c:v>
                </c:pt>
                <c:pt idx="1034">
                  <c:v>-0.36937687166540528</c:v>
                </c:pt>
                <c:pt idx="1035">
                  <c:v>-0.36858149915294902</c:v>
                </c:pt>
                <c:pt idx="1036">
                  <c:v>-0.36609274952516324</c:v>
                </c:pt>
                <c:pt idx="1037">
                  <c:v>-0.37632904356611407</c:v>
                </c:pt>
                <c:pt idx="1038">
                  <c:v>-0.38704339221439743</c:v>
                </c:pt>
                <c:pt idx="1039">
                  <c:v>-0.37788928769005631</c:v>
                </c:pt>
                <c:pt idx="1040">
                  <c:v>-0.3586084002019802</c:v>
                </c:pt>
                <c:pt idx="1041">
                  <c:v>-0.33959035694689776</c:v>
                </c:pt>
                <c:pt idx="1042">
                  <c:v>-0.30534653499172343</c:v>
                </c:pt>
                <c:pt idx="1043">
                  <c:v>-0.28889803108371448</c:v>
                </c:pt>
                <c:pt idx="1044">
                  <c:v>-0.28080680011518072</c:v>
                </c:pt>
                <c:pt idx="1045">
                  <c:v>-0.28944155176291886</c:v>
                </c:pt>
                <c:pt idx="1046">
                  <c:v>-0.19215381327069334</c:v>
                </c:pt>
                <c:pt idx="1047">
                  <c:v>-0.10043865756360364</c:v>
                </c:pt>
                <c:pt idx="1048">
                  <c:v>-4.3693471263906769E-2</c:v>
                </c:pt>
                <c:pt idx="1049">
                  <c:v>-7.338573474446863E-3</c:v>
                </c:pt>
                <c:pt idx="1050">
                  <c:v>3.7818842730977721E-2</c:v>
                </c:pt>
                <c:pt idx="1051">
                  <c:v>8.3758024820627802E-2</c:v>
                </c:pt>
                <c:pt idx="1052">
                  <c:v>0.12311662001770389</c:v>
                </c:pt>
                <c:pt idx="1053">
                  <c:v>0.17912012783999601</c:v>
                </c:pt>
                <c:pt idx="1054">
                  <c:v>0.22319589300370338</c:v>
                </c:pt>
                <c:pt idx="1055">
                  <c:v>0.26509033162886436</c:v>
                </c:pt>
                <c:pt idx="1056">
                  <c:v>0.30120078648032089</c:v>
                </c:pt>
                <c:pt idx="1057">
                  <c:v>0.34658144336818458</c:v>
                </c:pt>
                <c:pt idx="1058">
                  <c:v>0.37215710252982104</c:v>
                </c:pt>
                <c:pt idx="1059">
                  <c:v>0.38890705140051851</c:v>
                </c:pt>
                <c:pt idx="1060">
                  <c:v>0.38421118452415398</c:v>
                </c:pt>
                <c:pt idx="1061">
                  <c:v>0.37605417688736764</c:v>
                </c:pt>
                <c:pt idx="1062">
                  <c:v>0.35536718078982987</c:v>
                </c:pt>
                <c:pt idx="1063">
                  <c:v>0.33826698919754261</c:v>
                </c:pt>
                <c:pt idx="1064">
                  <c:v>0.32611614257677912</c:v>
                </c:pt>
                <c:pt idx="1065">
                  <c:v>0.31313380741175822</c:v>
                </c:pt>
                <c:pt idx="1066">
                  <c:v>0.28505694548811361</c:v>
                </c:pt>
                <c:pt idx="1067">
                  <c:v>0.24861247404368453</c:v>
                </c:pt>
                <c:pt idx="1068">
                  <c:v>0.27020702582216627</c:v>
                </c:pt>
                <c:pt idx="1069">
                  <c:v>0.28705360785752732</c:v>
                </c:pt>
                <c:pt idx="1070">
                  <c:v>0.3012960956294698</c:v>
                </c:pt>
                <c:pt idx="1071">
                  <c:v>0.30692987370613783</c:v>
                </c:pt>
                <c:pt idx="1072">
                  <c:v>0.3115377173224767</c:v>
                </c:pt>
                <c:pt idx="1073">
                  <c:v>0.29939378497626634</c:v>
                </c:pt>
                <c:pt idx="1074">
                  <c:v>0.28394737878545734</c:v>
                </c:pt>
                <c:pt idx="1075">
                  <c:v>0.27414046216626692</c:v>
                </c:pt>
                <c:pt idx="1076">
                  <c:v>0.27047698252956709</c:v>
                </c:pt>
                <c:pt idx="1077">
                  <c:v>0.26554010688968599</c:v>
                </c:pt>
                <c:pt idx="1078">
                  <c:v>0.26749880179263091</c:v>
                </c:pt>
                <c:pt idx="1079">
                  <c:v>0.24786398445542082</c:v>
                </c:pt>
                <c:pt idx="1080">
                  <c:v>0.24227017371700957</c:v>
                </c:pt>
                <c:pt idx="1081">
                  <c:v>0.23605628387140873</c:v>
                </c:pt>
                <c:pt idx="1082">
                  <c:v>0.22760388066095602</c:v>
                </c:pt>
                <c:pt idx="1083">
                  <c:v>0.21294713295970896</c:v>
                </c:pt>
                <c:pt idx="1084">
                  <c:v>0.19782456831295003</c:v>
                </c:pt>
                <c:pt idx="1085">
                  <c:v>0.18261640800455706</c:v>
                </c:pt>
                <c:pt idx="1086">
                  <c:v>0.17019793317122997</c:v>
                </c:pt>
                <c:pt idx="1087">
                  <c:v>0.17146024058756665</c:v>
                </c:pt>
                <c:pt idx="1088">
                  <c:v>0.1565773565015437</c:v>
                </c:pt>
                <c:pt idx="1089">
                  <c:v>0.15226552468012983</c:v>
                </c:pt>
                <c:pt idx="1090">
                  <c:v>0.14301321390703722</c:v>
                </c:pt>
                <c:pt idx="1091">
                  <c:v>0.11766753735012932</c:v>
                </c:pt>
                <c:pt idx="1092">
                  <c:v>8.9147195806948049E-2</c:v>
                </c:pt>
                <c:pt idx="1093">
                  <c:v>4.3648633945363037E-2</c:v>
                </c:pt>
                <c:pt idx="1094">
                  <c:v>1.3138508466592013E-2</c:v>
                </c:pt>
                <c:pt idx="1095">
                  <c:v>-2.963676653553169E-2</c:v>
                </c:pt>
                <c:pt idx="1096">
                  <c:v>-5.7983723763577244E-2</c:v>
                </c:pt>
                <c:pt idx="1097">
                  <c:v>-8.8225370311972959E-2</c:v>
                </c:pt>
                <c:pt idx="1098">
                  <c:v>-0.11645712104286279</c:v>
                </c:pt>
                <c:pt idx="1099">
                  <c:v>-0.12115339419656479</c:v>
                </c:pt>
                <c:pt idx="1100">
                  <c:v>-0.10188918527666857</c:v>
                </c:pt>
                <c:pt idx="1101">
                  <c:v>-8.3761187738875892E-2</c:v>
                </c:pt>
                <c:pt idx="1102">
                  <c:v>-6.6352652007597823E-2</c:v>
                </c:pt>
                <c:pt idx="1103">
                  <c:v>-4.7661278970437093E-2</c:v>
                </c:pt>
                <c:pt idx="1104">
                  <c:v>-3.1852490335208719E-2</c:v>
                </c:pt>
                <c:pt idx="1105">
                  <c:v>-1.7810958870203297E-2</c:v>
                </c:pt>
                <c:pt idx="1106">
                  <c:v>5.7365980706862718E-3</c:v>
                </c:pt>
                <c:pt idx="1107">
                  <c:v>2.1931557164564231E-2</c:v>
                </c:pt>
                <c:pt idx="1108">
                  <c:v>3.75673808642739E-2</c:v>
                </c:pt>
                <c:pt idx="1109">
                  <c:v>3.7078625793802653E-2</c:v>
                </c:pt>
                <c:pt idx="1110">
                  <c:v>3.5425820116149399E-2</c:v>
                </c:pt>
                <c:pt idx="1111">
                  <c:v>4.729525904358145E-2</c:v>
                </c:pt>
                <c:pt idx="1112">
                  <c:v>6.427299504501463E-2</c:v>
                </c:pt>
                <c:pt idx="1113">
                  <c:v>0.10127153937291167</c:v>
                </c:pt>
                <c:pt idx="1114">
                  <c:v>0.12045555311809615</c:v>
                </c:pt>
                <c:pt idx="1115">
                  <c:v>0.14418472380409675</c:v>
                </c:pt>
                <c:pt idx="1116">
                  <c:v>0.15342792253458976</c:v>
                </c:pt>
                <c:pt idx="1117">
                  <c:v>0.16464829559338948</c:v>
                </c:pt>
                <c:pt idx="1118">
                  <c:v>0.17175585782324951</c:v>
                </c:pt>
                <c:pt idx="1119">
                  <c:v>0.16504923698449128</c:v>
                </c:pt>
                <c:pt idx="1120">
                  <c:v>0.1407582305500929</c:v>
                </c:pt>
                <c:pt idx="1121">
                  <c:v>0.12653257536746937</c:v>
                </c:pt>
                <c:pt idx="1122">
                  <c:v>0.10507703107223551</c:v>
                </c:pt>
                <c:pt idx="1123">
                  <c:v>8.3453060043477481E-2</c:v>
                </c:pt>
                <c:pt idx="1124">
                  <c:v>6.0713915833432865E-2</c:v>
                </c:pt>
                <c:pt idx="1125">
                  <c:v>4.193749771376705E-2</c:v>
                </c:pt>
                <c:pt idx="1126">
                  <c:v>2.5212834601104038E-2</c:v>
                </c:pt>
                <c:pt idx="1127">
                  <c:v>7.7410445564252582E-3</c:v>
                </c:pt>
                <c:pt idx="1128">
                  <c:v>-1.667880753820301E-2</c:v>
                </c:pt>
                <c:pt idx="1129">
                  <c:v>-3.0540586467871188E-2</c:v>
                </c:pt>
                <c:pt idx="1130">
                  <c:v>-3.3867001489950921E-2</c:v>
                </c:pt>
                <c:pt idx="1131">
                  <c:v>-3.1602094124526935E-2</c:v>
                </c:pt>
                <c:pt idx="1132">
                  <c:v>-5.6437108575708786E-2</c:v>
                </c:pt>
                <c:pt idx="1133">
                  <c:v>-8.4920609700365329E-2</c:v>
                </c:pt>
                <c:pt idx="1134">
                  <c:v>-0.10359698278646574</c:v>
                </c:pt>
                <c:pt idx="1135">
                  <c:v>-0.11139672851008919</c:v>
                </c:pt>
                <c:pt idx="1136">
                  <c:v>-0.12529179782444849</c:v>
                </c:pt>
                <c:pt idx="1137">
                  <c:v>-0.13930434643243064</c:v>
                </c:pt>
                <c:pt idx="1138">
                  <c:v>-0.14350170791531328</c:v>
                </c:pt>
                <c:pt idx="1139">
                  <c:v>-0.14578909034263648</c:v>
                </c:pt>
                <c:pt idx="1140">
                  <c:v>-0.15074228798624753</c:v>
                </c:pt>
                <c:pt idx="1141">
                  <c:v>-0.15617980643800194</c:v>
                </c:pt>
                <c:pt idx="1142">
                  <c:v>-0.16248157816710576</c:v>
                </c:pt>
                <c:pt idx="1143">
                  <c:v>-0.16183110960564054</c:v>
                </c:pt>
                <c:pt idx="1144">
                  <c:v>-0.15568699332276595</c:v>
                </c:pt>
                <c:pt idx="1145">
                  <c:v>-0.14471941983603287</c:v>
                </c:pt>
                <c:pt idx="1146">
                  <c:v>-0.13926438336810901</c:v>
                </c:pt>
                <c:pt idx="1147">
                  <c:v>-0.13180362750663294</c:v>
                </c:pt>
                <c:pt idx="1148">
                  <c:v>-0.11740183492600656</c:v>
                </c:pt>
                <c:pt idx="1149">
                  <c:v>-0.1051126307617722</c:v>
                </c:pt>
                <c:pt idx="1150">
                  <c:v>-9.9451495714485916E-2</c:v>
                </c:pt>
                <c:pt idx="1151">
                  <c:v>-0.10327947105919658</c:v>
                </c:pt>
                <c:pt idx="1152">
                  <c:v>-8.5496624051680278E-2</c:v>
                </c:pt>
                <c:pt idx="1153">
                  <c:v>-6.1515480211909924E-2</c:v>
                </c:pt>
                <c:pt idx="1154">
                  <c:v>-4.5307690383141162E-2</c:v>
                </c:pt>
                <c:pt idx="1155">
                  <c:v>-3.7715488233614182E-2</c:v>
                </c:pt>
                <c:pt idx="1156">
                  <c:v>-3.2737824576846541E-2</c:v>
                </c:pt>
                <c:pt idx="1157">
                  <c:v>-3.1680944649911967E-2</c:v>
                </c:pt>
                <c:pt idx="1158">
                  <c:v>-3.8566631835102318E-2</c:v>
                </c:pt>
                <c:pt idx="1159">
                  <c:v>-4.6803436008341873E-2</c:v>
                </c:pt>
                <c:pt idx="1160">
                  <c:v>-5.91508381180752E-2</c:v>
                </c:pt>
                <c:pt idx="1161">
                  <c:v>-7.2519437059916647E-2</c:v>
                </c:pt>
                <c:pt idx="1162">
                  <c:v>-7.9889830422969307E-2</c:v>
                </c:pt>
                <c:pt idx="1163">
                  <c:v>-7.4395313613380559E-2</c:v>
                </c:pt>
                <c:pt idx="1164">
                  <c:v>-7.2336570681998724E-2</c:v>
                </c:pt>
                <c:pt idx="1165">
                  <c:v>-7.4870235545678315E-2</c:v>
                </c:pt>
                <c:pt idx="1166">
                  <c:v>-7.3616091006259224E-2</c:v>
                </c:pt>
                <c:pt idx="1167">
                  <c:v>-7.179671097018879E-2</c:v>
                </c:pt>
                <c:pt idx="1168">
                  <c:v>-7.7664162916114193E-2</c:v>
                </c:pt>
                <c:pt idx="1169">
                  <c:v>-8.0482440356807003E-2</c:v>
                </c:pt>
                <c:pt idx="1170">
                  <c:v>-8.3473479410672152E-2</c:v>
                </c:pt>
                <c:pt idx="1171">
                  <c:v>-7.9352839712880596E-2</c:v>
                </c:pt>
                <c:pt idx="1172">
                  <c:v>-7.261736192514609E-2</c:v>
                </c:pt>
                <c:pt idx="1173">
                  <c:v>-6.9041650266300353E-2</c:v>
                </c:pt>
                <c:pt idx="1174">
                  <c:v>-7.4576368728256154E-2</c:v>
                </c:pt>
                <c:pt idx="1175">
                  <c:v>-6.9010357032941283E-2</c:v>
                </c:pt>
                <c:pt idx="1176">
                  <c:v>-5.7396304979360921E-2</c:v>
                </c:pt>
                <c:pt idx="1177">
                  <c:v>-3.9005022498001585E-2</c:v>
                </c:pt>
                <c:pt idx="1178">
                  <c:v>-2.1218198807514667E-2</c:v>
                </c:pt>
                <c:pt idx="1179">
                  <c:v>-5.657400107479971E-3</c:v>
                </c:pt>
                <c:pt idx="1180">
                  <c:v>1.1073364719093259E-2</c:v>
                </c:pt>
                <c:pt idx="1181">
                  <c:v>2.856479675088458E-2</c:v>
                </c:pt>
                <c:pt idx="1182">
                  <c:v>4.6630694967690643E-2</c:v>
                </c:pt>
                <c:pt idx="1183">
                  <c:v>4.2345033950836539E-2</c:v>
                </c:pt>
                <c:pt idx="1184">
                  <c:v>4.1928484287819104E-2</c:v>
                </c:pt>
                <c:pt idx="1185">
                  <c:v>4.04546912432001E-2</c:v>
                </c:pt>
                <c:pt idx="1186">
                  <c:v>4.46497665618786E-2</c:v>
                </c:pt>
                <c:pt idx="1187">
                  <c:v>4.558854767223082E-2</c:v>
                </c:pt>
                <c:pt idx="1188">
                  <c:v>4.7533950578035042E-2</c:v>
                </c:pt>
                <c:pt idx="1189">
                  <c:v>4.2309160296816119E-2</c:v>
                </c:pt>
                <c:pt idx="1190">
                  <c:v>3.9030049228059735E-2</c:v>
                </c:pt>
                <c:pt idx="1191">
                  <c:v>3.7442844239722065E-2</c:v>
                </c:pt>
                <c:pt idx="1192">
                  <c:v>3.8421944513681458E-2</c:v>
                </c:pt>
                <c:pt idx="1193">
                  <c:v>4.1792106871128984E-2</c:v>
                </c:pt>
                <c:pt idx="1194">
                  <c:v>5.3812816488336322E-2</c:v>
                </c:pt>
                <c:pt idx="1195">
                  <c:v>5.1813390548189731E-2</c:v>
                </c:pt>
                <c:pt idx="1196">
                  <c:v>3.3285500400648427E-2</c:v>
                </c:pt>
                <c:pt idx="1197">
                  <c:v>7.243076501365911E-2</c:v>
                </c:pt>
                <c:pt idx="1198">
                  <c:v>9.5577890573763383E-2</c:v>
                </c:pt>
                <c:pt idx="1199">
                  <c:v>0.11343838364132766</c:v>
                </c:pt>
                <c:pt idx="1200">
                  <c:v>0.13005245854824726</c:v>
                </c:pt>
                <c:pt idx="1201">
                  <c:v>0.14049719558555357</c:v>
                </c:pt>
                <c:pt idx="1202">
                  <c:v>0.14458637972585864</c:v>
                </c:pt>
                <c:pt idx="1203">
                  <c:v>0.13529203494948511</c:v>
                </c:pt>
                <c:pt idx="1204">
                  <c:v>0.12276622052455614</c:v>
                </c:pt>
                <c:pt idx="1205">
                  <c:v>0.11040331187919392</c:v>
                </c:pt>
                <c:pt idx="1206">
                  <c:v>9.130087404937258E-2</c:v>
                </c:pt>
                <c:pt idx="1207">
                  <c:v>9.3415141383091801E-2</c:v>
                </c:pt>
                <c:pt idx="1208">
                  <c:v>0.10886926826525964</c:v>
                </c:pt>
                <c:pt idx="1209">
                  <c:v>0.12883075963792145</c:v>
                </c:pt>
                <c:pt idx="1210">
                  <c:v>0.14311464141792068</c:v>
                </c:pt>
                <c:pt idx="1211">
                  <c:v>0.15052222610732482</c:v>
                </c:pt>
                <c:pt idx="1212">
                  <c:v>0.15264884031200526</c:v>
                </c:pt>
                <c:pt idx="1213">
                  <c:v>0.15279716687766678</c:v>
                </c:pt>
                <c:pt idx="1214">
                  <c:v>0.15820390477447846</c:v>
                </c:pt>
                <c:pt idx="1215">
                  <c:v>0.16725316663606199</c:v>
                </c:pt>
                <c:pt idx="1216">
                  <c:v>0.18928357798140155</c:v>
                </c:pt>
                <c:pt idx="1217">
                  <c:v>0.12286082295386003</c:v>
                </c:pt>
                <c:pt idx="1218">
                  <c:v>9.269334257497501E-2</c:v>
                </c:pt>
                <c:pt idx="1219">
                  <c:v>7.7969154691384185E-2</c:v>
                </c:pt>
                <c:pt idx="1220">
                  <c:v>6.9151652072231784E-2</c:v>
                </c:pt>
                <c:pt idx="1221">
                  <c:v>7.2603838890205025E-2</c:v>
                </c:pt>
                <c:pt idx="1222">
                  <c:v>8.2068060172946392E-2</c:v>
                </c:pt>
                <c:pt idx="1223">
                  <c:v>0.10902831087872925</c:v>
                </c:pt>
                <c:pt idx="1224">
                  <c:v>0.13101881194769349</c:v>
                </c:pt>
                <c:pt idx="1225">
                  <c:v>0.14757142662958739</c:v>
                </c:pt>
                <c:pt idx="1226">
                  <c:v>0.15997429683573985</c:v>
                </c:pt>
                <c:pt idx="1227">
                  <c:v>0.15275381027538229</c:v>
                </c:pt>
                <c:pt idx="1228">
                  <c:v>0.13580608438292777</c:v>
                </c:pt>
                <c:pt idx="1229">
                  <c:v>0.12272820868567287</c:v>
                </c:pt>
                <c:pt idx="1230">
                  <c:v>0.11304691177626192</c:v>
                </c:pt>
                <c:pt idx="1231">
                  <c:v>0.10840106263997631</c:v>
                </c:pt>
                <c:pt idx="1232">
                  <c:v>0.11258351069827044</c:v>
                </c:pt>
                <c:pt idx="1233">
                  <c:v>0.11650070397946174</c:v>
                </c:pt>
                <c:pt idx="1234">
                  <c:v>0.11708968333607776</c:v>
                </c:pt>
                <c:pt idx="1235">
                  <c:v>0.11473719931190833</c:v>
                </c:pt>
                <c:pt idx="1236">
                  <c:v>0.11782149564094835</c:v>
                </c:pt>
                <c:pt idx="1237">
                  <c:v>0.15585785515614797</c:v>
                </c:pt>
                <c:pt idx="1238">
                  <c:v>0.17802840451831681</c:v>
                </c:pt>
                <c:pt idx="1239">
                  <c:v>0.19193111038655003</c:v>
                </c:pt>
                <c:pt idx="1240">
                  <c:v>0.18357860270505572</c:v>
                </c:pt>
                <c:pt idx="1241">
                  <c:v>0.19760471118711828</c:v>
                </c:pt>
                <c:pt idx="1242">
                  <c:v>0.20127909353071277</c:v>
                </c:pt>
                <c:pt idx="1243">
                  <c:v>0.19944809318211137</c:v>
                </c:pt>
                <c:pt idx="1244">
                  <c:v>0.20362071640483209</c:v>
                </c:pt>
                <c:pt idx="1245">
                  <c:v>0.21163096703747533</c:v>
                </c:pt>
                <c:pt idx="1246">
                  <c:v>0.22367660001681494</c:v>
                </c:pt>
                <c:pt idx="1247">
                  <c:v>0.23579341639281229</c:v>
                </c:pt>
                <c:pt idx="1248">
                  <c:v>0.25170757885948253</c:v>
                </c:pt>
                <c:pt idx="1249">
                  <c:v>0.26073830524223085</c:v>
                </c:pt>
                <c:pt idx="1250">
                  <c:v>0.26756873319390606</c:v>
                </c:pt>
                <c:pt idx="1251">
                  <c:v>0.27388081657346774</c:v>
                </c:pt>
                <c:pt idx="1252">
                  <c:v>0.28677234201377472</c:v>
                </c:pt>
                <c:pt idx="1253">
                  <c:v>0.3003100525271879</c:v>
                </c:pt>
                <c:pt idx="1254">
                  <c:v>0.31101243266294826</c:v>
                </c:pt>
                <c:pt idx="1255">
                  <c:v>0.32385106721956303</c:v>
                </c:pt>
                <c:pt idx="1256">
                  <c:v>0.32810683667724672</c:v>
                </c:pt>
                <c:pt idx="1257">
                  <c:v>0.32146894140761934</c:v>
                </c:pt>
                <c:pt idx="1258">
                  <c:v>0.31373458249021347</c:v>
                </c:pt>
                <c:pt idx="1259">
                  <c:v>0.30679043697925162</c:v>
                </c:pt>
                <c:pt idx="1260">
                  <c:v>0.32391773844534988</c:v>
                </c:pt>
                <c:pt idx="1261">
                  <c:v>0.30225186861372483</c:v>
                </c:pt>
                <c:pt idx="1262">
                  <c:v>0.33712071393054915</c:v>
                </c:pt>
                <c:pt idx="1263">
                  <c:v>0.36763938889752962</c:v>
                </c:pt>
                <c:pt idx="1264">
                  <c:v>0.37139292314339833</c:v>
                </c:pt>
                <c:pt idx="1265">
                  <c:v>0.3792987103137041</c:v>
                </c:pt>
                <c:pt idx="1266">
                  <c:v>0.3821017179108081</c:v>
                </c:pt>
                <c:pt idx="1267">
                  <c:v>0.3831141029738479</c:v>
                </c:pt>
                <c:pt idx="1268">
                  <c:v>0.38100826453757958</c:v>
                </c:pt>
                <c:pt idx="1269">
                  <c:v>0.38425999104186548</c:v>
                </c:pt>
                <c:pt idx="1270">
                  <c:v>0.37338029019880631</c:v>
                </c:pt>
                <c:pt idx="1271">
                  <c:v>0.37303725224229012</c:v>
                </c:pt>
                <c:pt idx="1272">
                  <c:v>0.35430593372070041</c:v>
                </c:pt>
                <c:pt idx="1273">
                  <c:v>0.32534930774585435</c:v>
                </c:pt>
                <c:pt idx="1274">
                  <c:v>0.29350238309878207</c:v>
                </c:pt>
                <c:pt idx="1275">
                  <c:v>0.26451827919877435</c:v>
                </c:pt>
                <c:pt idx="1276">
                  <c:v>0.24997998219437001</c:v>
                </c:pt>
                <c:pt idx="1277">
                  <c:v>0.25577593383864305</c:v>
                </c:pt>
                <c:pt idx="1278">
                  <c:v>0.26829284130369907</c:v>
                </c:pt>
                <c:pt idx="1279">
                  <c:v>0.25820581926330255</c:v>
                </c:pt>
                <c:pt idx="1280">
                  <c:v>0.25333030944869084</c:v>
                </c:pt>
                <c:pt idx="1281">
                  <c:v>0.26755034652740761</c:v>
                </c:pt>
                <c:pt idx="1282">
                  <c:v>0.29872015482340342</c:v>
                </c:pt>
                <c:pt idx="1283">
                  <c:v>0.29519671701769112</c:v>
                </c:pt>
                <c:pt idx="1284">
                  <c:v>0.31894328954732531</c:v>
                </c:pt>
                <c:pt idx="1285">
                  <c:v>0.35643986771104341</c:v>
                </c:pt>
                <c:pt idx="1286">
                  <c:v>0.40401671894902469</c:v>
                </c:pt>
                <c:pt idx="1287">
                  <c:v>0.44451758313370415</c:v>
                </c:pt>
                <c:pt idx="1288">
                  <c:v>0.50614957942782435</c:v>
                </c:pt>
                <c:pt idx="1289">
                  <c:v>0.54631451514085116</c:v>
                </c:pt>
                <c:pt idx="1290">
                  <c:v>0.59246120528430657</c:v>
                </c:pt>
                <c:pt idx="1291">
                  <c:v>0.62463241866743124</c:v>
                </c:pt>
                <c:pt idx="1292">
                  <c:v>0.62905126960515911</c:v>
                </c:pt>
                <c:pt idx="1293">
                  <c:v>0.64321779742436913</c:v>
                </c:pt>
                <c:pt idx="1294">
                  <c:v>0.6636320747640414</c:v>
                </c:pt>
                <c:pt idx="1295">
                  <c:v>0.6763024920024796</c:v>
                </c:pt>
                <c:pt idx="1296">
                  <c:v>0.68741288863650207</c:v>
                </c:pt>
                <c:pt idx="1297">
                  <c:v>0.68157875247902555</c:v>
                </c:pt>
                <c:pt idx="1298">
                  <c:v>0.66166591378208939</c:v>
                </c:pt>
                <c:pt idx="1299">
                  <c:v>0.66483504864636411</c:v>
                </c:pt>
                <c:pt idx="1300">
                  <c:v>0.66289455081490534</c:v>
                </c:pt>
                <c:pt idx="1301">
                  <c:v>0.65311814233701782</c:v>
                </c:pt>
                <c:pt idx="1302">
                  <c:v>0.5796197344117936</c:v>
                </c:pt>
                <c:pt idx="1303">
                  <c:v>0.54950377459493005</c:v>
                </c:pt>
                <c:pt idx="1304">
                  <c:v>0.62584978084605081</c:v>
                </c:pt>
                <c:pt idx="1305">
                  <c:v>0.66263430587507199</c:v>
                </c:pt>
                <c:pt idx="1306">
                  <c:v>0.67541543902087375</c:v>
                </c:pt>
                <c:pt idx="1307">
                  <c:v>0.68034045973474866</c:v>
                </c:pt>
                <c:pt idx="1308">
                  <c:v>0.65312465507865758</c:v>
                </c:pt>
                <c:pt idx="1309">
                  <c:v>0.6419228432323334</c:v>
                </c:pt>
                <c:pt idx="1310">
                  <c:v>0.63587027144382513</c:v>
                </c:pt>
                <c:pt idx="1311">
                  <c:v>0.62595791795562039</c:v>
                </c:pt>
                <c:pt idx="1312">
                  <c:v>0.64194205250888992</c:v>
                </c:pt>
                <c:pt idx="1313">
                  <c:v>0.65381351781284247</c:v>
                </c:pt>
                <c:pt idx="1314">
                  <c:v>0.6502991210641218</c:v>
                </c:pt>
                <c:pt idx="1315">
                  <c:v>0.63053751727748164</c:v>
                </c:pt>
                <c:pt idx="1316">
                  <c:v>0.59787040577284944</c:v>
                </c:pt>
                <c:pt idx="1317">
                  <c:v>0.56271573963755173</c:v>
                </c:pt>
                <c:pt idx="1318">
                  <c:v>0.52760359474429064</c:v>
                </c:pt>
                <c:pt idx="1319">
                  <c:v>0.50222687263410914</c:v>
                </c:pt>
                <c:pt idx="1320">
                  <c:v>0.47558750674728351</c:v>
                </c:pt>
                <c:pt idx="1321">
                  <c:v>0.44711886062106976</c:v>
                </c:pt>
                <c:pt idx="1322">
                  <c:v>0.41620500164558888</c:v>
                </c:pt>
                <c:pt idx="1323">
                  <c:v>0.38174541809272</c:v>
                </c:pt>
                <c:pt idx="1324">
                  <c:v>0.33816713937145565</c:v>
                </c:pt>
                <c:pt idx="1325">
                  <c:v>0.29195775729035411</c:v>
                </c:pt>
                <c:pt idx="1326">
                  <c:v>0.25764505258063303</c:v>
                </c:pt>
                <c:pt idx="1327">
                  <c:v>0.22523602233866966</c:v>
                </c:pt>
                <c:pt idx="1328">
                  <c:v>0.18980524197679069</c:v>
                </c:pt>
                <c:pt idx="1329">
                  <c:v>0.12391668895097037</c:v>
                </c:pt>
                <c:pt idx="1330">
                  <c:v>6.4983142111388115E-2</c:v>
                </c:pt>
                <c:pt idx="1331">
                  <c:v>4.6636689691612939E-3</c:v>
                </c:pt>
                <c:pt idx="1332">
                  <c:v>-4.8152370878869755E-2</c:v>
                </c:pt>
                <c:pt idx="1333">
                  <c:v>-9.0922004626746794E-2</c:v>
                </c:pt>
                <c:pt idx="1334">
                  <c:v>-0.11043064758081236</c:v>
                </c:pt>
                <c:pt idx="1335">
                  <c:v>-0.10130019784247794</c:v>
                </c:pt>
                <c:pt idx="1336">
                  <c:v>-8.8117590174307328E-2</c:v>
                </c:pt>
                <c:pt idx="1337">
                  <c:v>-6.9589470925048774E-2</c:v>
                </c:pt>
                <c:pt idx="1338">
                  <c:v>-4.1708766066502125E-2</c:v>
                </c:pt>
                <c:pt idx="1339">
                  <c:v>-1.9462865326242373E-2</c:v>
                </c:pt>
                <c:pt idx="1340">
                  <c:v>2.2580349027865542E-3</c:v>
                </c:pt>
                <c:pt idx="1341">
                  <c:v>2.3015300110652882E-2</c:v>
                </c:pt>
                <c:pt idx="1342">
                  <c:v>4.3853952645625208E-2</c:v>
                </c:pt>
                <c:pt idx="1343">
                  <c:v>7.3786832434448446E-2</c:v>
                </c:pt>
                <c:pt idx="1344">
                  <c:v>2.3942959431370526E-2</c:v>
                </c:pt>
                <c:pt idx="1345">
                  <c:v>-1.7877162462593521E-3</c:v>
                </c:pt>
                <c:pt idx="1346">
                  <c:v>3.7105366088623991E-2</c:v>
                </c:pt>
                <c:pt idx="1347">
                  <c:v>4.3492045860859162E-2</c:v>
                </c:pt>
                <c:pt idx="1348">
                  <c:v>5.6096427585811535E-2</c:v>
                </c:pt>
                <c:pt idx="1349">
                  <c:v>8.1985803527692011E-2</c:v>
                </c:pt>
                <c:pt idx="1350">
                  <c:v>9.6997403333864349E-2</c:v>
                </c:pt>
                <c:pt idx="1351">
                  <c:v>0.11912315864524917</c:v>
                </c:pt>
                <c:pt idx="1352">
                  <c:v>0.13674218678182165</c:v>
                </c:pt>
                <c:pt idx="1353">
                  <c:v>0.15165233772639986</c:v>
                </c:pt>
                <c:pt idx="1354">
                  <c:v>0.15945698224109425</c:v>
                </c:pt>
                <c:pt idx="1355">
                  <c:v>0.15198701880902385</c:v>
                </c:pt>
                <c:pt idx="1356">
                  <c:v>0.14146791566103814</c:v>
                </c:pt>
                <c:pt idx="1357">
                  <c:v>0.1311153042540821</c:v>
                </c:pt>
                <c:pt idx="1358">
                  <c:v>0.11102172994679713</c:v>
                </c:pt>
                <c:pt idx="1359">
                  <c:v>9.3725000441114842E-2</c:v>
                </c:pt>
                <c:pt idx="1360">
                  <c:v>8.2252054369590683E-2</c:v>
                </c:pt>
                <c:pt idx="1361">
                  <c:v>7.6636797652431546E-2</c:v>
                </c:pt>
                <c:pt idx="1362">
                  <c:v>5.3280291150706517E-2</c:v>
                </c:pt>
                <c:pt idx="1363">
                  <c:v>2.4697585381934749E-2</c:v>
                </c:pt>
                <c:pt idx="1364">
                  <c:v>-1.9101210117614287E-2</c:v>
                </c:pt>
                <c:pt idx="1365">
                  <c:v>-5.7634086716226884E-2</c:v>
                </c:pt>
                <c:pt idx="1366">
                  <c:v>-0.12235051430582544</c:v>
                </c:pt>
                <c:pt idx="1367">
                  <c:v>-0.14700182332985393</c:v>
                </c:pt>
                <c:pt idx="1368">
                  <c:v>-0.16029351377008827</c:v>
                </c:pt>
                <c:pt idx="1369">
                  <c:v>-0.16107428821726161</c:v>
                </c:pt>
                <c:pt idx="1370">
                  <c:v>-0.15542065959735912</c:v>
                </c:pt>
                <c:pt idx="1371">
                  <c:v>-0.14753914296290949</c:v>
                </c:pt>
                <c:pt idx="1372">
                  <c:v>-0.13373548021490614</c:v>
                </c:pt>
                <c:pt idx="1373">
                  <c:v>-0.11702749357162061</c:v>
                </c:pt>
                <c:pt idx="1374">
                  <c:v>-0.10007734286336731</c:v>
                </c:pt>
                <c:pt idx="1375">
                  <c:v>-7.6205930530167429E-2</c:v>
                </c:pt>
                <c:pt idx="1376">
                  <c:v>-4.6697088187649526E-2</c:v>
                </c:pt>
                <c:pt idx="1377">
                  <c:v>-1.2580909002898922E-2</c:v>
                </c:pt>
                <c:pt idx="1378">
                  <c:v>2.7552912966937636E-2</c:v>
                </c:pt>
                <c:pt idx="1379">
                  <c:v>6.3342653614522321E-2</c:v>
                </c:pt>
                <c:pt idx="1380">
                  <c:v>9.9813550662566627E-2</c:v>
                </c:pt>
                <c:pt idx="1381">
                  <c:v>0.12492306117028396</c:v>
                </c:pt>
                <c:pt idx="1382">
                  <c:v>0.1490864212254468</c:v>
                </c:pt>
                <c:pt idx="1383">
                  <c:v>0.18328121632732991</c:v>
                </c:pt>
                <c:pt idx="1384">
                  <c:v>0.21375809175734456</c:v>
                </c:pt>
                <c:pt idx="1385">
                  <c:v>0.24252882890317204</c:v>
                </c:pt>
                <c:pt idx="1386">
                  <c:v>0.22666452135544035</c:v>
                </c:pt>
                <c:pt idx="1387">
                  <c:v>0.25816956576801559</c:v>
                </c:pt>
                <c:pt idx="1388">
                  <c:v>0.26278725046239843</c:v>
                </c:pt>
                <c:pt idx="1389">
                  <c:v>0.25959469145888986</c:v>
                </c:pt>
                <c:pt idx="1390">
                  <c:v>0.25340504132411124</c:v>
                </c:pt>
                <c:pt idx="1391">
                  <c:v>0.24327299796087826</c:v>
                </c:pt>
                <c:pt idx="1392">
                  <c:v>0.23686536944850931</c:v>
                </c:pt>
                <c:pt idx="1393">
                  <c:v>0.2282375395857838</c:v>
                </c:pt>
                <c:pt idx="1394">
                  <c:v>0.21562697923769808</c:v>
                </c:pt>
                <c:pt idx="1395">
                  <c:v>0.19922593498214228</c:v>
                </c:pt>
                <c:pt idx="1396">
                  <c:v>0.17851269692606947</c:v>
                </c:pt>
                <c:pt idx="1397">
                  <c:v>0.14805112145329963</c:v>
                </c:pt>
                <c:pt idx="1398">
                  <c:v>0.12299561556574452</c:v>
                </c:pt>
                <c:pt idx="1399">
                  <c:v>9.6180656549042204E-2</c:v>
                </c:pt>
                <c:pt idx="1400">
                  <c:v>6.086307988196521E-2</c:v>
                </c:pt>
                <c:pt idx="1401">
                  <c:v>3.1011006921936833E-2</c:v>
                </c:pt>
                <c:pt idx="1402">
                  <c:v>1.8132174820786252E-2</c:v>
                </c:pt>
                <c:pt idx="1403">
                  <c:v>-8.8503146539598235E-3</c:v>
                </c:pt>
                <c:pt idx="1404">
                  <c:v>-3.7552100945036415E-2</c:v>
                </c:pt>
                <c:pt idx="1405">
                  <c:v>-6.0809734739298647E-2</c:v>
                </c:pt>
                <c:pt idx="1406">
                  <c:v>-6.7358004299176516E-2</c:v>
                </c:pt>
                <c:pt idx="1407">
                  <c:v>-0.12632895163723382</c:v>
                </c:pt>
                <c:pt idx="1408">
                  <c:v>-0.16682062459114042</c:v>
                </c:pt>
                <c:pt idx="1409">
                  <c:v>-0.16283159930392885</c:v>
                </c:pt>
                <c:pt idx="1410">
                  <c:v>-0.15535158136277746</c:v>
                </c:pt>
                <c:pt idx="1411">
                  <c:v>-0.14822207186014572</c:v>
                </c:pt>
                <c:pt idx="1412">
                  <c:v>-0.14827065301921558</c:v>
                </c:pt>
                <c:pt idx="1413">
                  <c:v>-0.15355253419027565</c:v>
                </c:pt>
                <c:pt idx="1414">
                  <c:v>-0.15515969333155888</c:v>
                </c:pt>
                <c:pt idx="1415">
                  <c:v>-0.15029385703072218</c:v>
                </c:pt>
                <c:pt idx="1416">
                  <c:v>-0.1385583288836322</c:v>
                </c:pt>
                <c:pt idx="1417">
                  <c:v>-0.12001741988781442</c:v>
                </c:pt>
                <c:pt idx="1418">
                  <c:v>-0.10923911067893946</c:v>
                </c:pt>
                <c:pt idx="1419">
                  <c:v>-9.9439835468338927E-2</c:v>
                </c:pt>
                <c:pt idx="1420">
                  <c:v>-8.2747645901685887E-2</c:v>
                </c:pt>
                <c:pt idx="1421">
                  <c:v>-6.7450998887114672E-2</c:v>
                </c:pt>
                <c:pt idx="1422">
                  <c:v>-4.9113599731146727E-2</c:v>
                </c:pt>
                <c:pt idx="1423">
                  <c:v>-2.8076841272753485E-2</c:v>
                </c:pt>
                <c:pt idx="1424">
                  <c:v>-1.0340750329086013E-2</c:v>
                </c:pt>
                <c:pt idx="1425">
                  <c:v>-3.2425254725248044E-3</c:v>
                </c:pt>
                <c:pt idx="1426">
                  <c:v>2.1944059889066335E-4</c:v>
                </c:pt>
                <c:pt idx="1427">
                  <c:v>1.6762872434244645E-2</c:v>
                </c:pt>
                <c:pt idx="1428">
                  <c:v>3.5558714461049246E-2</c:v>
                </c:pt>
                <c:pt idx="1429">
                  <c:v>1.9299415840514901E-2</c:v>
                </c:pt>
                <c:pt idx="1430">
                  <c:v>4.4674013125735827E-3</c:v>
                </c:pt>
                <c:pt idx="1431">
                  <c:v>-1.5133667805137302E-2</c:v>
                </c:pt>
                <c:pt idx="1432">
                  <c:v>-6.7963493090796856E-3</c:v>
                </c:pt>
                <c:pt idx="1433">
                  <c:v>-6.4038175350071393E-3</c:v>
                </c:pt>
                <c:pt idx="1434">
                  <c:v>-8.2698308215672315E-3</c:v>
                </c:pt>
                <c:pt idx="1435">
                  <c:v>-1.9905436846418663E-2</c:v>
                </c:pt>
                <c:pt idx="1436">
                  <c:v>-3.3693285019392512E-2</c:v>
                </c:pt>
                <c:pt idx="1437">
                  <c:v>-4.5509914114807634E-2</c:v>
                </c:pt>
                <c:pt idx="1438">
                  <c:v>-5.4564693595084236E-2</c:v>
                </c:pt>
                <c:pt idx="1439">
                  <c:v>-5.876955004807731E-2</c:v>
                </c:pt>
                <c:pt idx="1440">
                  <c:v>-7.0367902857130266E-2</c:v>
                </c:pt>
                <c:pt idx="1441">
                  <c:v>-8.8220912056517636E-2</c:v>
                </c:pt>
                <c:pt idx="1442">
                  <c:v>-9.9449531721591461E-2</c:v>
                </c:pt>
                <c:pt idx="1443">
                  <c:v>-0.11369465564957212</c:v>
                </c:pt>
                <c:pt idx="1444">
                  <c:v>-0.12365913933836278</c:v>
                </c:pt>
                <c:pt idx="1445">
                  <c:v>-0.12871395908929553</c:v>
                </c:pt>
                <c:pt idx="1446">
                  <c:v>-0.12823913446337581</c:v>
                </c:pt>
                <c:pt idx="1447">
                  <c:v>-0.13953440561495134</c:v>
                </c:pt>
                <c:pt idx="1448">
                  <c:v>-0.15375981189048943</c:v>
                </c:pt>
                <c:pt idx="1449">
                  <c:v>-0.16603792207413245</c:v>
                </c:pt>
                <c:pt idx="1450">
                  <c:v>-0.17388344150290047</c:v>
                </c:pt>
                <c:pt idx="1451">
                  <c:v>-0.19918720906026882</c:v>
                </c:pt>
                <c:pt idx="1452">
                  <c:v>-0.24394495422348089</c:v>
                </c:pt>
                <c:pt idx="1453">
                  <c:v>-0.25965248088544324</c:v>
                </c:pt>
                <c:pt idx="1454">
                  <c:v>-0.27417608312547881</c:v>
                </c:pt>
                <c:pt idx="1455">
                  <c:v>-0.28741529161241969</c:v>
                </c:pt>
                <c:pt idx="1456">
                  <c:v>-0.30359668360731895</c:v>
                </c:pt>
                <c:pt idx="1457">
                  <c:v>-0.32033434078766915</c:v>
                </c:pt>
                <c:pt idx="1458">
                  <c:v>-0.33152812190195075</c:v>
                </c:pt>
                <c:pt idx="1459">
                  <c:v>-0.34451254051640334</c:v>
                </c:pt>
                <c:pt idx="1460">
                  <c:v>-0.34985532041390649</c:v>
                </c:pt>
                <c:pt idx="1461">
                  <c:v>-0.34625204705847301</c:v>
                </c:pt>
                <c:pt idx="1462">
                  <c:v>-0.35504717701771382</c:v>
                </c:pt>
                <c:pt idx="1463">
                  <c:v>-0.36028222552392208</c:v>
                </c:pt>
                <c:pt idx="1464">
                  <c:v>-0.36481779596655062</c:v>
                </c:pt>
                <c:pt idx="1465">
                  <c:v>-0.36676945033621122</c:v>
                </c:pt>
                <c:pt idx="1466">
                  <c:v>-0.37613130619973101</c:v>
                </c:pt>
                <c:pt idx="1467">
                  <c:v>-0.37595156280507885</c:v>
                </c:pt>
                <c:pt idx="1468">
                  <c:v>-0.37273648764781614</c:v>
                </c:pt>
                <c:pt idx="1469">
                  <c:v>-0.3689722209108115</c:v>
                </c:pt>
                <c:pt idx="1470">
                  <c:v>-0.36308265217312902</c:v>
                </c:pt>
                <c:pt idx="1471">
                  <c:v>-0.33021600750369279</c:v>
                </c:pt>
                <c:pt idx="1472">
                  <c:v>-0.30569486084649111</c:v>
                </c:pt>
                <c:pt idx="1473">
                  <c:v>-0.30039663185097987</c:v>
                </c:pt>
                <c:pt idx="1474">
                  <c:v>-0.30909074395921959</c:v>
                </c:pt>
                <c:pt idx="1475">
                  <c:v>-0.30913959737059116</c:v>
                </c:pt>
                <c:pt idx="1476">
                  <c:v>-0.30544695837231661</c:v>
                </c:pt>
                <c:pt idx="1477">
                  <c:v>-0.31078966302719058</c:v>
                </c:pt>
                <c:pt idx="1478">
                  <c:v>-0.32124598548829347</c:v>
                </c:pt>
                <c:pt idx="1479">
                  <c:v>-0.33799926176963879</c:v>
                </c:pt>
                <c:pt idx="1480">
                  <c:v>-0.35978742976040029</c:v>
                </c:pt>
                <c:pt idx="1481">
                  <c:v>-0.37933546458841355</c:v>
                </c:pt>
                <c:pt idx="1482">
                  <c:v>-0.39707077866022844</c:v>
                </c:pt>
                <c:pt idx="1483">
                  <c:v>-0.40770352002779831</c:v>
                </c:pt>
                <c:pt idx="1484">
                  <c:v>-0.42388864940981363</c:v>
                </c:pt>
                <c:pt idx="1485">
                  <c:v>-0.44672017215573989</c:v>
                </c:pt>
                <c:pt idx="1486">
                  <c:v>-0.45181867924011498</c:v>
                </c:pt>
                <c:pt idx="1487">
                  <c:v>-0.45714103383846033</c:v>
                </c:pt>
                <c:pt idx="1488">
                  <c:v>-0.46075324880691104</c:v>
                </c:pt>
                <c:pt idx="1489">
                  <c:v>-0.45831081411059194</c:v>
                </c:pt>
                <c:pt idx="1490">
                  <c:v>-0.46135479378660393</c:v>
                </c:pt>
                <c:pt idx="1491">
                  <c:v>-0.46174084310994273</c:v>
                </c:pt>
                <c:pt idx="1492">
                  <c:v>-0.45244170905396386</c:v>
                </c:pt>
                <c:pt idx="1493">
                  <c:v>-0.44454368382834886</c:v>
                </c:pt>
                <c:pt idx="1494">
                  <c:v>-0.42099219862423737</c:v>
                </c:pt>
                <c:pt idx="1495">
                  <c:v>-0.3955544875581074</c:v>
                </c:pt>
                <c:pt idx="1496">
                  <c:v>-0.36946282140523479</c:v>
                </c:pt>
                <c:pt idx="1497">
                  <c:v>-0.34724960680139627</c:v>
                </c:pt>
                <c:pt idx="1498">
                  <c:v>-0.33061987391870928</c:v>
                </c:pt>
                <c:pt idx="1499">
                  <c:v>-0.31030830308543611</c:v>
                </c:pt>
                <c:pt idx="1500">
                  <c:v>-0.29879260970010862</c:v>
                </c:pt>
                <c:pt idx="1501">
                  <c:v>-0.28176246569463781</c:v>
                </c:pt>
                <c:pt idx="1502">
                  <c:v>-0.25956015639046565</c:v>
                </c:pt>
                <c:pt idx="1503">
                  <c:v>-0.2439932854612536</c:v>
                </c:pt>
                <c:pt idx="1504">
                  <c:v>-0.22546469132327709</c:v>
                </c:pt>
                <c:pt idx="1505">
                  <c:v>-0.20248724078701291</c:v>
                </c:pt>
                <c:pt idx="1506">
                  <c:v>-0.19841452893249703</c:v>
                </c:pt>
                <c:pt idx="1507">
                  <c:v>-0.20000744333851453</c:v>
                </c:pt>
                <c:pt idx="1508">
                  <c:v>-0.1958932452830684</c:v>
                </c:pt>
                <c:pt idx="1509">
                  <c:v>-0.19306573475492686</c:v>
                </c:pt>
                <c:pt idx="1510">
                  <c:v>-0.18309201542318529</c:v>
                </c:pt>
                <c:pt idx="1511">
                  <c:v>-0.17219062239615912</c:v>
                </c:pt>
                <c:pt idx="1512">
                  <c:v>-0.1743508464806347</c:v>
                </c:pt>
                <c:pt idx="1513">
                  <c:v>-0.17680570538923007</c:v>
                </c:pt>
                <c:pt idx="1514">
                  <c:v>-0.1780877960438316</c:v>
                </c:pt>
                <c:pt idx="1515">
                  <c:v>-0.18245709552923278</c:v>
                </c:pt>
                <c:pt idx="1516">
                  <c:v>-0.19561498932653718</c:v>
                </c:pt>
                <c:pt idx="1517">
                  <c:v>-0.19687587375416093</c:v>
                </c:pt>
                <c:pt idx="1518">
                  <c:v>-0.21675126424643887</c:v>
                </c:pt>
                <c:pt idx="1519">
                  <c:v>-0.22767636856814694</c:v>
                </c:pt>
                <c:pt idx="1520">
                  <c:v>-0.21727223081784061</c:v>
                </c:pt>
                <c:pt idx="1521">
                  <c:v>-0.22299095997951307</c:v>
                </c:pt>
                <c:pt idx="1522">
                  <c:v>-0.22726697166694088</c:v>
                </c:pt>
                <c:pt idx="1523">
                  <c:v>-0.23148729865617329</c:v>
                </c:pt>
                <c:pt idx="1524">
                  <c:v>-0.23801830993469014</c:v>
                </c:pt>
                <c:pt idx="1525">
                  <c:v>-0.2547275463773816</c:v>
                </c:pt>
                <c:pt idx="1526">
                  <c:v>-0.2657756926337253</c:v>
                </c:pt>
                <c:pt idx="1527">
                  <c:v>-0.27782821310328992</c:v>
                </c:pt>
                <c:pt idx="1528">
                  <c:v>-0.299382390167377</c:v>
                </c:pt>
                <c:pt idx="1529">
                  <c:v>-0.2731995153177581</c:v>
                </c:pt>
                <c:pt idx="1530">
                  <c:v>-0.25774964434593667</c:v>
                </c:pt>
                <c:pt idx="1531">
                  <c:v>-0.25347069747116369</c:v>
                </c:pt>
                <c:pt idx="1532">
                  <c:v>-0.25008036262593564</c:v>
                </c:pt>
                <c:pt idx="1533">
                  <c:v>-0.2463526811349655</c:v>
                </c:pt>
                <c:pt idx="1534">
                  <c:v>-0.24641552697894128</c:v>
                </c:pt>
                <c:pt idx="1535">
                  <c:v>-0.24160827893795309</c:v>
                </c:pt>
                <c:pt idx="1536">
                  <c:v>-0.24908415110571108</c:v>
                </c:pt>
                <c:pt idx="1537">
                  <c:v>-0.24330611950099007</c:v>
                </c:pt>
                <c:pt idx="1538">
                  <c:v>-0.2116886908742055</c:v>
                </c:pt>
                <c:pt idx="1539">
                  <c:v>-0.17033773922720508</c:v>
                </c:pt>
                <c:pt idx="1540">
                  <c:v>-0.19260486364358806</c:v>
                </c:pt>
                <c:pt idx="1541">
                  <c:v>-0.16381584774989699</c:v>
                </c:pt>
                <c:pt idx="1542">
                  <c:v>-0.13313116859278479</c:v>
                </c:pt>
                <c:pt idx="1543">
                  <c:v>-0.1065949911486848</c:v>
                </c:pt>
                <c:pt idx="1544">
                  <c:v>-8.8609522444693639E-2</c:v>
                </c:pt>
                <c:pt idx="1545">
                  <c:v>-5.8887279461103635E-2</c:v>
                </c:pt>
                <c:pt idx="1546">
                  <c:v>-7.560096518181951E-2</c:v>
                </c:pt>
                <c:pt idx="1547">
                  <c:v>-3.5205758361425567E-2</c:v>
                </c:pt>
                <c:pt idx="1548">
                  <c:v>9.3776500518102605E-3</c:v>
                </c:pt>
                <c:pt idx="1549">
                  <c:v>1.2700850798658059E-2</c:v>
                </c:pt>
                <c:pt idx="1550">
                  <c:v>2.9988757914754527E-2</c:v>
                </c:pt>
                <c:pt idx="1551">
                  <c:v>-5.8873304413645411E-2</c:v>
                </c:pt>
                <c:pt idx="1552">
                  <c:v>-0.11984849519596504</c:v>
                </c:pt>
                <c:pt idx="1553">
                  <c:v>-0.16441590698795322</c:v>
                </c:pt>
                <c:pt idx="1554">
                  <c:v>-0.19487988458447489</c:v>
                </c:pt>
                <c:pt idx="1555">
                  <c:v>-0.20763070548612891</c:v>
                </c:pt>
                <c:pt idx="1556">
                  <c:v>-0.19168421402734753</c:v>
                </c:pt>
                <c:pt idx="1557">
                  <c:v>-0.19174492132425097</c:v>
                </c:pt>
                <c:pt idx="1558">
                  <c:v>-0.20654189560446121</c:v>
                </c:pt>
                <c:pt idx="1559">
                  <c:v>-0.2255435906526925</c:v>
                </c:pt>
                <c:pt idx="1560">
                  <c:v>-0.29080978261842477</c:v>
                </c:pt>
                <c:pt idx="1561">
                  <c:v>-0.38724247088224489</c:v>
                </c:pt>
                <c:pt idx="1562">
                  <c:v>-0.47456798527002553</c:v>
                </c:pt>
                <c:pt idx="1563">
                  <c:v>-0.54402338727116795</c:v>
                </c:pt>
                <c:pt idx="1564">
                  <c:v>-0.59614156927941742</c:v>
                </c:pt>
                <c:pt idx="1565">
                  <c:v>-0.65912160362895089</c:v>
                </c:pt>
                <c:pt idx="1566">
                  <c:v>-0.65885420350760016</c:v>
                </c:pt>
                <c:pt idx="1567">
                  <c:v>-0.69700162774943208</c:v>
                </c:pt>
                <c:pt idx="1568">
                  <c:v>-0.71736530041812996</c:v>
                </c:pt>
                <c:pt idx="1569">
                  <c:v>-0.74366434112628155</c:v>
                </c:pt>
                <c:pt idx="1570">
                  <c:v>-0.76414314362154612</c:v>
                </c:pt>
                <c:pt idx="1571">
                  <c:v>-0.6782477216980819</c:v>
                </c:pt>
                <c:pt idx="1572">
                  <c:v>-0.60355642368651974</c:v>
                </c:pt>
                <c:pt idx="1573">
                  <c:v>-0.54641930579280784</c:v>
                </c:pt>
                <c:pt idx="1574">
                  <c:v>-0.48850168893032875</c:v>
                </c:pt>
                <c:pt idx="1575">
                  <c:v>-0.4496598074232504</c:v>
                </c:pt>
                <c:pt idx="1576">
                  <c:v>-0.42657213816672102</c:v>
                </c:pt>
                <c:pt idx="1577">
                  <c:v>-0.40462242118425634</c:v>
                </c:pt>
                <c:pt idx="1578">
                  <c:v>-0.36941379890141962</c:v>
                </c:pt>
                <c:pt idx="1579">
                  <c:v>-0.3434702968302944</c:v>
                </c:pt>
                <c:pt idx="1580">
                  <c:v>-0.27862427365220321</c:v>
                </c:pt>
                <c:pt idx="1581">
                  <c:v>-0.2103470305358513</c:v>
                </c:pt>
                <c:pt idx="1582">
                  <c:v>-0.14729924392076127</c:v>
                </c:pt>
                <c:pt idx="1583">
                  <c:v>-9.456135993164648E-2</c:v>
                </c:pt>
                <c:pt idx="1584">
                  <c:v>-4.6842383423713038E-2</c:v>
                </c:pt>
                <c:pt idx="1585">
                  <c:v>1.2319847214806034E-2</c:v>
                </c:pt>
                <c:pt idx="1586">
                  <c:v>4.4986774877165167E-2</c:v>
                </c:pt>
                <c:pt idx="1587">
                  <c:v>6.1310399431470784E-2</c:v>
                </c:pt>
                <c:pt idx="1588">
                  <c:v>6.0498211253158352E-2</c:v>
                </c:pt>
                <c:pt idx="1589">
                  <c:v>5.6399045568445508E-2</c:v>
                </c:pt>
                <c:pt idx="1590">
                  <c:v>4.4041767406752454E-2</c:v>
                </c:pt>
                <c:pt idx="1591">
                  <c:v>4.4047122085925872E-2</c:v>
                </c:pt>
                <c:pt idx="1592">
                  <c:v>3.2743481290487784E-2</c:v>
                </c:pt>
                <c:pt idx="1593">
                  <c:v>2.1083155845383172E-2</c:v>
                </c:pt>
                <c:pt idx="1594">
                  <c:v>3.736057346300792E-3</c:v>
                </c:pt>
                <c:pt idx="1595">
                  <c:v>-2.0813549598644159E-2</c:v>
                </c:pt>
                <c:pt idx="1596">
                  <c:v>-3.2821710335898216E-2</c:v>
                </c:pt>
                <c:pt idx="1597">
                  <c:v>-4.4763372614297955E-2</c:v>
                </c:pt>
                <c:pt idx="1598">
                  <c:v>-5.603570518156524E-2</c:v>
                </c:pt>
                <c:pt idx="1599">
                  <c:v>-7.5313468862343358E-2</c:v>
                </c:pt>
                <c:pt idx="1600">
                  <c:v>-3.2216923412709708E-2</c:v>
                </c:pt>
                <c:pt idx="1601">
                  <c:v>-7.2725851216167928E-3</c:v>
                </c:pt>
                <c:pt idx="1602">
                  <c:v>8.3056143822031418E-3</c:v>
                </c:pt>
                <c:pt idx="1603">
                  <c:v>-3.729726833206079E-2</c:v>
                </c:pt>
                <c:pt idx="1604">
                  <c:v>-7.5530142862589092E-2</c:v>
                </c:pt>
                <c:pt idx="1605">
                  <c:v>-0.10075932105299475</c:v>
                </c:pt>
                <c:pt idx="1606">
                  <c:v>-0.11077085628976499</c:v>
                </c:pt>
                <c:pt idx="1607">
                  <c:v>-0.11141426685614939</c:v>
                </c:pt>
                <c:pt idx="1608">
                  <c:v>-0.11481715014163688</c:v>
                </c:pt>
                <c:pt idx="1609">
                  <c:v>-0.11343175369263492</c:v>
                </c:pt>
                <c:pt idx="1610">
                  <c:v>-0.11559638441144404</c:v>
                </c:pt>
                <c:pt idx="1611">
                  <c:v>-0.12544957263467302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4EB-42CD-AD23-1403467BE2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13658000"/>
        <c:axId val="1613658328"/>
      </c:barChart>
      <c:lineChart>
        <c:grouping val="standard"/>
        <c:varyColors val="0"/>
        <c:ser>
          <c:idx val="0"/>
          <c:order val="0"/>
          <c:tx>
            <c:strRef>
              <c:f>'M1'!$E$6</c:f>
              <c:strCache>
                <c:ptCount val="1"/>
                <c:pt idx="0">
                  <c:v>TTF_M1_CLOSE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'M1'!$D$7:$D$2132</c:f>
              <c:numCache>
                <c:formatCode>m/d/yyyy</c:formatCode>
                <c:ptCount val="2126"/>
                <c:pt idx="0">
                  <c:v>42006</c:v>
                </c:pt>
                <c:pt idx="1">
                  <c:v>42009</c:v>
                </c:pt>
                <c:pt idx="2">
                  <c:v>42010</c:v>
                </c:pt>
                <c:pt idx="3">
                  <c:v>42011</c:v>
                </c:pt>
                <c:pt idx="4">
                  <c:v>42012</c:v>
                </c:pt>
                <c:pt idx="5">
                  <c:v>42013</c:v>
                </c:pt>
                <c:pt idx="6">
                  <c:v>42016</c:v>
                </c:pt>
                <c:pt idx="7">
                  <c:v>42017</c:v>
                </c:pt>
                <c:pt idx="8">
                  <c:v>42018</c:v>
                </c:pt>
                <c:pt idx="9">
                  <c:v>42019</c:v>
                </c:pt>
                <c:pt idx="10">
                  <c:v>42020</c:v>
                </c:pt>
                <c:pt idx="11">
                  <c:v>42023</c:v>
                </c:pt>
                <c:pt idx="12">
                  <c:v>42024</c:v>
                </c:pt>
                <c:pt idx="13">
                  <c:v>42025</c:v>
                </c:pt>
                <c:pt idx="14">
                  <c:v>42026</c:v>
                </c:pt>
                <c:pt idx="15">
                  <c:v>42027</c:v>
                </c:pt>
                <c:pt idx="16">
                  <c:v>42030</c:v>
                </c:pt>
                <c:pt idx="17">
                  <c:v>42031</c:v>
                </c:pt>
                <c:pt idx="18">
                  <c:v>42032</c:v>
                </c:pt>
                <c:pt idx="19">
                  <c:v>42033</c:v>
                </c:pt>
                <c:pt idx="20">
                  <c:v>42034</c:v>
                </c:pt>
                <c:pt idx="21">
                  <c:v>42037</c:v>
                </c:pt>
                <c:pt idx="22">
                  <c:v>42038</c:v>
                </c:pt>
                <c:pt idx="23">
                  <c:v>42039</c:v>
                </c:pt>
                <c:pt idx="24">
                  <c:v>42040</c:v>
                </c:pt>
                <c:pt idx="25">
                  <c:v>42041</c:v>
                </c:pt>
                <c:pt idx="26">
                  <c:v>42044</c:v>
                </c:pt>
                <c:pt idx="27">
                  <c:v>42045</c:v>
                </c:pt>
                <c:pt idx="28">
                  <c:v>42046</c:v>
                </c:pt>
                <c:pt idx="29">
                  <c:v>42047</c:v>
                </c:pt>
                <c:pt idx="30">
                  <c:v>42048</c:v>
                </c:pt>
                <c:pt idx="31">
                  <c:v>42051</c:v>
                </c:pt>
                <c:pt idx="32">
                  <c:v>42052</c:v>
                </c:pt>
                <c:pt idx="33">
                  <c:v>42053</c:v>
                </c:pt>
                <c:pt idx="34">
                  <c:v>42054</c:v>
                </c:pt>
                <c:pt idx="35">
                  <c:v>42055</c:v>
                </c:pt>
                <c:pt idx="36">
                  <c:v>42058</c:v>
                </c:pt>
                <c:pt idx="37">
                  <c:v>42059</c:v>
                </c:pt>
                <c:pt idx="38">
                  <c:v>42060</c:v>
                </c:pt>
                <c:pt idx="39">
                  <c:v>42061</c:v>
                </c:pt>
                <c:pt idx="40">
                  <c:v>42062</c:v>
                </c:pt>
                <c:pt idx="41">
                  <c:v>42065</c:v>
                </c:pt>
                <c:pt idx="42">
                  <c:v>42066</c:v>
                </c:pt>
                <c:pt idx="43">
                  <c:v>42067</c:v>
                </c:pt>
                <c:pt idx="44">
                  <c:v>42068</c:v>
                </c:pt>
                <c:pt idx="45">
                  <c:v>42069</c:v>
                </c:pt>
                <c:pt idx="46">
                  <c:v>42072</c:v>
                </c:pt>
                <c:pt idx="47">
                  <c:v>42073</c:v>
                </c:pt>
                <c:pt idx="48">
                  <c:v>42074</c:v>
                </c:pt>
                <c:pt idx="49">
                  <c:v>42075</c:v>
                </c:pt>
                <c:pt idx="50">
                  <c:v>42076</c:v>
                </c:pt>
                <c:pt idx="51">
                  <c:v>42079</c:v>
                </c:pt>
                <c:pt idx="52">
                  <c:v>42080</c:v>
                </c:pt>
                <c:pt idx="53">
                  <c:v>42081</c:v>
                </c:pt>
                <c:pt idx="54">
                  <c:v>42082</c:v>
                </c:pt>
                <c:pt idx="55">
                  <c:v>42083</c:v>
                </c:pt>
                <c:pt idx="56">
                  <c:v>42086</c:v>
                </c:pt>
                <c:pt idx="57">
                  <c:v>42087</c:v>
                </c:pt>
                <c:pt idx="58">
                  <c:v>42088</c:v>
                </c:pt>
                <c:pt idx="59">
                  <c:v>42089</c:v>
                </c:pt>
                <c:pt idx="60">
                  <c:v>42090</c:v>
                </c:pt>
                <c:pt idx="61">
                  <c:v>42093</c:v>
                </c:pt>
                <c:pt idx="62">
                  <c:v>42094</c:v>
                </c:pt>
                <c:pt idx="63">
                  <c:v>42095</c:v>
                </c:pt>
                <c:pt idx="64">
                  <c:v>42096</c:v>
                </c:pt>
                <c:pt idx="65">
                  <c:v>42101</c:v>
                </c:pt>
                <c:pt idx="66">
                  <c:v>42102</c:v>
                </c:pt>
                <c:pt idx="67">
                  <c:v>42103</c:v>
                </c:pt>
                <c:pt idx="68">
                  <c:v>42104</c:v>
                </c:pt>
                <c:pt idx="69">
                  <c:v>42107</c:v>
                </c:pt>
                <c:pt idx="70">
                  <c:v>42108</c:v>
                </c:pt>
                <c:pt idx="71">
                  <c:v>42109</c:v>
                </c:pt>
                <c:pt idx="72">
                  <c:v>42110</c:v>
                </c:pt>
                <c:pt idx="73">
                  <c:v>42111</c:v>
                </c:pt>
                <c:pt idx="74">
                  <c:v>42114</c:v>
                </c:pt>
                <c:pt idx="75">
                  <c:v>42115</c:v>
                </c:pt>
                <c:pt idx="76">
                  <c:v>42116</c:v>
                </c:pt>
                <c:pt idx="77">
                  <c:v>42117</c:v>
                </c:pt>
                <c:pt idx="78">
                  <c:v>42118</c:v>
                </c:pt>
                <c:pt idx="79">
                  <c:v>42121</c:v>
                </c:pt>
                <c:pt idx="80">
                  <c:v>42122</c:v>
                </c:pt>
                <c:pt idx="81">
                  <c:v>42123</c:v>
                </c:pt>
                <c:pt idx="82">
                  <c:v>42124</c:v>
                </c:pt>
                <c:pt idx="83">
                  <c:v>42125</c:v>
                </c:pt>
                <c:pt idx="84">
                  <c:v>42128</c:v>
                </c:pt>
                <c:pt idx="85">
                  <c:v>42129</c:v>
                </c:pt>
                <c:pt idx="86">
                  <c:v>42130</c:v>
                </c:pt>
                <c:pt idx="87">
                  <c:v>42131</c:v>
                </c:pt>
                <c:pt idx="88">
                  <c:v>42132</c:v>
                </c:pt>
                <c:pt idx="89">
                  <c:v>42135</c:v>
                </c:pt>
                <c:pt idx="90">
                  <c:v>42136</c:v>
                </c:pt>
                <c:pt idx="91">
                  <c:v>42137</c:v>
                </c:pt>
                <c:pt idx="92">
                  <c:v>42138</c:v>
                </c:pt>
                <c:pt idx="93">
                  <c:v>42139</c:v>
                </c:pt>
                <c:pt idx="94">
                  <c:v>42142</c:v>
                </c:pt>
                <c:pt idx="95">
                  <c:v>42143</c:v>
                </c:pt>
                <c:pt idx="96">
                  <c:v>42144</c:v>
                </c:pt>
                <c:pt idx="97">
                  <c:v>42145</c:v>
                </c:pt>
                <c:pt idx="98">
                  <c:v>42146</c:v>
                </c:pt>
                <c:pt idx="99">
                  <c:v>42149</c:v>
                </c:pt>
                <c:pt idx="100">
                  <c:v>42150</c:v>
                </c:pt>
                <c:pt idx="101">
                  <c:v>42151</c:v>
                </c:pt>
                <c:pt idx="102">
                  <c:v>42152</c:v>
                </c:pt>
                <c:pt idx="103">
                  <c:v>42153</c:v>
                </c:pt>
                <c:pt idx="104">
                  <c:v>42156</c:v>
                </c:pt>
                <c:pt idx="105">
                  <c:v>42157</c:v>
                </c:pt>
                <c:pt idx="106">
                  <c:v>42158</c:v>
                </c:pt>
                <c:pt idx="107">
                  <c:v>42159</c:v>
                </c:pt>
                <c:pt idx="108">
                  <c:v>42160</c:v>
                </c:pt>
                <c:pt idx="109">
                  <c:v>42163</c:v>
                </c:pt>
                <c:pt idx="110">
                  <c:v>42164</c:v>
                </c:pt>
                <c:pt idx="111">
                  <c:v>42165</c:v>
                </c:pt>
                <c:pt idx="112">
                  <c:v>42166</c:v>
                </c:pt>
                <c:pt idx="113">
                  <c:v>42167</c:v>
                </c:pt>
                <c:pt idx="114">
                  <c:v>42170</c:v>
                </c:pt>
                <c:pt idx="115">
                  <c:v>42171</c:v>
                </c:pt>
                <c:pt idx="116">
                  <c:v>42172</c:v>
                </c:pt>
                <c:pt idx="117">
                  <c:v>42173</c:v>
                </c:pt>
                <c:pt idx="118">
                  <c:v>42174</c:v>
                </c:pt>
                <c:pt idx="119">
                  <c:v>42177</c:v>
                </c:pt>
                <c:pt idx="120">
                  <c:v>42178</c:v>
                </c:pt>
                <c:pt idx="121">
                  <c:v>42179</c:v>
                </c:pt>
                <c:pt idx="122">
                  <c:v>42180</c:v>
                </c:pt>
                <c:pt idx="123">
                  <c:v>42181</c:v>
                </c:pt>
                <c:pt idx="124">
                  <c:v>42184</c:v>
                </c:pt>
                <c:pt idx="125">
                  <c:v>42185</c:v>
                </c:pt>
                <c:pt idx="126">
                  <c:v>42186</c:v>
                </c:pt>
                <c:pt idx="127">
                  <c:v>42187</c:v>
                </c:pt>
                <c:pt idx="128">
                  <c:v>42188</c:v>
                </c:pt>
                <c:pt idx="129">
                  <c:v>42191</c:v>
                </c:pt>
                <c:pt idx="130">
                  <c:v>42192</c:v>
                </c:pt>
                <c:pt idx="131">
                  <c:v>42193</c:v>
                </c:pt>
                <c:pt idx="132">
                  <c:v>42194</c:v>
                </c:pt>
                <c:pt idx="133">
                  <c:v>42195</c:v>
                </c:pt>
                <c:pt idx="134">
                  <c:v>42198</c:v>
                </c:pt>
                <c:pt idx="135">
                  <c:v>42199</c:v>
                </c:pt>
                <c:pt idx="136">
                  <c:v>42200</c:v>
                </c:pt>
                <c:pt idx="137">
                  <c:v>42201</c:v>
                </c:pt>
                <c:pt idx="138">
                  <c:v>42202</c:v>
                </c:pt>
                <c:pt idx="139">
                  <c:v>42205</c:v>
                </c:pt>
                <c:pt idx="140">
                  <c:v>42206</c:v>
                </c:pt>
                <c:pt idx="141">
                  <c:v>42207</c:v>
                </c:pt>
                <c:pt idx="142">
                  <c:v>42208</c:v>
                </c:pt>
                <c:pt idx="143">
                  <c:v>42209</c:v>
                </c:pt>
                <c:pt idx="144">
                  <c:v>42212</c:v>
                </c:pt>
                <c:pt idx="145">
                  <c:v>42213</c:v>
                </c:pt>
                <c:pt idx="146">
                  <c:v>42214</c:v>
                </c:pt>
                <c:pt idx="147">
                  <c:v>42215</c:v>
                </c:pt>
                <c:pt idx="148">
                  <c:v>42216</c:v>
                </c:pt>
                <c:pt idx="149">
                  <c:v>42219</c:v>
                </c:pt>
                <c:pt idx="150">
                  <c:v>42220</c:v>
                </c:pt>
                <c:pt idx="151">
                  <c:v>42221</c:v>
                </c:pt>
                <c:pt idx="152">
                  <c:v>42222</c:v>
                </c:pt>
                <c:pt idx="153">
                  <c:v>42223</c:v>
                </c:pt>
                <c:pt idx="154">
                  <c:v>42226</c:v>
                </c:pt>
                <c:pt idx="155">
                  <c:v>42227</c:v>
                </c:pt>
                <c:pt idx="156">
                  <c:v>42228</c:v>
                </c:pt>
                <c:pt idx="157">
                  <c:v>42229</c:v>
                </c:pt>
                <c:pt idx="158">
                  <c:v>42230</c:v>
                </c:pt>
                <c:pt idx="159">
                  <c:v>42233</c:v>
                </c:pt>
                <c:pt idx="160">
                  <c:v>42234</c:v>
                </c:pt>
                <c:pt idx="161">
                  <c:v>42235</c:v>
                </c:pt>
                <c:pt idx="162">
                  <c:v>42236</c:v>
                </c:pt>
                <c:pt idx="163">
                  <c:v>42237</c:v>
                </c:pt>
                <c:pt idx="164">
                  <c:v>42240</c:v>
                </c:pt>
                <c:pt idx="165">
                  <c:v>42241</c:v>
                </c:pt>
                <c:pt idx="166">
                  <c:v>42242</c:v>
                </c:pt>
                <c:pt idx="167">
                  <c:v>42243</c:v>
                </c:pt>
                <c:pt idx="168">
                  <c:v>42244</c:v>
                </c:pt>
                <c:pt idx="169">
                  <c:v>42247</c:v>
                </c:pt>
                <c:pt idx="170">
                  <c:v>42248</c:v>
                </c:pt>
                <c:pt idx="171">
                  <c:v>42249</c:v>
                </c:pt>
                <c:pt idx="172">
                  <c:v>42250</c:v>
                </c:pt>
                <c:pt idx="173">
                  <c:v>42251</c:v>
                </c:pt>
                <c:pt idx="174">
                  <c:v>42254</c:v>
                </c:pt>
                <c:pt idx="175">
                  <c:v>42255</c:v>
                </c:pt>
                <c:pt idx="176">
                  <c:v>42256</c:v>
                </c:pt>
                <c:pt idx="177">
                  <c:v>42257</c:v>
                </c:pt>
                <c:pt idx="178">
                  <c:v>42258</c:v>
                </c:pt>
                <c:pt idx="179">
                  <c:v>42261</c:v>
                </c:pt>
                <c:pt idx="180">
                  <c:v>42262</c:v>
                </c:pt>
                <c:pt idx="181">
                  <c:v>42263</c:v>
                </c:pt>
                <c:pt idx="182">
                  <c:v>42264</c:v>
                </c:pt>
                <c:pt idx="183">
                  <c:v>42265</c:v>
                </c:pt>
                <c:pt idx="184">
                  <c:v>42268</c:v>
                </c:pt>
                <c:pt idx="185">
                  <c:v>42269</c:v>
                </c:pt>
                <c:pt idx="186">
                  <c:v>42270</c:v>
                </c:pt>
                <c:pt idx="187">
                  <c:v>42271</c:v>
                </c:pt>
                <c:pt idx="188">
                  <c:v>42272</c:v>
                </c:pt>
                <c:pt idx="189">
                  <c:v>42275</c:v>
                </c:pt>
                <c:pt idx="190">
                  <c:v>42276</c:v>
                </c:pt>
                <c:pt idx="191">
                  <c:v>42277</c:v>
                </c:pt>
                <c:pt idx="192">
                  <c:v>42278</c:v>
                </c:pt>
                <c:pt idx="193">
                  <c:v>42279</c:v>
                </c:pt>
                <c:pt idx="194">
                  <c:v>42282</c:v>
                </c:pt>
                <c:pt idx="195">
                  <c:v>42283</c:v>
                </c:pt>
                <c:pt idx="196">
                  <c:v>42284</c:v>
                </c:pt>
                <c:pt idx="197">
                  <c:v>42285</c:v>
                </c:pt>
                <c:pt idx="198">
                  <c:v>42286</c:v>
                </c:pt>
                <c:pt idx="199">
                  <c:v>42289</c:v>
                </c:pt>
                <c:pt idx="200">
                  <c:v>42290</c:v>
                </c:pt>
                <c:pt idx="201">
                  <c:v>42291</c:v>
                </c:pt>
                <c:pt idx="202">
                  <c:v>42292</c:v>
                </c:pt>
                <c:pt idx="203">
                  <c:v>42293</c:v>
                </c:pt>
                <c:pt idx="204">
                  <c:v>42296</c:v>
                </c:pt>
                <c:pt idx="205">
                  <c:v>42297</c:v>
                </c:pt>
                <c:pt idx="206">
                  <c:v>42298</c:v>
                </c:pt>
                <c:pt idx="207">
                  <c:v>42299</c:v>
                </c:pt>
                <c:pt idx="208">
                  <c:v>42300</c:v>
                </c:pt>
                <c:pt idx="209">
                  <c:v>42303</c:v>
                </c:pt>
                <c:pt idx="210">
                  <c:v>42304</c:v>
                </c:pt>
                <c:pt idx="211">
                  <c:v>42305</c:v>
                </c:pt>
                <c:pt idx="212">
                  <c:v>42306</c:v>
                </c:pt>
                <c:pt idx="213">
                  <c:v>42307</c:v>
                </c:pt>
                <c:pt idx="214">
                  <c:v>42310</c:v>
                </c:pt>
                <c:pt idx="215">
                  <c:v>42311</c:v>
                </c:pt>
                <c:pt idx="216">
                  <c:v>42312</c:v>
                </c:pt>
                <c:pt idx="217">
                  <c:v>42313</c:v>
                </c:pt>
                <c:pt idx="218">
                  <c:v>42314</c:v>
                </c:pt>
                <c:pt idx="219">
                  <c:v>42317</c:v>
                </c:pt>
                <c:pt idx="220">
                  <c:v>42318</c:v>
                </c:pt>
                <c:pt idx="221">
                  <c:v>42319</c:v>
                </c:pt>
                <c:pt idx="222">
                  <c:v>42320</c:v>
                </c:pt>
                <c:pt idx="223">
                  <c:v>42321</c:v>
                </c:pt>
                <c:pt idx="224">
                  <c:v>42324</c:v>
                </c:pt>
                <c:pt idx="225">
                  <c:v>42325</c:v>
                </c:pt>
                <c:pt idx="226">
                  <c:v>42326</c:v>
                </c:pt>
                <c:pt idx="227">
                  <c:v>42327</c:v>
                </c:pt>
                <c:pt idx="228">
                  <c:v>42328</c:v>
                </c:pt>
                <c:pt idx="229">
                  <c:v>42331</c:v>
                </c:pt>
                <c:pt idx="230">
                  <c:v>42332</c:v>
                </c:pt>
                <c:pt idx="231">
                  <c:v>42333</c:v>
                </c:pt>
                <c:pt idx="232">
                  <c:v>42334</c:v>
                </c:pt>
                <c:pt idx="233">
                  <c:v>42335</c:v>
                </c:pt>
                <c:pt idx="234">
                  <c:v>42338</c:v>
                </c:pt>
                <c:pt idx="235">
                  <c:v>42339</c:v>
                </c:pt>
                <c:pt idx="236">
                  <c:v>42340</c:v>
                </c:pt>
                <c:pt idx="237">
                  <c:v>42341</c:v>
                </c:pt>
                <c:pt idx="238">
                  <c:v>42342</c:v>
                </c:pt>
                <c:pt idx="239">
                  <c:v>42345</c:v>
                </c:pt>
                <c:pt idx="240">
                  <c:v>42346</c:v>
                </c:pt>
                <c:pt idx="241">
                  <c:v>42347</c:v>
                </c:pt>
                <c:pt idx="242">
                  <c:v>42348</c:v>
                </c:pt>
                <c:pt idx="243">
                  <c:v>42349</c:v>
                </c:pt>
                <c:pt idx="244">
                  <c:v>42352</c:v>
                </c:pt>
                <c:pt idx="245">
                  <c:v>42353</c:v>
                </c:pt>
                <c:pt idx="246">
                  <c:v>42354</c:v>
                </c:pt>
                <c:pt idx="247">
                  <c:v>42355</c:v>
                </c:pt>
                <c:pt idx="248">
                  <c:v>42356</c:v>
                </c:pt>
                <c:pt idx="249">
                  <c:v>42359</c:v>
                </c:pt>
                <c:pt idx="250">
                  <c:v>42360</c:v>
                </c:pt>
                <c:pt idx="251">
                  <c:v>42361</c:v>
                </c:pt>
                <c:pt idx="252">
                  <c:v>42362</c:v>
                </c:pt>
                <c:pt idx="253">
                  <c:v>42366</c:v>
                </c:pt>
                <c:pt idx="254">
                  <c:v>42367</c:v>
                </c:pt>
                <c:pt idx="255">
                  <c:v>42368</c:v>
                </c:pt>
                <c:pt idx="256">
                  <c:v>42369</c:v>
                </c:pt>
                <c:pt idx="257">
                  <c:v>42373</c:v>
                </c:pt>
                <c:pt idx="258">
                  <c:v>42374</c:v>
                </c:pt>
                <c:pt idx="259">
                  <c:v>42375</c:v>
                </c:pt>
                <c:pt idx="260">
                  <c:v>42376</c:v>
                </c:pt>
                <c:pt idx="261">
                  <c:v>42377</c:v>
                </c:pt>
                <c:pt idx="262">
                  <c:v>42380</c:v>
                </c:pt>
                <c:pt idx="263">
                  <c:v>42381</c:v>
                </c:pt>
                <c:pt idx="264">
                  <c:v>42382</c:v>
                </c:pt>
                <c:pt idx="265">
                  <c:v>42383</c:v>
                </c:pt>
                <c:pt idx="266">
                  <c:v>42384</c:v>
                </c:pt>
                <c:pt idx="267">
                  <c:v>42387</c:v>
                </c:pt>
                <c:pt idx="268">
                  <c:v>42388</c:v>
                </c:pt>
                <c:pt idx="269">
                  <c:v>42389</c:v>
                </c:pt>
                <c:pt idx="270">
                  <c:v>42390</c:v>
                </c:pt>
                <c:pt idx="271">
                  <c:v>42391</c:v>
                </c:pt>
                <c:pt idx="272">
                  <c:v>42394</c:v>
                </c:pt>
                <c:pt idx="273">
                  <c:v>42395</c:v>
                </c:pt>
                <c:pt idx="274">
                  <c:v>42396</c:v>
                </c:pt>
                <c:pt idx="275">
                  <c:v>42397</c:v>
                </c:pt>
                <c:pt idx="276">
                  <c:v>42398</c:v>
                </c:pt>
                <c:pt idx="277">
                  <c:v>42401</c:v>
                </c:pt>
                <c:pt idx="278">
                  <c:v>42402</c:v>
                </c:pt>
                <c:pt idx="279">
                  <c:v>42403</c:v>
                </c:pt>
                <c:pt idx="280">
                  <c:v>42404</c:v>
                </c:pt>
                <c:pt idx="281">
                  <c:v>42405</c:v>
                </c:pt>
                <c:pt idx="282">
                  <c:v>42408</c:v>
                </c:pt>
                <c:pt idx="283">
                  <c:v>42409</c:v>
                </c:pt>
                <c:pt idx="284">
                  <c:v>42410</c:v>
                </c:pt>
                <c:pt idx="285">
                  <c:v>42411</c:v>
                </c:pt>
                <c:pt idx="286">
                  <c:v>42412</c:v>
                </c:pt>
                <c:pt idx="287">
                  <c:v>42415</c:v>
                </c:pt>
                <c:pt idx="288">
                  <c:v>42416</c:v>
                </c:pt>
                <c:pt idx="289">
                  <c:v>42417</c:v>
                </c:pt>
                <c:pt idx="290">
                  <c:v>42418</c:v>
                </c:pt>
                <c:pt idx="291">
                  <c:v>42419</c:v>
                </c:pt>
                <c:pt idx="292">
                  <c:v>42422</c:v>
                </c:pt>
                <c:pt idx="293">
                  <c:v>42423</c:v>
                </c:pt>
                <c:pt idx="294">
                  <c:v>42424</c:v>
                </c:pt>
                <c:pt idx="295">
                  <c:v>42425</c:v>
                </c:pt>
                <c:pt idx="296">
                  <c:v>42426</c:v>
                </c:pt>
                <c:pt idx="297">
                  <c:v>42429</c:v>
                </c:pt>
                <c:pt idx="298">
                  <c:v>42430</c:v>
                </c:pt>
                <c:pt idx="299">
                  <c:v>42431</c:v>
                </c:pt>
                <c:pt idx="300">
                  <c:v>42432</c:v>
                </c:pt>
                <c:pt idx="301">
                  <c:v>42433</c:v>
                </c:pt>
                <c:pt idx="302">
                  <c:v>42436</c:v>
                </c:pt>
                <c:pt idx="303">
                  <c:v>42437</c:v>
                </c:pt>
                <c:pt idx="304">
                  <c:v>42438</c:v>
                </c:pt>
                <c:pt idx="305">
                  <c:v>42439</c:v>
                </c:pt>
                <c:pt idx="306">
                  <c:v>42440</c:v>
                </c:pt>
                <c:pt idx="307">
                  <c:v>42443</c:v>
                </c:pt>
                <c:pt idx="308">
                  <c:v>42444</c:v>
                </c:pt>
                <c:pt idx="309">
                  <c:v>42445</c:v>
                </c:pt>
                <c:pt idx="310">
                  <c:v>42446</c:v>
                </c:pt>
                <c:pt idx="311">
                  <c:v>42447</c:v>
                </c:pt>
                <c:pt idx="312">
                  <c:v>42450</c:v>
                </c:pt>
                <c:pt idx="313">
                  <c:v>42451</c:v>
                </c:pt>
                <c:pt idx="314">
                  <c:v>42452</c:v>
                </c:pt>
                <c:pt idx="315">
                  <c:v>42453</c:v>
                </c:pt>
                <c:pt idx="316">
                  <c:v>42458</c:v>
                </c:pt>
                <c:pt idx="317">
                  <c:v>42459</c:v>
                </c:pt>
                <c:pt idx="318">
                  <c:v>42460</c:v>
                </c:pt>
                <c:pt idx="319">
                  <c:v>42461</c:v>
                </c:pt>
                <c:pt idx="320">
                  <c:v>42464</c:v>
                </c:pt>
                <c:pt idx="321">
                  <c:v>42465</c:v>
                </c:pt>
                <c:pt idx="322">
                  <c:v>42466</c:v>
                </c:pt>
                <c:pt idx="323">
                  <c:v>42467</c:v>
                </c:pt>
                <c:pt idx="324">
                  <c:v>42468</c:v>
                </c:pt>
                <c:pt idx="325">
                  <c:v>42471</c:v>
                </c:pt>
                <c:pt idx="326">
                  <c:v>42472</c:v>
                </c:pt>
                <c:pt idx="327">
                  <c:v>42473</c:v>
                </c:pt>
                <c:pt idx="328">
                  <c:v>42474</c:v>
                </c:pt>
                <c:pt idx="329">
                  <c:v>42475</c:v>
                </c:pt>
                <c:pt idx="330">
                  <c:v>42478</c:v>
                </c:pt>
                <c:pt idx="331">
                  <c:v>42479</c:v>
                </c:pt>
                <c:pt idx="332">
                  <c:v>42480</c:v>
                </c:pt>
                <c:pt idx="333">
                  <c:v>42481</c:v>
                </c:pt>
                <c:pt idx="334">
                  <c:v>42482</c:v>
                </c:pt>
                <c:pt idx="335">
                  <c:v>42485</c:v>
                </c:pt>
                <c:pt idx="336">
                  <c:v>42486</c:v>
                </c:pt>
                <c:pt idx="337">
                  <c:v>42487</c:v>
                </c:pt>
                <c:pt idx="338">
                  <c:v>42488</c:v>
                </c:pt>
                <c:pt idx="339">
                  <c:v>42489</c:v>
                </c:pt>
                <c:pt idx="340">
                  <c:v>42492</c:v>
                </c:pt>
                <c:pt idx="341">
                  <c:v>42493</c:v>
                </c:pt>
                <c:pt idx="342">
                  <c:v>42494</c:v>
                </c:pt>
                <c:pt idx="343">
                  <c:v>42495</c:v>
                </c:pt>
                <c:pt idx="344">
                  <c:v>42496</c:v>
                </c:pt>
                <c:pt idx="345">
                  <c:v>42499</c:v>
                </c:pt>
                <c:pt idx="346">
                  <c:v>42500</c:v>
                </c:pt>
                <c:pt idx="347">
                  <c:v>42501</c:v>
                </c:pt>
                <c:pt idx="348">
                  <c:v>42502</c:v>
                </c:pt>
                <c:pt idx="349">
                  <c:v>42503</c:v>
                </c:pt>
                <c:pt idx="350">
                  <c:v>42506</c:v>
                </c:pt>
                <c:pt idx="351">
                  <c:v>42507</c:v>
                </c:pt>
                <c:pt idx="352">
                  <c:v>42508</c:v>
                </c:pt>
                <c:pt idx="353">
                  <c:v>42509</c:v>
                </c:pt>
                <c:pt idx="354">
                  <c:v>42510</c:v>
                </c:pt>
                <c:pt idx="355">
                  <c:v>42513</c:v>
                </c:pt>
                <c:pt idx="356">
                  <c:v>42514</c:v>
                </c:pt>
                <c:pt idx="357">
                  <c:v>42515</c:v>
                </c:pt>
                <c:pt idx="358">
                  <c:v>42516</c:v>
                </c:pt>
                <c:pt idx="359">
                  <c:v>42517</c:v>
                </c:pt>
                <c:pt idx="360">
                  <c:v>42520</c:v>
                </c:pt>
                <c:pt idx="361">
                  <c:v>42521</c:v>
                </c:pt>
                <c:pt idx="362">
                  <c:v>42522</c:v>
                </c:pt>
                <c:pt idx="363">
                  <c:v>42523</c:v>
                </c:pt>
                <c:pt idx="364">
                  <c:v>42524</c:v>
                </c:pt>
                <c:pt idx="365">
                  <c:v>42527</c:v>
                </c:pt>
                <c:pt idx="366">
                  <c:v>42528</c:v>
                </c:pt>
                <c:pt idx="367">
                  <c:v>42529</c:v>
                </c:pt>
                <c:pt idx="368">
                  <c:v>42530</c:v>
                </c:pt>
                <c:pt idx="369">
                  <c:v>42531</c:v>
                </c:pt>
                <c:pt idx="370">
                  <c:v>42534</c:v>
                </c:pt>
                <c:pt idx="371">
                  <c:v>42535</c:v>
                </c:pt>
                <c:pt idx="372">
                  <c:v>42536</c:v>
                </c:pt>
                <c:pt idx="373">
                  <c:v>42537</c:v>
                </c:pt>
                <c:pt idx="374">
                  <c:v>42538</c:v>
                </c:pt>
                <c:pt idx="375">
                  <c:v>42541</c:v>
                </c:pt>
                <c:pt idx="376">
                  <c:v>42542</c:v>
                </c:pt>
                <c:pt idx="377">
                  <c:v>42543</c:v>
                </c:pt>
                <c:pt idx="378">
                  <c:v>42544</c:v>
                </c:pt>
                <c:pt idx="379">
                  <c:v>42545</c:v>
                </c:pt>
                <c:pt idx="380">
                  <c:v>42548</c:v>
                </c:pt>
                <c:pt idx="381">
                  <c:v>42549</c:v>
                </c:pt>
                <c:pt idx="382">
                  <c:v>42550</c:v>
                </c:pt>
                <c:pt idx="383">
                  <c:v>42551</c:v>
                </c:pt>
                <c:pt idx="384">
                  <c:v>42552</c:v>
                </c:pt>
                <c:pt idx="385">
                  <c:v>42555</c:v>
                </c:pt>
                <c:pt idx="386">
                  <c:v>42556</c:v>
                </c:pt>
                <c:pt idx="387">
                  <c:v>42557</c:v>
                </c:pt>
                <c:pt idx="388">
                  <c:v>42558</c:v>
                </c:pt>
                <c:pt idx="389">
                  <c:v>42559</c:v>
                </c:pt>
                <c:pt idx="390">
                  <c:v>42562</c:v>
                </c:pt>
                <c:pt idx="391">
                  <c:v>42563</c:v>
                </c:pt>
                <c:pt idx="392">
                  <c:v>42564</c:v>
                </c:pt>
                <c:pt idx="393">
                  <c:v>42565</c:v>
                </c:pt>
                <c:pt idx="394">
                  <c:v>42566</c:v>
                </c:pt>
                <c:pt idx="395">
                  <c:v>42569</c:v>
                </c:pt>
                <c:pt idx="396">
                  <c:v>42570</c:v>
                </c:pt>
                <c:pt idx="397">
                  <c:v>42571</c:v>
                </c:pt>
                <c:pt idx="398">
                  <c:v>42572</c:v>
                </c:pt>
                <c:pt idx="399">
                  <c:v>42573</c:v>
                </c:pt>
                <c:pt idx="400">
                  <c:v>42576</c:v>
                </c:pt>
                <c:pt idx="401">
                  <c:v>42577</c:v>
                </c:pt>
                <c:pt idx="402">
                  <c:v>42578</c:v>
                </c:pt>
                <c:pt idx="403">
                  <c:v>42579</c:v>
                </c:pt>
                <c:pt idx="404">
                  <c:v>42580</c:v>
                </c:pt>
                <c:pt idx="405">
                  <c:v>42583</c:v>
                </c:pt>
                <c:pt idx="406">
                  <c:v>42584</c:v>
                </c:pt>
                <c:pt idx="407">
                  <c:v>42585</c:v>
                </c:pt>
                <c:pt idx="408">
                  <c:v>42586</c:v>
                </c:pt>
                <c:pt idx="409">
                  <c:v>42587</c:v>
                </c:pt>
                <c:pt idx="410">
                  <c:v>42590</c:v>
                </c:pt>
                <c:pt idx="411">
                  <c:v>42591</c:v>
                </c:pt>
                <c:pt idx="412">
                  <c:v>42592</c:v>
                </c:pt>
                <c:pt idx="413">
                  <c:v>42593</c:v>
                </c:pt>
                <c:pt idx="414">
                  <c:v>42594</c:v>
                </c:pt>
                <c:pt idx="415">
                  <c:v>42597</c:v>
                </c:pt>
                <c:pt idx="416">
                  <c:v>42598</c:v>
                </c:pt>
                <c:pt idx="417">
                  <c:v>42599</c:v>
                </c:pt>
                <c:pt idx="418">
                  <c:v>42600</c:v>
                </c:pt>
                <c:pt idx="419">
                  <c:v>42601</c:v>
                </c:pt>
                <c:pt idx="420">
                  <c:v>42604</c:v>
                </c:pt>
                <c:pt idx="421">
                  <c:v>42605</c:v>
                </c:pt>
                <c:pt idx="422">
                  <c:v>42606</c:v>
                </c:pt>
                <c:pt idx="423">
                  <c:v>42607</c:v>
                </c:pt>
                <c:pt idx="424">
                  <c:v>42608</c:v>
                </c:pt>
                <c:pt idx="425">
                  <c:v>42611</c:v>
                </c:pt>
                <c:pt idx="426">
                  <c:v>42612</c:v>
                </c:pt>
                <c:pt idx="427">
                  <c:v>42613</c:v>
                </c:pt>
                <c:pt idx="428">
                  <c:v>42614</c:v>
                </c:pt>
                <c:pt idx="429">
                  <c:v>42615</c:v>
                </c:pt>
                <c:pt idx="430">
                  <c:v>42618</c:v>
                </c:pt>
                <c:pt idx="431">
                  <c:v>42619</c:v>
                </c:pt>
                <c:pt idx="432">
                  <c:v>42620</c:v>
                </c:pt>
                <c:pt idx="433">
                  <c:v>42621</c:v>
                </c:pt>
                <c:pt idx="434">
                  <c:v>42622</c:v>
                </c:pt>
                <c:pt idx="435">
                  <c:v>42625</c:v>
                </c:pt>
                <c:pt idx="436">
                  <c:v>42626</c:v>
                </c:pt>
                <c:pt idx="437">
                  <c:v>42627</c:v>
                </c:pt>
                <c:pt idx="438">
                  <c:v>42628</c:v>
                </c:pt>
                <c:pt idx="439">
                  <c:v>42629</c:v>
                </c:pt>
                <c:pt idx="440">
                  <c:v>42632</c:v>
                </c:pt>
                <c:pt idx="441">
                  <c:v>42633</c:v>
                </c:pt>
                <c:pt idx="442">
                  <c:v>42634</c:v>
                </c:pt>
                <c:pt idx="443">
                  <c:v>42635</c:v>
                </c:pt>
                <c:pt idx="444">
                  <c:v>42636</c:v>
                </c:pt>
                <c:pt idx="445">
                  <c:v>42639</c:v>
                </c:pt>
                <c:pt idx="446">
                  <c:v>42640</c:v>
                </c:pt>
                <c:pt idx="447">
                  <c:v>42641</c:v>
                </c:pt>
                <c:pt idx="448">
                  <c:v>42642</c:v>
                </c:pt>
                <c:pt idx="449">
                  <c:v>42643</c:v>
                </c:pt>
                <c:pt idx="450">
                  <c:v>42646</c:v>
                </c:pt>
                <c:pt idx="451">
                  <c:v>42647</c:v>
                </c:pt>
                <c:pt idx="452">
                  <c:v>42648</c:v>
                </c:pt>
                <c:pt idx="453">
                  <c:v>42649</c:v>
                </c:pt>
                <c:pt idx="454">
                  <c:v>42650</c:v>
                </c:pt>
                <c:pt idx="455">
                  <c:v>42653</c:v>
                </c:pt>
                <c:pt idx="456">
                  <c:v>42654</c:v>
                </c:pt>
                <c:pt idx="457">
                  <c:v>42655</c:v>
                </c:pt>
                <c:pt idx="458">
                  <c:v>42656</c:v>
                </c:pt>
                <c:pt idx="459">
                  <c:v>42657</c:v>
                </c:pt>
                <c:pt idx="460">
                  <c:v>42660</c:v>
                </c:pt>
                <c:pt idx="461">
                  <c:v>42661</c:v>
                </c:pt>
                <c:pt idx="462">
                  <c:v>42662</c:v>
                </c:pt>
                <c:pt idx="463">
                  <c:v>42663</c:v>
                </c:pt>
                <c:pt idx="464">
                  <c:v>42664</c:v>
                </c:pt>
                <c:pt idx="465">
                  <c:v>42667</c:v>
                </c:pt>
                <c:pt idx="466">
                  <c:v>42668</c:v>
                </c:pt>
                <c:pt idx="467">
                  <c:v>42669</c:v>
                </c:pt>
                <c:pt idx="468">
                  <c:v>42670</c:v>
                </c:pt>
                <c:pt idx="469">
                  <c:v>42671</c:v>
                </c:pt>
                <c:pt idx="470">
                  <c:v>42674</c:v>
                </c:pt>
                <c:pt idx="471">
                  <c:v>42675</c:v>
                </c:pt>
                <c:pt idx="472">
                  <c:v>42676</c:v>
                </c:pt>
                <c:pt idx="473">
                  <c:v>42677</c:v>
                </c:pt>
                <c:pt idx="474">
                  <c:v>42678</c:v>
                </c:pt>
                <c:pt idx="475">
                  <c:v>42681</c:v>
                </c:pt>
                <c:pt idx="476">
                  <c:v>42682</c:v>
                </c:pt>
                <c:pt idx="477">
                  <c:v>42683</c:v>
                </c:pt>
                <c:pt idx="478">
                  <c:v>42684</c:v>
                </c:pt>
                <c:pt idx="479">
                  <c:v>42685</c:v>
                </c:pt>
                <c:pt idx="480">
                  <c:v>42688</c:v>
                </c:pt>
                <c:pt idx="481">
                  <c:v>42689</c:v>
                </c:pt>
                <c:pt idx="482">
                  <c:v>42690</c:v>
                </c:pt>
                <c:pt idx="483">
                  <c:v>42691</c:v>
                </c:pt>
                <c:pt idx="484">
                  <c:v>42692</c:v>
                </c:pt>
                <c:pt idx="485">
                  <c:v>42695</c:v>
                </c:pt>
                <c:pt idx="486">
                  <c:v>42696</c:v>
                </c:pt>
                <c:pt idx="487">
                  <c:v>42697</c:v>
                </c:pt>
                <c:pt idx="488">
                  <c:v>42698</c:v>
                </c:pt>
                <c:pt idx="489">
                  <c:v>42699</c:v>
                </c:pt>
                <c:pt idx="490">
                  <c:v>42702</c:v>
                </c:pt>
                <c:pt idx="491">
                  <c:v>42703</c:v>
                </c:pt>
                <c:pt idx="492">
                  <c:v>42704</c:v>
                </c:pt>
                <c:pt idx="493">
                  <c:v>42705</c:v>
                </c:pt>
                <c:pt idx="494">
                  <c:v>42706</c:v>
                </c:pt>
                <c:pt idx="495">
                  <c:v>42709</c:v>
                </c:pt>
                <c:pt idx="496">
                  <c:v>42710</c:v>
                </c:pt>
                <c:pt idx="497">
                  <c:v>42711</c:v>
                </c:pt>
                <c:pt idx="498">
                  <c:v>42712</c:v>
                </c:pt>
                <c:pt idx="499">
                  <c:v>42713</c:v>
                </c:pt>
                <c:pt idx="500">
                  <c:v>42716</c:v>
                </c:pt>
                <c:pt idx="501">
                  <c:v>42717</c:v>
                </c:pt>
                <c:pt idx="502">
                  <c:v>42718</c:v>
                </c:pt>
                <c:pt idx="503">
                  <c:v>42719</c:v>
                </c:pt>
                <c:pt idx="504">
                  <c:v>42720</c:v>
                </c:pt>
                <c:pt idx="505">
                  <c:v>42723</c:v>
                </c:pt>
                <c:pt idx="506">
                  <c:v>42724</c:v>
                </c:pt>
                <c:pt idx="507">
                  <c:v>42725</c:v>
                </c:pt>
                <c:pt idx="508">
                  <c:v>42726</c:v>
                </c:pt>
                <c:pt idx="509">
                  <c:v>42727</c:v>
                </c:pt>
                <c:pt idx="510">
                  <c:v>42731</c:v>
                </c:pt>
                <c:pt idx="511">
                  <c:v>42732</c:v>
                </c:pt>
                <c:pt idx="512">
                  <c:v>42733</c:v>
                </c:pt>
                <c:pt idx="513">
                  <c:v>42734</c:v>
                </c:pt>
                <c:pt idx="514">
                  <c:v>42737</c:v>
                </c:pt>
                <c:pt idx="515">
                  <c:v>42738</c:v>
                </c:pt>
                <c:pt idx="516">
                  <c:v>42739</c:v>
                </c:pt>
                <c:pt idx="517">
                  <c:v>42740</c:v>
                </c:pt>
                <c:pt idx="518">
                  <c:v>42741</c:v>
                </c:pt>
                <c:pt idx="519">
                  <c:v>42744</c:v>
                </c:pt>
                <c:pt idx="520">
                  <c:v>42745</c:v>
                </c:pt>
                <c:pt idx="521">
                  <c:v>42746</c:v>
                </c:pt>
                <c:pt idx="522">
                  <c:v>42747</c:v>
                </c:pt>
                <c:pt idx="523">
                  <c:v>42748</c:v>
                </c:pt>
                <c:pt idx="524">
                  <c:v>42751</c:v>
                </c:pt>
                <c:pt idx="525">
                  <c:v>42752</c:v>
                </c:pt>
                <c:pt idx="526">
                  <c:v>42753</c:v>
                </c:pt>
                <c:pt idx="527">
                  <c:v>42754</c:v>
                </c:pt>
                <c:pt idx="528">
                  <c:v>42755</c:v>
                </c:pt>
                <c:pt idx="529">
                  <c:v>42758</c:v>
                </c:pt>
                <c:pt idx="530">
                  <c:v>42759</c:v>
                </c:pt>
                <c:pt idx="531">
                  <c:v>42760</c:v>
                </c:pt>
                <c:pt idx="532">
                  <c:v>42761</c:v>
                </c:pt>
                <c:pt idx="533">
                  <c:v>42762</c:v>
                </c:pt>
                <c:pt idx="534">
                  <c:v>42765</c:v>
                </c:pt>
                <c:pt idx="535">
                  <c:v>42766</c:v>
                </c:pt>
                <c:pt idx="536">
                  <c:v>42767</c:v>
                </c:pt>
                <c:pt idx="537">
                  <c:v>42768</c:v>
                </c:pt>
                <c:pt idx="538">
                  <c:v>42769</c:v>
                </c:pt>
                <c:pt idx="539">
                  <c:v>42772</c:v>
                </c:pt>
                <c:pt idx="540">
                  <c:v>42773</c:v>
                </c:pt>
                <c:pt idx="541">
                  <c:v>42774</c:v>
                </c:pt>
                <c:pt idx="542">
                  <c:v>42775</c:v>
                </c:pt>
                <c:pt idx="543">
                  <c:v>42776</c:v>
                </c:pt>
                <c:pt idx="544">
                  <c:v>42779</c:v>
                </c:pt>
                <c:pt idx="545">
                  <c:v>42780</c:v>
                </c:pt>
                <c:pt idx="546">
                  <c:v>42781</c:v>
                </c:pt>
                <c:pt idx="547">
                  <c:v>42782</c:v>
                </c:pt>
                <c:pt idx="548">
                  <c:v>42783</c:v>
                </c:pt>
                <c:pt idx="549">
                  <c:v>42786</c:v>
                </c:pt>
                <c:pt idx="550">
                  <c:v>42787</c:v>
                </c:pt>
                <c:pt idx="551">
                  <c:v>42788</c:v>
                </c:pt>
                <c:pt idx="552">
                  <c:v>42789</c:v>
                </c:pt>
                <c:pt idx="553">
                  <c:v>42790</c:v>
                </c:pt>
                <c:pt idx="554">
                  <c:v>42793</c:v>
                </c:pt>
                <c:pt idx="555">
                  <c:v>42794</c:v>
                </c:pt>
                <c:pt idx="556">
                  <c:v>42795</c:v>
                </c:pt>
                <c:pt idx="557">
                  <c:v>42796</c:v>
                </c:pt>
                <c:pt idx="558">
                  <c:v>42797</c:v>
                </c:pt>
                <c:pt idx="559">
                  <c:v>42800</c:v>
                </c:pt>
                <c:pt idx="560">
                  <c:v>42801</c:v>
                </c:pt>
                <c:pt idx="561">
                  <c:v>42802</c:v>
                </c:pt>
                <c:pt idx="562">
                  <c:v>42803</c:v>
                </c:pt>
                <c:pt idx="563">
                  <c:v>42804</c:v>
                </c:pt>
                <c:pt idx="564">
                  <c:v>42807</c:v>
                </c:pt>
                <c:pt idx="565">
                  <c:v>42808</c:v>
                </c:pt>
                <c:pt idx="566">
                  <c:v>42809</c:v>
                </c:pt>
                <c:pt idx="567">
                  <c:v>42810</c:v>
                </c:pt>
                <c:pt idx="568">
                  <c:v>42811</c:v>
                </c:pt>
                <c:pt idx="569">
                  <c:v>42814</c:v>
                </c:pt>
                <c:pt idx="570">
                  <c:v>42815</c:v>
                </c:pt>
                <c:pt idx="571">
                  <c:v>42816</c:v>
                </c:pt>
                <c:pt idx="572">
                  <c:v>42817</c:v>
                </c:pt>
                <c:pt idx="573">
                  <c:v>42818</c:v>
                </c:pt>
                <c:pt idx="574">
                  <c:v>42821</c:v>
                </c:pt>
                <c:pt idx="575">
                  <c:v>42822</c:v>
                </c:pt>
                <c:pt idx="576">
                  <c:v>42823</c:v>
                </c:pt>
                <c:pt idx="577">
                  <c:v>42824</c:v>
                </c:pt>
                <c:pt idx="578">
                  <c:v>42825</c:v>
                </c:pt>
                <c:pt idx="579">
                  <c:v>42828</c:v>
                </c:pt>
                <c:pt idx="580">
                  <c:v>42829</c:v>
                </c:pt>
                <c:pt idx="581">
                  <c:v>42830</c:v>
                </c:pt>
                <c:pt idx="582">
                  <c:v>42831</c:v>
                </c:pt>
                <c:pt idx="583">
                  <c:v>42832</c:v>
                </c:pt>
                <c:pt idx="584">
                  <c:v>42835</c:v>
                </c:pt>
                <c:pt idx="585">
                  <c:v>42836</c:v>
                </c:pt>
                <c:pt idx="586">
                  <c:v>42837</c:v>
                </c:pt>
                <c:pt idx="587">
                  <c:v>42838</c:v>
                </c:pt>
                <c:pt idx="588">
                  <c:v>42843</c:v>
                </c:pt>
                <c:pt idx="589">
                  <c:v>42844</c:v>
                </c:pt>
                <c:pt idx="590">
                  <c:v>42845</c:v>
                </c:pt>
                <c:pt idx="591">
                  <c:v>42846</c:v>
                </c:pt>
                <c:pt idx="592">
                  <c:v>42849</c:v>
                </c:pt>
                <c:pt idx="593">
                  <c:v>42850</c:v>
                </c:pt>
                <c:pt idx="594">
                  <c:v>42851</c:v>
                </c:pt>
                <c:pt idx="595">
                  <c:v>42852</c:v>
                </c:pt>
                <c:pt idx="596">
                  <c:v>42853</c:v>
                </c:pt>
                <c:pt idx="597">
                  <c:v>42856</c:v>
                </c:pt>
                <c:pt idx="598">
                  <c:v>42857</c:v>
                </c:pt>
                <c:pt idx="599">
                  <c:v>42858</c:v>
                </c:pt>
                <c:pt idx="600">
                  <c:v>42859</c:v>
                </c:pt>
                <c:pt idx="601">
                  <c:v>42860</c:v>
                </c:pt>
                <c:pt idx="602">
                  <c:v>42863</c:v>
                </c:pt>
                <c:pt idx="603">
                  <c:v>42864</c:v>
                </c:pt>
                <c:pt idx="604">
                  <c:v>42865</c:v>
                </c:pt>
                <c:pt idx="605">
                  <c:v>42866</c:v>
                </c:pt>
                <c:pt idx="606">
                  <c:v>42867</c:v>
                </c:pt>
                <c:pt idx="607">
                  <c:v>42870</c:v>
                </c:pt>
                <c:pt idx="608">
                  <c:v>42871</c:v>
                </c:pt>
                <c:pt idx="609">
                  <c:v>42872</c:v>
                </c:pt>
                <c:pt idx="610">
                  <c:v>42873</c:v>
                </c:pt>
                <c:pt idx="611">
                  <c:v>42874</c:v>
                </c:pt>
                <c:pt idx="612">
                  <c:v>42877</c:v>
                </c:pt>
                <c:pt idx="613">
                  <c:v>42878</c:v>
                </c:pt>
                <c:pt idx="614">
                  <c:v>42879</c:v>
                </c:pt>
                <c:pt idx="615">
                  <c:v>42880</c:v>
                </c:pt>
                <c:pt idx="616">
                  <c:v>42881</c:v>
                </c:pt>
                <c:pt idx="617">
                  <c:v>42884</c:v>
                </c:pt>
                <c:pt idx="618">
                  <c:v>42885</c:v>
                </c:pt>
                <c:pt idx="619">
                  <c:v>42886</c:v>
                </c:pt>
                <c:pt idx="620">
                  <c:v>42887</c:v>
                </c:pt>
                <c:pt idx="621">
                  <c:v>42888</c:v>
                </c:pt>
                <c:pt idx="622">
                  <c:v>42891</c:v>
                </c:pt>
                <c:pt idx="623">
                  <c:v>42892</c:v>
                </c:pt>
                <c:pt idx="624">
                  <c:v>42893</c:v>
                </c:pt>
                <c:pt idx="625">
                  <c:v>42894</c:v>
                </c:pt>
                <c:pt idx="626">
                  <c:v>42895</c:v>
                </c:pt>
                <c:pt idx="627">
                  <c:v>42898</c:v>
                </c:pt>
                <c:pt idx="628">
                  <c:v>42899</c:v>
                </c:pt>
                <c:pt idx="629">
                  <c:v>42900</c:v>
                </c:pt>
                <c:pt idx="630">
                  <c:v>42901</c:v>
                </c:pt>
                <c:pt idx="631">
                  <c:v>42902</c:v>
                </c:pt>
                <c:pt idx="632">
                  <c:v>42905</c:v>
                </c:pt>
                <c:pt idx="633">
                  <c:v>42906</c:v>
                </c:pt>
                <c:pt idx="634">
                  <c:v>42907</c:v>
                </c:pt>
                <c:pt idx="635">
                  <c:v>42908</c:v>
                </c:pt>
                <c:pt idx="636">
                  <c:v>42909</c:v>
                </c:pt>
                <c:pt idx="637">
                  <c:v>42912</c:v>
                </c:pt>
                <c:pt idx="638">
                  <c:v>42913</c:v>
                </c:pt>
                <c:pt idx="639">
                  <c:v>42914</c:v>
                </c:pt>
                <c:pt idx="640">
                  <c:v>42915</c:v>
                </c:pt>
                <c:pt idx="641">
                  <c:v>42916</c:v>
                </c:pt>
                <c:pt idx="642">
                  <c:v>42919</c:v>
                </c:pt>
                <c:pt idx="643">
                  <c:v>42920</c:v>
                </c:pt>
                <c:pt idx="644">
                  <c:v>42921</c:v>
                </c:pt>
                <c:pt idx="645">
                  <c:v>42922</c:v>
                </c:pt>
                <c:pt idx="646">
                  <c:v>42923</c:v>
                </c:pt>
                <c:pt idx="647">
                  <c:v>42926</c:v>
                </c:pt>
                <c:pt idx="648">
                  <c:v>42927</c:v>
                </c:pt>
                <c:pt idx="649">
                  <c:v>42928</c:v>
                </c:pt>
                <c:pt idx="650">
                  <c:v>42929</c:v>
                </c:pt>
                <c:pt idx="651">
                  <c:v>42930</c:v>
                </c:pt>
                <c:pt idx="652">
                  <c:v>42933</c:v>
                </c:pt>
                <c:pt idx="653">
                  <c:v>42934</c:v>
                </c:pt>
                <c:pt idx="654">
                  <c:v>42935</c:v>
                </c:pt>
                <c:pt idx="655">
                  <c:v>42936</c:v>
                </c:pt>
                <c:pt idx="656">
                  <c:v>42937</c:v>
                </c:pt>
                <c:pt idx="657">
                  <c:v>42940</c:v>
                </c:pt>
                <c:pt idx="658">
                  <c:v>42941</c:v>
                </c:pt>
                <c:pt idx="659">
                  <c:v>42942</c:v>
                </c:pt>
                <c:pt idx="660">
                  <c:v>42943</c:v>
                </c:pt>
                <c:pt idx="661">
                  <c:v>42944</c:v>
                </c:pt>
                <c:pt idx="662">
                  <c:v>42947</c:v>
                </c:pt>
                <c:pt idx="663">
                  <c:v>42948</c:v>
                </c:pt>
                <c:pt idx="664">
                  <c:v>42949</c:v>
                </c:pt>
                <c:pt idx="665">
                  <c:v>42950</c:v>
                </c:pt>
                <c:pt idx="666">
                  <c:v>42951</c:v>
                </c:pt>
                <c:pt idx="667">
                  <c:v>42954</c:v>
                </c:pt>
                <c:pt idx="668">
                  <c:v>42955</c:v>
                </c:pt>
                <c:pt idx="669">
                  <c:v>42956</c:v>
                </c:pt>
                <c:pt idx="670">
                  <c:v>42957</c:v>
                </c:pt>
                <c:pt idx="671">
                  <c:v>42958</c:v>
                </c:pt>
                <c:pt idx="672">
                  <c:v>42961</c:v>
                </c:pt>
                <c:pt idx="673">
                  <c:v>42962</c:v>
                </c:pt>
                <c:pt idx="674">
                  <c:v>42963</c:v>
                </c:pt>
                <c:pt idx="675">
                  <c:v>42964</c:v>
                </c:pt>
                <c:pt idx="676">
                  <c:v>42965</c:v>
                </c:pt>
                <c:pt idx="677">
                  <c:v>42968</c:v>
                </c:pt>
                <c:pt idx="678">
                  <c:v>42969</c:v>
                </c:pt>
                <c:pt idx="679">
                  <c:v>42970</c:v>
                </c:pt>
                <c:pt idx="680">
                  <c:v>42971</c:v>
                </c:pt>
                <c:pt idx="681">
                  <c:v>42972</c:v>
                </c:pt>
                <c:pt idx="682">
                  <c:v>42975</c:v>
                </c:pt>
                <c:pt idx="683">
                  <c:v>42976</c:v>
                </c:pt>
                <c:pt idx="684">
                  <c:v>42977</c:v>
                </c:pt>
                <c:pt idx="685">
                  <c:v>42978</c:v>
                </c:pt>
                <c:pt idx="686">
                  <c:v>42979</c:v>
                </c:pt>
                <c:pt idx="687">
                  <c:v>42982</c:v>
                </c:pt>
                <c:pt idx="688">
                  <c:v>42983</c:v>
                </c:pt>
                <c:pt idx="689">
                  <c:v>42984</c:v>
                </c:pt>
                <c:pt idx="690">
                  <c:v>42985</c:v>
                </c:pt>
                <c:pt idx="691">
                  <c:v>42986</c:v>
                </c:pt>
                <c:pt idx="692">
                  <c:v>42989</c:v>
                </c:pt>
                <c:pt idx="693">
                  <c:v>42990</c:v>
                </c:pt>
                <c:pt idx="694">
                  <c:v>42991</c:v>
                </c:pt>
                <c:pt idx="695">
                  <c:v>42992</c:v>
                </c:pt>
                <c:pt idx="696">
                  <c:v>42993</c:v>
                </c:pt>
                <c:pt idx="697">
                  <c:v>42996</c:v>
                </c:pt>
                <c:pt idx="698">
                  <c:v>42997</c:v>
                </c:pt>
                <c:pt idx="699">
                  <c:v>42998</c:v>
                </c:pt>
                <c:pt idx="700">
                  <c:v>42999</c:v>
                </c:pt>
                <c:pt idx="701">
                  <c:v>43000</c:v>
                </c:pt>
                <c:pt idx="702">
                  <c:v>43003</c:v>
                </c:pt>
                <c:pt idx="703">
                  <c:v>43004</c:v>
                </c:pt>
                <c:pt idx="704">
                  <c:v>43005</c:v>
                </c:pt>
                <c:pt idx="705">
                  <c:v>43006</c:v>
                </c:pt>
                <c:pt idx="706">
                  <c:v>43007</c:v>
                </c:pt>
                <c:pt idx="707">
                  <c:v>43010</c:v>
                </c:pt>
                <c:pt idx="708">
                  <c:v>43011</c:v>
                </c:pt>
                <c:pt idx="709">
                  <c:v>43012</c:v>
                </c:pt>
                <c:pt idx="710">
                  <c:v>43013</c:v>
                </c:pt>
                <c:pt idx="711">
                  <c:v>43014</c:v>
                </c:pt>
                <c:pt idx="712">
                  <c:v>43017</c:v>
                </c:pt>
                <c:pt idx="713">
                  <c:v>43018</c:v>
                </c:pt>
                <c:pt idx="714">
                  <c:v>43019</c:v>
                </c:pt>
                <c:pt idx="715">
                  <c:v>43020</c:v>
                </c:pt>
                <c:pt idx="716">
                  <c:v>43021</c:v>
                </c:pt>
                <c:pt idx="717">
                  <c:v>43024</c:v>
                </c:pt>
                <c:pt idx="718">
                  <c:v>43025</c:v>
                </c:pt>
                <c:pt idx="719">
                  <c:v>43026</c:v>
                </c:pt>
                <c:pt idx="720">
                  <c:v>43027</c:v>
                </c:pt>
                <c:pt idx="721">
                  <c:v>43028</c:v>
                </c:pt>
                <c:pt idx="722">
                  <c:v>43031</c:v>
                </c:pt>
                <c:pt idx="723">
                  <c:v>43032</c:v>
                </c:pt>
                <c:pt idx="724">
                  <c:v>43033</c:v>
                </c:pt>
                <c:pt idx="725">
                  <c:v>43034</c:v>
                </c:pt>
                <c:pt idx="726">
                  <c:v>43035</c:v>
                </c:pt>
                <c:pt idx="727">
                  <c:v>43038</c:v>
                </c:pt>
                <c:pt idx="728">
                  <c:v>43039</c:v>
                </c:pt>
                <c:pt idx="729">
                  <c:v>43040</c:v>
                </c:pt>
                <c:pt idx="730">
                  <c:v>43041</c:v>
                </c:pt>
                <c:pt idx="731">
                  <c:v>43042</c:v>
                </c:pt>
                <c:pt idx="732">
                  <c:v>43045</c:v>
                </c:pt>
                <c:pt idx="733">
                  <c:v>43046</c:v>
                </c:pt>
                <c:pt idx="734">
                  <c:v>43047</c:v>
                </c:pt>
                <c:pt idx="735">
                  <c:v>43048</c:v>
                </c:pt>
                <c:pt idx="736">
                  <c:v>43049</c:v>
                </c:pt>
                <c:pt idx="737">
                  <c:v>43052</c:v>
                </c:pt>
                <c:pt idx="738">
                  <c:v>43053</c:v>
                </c:pt>
                <c:pt idx="739">
                  <c:v>43054</c:v>
                </c:pt>
                <c:pt idx="740">
                  <c:v>43055</c:v>
                </c:pt>
                <c:pt idx="741">
                  <c:v>43056</c:v>
                </c:pt>
                <c:pt idx="742">
                  <c:v>43059</c:v>
                </c:pt>
                <c:pt idx="743">
                  <c:v>43060</c:v>
                </c:pt>
                <c:pt idx="744">
                  <c:v>43061</c:v>
                </c:pt>
                <c:pt idx="745">
                  <c:v>43062</c:v>
                </c:pt>
                <c:pt idx="746">
                  <c:v>43063</c:v>
                </c:pt>
                <c:pt idx="747">
                  <c:v>43066</c:v>
                </c:pt>
                <c:pt idx="748">
                  <c:v>43067</c:v>
                </c:pt>
                <c:pt idx="749">
                  <c:v>43068</c:v>
                </c:pt>
                <c:pt idx="750">
                  <c:v>43069</c:v>
                </c:pt>
                <c:pt idx="751">
                  <c:v>43070</c:v>
                </c:pt>
                <c:pt idx="752">
                  <c:v>43073</c:v>
                </c:pt>
                <c:pt idx="753">
                  <c:v>43074</c:v>
                </c:pt>
                <c:pt idx="754">
                  <c:v>43075</c:v>
                </c:pt>
                <c:pt idx="755">
                  <c:v>43076</c:v>
                </c:pt>
                <c:pt idx="756">
                  <c:v>43077</c:v>
                </c:pt>
                <c:pt idx="757">
                  <c:v>43080</c:v>
                </c:pt>
                <c:pt idx="758">
                  <c:v>43081</c:v>
                </c:pt>
                <c:pt idx="759">
                  <c:v>43082</c:v>
                </c:pt>
                <c:pt idx="760">
                  <c:v>43083</c:v>
                </c:pt>
                <c:pt idx="761">
                  <c:v>43084</c:v>
                </c:pt>
                <c:pt idx="762">
                  <c:v>43087</c:v>
                </c:pt>
                <c:pt idx="763">
                  <c:v>43088</c:v>
                </c:pt>
                <c:pt idx="764">
                  <c:v>43089</c:v>
                </c:pt>
                <c:pt idx="765">
                  <c:v>43090</c:v>
                </c:pt>
                <c:pt idx="766">
                  <c:v>43091</c:v>
                </c:pt>
                <c:pt idx="767">
                  <c:v>43096</c:v>
                </c:pt>
                <c:pt idx="768">
                  <c:v>43097</c:v>
                </c:pt>
                <c:pt idx="769">
                  <c:v>43098</c:v>
                </c:pt>
                <c:pt idx="770">
                  <c:v>43102</c:v>
                </c:pt>
                <c:pt idx="771">
                  <c:v>43103</c:v>
                </c:pt>
                <c:pt idx="772">
                  <c:v>43104</c:v>
                </c:pt>
                <c:pt idx="773">
                  <c:v>43105</c:v>
                </c:pt>
                <c:pt idx="774">
                  <c:v>43108</c:v>
                </c:pt>
                <c:pt idx="775">
                  <c:v>43109</c:v>
                </c:pt>
                <c:pt idx="776">
                  <c:v>43110</c:v>
                </c:pt>
                <c:pt idx="777">
                  <c:v>43111</c:v>
                </c:pt>
                <c:pt idx="778">
                  <c:v>43112</c:v>
                </c:pt>
                <c:pt idx="779">
                  <c:v>43115</c:v>
                </c:pt>
                <c:pt idx="780">
                  <c:v>43116</c:v>
                </c:pt>
                <c:pt idx="781">
                  <c:v>43117</c:v>
                </c:pt>
                <c:pt idx="782">
                  <c:v>43118</c:v>
                </c:pt>
                <c:pt idx="783">
                  <c:v>43119</c:v>
                </c:pt>
                <c:pt idx="784">
                  <c:v>43122</c:v>
                </c:pt>
                <c:pt idx="785">
                  <c:v>43123</c:v>
                </c:pt>
                <c:pt idx="786">
                  <c:v>43124</c:v>
                </c:pt>
                <c:pt idx="787">
                  <c:v>43125</c:v>
                </c:pt>
                <c:pt idx="788">
                  <c:v>43126</c:v>
                </c:pt>
                <c:pt idx="789">
                  <c:v>43129</c:v>
                </c:pt>
                <c:pt idx="790">
                  <c:v>43130</c:v>
                </c:pt>
                <c:pt idx="791">
                  <c:v>43131</c:v>
                </c:pt>
                <c:pt idx="792">
                  <c:v>43132</c:v>
                </c:pt>
                <c:pt idx="793">
                  <c:v>43133</c:v>
                </c:pt>
                <c:pt idx="794">
                  <c:v>43136</c:v>
                </c:pt>
                <c:pt idx="795">
                  <c:v>43137</c:v>
                </c:pt>
                <c:pt idx="796">
                  <c:v>43138</c:v>
                </c:pt>
                <c:pt idx="797">
                  <c:v>43139</c:v>
                </c:pt>
                <c:pt idx="798">
                  <c:v>43140</c:v>
                </c:pt>
                <c:pt idx="799">
                  <c:v>43143</c:v>
                </c:pt>
                <c:pt idx="800">
                  <c:v>43144</c:v>
                </c:pt>
                <c:pt idx="801">
                  <c:v>43145</c:v>
                </c:pt>
                <c:pt idx="802">
                  <c:v>43146</c:v>
                </c:pt>
                <c:pt idx="803">
                  <c:v>43147</c:v>
                </c:pt>
                <c:pt idx="804">
                  <c:v>43150</c:v>
                </c:pt>
                <c:pt idx="805">
                  <c:v>43151</c:v>
                </c:pt>
                <c:pt idx="806">
                  <c:v>43152</c:v>
                </c:pt>
                <c:pt idx="807">
                  <c:v>43153</c:v>
                </c:pt>
                <c:pt idx="808">
                  <c:v>43154</c:v>
                </c:pt>
                <c:pt idx="809">
                  <c:v>43157</c:v>
                </c:pt>
                <c:pt idx="810">
                  <c:v>43158</c:v>
                </c:pt>
                <c:pt idx="811">
                  <c:v>43159</c:v>
                </c:pt>
                <c:pt idx="812">
                  <c:v>43160</c:v>
                </c:pt>
                <c:pt idx="813">
                  <c:v>43161</c:v>
                </c:pt>
                <c:pt idx="814">
                  <c:v>43164</c:v>
                </c:pt>
                <c:pt idx="815">
                  <c:v>43165</c:v>
                </c:pt>
                <c:pt idx="816">
                  <c:v>43166</c:v>
                </c:pt>
                <c:pt idx="817">
                  <c:v>43167</c:v>
                </c:pt>
                <c:pt idx="818">
                  <c:v>43168</c:v>
                </c:pt>
                <c:pt idx="819">
                  <c:v>43171</c:v>
                </c:pt>
                <c:pt idx="820">
                  <c:v>43172</c:v>
                </c:pt>
                <c:pt idx="821">
                  <c:v>43173</c:v>
                </c:pt>
                <c:pt idx="822">
                  <c:v>43174</c:v>
                </c:pt>
                <c:pt idx="823">
                  <c:v>43175</c:v>
                </c:pt>
                <c:pt idx="824">
                  <c:v>43178</c:v>
                </c:pt>
                <c:pt idx="825">
                  <c:v>43179</c:v>
                </c:pt>
                <c:pt idx="826">
                  <c:v>43180</c:v>
                </c:pt>
                <c:pt idx="827">
                  <c:v>43181</c:v>
                </c:pt>
                <c:pt idx="828">
                  <c:v>43182</c:v>
                </c:pt>
                <c:pt idx="829">
                  <c:v>43185</c:v>
                </c:pt>
                <c:pt idx="830">
                  <c:v>43186</c:v>
                </c:pt>
                <c:pt idx="831">
                  <c:v>43187</c:v>
                </c:pt>
                <c:pt idx="832">
                  <c:v>43188</c:v>
                </c:pt>
                <c:pt idx="833">
                  <c:v>43193</c:v>
                </c:pt>
                <c:pt idx="834">
                  <c:v>43194</c:v>
                </c:pt>
                <c:pt idx="835">
                  <c:v>43195</c:v>
                </c:pt>
                <c:pt idx="836">
                  <c:v>43196</c:v>
                </c:pt>
                <c:pt idx="837">
                  <c:v>43199</c:v>
                </c:pt>
                <c:pt idx="838">
                  <c:v>43200</c:v>
                </c:pt>
                <c:pt idx="839">
                  <c:v>43201</c:v>
                </c:pt>
                <c:pt idx="840">
                  <c:v>43202</c:v>
                </c:pt>
                <c:pt idx="841">
                  <c:v>43203</c:v>
                </c:pt>
                <c:pt idx="842">
                  <c:v>43206</c:v>
                </c:pt>
                <c:pt idx="843">
                  <c:v>43207</c:v>
                </c:pt>
                <c:pt idx="844">
                  <c:v>43208</c:v>
                </c:pt>
                <c:pt idx="845">
                  <c:v>43209</c:v>
                </c:pt>
                <c:pt idx="846">
                  <c:v>43210</c:v>
                </c:pt>
                <c:pt idx="847">
                  <c:v>43213</c:v>
                </c:pt>
                <c:pt idx="848">
                  <c:v>43214</c:v>
                </c:pt>
                <c:pt idx="849">
                  <c:v>43215</c:v>
                </c:pt>
                <c:pt idx="850">
                  <c:v>43216</c:v>
                </c:pt>
                <c:pt idx="851">
                  <c:v>43217</c:v>
                </c:pt>
                <c:pt idx="852">
                  <c:v>43220</c:v>
                </c:pt>
                <c:pt idx="853">
                  <c:v>43221</c:v>
                </c:pt>
                <c:pt idx="854">
                  <c:v>43222</c:v>
                </c:pt>
                <c:pt idx="855">
                  <c:v>43223</c:v>
                </c:pt>
                <c:pt idx="856">
                  <c:v>43224</c:v>
                </c:pt>
                <c:pt idx="857">
                  <c:v>43227</c:v>
                </c:pt>
                <c:pt idx="858">
                  <c:v>43228</c:v>
                </c:pt>
                <c:pt idx="859">
                  <c:v>43229</c:v>
                </c:pt>
                <c:pt idx="860">
                  <c:v>43230</c:v>
                </c:pt>
                <c:pt idx="861">
                  <c:v>43231</c:v>
                </c:pt>
                <c:pt idx="862">
                  <c:v>43234</c:v>
                </c:pt>
                <c:pt idx="863">
                  <c:v>43235</c:v>
                </c:pt>
                <c:pt idx="864">
                  <c:v>43236</c:v>
                </c:pt>
                <c:pt idx="865">
                  <c:v>43237</c:v>
                </c:pt>
                <c:pt idx="866">
                  <c:v>43238</c:v>
                </c:pt>
                <c:pt idx="867">
                  <c:v>43241</c:v>
                </c:pt>
                <c:pt idx="868">
                  <c:v>43242</c:v>
                </c:pt>
                <c:pt idx="869">
                  <c:v>43243</c:v>
                </c:pt>
                <c:pt idx="870">
                  <c:v>43244</c:v>
                </c:pt>
                <c:pt idx="871">
                  <c:v>43245</c:v>
                </c:pt>
                <c:pt idx="872">
                  <c:v>43248</c:v>
                </c:pt>
                <c:pt idx="873">
                  <c:v>43249</c:v>
                </c:pt>
                <c:pt idx="874">
                  <c:v>43250</c:v>
                </c:pt>
                <c:pt idx="875">
                  <c:v>43251</c:v>
                </c:pt>
                <c:pt idx="876">
                  <c:v>43252</c:v>
                </c:pt>
                <c:pt idx="877">
                  <c:v>43255</c:v>
                </c:pt>
                <c:pt idx="878">
                  <c:v>43256</c:v>
                </c:pt>
                <c:pt idx="879">
                  <c:v>43257</c:v>
                </c:pt>
                <c:pt idx="880">
                  <c:v>43258</c:v>
                </c:pt>
                <c:pt idx="881">
                  <c:v>43259</c:v>
                </c:pt>
                <c:pt idx="882">
                  <c:v>43262</c:v>
                </c:pt>
                <c:pt idx="883">
                  <c:v>43263</c:v>
                </c:pt>
                <c:pt idx="884">
                  <c:v>43264</c:v>
                </c:pt>
                <c:pt idx="885">
                  <c:v>43265</c:v>
                </c:pt>
                <c:pt idx="886">
                  <c:v>43266</c:v>
                </c:pt>
                <c:pt idx="887">
                  <c:v>43269</c:v>
                </c:pt>
                <c:pt idx="888">
                  <c:v>43270</c:v>
                </c:pt>
                <c:pt idx="889">
                  <c:v>43271</c:v>
                </c:pt>
                <c:pt idx="890">
                  <c:v>43272</c:v>
                </c:pt>
                <c:pt idx="891">
                  <c:v>43273</c:v>
                </c:pt>
                <c:pt idx="892">
                  <c:v>43276</c:v>
                </c:pt>
                <c:pt idx="893">
                  <c:v>43277</c:v>
                </c:pt>
                <c:pt idx="894">
                  <c:v>43278</c:v>
                </c:pt>
                <c:pt idx="895">
                  <c:v>43279</c:v>
                </c:pt>
                <c:pt idx="896">
                  <c:v>43280</c:v>
                </c:pt>
                <c:pt idx="897">
                  <c:v>43283</c:v>
                </c:pt>
                <c:pt idx="898">
                  <c:v>43284</c:v>
                </c:pt>
                <c:pt idx="899">
                  <c:v>43285</c:v>
                </c:pt>
                <c:pt idx="900">
                  <c:v>43286</c:v>
                </c:pt>
                <c:pt idx="901">
                  <c:v>43287</c:v>
                </c:pt>
                <c:pt idx="902">
                  <c:v>43290</c:v>
                </c:pt>
                <c:pt idx="903">
                  <c:v>43291</c:v>
                </c:pt>
                <c:pt idx="904">
                  <c:v>43292</c:v>
                </c:pt>
                <c:pt idx="905">
                  <c:v>43293</c:v>
                </c:pt>
                <c:pt idx="906">
                  <c:v>43294</c:v>
                </c:pt>
                <c:pt idx="907">
                  <c:v>43297</c:v>
                </c:pt>
                <c:pt idx="908">
                  <c:v>43298</c:v>
                </c:pt>
                <c:pt idx="909">
                  <c:v>43299</c:v>
                </c:pt>
                <c:pt idx="910">
                  <c:v>43300</c:v>
                </c:pt>
                <c:pt idx="911">
                  <c:v>43301</c:v>
                </c:pt>
                <c:pt idx="912">
                  <c:v>43304</c:v>
                </c:pt>
                <c:pt idx="913">
                  <c:v>43305</c:v>
                </c:pt>
                <c:pt idx="914">
                  <c:v>43306</c:v>
                </c:pt>
                <c:pt idx="915">
                  <c:v>43307</c:v>
                </c:pt>
                <c:pt idx="916">
                  <c:v>43308</c:v>
                </c:pt>
                <c:pt idx="917">
                  <c:v>43311</c:v>
                </c:pt>
                <c:pt idx="918">
                  <c:v>43312</c:v>
                </c:pt>
                <c:pt idx="919">
                  <c:v>43313</c:v>
                </c:pt>
                <c:pt idx="920">
                  <c:v>43314</c:v>
                </c:pt>
                <c:pt idx="921">
                  <c:v>43315</c:v>
                </c:pt>
                <c:pt idx="922">
                  <c:v>43318</c:v>
                </c:pt>
                <c:pt idx="923">
                  <c:v>43319</c:v>
                </c:pt>
                <c:pt idx="924">
                  <c:v>43320</c:v>
                </c:pt>
                <c:pt idx="925">
                  <c:v>43321</c:v>
                </c:pt>
                <c:pt idx="926">
                  <c:v>43322</c:v>
                </c:pt>
                <c:pt idx="927">
                  <c:v>43325</c:v>
                </c:pt>
                <c:pt idx="928">
                  <c:v>43326</c:v>
                </c:pt>
                <c:pt idx="929">
                  <c:v>43327</c:v>
                </c:pt>
                <c:pt idx="930">
                  <c:v>43328</c:v>
                </c:pt>
                <c:pt idx="931">
                  <c:v>43329</c:v>
                </c:pt>
                <c:pt idx="932">
                  <c:v>43332</c:v>
                </c:pt>
                <c:pt idx="933">
                  <c:v>43333</c:v>
                </c:pt>
                <c:pt idx="934">
                  <c:v>43334</c:v>
                </c:pt>
                <c:pt idx="935">
                  <c:v>43335</c:v>
                </c:pt>
                <c:pt idx="936">
                  <c:v>43336</c:v>
                </c:pt>
                <c:pt idx="937">
                  <c:v>43339</c:v>
                </c:pt>
                <c:pt idx="938">
                  <c:v>43340</c:v>
                </c:pt>
                <c:pt idx="939">
                  <c:v>43341</c:v>
                </c:pt>
                <c:pt idx="940">
                  <c:v>43342</c:v>
                </c:pt>
                <c:pt idx="941">
                  <c:v>43343</c:v>
                </c:pt>
                <c:pt idx="942">
                  <c:v>43346</c:v>
                </c:pt>
                <c:pt idx="943">
                  <c:v>43347</c:v>
                </c:pt>
                <c:pt idx="944">
                  <c:v>43348</c:v>
                </c:pt>
                <c:pt idx="945">
                  <c:v>43349</c:v>
                </c:pt>
                <c:pt idx="946">
                  <c:v>43350</c:v>
                </c:pt>
                <c:pt idx="947">
                  <c:v>43353</c:v>
                </c:pt>
                <c:pt idx="948">
                  <c:v>43354</c:v>
                </c:pt>
                <c:pt idx="949">
                  <c:v>43355</c:v>
                </c:pt>
                <c:pt idx="950">
                  <c:v>43356</c:v>
                </c:pt>
                <c:pt idx="951">
                  <c:v>43357</c:v>
                </c:pt>
                <c:pt idx="952">
                  <c:v>43360</c:v>
                </c:pt>
                <c:pt idx="953">
                  <c:v>43361</c:v>
                </c:pt>
                <c:pt idx="954">
                  <c:v>43362</c:v>
                </c:pt>
                <c:pt idx="955">
                  <c:v>43363</c:v>
                </c:pt>
                <c:pt idx="956">
                  <c:v>43364</c:v>
                </c:pt>
                <c:pt idx="957">
                  <c:v>43367</c:v>
                </c:pt>
                <c:pt idx="958">
                  <c:v>43368</c:v>
                </c:pt>
                <c:pt idx="959">
                  <c:v>43369</c:v>
                </c:pt>
                <c:pt idx="960">
                  <c:v>43370</c:v>
                </c:pt>
                <c:pt idx="961">
                  <c:v>43371</c:v>
                </c:pt>
                <c:pt idx="962">
                  <c:v>43374</c:v>
                </c:pt>
                <c:pt idx="963">
                  <c:v>43375</c:v>
                </c:pt>
                <c:pt idx="964">
                  <c:v>43376</c:v>
                </c:pt>
                <c:pt idx="965">
                  <c:v>43377</c:v>
                </c:pt>
                <c:pt idx="966">
                  <c:v>43378</c:v>
                </c:pt>
                <c:pt idx="967">
                  <c:v>43381</c:v>
                </c:pt>
                <c:pt idx="968">
                  <c:v>43382</c:v>
                </c:pt>
                <c:pt idx="969">
                  <c:v>43383</c:v>
                </c:pt>
                <c:pt idx="970">
                  <c:v>43384</c:v>
                </c:pt>
                <c:pt idx="971">
                  <c:v>43385</c:v>
                </c:pt>
                <c:pt idx="972">
                  <c:v>43388</c:v>
                </c:pt>
                <c:pt idx="973">
                  <c:v>43389</c:v>
                </c:pt>
                <c:pt idx="974">
                  <c:v>43390</c:v>
                </c:pt>
                <c:pt idx="975">
                  <c:v>43391</c:v>
                </c:pt>
                <c:pt idx="976">
                  <c:v>43392</c:v>
                </c:pt>
                <c:pt idx="977">
                  <c:v>43395</c:v>
                </c:pt>
                <c:pt idx="978">
                  <c:v>43396</c:v>
                </c:pt>
                <c:pt idx="979">
                  <c:v>43397</c:v>
                </c:pt>
                <c:pt idx="980">
                  <c:v>43398</c:v>
                </c:pt>
                <c:pt idx="981">
                  <c:v>43399</c:v>
                </c:pt>
                <c:pt idx="982">
                  <c:v>43402</c:v>
                </c:pt>
                <c:pt idx="983">
                  <c:v>43403</c:v>
                </c:pt>
                <c:pt idx="984">
                  <c:v>43404</c:v>
                </c:pt>
                <c:pt idx="985">
                  <c:v>43405</c:v>
                </c:pt>
                <c:pt idx="986">
                  <c:v>43406</c:v>
                </c:pt>
                <c:pt idx="987">
                  <c:v>43409</c:v>
                </c:pt>
                <c:pt idx="988">
                  <c:v>43410</c:v>
                </c:pt>
                <c:pt idx="989">
                  <c:v>43411</c:v>
                </c:pt>
                <c:pt idx="990">
                  <c:v>43412</c:v>
                </c:pt>
                <c:pt idx="991">
                  <c:v>43413</c:v>
                </c:pt>
                <c:pt idx="992">
                  <c:v>43416</c:v>
                </c:pt>
                <c:pt idx="993">
                  <c:v>43417</c:v>
                </c:pt>
                <c:pt idx="994">
                  <c:v>43418</c:v>
                </c:pt>
                <c:pt idx="995">
                  <c:v>43419</c:v>
                </c:pt>
                <c:pt idx="996">
                  <c:v>43420</c:v>
                </c:pt>
                <c:pt idx="997">
                  <c:v>43423</c:v>
                </c:pt>
                <c:pt idx="998">
                  <c:v>43424</c:v>
                </c:pt>
                <c:pt idx="999">
                  <c:v>43425</c:v>
                </c:pt>
                <c:pt idx="1000">
                  <c:v>43426</c:v>
                </c:pt>
                <c:pt idx="1001">
                  <c:v>43427</c:v>
                </c:pt>
                <c:pt idx="1002">
                  <c:v>43430</c:v>
                </c:pt>
                <c:pt idx="1003">
                  <c:v>43431</c:v>
                </c:pt>
                <c:pt idx="1004">
                  <c:v>43432</c:v>
                </c:pt>
                <c:pt idx="1005">
                  <c:v>43433</c:v>
                </c:pt>
                <c:pt idx="1006">
                  <c:v>43434</c:v>
                </c:pt>
                <c:pt idx="1007">
                  <c:v>43437</c:v>
                </c:pt>
                <c:pt idx="1008">
                  <c:v>43438</c:v>
                </c:pt>
                <c:pt idx="1009">
                  <c:v>43439</c:v>
                </c:pt>
                <c:pt idx="1010">
                  <c:v>43440</c:v>
                </c:pt>
                <c:pt idx="1011">
                  <c:v>43441</c:v>
                </c:pt>
                <c:pt idx="1012">
                  <c:v>43444</c:v>
                </c:pt>
                <c:pt idx="1013">
                  <c:v>43445</c:v>
                </c:pt>
                <c:pt idx="1014">
                  <c:v>43446</c:v>
                </c:pt>
                <c:pt idx="1015">
                  <c:v>43447</c:v>
                </c:pt>
                <c:pt idx="1016">
                  <c:v>43448</c:v>
                </c:pt>
                <c:pt idx="1017">
                  <c:v>43451</c:v>
                </c:pt>
                <c:pt idx="1018">
                  <c:v>43452</c:v>
                </c:pt>
                <c:pt idx="1019">
                  <c:v>43453</c:v>
                </c:pt>
                <c:pt idx="1020">
                  <c:v>43454</c:v>
                </c:pt>
                <c:pt idx="1021">
                  <c:v>43455</c:v>
                </c:pt>
                <c:pt idx="1022">
                  <c:v>43458</c:v>
                </c:pt>
                <c:pt idx="1023">
                  <c:v>43461</c:v>
                </c:pt>
                <c:pt idx="1024">
                  <c:v>43462</c:v>
                </c:pt>
                <c:pt idx="1025">
                  <c:v>43465</c:v>
                </c:pt>
                <c:pt idx="1026">
                  <c:v>43467</c:v>
                </c:pt>
                <c:pt idx="1027">
                  <c:v>43468</c:v>
                </c:pt>
                <c:pt idx="1028">
                  <c:v>43469</c:v>
                </c:pt>
                <c:pt idx="1029">
                  <c:v>43472</c:v>
                </c:pt>
                <c:pt idx="1030">
                  <c:v>43473</c:v>
                </c:pt>
                <c:pt idx="1031">
                  <c:v>43474</c:v>
                </c:pt>
                <c:pt idx="1032">
                  <c:v>43475</c:v>
                </c:pt>
                <c:pt idx="1033">
                  <c:v>43476</c:v>
                </c:pt>
                <c:pt idx="1034">
                  <c:v>43479</c:v>
                </c:pt>
                <c:pt idx="1035">
                  <c:v>43480</c:v>
                </c:pt>
                <c:pt idx="1036">
                  <c:v>43481</c:v>
                </c:pt>
                <c:pt idx="1037">
                  <c:v>43482</c:v>
                </c:pt>
                <c:pt idx="1038">
                  <c:v>43483</c:v>
                </c:pt>
                <c:pt idx="1039">
                  <c:v>43486</c:v>
                </c:pt>
                <c:pt idx="1040">
                  <c:v>43487</c:v>
                </c:pt>
                <c:pt idx="1041">
                  <c:v>43488</c:v>
                </c:pt>
                <c:pt idx="1042">
                  <c:v>43489</c:v>
                </c:pt>
                <c:pt idx="1043">
                  <c:v>43490</c:v>
                </c:pt>
                <c:pt idx="1044">
                  <c:v>43493</c:v>
                </c:pt>
                <c:pt idx="1045">
                  <c:v>43494</c:v>
                </c:pt>
                <c:pt idx="1046">
                  <c:v>43495</c:v>
                </c:pt>
                <c:pt idx="1047">
                  <c:v>43496</c:v>
                </c:pt>
                <c:pt idx="1048">
                  <c:v>43497</c:v>
                </c:pt>
                <c:pt idx="1049">
                  <c:v>43500</c:v>
                </c:pt>
                <c:pt idx="1050">
                  <c:v>43501</c:v>
                </c:pt>
                <c:pt idx="1051">
                  <c:v>43502</c:v>
                </c:pt>
                <c:pt idx="1052">
                  <c:v>43503</c:v>
                </c:pt>
                <c:pt idx="1053">
                  <c:v>43504</c:v>
                </c:pt>
                <c:pt idx="1054">
                  <c:v>43507</c:v>
                </c:pt>
                <c:pt idx="1055">
                  <c:v>43508</c:v>
                </c:pt>
                <c:pt idx="1056">
                  <c:v>43509</c:v>
                </c:pt>
                <c:pt idx="1057">
                  <c:v>43510</c:v>
                </c:pt>
                <c:pt idx="1058">
                  <c:v>43511</c:v>
                </c:pt>
                <c:pt idx="1059">
                  <c:v>43514</c:v>
                </c:pt>
                <c:pt idx="1060">
                  <c:v>43515</c:v>
                </c:pt>
                <c:pt idx="1061">
                  <c:v>43516</c:v>
                </c:pt>
                <c:pt idx="1062">
                  <c:v>43517</c:v>
                </c:pt>
                <c:pt idx="1063">
                  <c:v>43518</c:v>
                </c:pt>
                <c:pt idx="1064">
                  <c:v>43521</c:v>
                </c:pt>
                <c:pt idx="1065">
                  <c:v>43522</c:v>
                </c:pt>
                <c:pt idx="1066">
                  <c:v>43523</c:v>
                </c:pt>
                <c:pt idx="1067">
                  <c:v>43524</c:v>
                </c:pt>
                <c:pt idx="1068">
                  <c:v>43525</c:v>
                </c:pt>
                <c:pt idx="1069">
                  <c:v>43528</c:v>
                </c:pt>
                <c:pt idx="1070">
                  <c:v>43529</c:v>
                </c:pt>
                <c:pt idx="1071">
                  <c:v>43530</c:v>
                </c:pt>
                <c:pt idx="1072">
                  <c:v>43531</c:v>
                </c:pt>
                <c:pt idx="1073">
                  <c:v>43532</c:v>
                </c:pt>
                <c:pt idx="1074">
                  <c:v>43535</c:v>
                </c:pt>
                <c:pt idx="1075">
                  <c:v>43536</c:v>
                </c:pt>
                <c:pt idx="1076">
                  <c:v>43537</c:v>
                </c:pt>
                <c:pt idx="1077">
                  <c:v>43538</c:v>
                </c:pt>
                <c:pt idx="1078">
                  <c:v>43539</c:v>
                </c:pt>
                <c:pt idx="1079">
                  <c:v>43542</c:v>
                </c:pt>
                <c:pt idx="1080">
                  <c:v>43543</c:v>
                </c:pt>
                <c:pt idx="1081">
                  <c:v>43544</c:v>
                </c:pt>
                <c:pt idx="1082">
                  <c:v>43545</c:v>
                </c:pt>
                <c:pt idx="1083">
                  <c:v>43546</c:v>
                </c:pt>
                <c:pt idx="1084">
                  <c:v>43549</c:v>
                </c:pt>
                <c:pt idx="1085">
                  <c:v>43550</c:v>
                </c:pt>
                <c:pt idx="1086">
                  <c:v>43551</c:v>
                </c:pt>
                <c:pt idx="1087">
                  <c:v>43552</c:v>
                </c:pt>
                <c:pt idx="1088">
                  <c:v>43553</c:v>
                </c:pt>
                <c:pt idx="1089">
                  <c:v>43556</c:v>
                </c:pt>
                <c:pt idx="1090">
                  <c:v>43557</c:v>
                </c:pt>
                <c:pt idx="1091">
                  <c:v>43558</c:v>
                </c:pt>
                <c:pt idx="1092">
                  <c:v>43559</c:v>
                </c:pt>
                <c:pt idx="1093">
                  <c:v>43560</c:v>
                </c:pt>
                <c:pt idx="1094">
                  <c:v>43563</c:v>
                </c:pt>
                <c:pt idx="1095">
                  <c:v>43564</c:v>
                </c:pt>
                <c:pt idx="1096">
                  <c:v>43565</c:v>
                </c:pt>
                <c:pt idx="1097">
                  <c:v>43566</c:v>
                </c:pt>
                <c:pt idx="1098">
                  <c:v>43567</c:v>
                </c:pt>
                <c:pt idx="1099">
                  <c:v>43570</c:v>
                </c:pt>
                <c:pt idx="1100">
                  <c:v>43571</c:v>
                </c:pt>
                <c:pt idx="1101">
                  <c:v>43572</c:v>
                </c:pt>
                <c:pt idx="1102">
                  <c:v>43573</c:v>
                </c:pt>
                <c:pt idx="1103">
                  <c:v>43578</c:v>
                </c:pt>
                <c:pt idx="1104">
                  <c:v>43579</c:v>
                </c:pt>
                <c:pt idx="1105">
                  <c:v>43580</c:v>
                </c:pt>
                <c:pt idx="1106">
                  <c:v>43581</c:v>
                </c:pt>
                <c:pt idx="1107">
                  <c:v>43584</c:v>
                </c:pt>
                <c:pt idx="1108">
                  <c:v>43585</c:v>
                </c:pt>
                <c:pt idx="1109">
                  <c:v>43586</c:v>
                </c:pt>
                <c:pt idx="1110">
                  <c:v>43587</c:v>
                </c:pt>
                <c:pt idx="1111">
                  <c:v>43588</c:v>
                </c:pt>
                <c:pt idx="1112">
                  <c:v>43591</c:v>
                </c:pt>
                <c:pt idx="1113">
                  <c:v>43592</c:v>
                </c:pt>
                <c:pt idx="1114">
                  <c:v>43593</c:v>
                </c:pt>
                <c:pt idx="1115">
                  <c:v>43594</c:v>
                </c:pt>
                <c:pt idx="1116">
                  <c:v>43595</c:v>
                </c:pt>
                <c:pt idx="1117">
                  <c:v>43598</c:v>
                </c:pt>
                <c:pt idx="1118">
                  <c:v>43599</c:v>
                </c:pt>
                <c:pt idx="1119">
                  <c:v>43600</c:v>
                </c:pt>
                <c:pt idx="1120">
                  <c:v>43601</c:v>
                </c:pt>
                <c:pt idx="1121">
                  <c:v>43602</c:v>
                </c:pt>
                <c:pt idx="1122">
                  <c:v>43605</c:v>
                </c:pt>
                <c:pt idx="1123">
                  <c:v>43606</c:v>
                </c:pt>
                <c:pt idx="1124">
                  <c:v>43607</c:v>
                </c:pt>
                <c:pt idx="1125">
                  <c:v>43608</c:v>
                </c:pt>
                <c:pt idx="1126">
                  <c:v>43609</c:v>
                </c:pt>
                <c:pt idx="1127">
                  <c:v>43612</c:v>
                </c:pt>
                <c:pt idx="1128">
                  <c:v>43613</c:v>
                </c:pt>
                <c:pt idx="1129">
                  <c:v>43614</c:v>
                </c:pt>
                <c:pt idx="1130">
                  <c:v>43615</c:v>
                </c:pt>
                <c:pt idx="1131">
                  <c:v>43616</c:v>
                </c:pt>
                <c:pt idx="1132">
                  <c:v>43619</c:v>
                </c:pt>
                <c:pt idx="1133">
                  <c:v>43620</c:v>
                </c:pt>
                <c:pt idx="1134">
                  <c:v>43621</c:v>
                </c:pt>
                <c:pt idx="1135">
                  <c:v>43622</c:v>
                </c:pt>
                <c:pt idx="1136">
                  <c:v>43623</c:v>
                </c:pt>
                <c:pt idx="1137">
                  <c:v>43626</c:v>
                </c:pt>
                <c:pt idx="1138">
                  <c:v>43627</c:v>
                </c:pt>
                <c:pt idx="1139">
                  <c:v>43628</c:v>
                </c:pt>
                <c:pt idx="1140">
                  <c:v>43629</c:v>
                </c:pt>
                <c:pt idx="1141">
                  <c:v>43630</c:v>
                </c:pt>
                <c:pt idx="1142">
                  <c:v>43633</c:v>
                </c:pt>
                <c:pt idx="1143">
                  <c:v>43634</c:v>
                </c:pt>
                <c:pt idx="1144">
                  <c:v>43635</c:v>
                </c:pt>
                <c:pt idx="1145">
                  <c:v>43636</c:v>
                </c:pt>
                <c:pt idx="1146">
                  <c:v>43637</c:v>
                </c:pt>
                <c:pt idx="1147">
                  <c:v>43640</c:v>
                </c:pt>
                <c:pt idx="1148">
                  <c:v>43641</c:v>
                </c:pt>
                <c:pt idx="1149">
                  <c:v>43642</c:v>
                </c:pt>
                <c:pt idx="1150">
                  <c:v>43643</c:v>
                </c:pt>
                <c:pt idx="1151">
                  <c:v>43644</c:v>
                </c:pt>
                <c:pt idx="1152">
                  <c:v>43647</c:v>
                </c:pt>
                <c:pt idx="1153">
                  <c:v>43648</c:v>
                </c:pt>
                <c:pt idx="1154">
                  <c:v>43649</c:v>
                </c:pt>
                <c:pt idx="1155">
                  <c:v>43650</c:v>
                </c:pt>
                <c:pt idx="1156">
                  <c:v>43651</c:v>
                </c:pt>
                <c:pt idx="1157">
                  <c:v>43654</c:v>
                </c:pt>
                <c:pt idx="1158">
                  <c:v>43655</c:v>
                </c:pt>
                <c:pt idx="1159">
                  <c:v>43656</c:v>
                </c:pt>
                <c:pt idx="1160">
                  <c:v>43657</c:v>
                </c:pt>
                <c:pt idx="1161">
                  <c:v>43658</c:v>
                </c:pt>
                <c:pt idx="1162">
                  <c:v>43661</c:v>
                </c:pt>
                <c:pt idx="1163">
                  <c:v>43662</c:v>
                </c:pt>
                <c:pt idx="1164">
                  <c:v>43663</c:v>
                </c:pt>
                <c:pt idx="1165">
                  <c:v>43664</c:v>
                </c:pt>
                <c:pt idx="1166">
                  <c:v>43665</c:v>
                </c:pt>
                <c:pt idx="1167">
                  <c:v>43668</c:v>
                </c:pt>
                <c:pt idx="1168">
                  <c:v>43669</c:v>
                </c:pt>
                <c:pt idx="1169">
                  <c:v>43670</c:v>
                </c:pt>
                <c:pt idx="1170">
                  <c:v>43671</c:v>
                </c:pt>
                <c:pt idx="1171">
                  <c:v>43672</c:v>
                </c:pt>
                <c:pt idx="1172">
                  <c:v>43675</c:v>
                </c:pt>
                <c:pt idx="1173">
                  <c:v>43676</c:v>
                </c:pt>
                <c:pt idx="1174">
                  <c:v>43677</c:v>
                </c:pt>
                <c:pt idx="1175">
                  <c:v>43678</c:v>
                </c:pt>
                <c:pt idx="1176">
                  <c:v>43679</c:v>
                </c:pt>
                <c:pt idx="1177">
                  <c:v>43682</c:v>
                </c:pt>
                <c:pt idx="1178">
                  <c:v>43683</c:v>
                </c:pt>
                <c:pt idx="1179">
                  <c:v>43684</c:v>
                </c:pt>
                <c:pt idx="1180">
                  <c:v>43685</c:v>
                </c:pt>
                <c:pt idx="1181">
                  <c:v>43686</c:v>
                </c:pt>
                <c:pt idx="1182">
                  <c:v>43689</c:v>
                </c:pt>
                <c:pt idx="1183">
                  <c:v>43690</c:v>
                </c:pt>
                <c:pt idx="1184">
                  <c:v>43691</c:v>
                </c:pt>
                <c:pt idx="1185">
                  <c:v>43692</c:v>
                </c:pt>
                <c:pt idx="1186">
                  <c:v>43693</c:v>
                </c:pt>
                <c:pt idx="1187">
                  <c:v>43696</c:v>
                </c:pt>
                <c:pt idx="1188">
                  <c:v>43697</c:v>
                </c:pt>
                <c:pt idx="1189">
                  <c:v>43698</c:v>
                </c:pt>
                <c:pt idx="1190">
                  <c:v>43699</c:v>
                </c:pt>
                <c:pt idx="1191">
                  <c:v>43700</c:v>
                </c:pt>
                <c:pt idx="1192">
                  <c:v>43703</c:v>
                </c:pt>
                <c:pt idx="1193">
                  <c:v>43704</c:v>
                </c:pt>
                <c:pt idx="1194">
                  <c:v>43705</c:v>
                </c:pt>
                <c:pt idx="1195">
                  <c:v>43706</c:v>
                </c:pt>
                <c:pt idx="1196">
                  <c:v>43707</c:v>
                </c:pt>
                <c:pt idx="1197">
                  <c:v>43710</c:v>
                </c:pt>
                <c:pt idx="1198">
                  <c:v>43711</c:v>
                </c:pt>
                <c:pt idx="1199">
                  <c:v>43712</c:v>
                </c:pt>
                <c:pt idx="1200">
                  <c:v>43713</c:v>
                </c:pt>
                <c:pt idx="1201">
                  <c:v>43714</c:v>
                </c:pt>
                <c:pt idx="1202">
                  <c:v>43717</c:v>
                </c:pt>
                <c:pt idx="1203">
                  <c:v>43718</c:v>
                </c:pt>
                <c:pt idx="1204">
                  <c:v>43719</c:v>
                </c:pt>
                <c:pt idx="1205">
                  <c:v>43720</c:v>
                </c:pt>
                <c:pt idx="1206">
                  <c:v>43721</c:v>
                </c:pt>
                <c:pt idx="1207">
                  <c:v>43724</c:v>
                </c:pt>
                <c:pt idx="1208">
                  <c:v>43725</c:v>
                </c:pt>
                <c:pt idx="1209">
                  <c:v>43726</c:v>
                </c:pt>
                <c:pt idx="1210">
                  <c:v>43727</c:v>
                </c:pt>
                <c:pt idx="1211">
                  <c:v>43728</c:v>
                </c:pt>
                <c:pt idx="1212">
                  <c:v>43731</c:v>
                </c:pt>
                <c:pt idx="1213">
                  <c:v>43732</c:v>
                </c:pt>
                <c:pt idx="1214">
                  <c:v>43733</c:v>
                </c:pt>
                <c:pt idx="1215">
                  <c:v>43734</c:v>
                </c:pt>
                <c:pt idx="1216">
                  <c:v>43735</c:v>
                </c:pt>
                <c:pt idx="1217">
                  <c:v>43738</c:v>
                </c:pt>
                <c:pt idx="1218">
                  <c:v>43739</c:v>
                </c:pt>
                <c:pt idx="1219">
                  <c:v>43740</c:v>
                </c:pt>
                <c:pt idx="1220">
                  <c:v>43741</c:v>
                </c:pt>
                <c:pt idx="1221">
                  <c:v>43742</c:v>
                </c:pt>
                <c:pt idx="1222">
                  <c:v>43745</c:v>
                </c:pt>
                <c:pt idx="1223">
                  <c:v>43746</c:v>
                </c:pt>
                <c:pt idx="1224">
                  <c:v>43747</c:v>
                </c:pt>
                <c:pt idx="1225">
                  <c:v>43748</c:v>
                </c:pt>
                <c:pt idx="1226">
                  <c:v>43749</c:v>
                </c:pt>
                <c:pt idx="1227">
                  <c:v>43752</c:v>
                </c:pt>
                <c:pt idx="1228">
                  <c:v>43753</c:v>
                </c:pt>
                <c:pt idx="1229">
                  <c:v>43754</c:v>
                </c:pt>
                <c:pt idx="1230">
                  <c:v>43755</c:v>
                </c:pt>
                <c:pt idx="1231">
                  <c:v>43756</c:v>
                </c:pt>
                <c:pt idx="1232">
                  <c:v>43759</c:v>
                </c:pt>
                <c:pt idx="1233">
                  <c:v>43760</c:v>
                </c:pt>
                <c:pt idx="1234">
                  <c:v>43761</c:v>
                </c:pt>
                <c:pt idx="1235">
                  <c:v>43762</c:v>
                </c:pt>
                <c:pt idx="1236">
                  <c:v>43763</c:v>
                </c:pt>
                <c:pt idx="1237">
                  <c:v>43766</c:v>
                </c:pt>
                <c:pt idx="1238">
                  <c:v>43767</c:v>
                </c:pt>
                <c:pt idx="1239">
                  <c:v>43768</c:v>
                </c:pt>
                <c:pt idx="1240">
                  <c:v>43769</c:v>
                </c:pt>
                <c:pt idx="1241">
                  <c:v>43770</c:v>
                </c:pt>
                <c:pt idx="1242">
                  <c:v>43773</c:v>
                </c:pt>
                <c:pt idx="1243">
                  <c:v>43774</c:v>
                </c:pt>
                <c:pt idx="1244">
                  <c:v>43775</c:v>
                </c:pt>
                <c:pt idx="1245">
                  <c:v>43776</c:v>
                </c:pt>
                <c:pt idx="1246">
                  <c:v>43777</c:v>
                </c:pt>
                <c:pt idx="1247">
                  <c:v>43780</c:v>
                </c:pt>
                <c:pt idx="1248">
                  <c:v>43781</c:v>
                </c:pt>
                <c:pt idx="1249">
                  <c:v>43782</c:v>
                </c:pt>
                <c:pt idx="1250">
                  <c:v>43783</c:v>
                </c:pt>
                <c:pt idx="1251">
                  <c:v>43784</c:v>
                </c:pt>
                <c:pt idx="1252">
                  <c:v>43787</c:v>
                </c:pt>
                <c:pt idx="1253">
                  <c:v>43788</c:v>
                </c:pt>
                <c:pt idx="1254">
                  <c:v>43789</c:v>
                </c:pt>
                <c:pt idx="1255">
                  <c:v>43790</c:v>
                </c:pt>
                <c:pt idx="1256">
                  <c:v>43791</c:v>
                </c:pt>
                <c:pt idx="1257">
                  <c:v>43794</c:v>
                </c:pt>
                <c:pt idx="1258">
                  <c:v>43795</c:v>
                </c:pt>
                <c:pt idx="1259">
                  <c:v>43796</c:v>
                </c:pt>
                <c:pt idx="1260">
                  <c:v>43797</c:v>
                </c:pt>
                <c:pt idx="1261">
                  <c:v>43798</c:v>
                </c:pt>
                <c:pt idx="1262">
                  <c:v>43801</c:v>
                </c:pt>
                <c:pt idx="1263">
                  <c:v>43802</c:v>
                </c:pt>
                <c:pt idx="1264">
                  <c:v>43803</c:v>
                </c:pt>
                <c:pt idx="1265">
                  <c:v>43804</c:v>
                </c:pt>
                <c:pt idx="1266">
                  <c:v>43805</c:v>
                </c:pt>
                <c:pt idx="1267">
                  <c:v>43808</c:v>
                </c:pt>
                <c:pt idx="1268">
                  <c:v>43809</c:v>
                </c:pt>
                <c:pt idx="1269">
                  <c:v>43810</c:v>
                </c:pt>
                <c:pt idx="1270">
                  <c:v>43811</c:v>
                </c:pt>
                <c:pt idx="1271">
                  <c:v>43812</c:v>
                </c:pt>
                <c:pt idx="1272">
                  <c:v>43815</c:v>
                </c:pt>
                <c:pt idx="1273">
                  <c:v>43816</c:v>
                </c:pt>
                <c:pt idx="1274">
                  <c:v>43817</c:v>
                </c:pt>
                <c:pt idx="1275">
                  <c:v>43818</c:v>
                </c:pt>
                <c:pt idx="1276">
                  <c:v>43819</c:v>
                </c:pt>
                <c:pt idx="1277">
                  <c:v>43822</c:v>
                </c:pt>
                <c:pt idx="1278">
                  <c:v>43823</c:v>
                </c:pt>
                <c:pt idx="1279">
                  <c:v>43826</c:v>
                </c:pt>
                <c:pt idx="1280">
                  <c:v>43829</c:v>
                </c:pt>
                <c:pt idx="1281">
                  <c:v>43830</c:v>
                </c:pt>
                <c:pt idx="1282">
                  <c:v>43832</c:v>
                </c:pt>
                <c:pt idx="1283">
                  <c:v>43833</c:v>
                </c:pt>
                <c:pt idx="1284">
                  <c:v>43836</c:v>
                </c:pt>
                <c:pt idx="1285">
                  <c:v>43837</c:v>
                </c:pt>
                <c:pt idx="1286">
                  <c:v>43838</c:v>
                </c:pt>
                <c:pt idx="1287">
                  <c:v>43839</c:v>
                </c:pt>
                <c:pt idx="1288">
                  <c:v>43840</c:v>
                </c:pt>
                <c:pt idx="1289">
                  <c:v>43843</c:v>
                </c:pt>
                <c:pt idx="1290">
                  <c:v>43844</c:v>
                </c:pt>
                <c:pt idx="1291">
                  <c:v>43845</c:v>
                </c:pt>
                <c:pt idx="1292">
                  <c:v>43846</c:v>
                </c:pt>
                <c:pt idx="1293">
                  <c:v>43847</c:v>
                </c:pt>
                <c:pt idx="1294">
                  <c:v>43850</c:v>
                </c:pt>
                <c:pt idx="1295">
                  <c:v>43851</c:v>
                </c:pt>
                <c:pt idx="1296">
                  <c:v>43852</c:v>
                </c:pt>
                <c:pt idx="1297">
                  <c:v>43853</c:v>
                </c:pt>
                <c:pt idx="1298">
                  <c:v>43854</c:v>
                </c:pt>
                <c:pt idx="1299">
                  <c:v>43857</c:v>
                </c:pt>
                <c:pt idx="1300">
                  <c:v>43858</c:v>
                </c:pt>
                <c:pt idx="1301">
                  <c:v>43859</c:v>
                </c:pt>
                <c:pt idx="1302">
                  <c:v>43860</c:v>
                </c:pt>
                <c:pt idx="1303">
                  <c:v>43861</c:v>
                </c:pt>
                <c:pt idx="1304">
                  <c:v>43864</c:v>
                </c:pt>
                <c:pt idx="1305">
                  <c:v>43865</c:v>
                </c:pt>
                <c:pt idx="1306">
                  <c:v>43866</c:v>
                </c:pt>
                <c:pt idx="1307">
                  <c:v>43867</c:v>
                </c:pt>
                <c:pt idx="1308">
                  <c:v>43868</c:v>
                </c:pt>
                <c:pt idx="1309">
                  <c:v>43871</c:v>
                </c:pt>
                <c:pt idx="1310">
                  <c:v>43872</c:v>
                </c:pt>
                <c:pt idx="1311">
                  <c:v>43873</c:v>
                </c:pt>
                <c:pt idx="1312">
                  <c:v>43874</c:v>
                </c:pt>
                <c:pt idx="1313">
                  <c:v>43875</c:v>
                </c:pt>
                <c:pt idx="1314">
                  <c:v>43878</c:v>
                </c:pt>
                <c:pt idx="1315">
                  <c:v>43879</c:v>
                </c:pt>
                <c:pt idx="1316">
                  <c:v>43880</c:v>
                </c:pt>
                <c:pt idx="1317">
                  <c:v>43881</c:v>
                </c:pt>
                <c:pt idx="1318">
                  <c:v>43882</c:v>
                </c:pt>
                <c:pt idx="1319">
                  <c:v>43885</c:v>
                </c:pt>
                <c:pt idx="1320">
                  <c:v>43886</c:v>
                </c:pt>
                <c:pt idx="1321">
                  <c:v>43887</c:v>
                </c:pt>
                <c:pt idx="1322">
                  <c:v>43888</c:v>
                </c:pt>
                <c:pt idx="1323">
                  <c:v>43889</c:v>
                </c:pt>
                <c:pt idx="1324">
                  <c:v>43892</c:v>
                </c:pt>
                <c:pt idx="1325">
                  <c:v>43893</c:v>
                </c:pt>
                <c:pt idx="1326">
                  <c:v>43894</c:v>
                </c:pt>
                <c:pt idx="1327">
                  <c:v>43895</c:v>
                </c:pt>
                <c:pt idx="1328">
                  <c:v>43896</c:v>
                </c:pt>
                <c:pt idx="1329">
                  <c:v>43899</c:v>
                </c:pt>
                <c:pt idx="1330">
                  <c:v>43900</c:v>
                </c:pt>
                <c:pt idx="1331">
                  <c:v>43901</c:v>
                </c:pt>
                <c:pt idx="1332">
                  <c:v>43902</c:v>
                </c:pt>
                <c:pt idx="1333">
                  <c:v>43903</c:v>
                </c:pt>
                <c:pt idx="1334">
                  <c:v>43906</c:v>
                </c:pt>
                <c:pt idx="1335">
                  <c:v>43907</c:v>
                </c:pt>
                <c:pt idx="1336">
                  <c:v>43908</c:v>
                </c:pt>
                <c:pt idx="1337">
                  <c:v>43909</c:v>
                </c:pt>
                <c:pt idx="1338">
                  <c:v>43910</c:v>
                </c:pt>
                <c:pt idx="1339">
                  <c:v>43913</c:v>
                </c:pt>
                <c:pt idx="1340">
                  <c:v>43914</c:v>
                </c:pt>
                <c:pt idx="1341">
                  <c:v>43915</c:v>
                </c:pt>
                <c:pt idx="1342">
                  <c:v>43916</c:v>
                </c:pt>
                <c:pt idx="1343">
                  <c:v>43917</c:v>
                </c:pt>
                <c:pt idx="1344">
                  <c:v>43920</c:v>
                </c:pt>
                <c:pt idx="1345">
                  <c:v>43921</c:v>
                </c:pt>
                <c:pt idx="1346">
                  <c:v>43922</c:v>
                </c:pt>
                <c:pt idx="1347">
                  <c:v>43923</c:v>
                </c:pt>
                <c:pt idx="1348">
                  <c:v>43924</c:v>
                </c:pt>
                <c:pt idx="1349">
                  <c:v>43927</c:v>
                </c:pt>
                <c:pt idx="1350">
                  <c:v>43928</c:v>
                </c:pt>
                <c:pt idx="1351">
                  <c:v>43929</c:v>
                </c:pt>
                <c:pt idx="1352">
                  <c:v>43930</c:v>
                </c:pt>
                <c:pt idx="1353">
                  <c:v>43935</c:v>
                </c:pt>
                <c:pt idx="1354">
                  <c:v>43936</c:v>
                </c:pt>
                <c:pt idx="1355">
                  <c:v>43937</c:v>
                </c:pt>
                <c:pt idx="1356">
                  <c:v>43938</c:v>
                </c:pt>
                <c:pt idx="1357">
                  <c:v>43941</c:v>
                </c:pt>
                <c:pt idx="1358">
                  <c:v>43942</c:v>
                </c:pt>
                <c:pt idx="1359">
                  <c:v>43943</c:v>
                </c:pt>
                <c:pt idx="1360">
                  <c:v>43944</c:v>
                </c:pt>
                <c:pt idx="1361">
                  <c:v>43945</c:v>
                </c:pt>
                <c:pt idx="1362">
                  <c:v>43948</c:v>
                </c:pt>
                <c:pt idx="1363">
                  <c:v>43949</c:v>
                </c:pt>
                <c:pt idx="1364">
                  <c:v>43950</c:v>
                </c:pt>
                <c:pt idx="1365">
                  <c:v>43951</c:v>
                </c:pt>
                <c:pt idx="1366">
                  <c:v>43952</c:v>
                </c:pt>
                <c:pt idx="1367">
                  <c:v>43955</c:v>
                </c:pt>
                <c:pt idx="1368">
                  <c:v>43956</c:v>
                </c:pt>
                <c:pt idx="1369">
                  <c:v>43957</c:v>
                </c:pt>
                <c:pt idx="1370">
                  <c:v>43958</c:v>
                </c:pt>
                <c:pt idx="1371">
                  <c:v>43959</c:v>
                </c:pt>
                <c:pt idx="1372">
                  <c:v>43962</c:v>
                </c:pt>
                <c:pt idx="1373">
                  <c:v>43963</c:v>
                </c:pt>
                <c:pt idx="1374">
                  <c:v>43964</c:v>
                </c:pt>
                <c:pt idx="1375">
                  <c:v>43965</c:v>
                </c:pt>
                <c:pt idx="1376">
                  <c:v>43966</c:v>
                </c:pt>
                <c:pt idx="1377">
                  <c:v>43969</c:v>
                </c:pt>
                <c:pt idx="1378">
                  <c:v>43970</c:v>
                </c:pt>
                <c:pt idx="1379">
                  <c:v>43971</c:v>
                </c:pt>
                <c:pt idx="1380">
                  <c:v>43972</c:v>
                </c:pt>
                <c:pt idx="1381">
                  <c:v>43973</c:v>
                </c:pt>
                <c:pt idx="1382">
                  <c:v>43976</c:v>
                </c:pt>
                <c:pt idx="1383">
                  <c:v>43977</c:v>
                </c:pt>
                <c:pt idx="1384">
                  <c:v>43978</c:v>
                </c:pt>
                <c:pt idx="1385">
                  <c:v>43979</c:v>
                </c:pt>
                <c:pt idx="1386">
                  <c:v>43980</c:v>
                </c:pt>
                <c:pt idx="1387">
                  <c:v>43983</c:v>
                </c:pt>
                <c:pt idx="1388">
                  <c:v>43984</c:v>
                </c:pt>
                <c:pt idx="1389">
                  <c:v>43985</c:v>
                </c:pt>
                <c:pt idx="1390">
                  <c:v>43986</c:v>
                </c:pt>
                <c:pt idx="1391">
                  <c:v>43987</c:v>
                </c:pt>
                <c:pt idx="1392">
                  <c:v>43990</c:v>
                </c:pt>
                <c:pt idx="1393">
                  <c:v>43991</c:v>
                </c:pt>
                <c:pt idx="1394">
                  <c:v>43992</c:v>
                </c:pt>
                <c:pt idx="1395">
                  <c:v>43993</c:v>
                </c:pt>
                <c:pt idx="1396">
                  <c:v>43994</c:v>
                </c:pt>
                <c:pt idx="1397">
                  <c:v>43997</c:v>
                </c:pt>
                <c:pt idx="1398">
                  <c:v>43998</c:v>
                </c:pt>
                <c:pt idx="1399">
                  <c:v>43999</c:v>
                </c:pt>
                <c:pt idx="1400">
                  <c:v>44000</c:v>
                </c:pt>
                <c:pt idx="1401">
                  <c:v>44001</c:v>
                </c:pt>
                <c:pt idx="1402">
                  <c:v>44004</c:v>
                </c:pt>
                <c:pt idx="1403">
                  <c:v>44005</c:v>
                </c:pt>
                <c:pt idx="1404">
                  <c:v>44006</c:v>
                </c:pt>
                <c:pt idx="1405">
                  <c:v>44007</c:v>
                </c:pt>
                <c:pt idx="1406">
                  <c:v>44008</c:v>
                </c:pt>
                <c:pt idx="1407">
                  <c:v>44011</c:v>
                </c:pt>
                <c:pt idx="1408">
                  <c:v>44012</c:v>
                </c:pt>
                <c:pt idx="1409">
                  <c:v>44013</c:v>
                </c:pt>
                <c:pt idx="1410">
                  <c:v>44014</c:v>
                </c:pt>
                <c:pt idx="1411">
                  <c:v>44015</c:v>
                </c:pt>
                <c:pt idx="1412">
                  <c:v>44018</c:v>
                </c:pt>
                <c:pt idx="1413">
                  <c:v>44019</c:v>
                </c:pt>
                <c:pt idx="1414">
                  <c:v>44020</c:v>
                </c:pt>
                <c:pt idx="1415">
                  <c:v>44021</c:v>
                </c:pt>
                <c:pt idx="1416">
                  <c:v>44022</c:v>
                </c:pt>
                <c:pt idx="1417">
                  <c:v>44025</c:v>
                </c:pt>
                <c:pt idx="1418">
                  <c:v>44026</c:v>
                </c:pt>
                <c:pt idx="1419">
                  <c:v>44027</c:v>
                </c:pt>
                <c:pt idx="1420">
                  <c:v>44028</c:v>
                </c:pt>
                <c:pt idx="1421">
                  <c:v>44029</c:v>
                </c:pt>
                <c:pt idx="1422">
                  <c:v>44032</c:v>
                </c:pt>
                <c:pt idx="1423">
                  <c:v>44033</c:v>
                </c:pt>
                <c:pt idx="1424">
                  <c:v>44034</c:v>
                </c:pt>
                <c:pt idx="1425">
                  <c:v>44035</c:v>
                </c:pt>
                <c:pt idx="1426">
                  <c:v>44036</c:v>
                </c:pt>
                <c:pt idx="1427">
                  <c:v>44039</c:v>
                </c:pt>
                <c:pt idx="1428">
                  <c:v>44040</c:v>
                </c:pt>
                <c:pt idx="1429">
                  <c:v>44041</c:v>
                </c:pt>
                <c:pt idx="1430">
                  <c:v>44042</c:v>
                </c:pt>
                <c:pt idx="1431">
                  <c:v>44043</c:v>
                </c:pt>
                <c:pt idx="1432">
                  <c:v>44046</c:v>
                </c:pt>
                <c:pt idx="1433">
                  <c:v>44047</c:v>
                </c:pt>
                <c:pt idx="1434">
                  <c:v>44048</c:v>
                </c:pt>
                <c:pt idx="1435">
                  <c:v>44049</c:v>
                </c:pt>
                <c:pt idx="1436">
                  <c:v>44050</c:v>
                </c:pt>
                <c:pt idx="1437">
                  <c:v>44053</c:v>
                </c:pt>
                <c:pt idx="1438">
                  <c:v>44054</c:v>
                </c:pt>
                <c:pt idx="1439">
                  <c:v>44055</c:v>
                </c:pt>
                <c:pt idx="1440">
                  <c:v>44056</c:v>
                </c:pt>
                <c:pt idx="1441">
                  <c:v>44057</c:v>
                </c:pt>
                <c:pt idx="1442">
                  <c:v>44060</c:v>
                </c:pt>
                <c:pt idx="1443">
                  <c:v>44061</c:v>
                </c:pt>
                <c:pt idx="1444">
                  <c:v>44062</c:v>
                </c:pt>
                <c:pt idx="1445">
                  <c:v>44063</c:v>
                </c:pt>
                <c:pt idx="1446">
                  <c:v>44064</c:v>
                </c:pt>
                <c:pt idx="1447">
                  <c:v>44067</c:v>
                </c:pt>
                <c:pt idx="1448">
                  <c:v>44068</c:v>
                </c:pt>
                <c:pt idx="1449">
                  <c:v>44069</c:v>
                </c:pt>
                <c:pt idx="1450">
                  <c:v>44070</c:v>
                </c:pt>
                <c:pt idx="1451">
                  <c:v>44071</c:v>
                </c:pt>
                <c:pt idx="1452">
                  <c:v>44074</c:v>
                </c:pt>
                <c:pt idx="1453">
                  <c:v>44075</c:v>
                </c:pt>
                <c:pt idx="1454">
                  <c:v>44076</c:v>
                </c:pt>
                <c:pt idx="1455">
                  <c:v>44077</c:v>
                </c:pt>
                <c:pt idx="1456">
                  <c:v>44078</c:v>
                </c:pt>
                <c:pt idx="1457">
                  <c:v>44081</c:v>
                </c:pt>
                <c:pt idx="1458">
                  <c:v>44082</c:v>
                </c:pt>
                <c:pt idx="1459">
                  <c:v>44083</c:v>
                </c:pt>
                <c:pt idx="1460">
                  <c:v>44084</c:v>
                </c:pt>
                <c:pt idx="1461">
                  <c:v>44085</c:v>
                </c:pt>
                <c:pt idx="1462">
                  <c:v>44088</c:v>
                </c:pt>
                <c:pt idx="1463">
                  <c:v>44089</c:v>
                </c:pt>
                <c:pt idx="1464">
                  <c:v>44090</c:v>
                </c:pt>
                <c:pt idx="1465">
                  <c:v>44091</c:v>
                </c:pt>
                <c:pt idx="1466">
                  <c:v>44092</c:v>
                </c:pt>
                <c:pt idx="1467">
                  <c:v>44095</c:v>
                </c:pt>
                <c:pt idx="1468">
                  <c:v>44096</c:v>
                </c:pt>
                <c:pt idx="1469">
                  <c:v>44097</c:v>
                </c:pt>
                <c:pt idx="1470">
                  <c:v>44098</c:v>
                </c:pt>
                <c:pt idx="1471">
                  <c:v>44099</c:v>
                </c:pt>
                <c:pt idx="1472">
                  <c:v>44102</c:v>
                </c:pt>
                <c:pt idx="1473">
                  <c:v>44103</c:v>
                </c:pt>
                <c:pt idx="1474">
                  <c:v>44104</c:v>
                </c:pt>
                <c:pt idx="1475">
                  <c:v>44105</c:v>
                </c:pt>
                <c:pt idx="1476">
                  <c:v>44106</c:v>
                </c:pt>
                <c:pt idx="1477">
                  <c:v>44109</c:v>
                </c:pt>
                <c:pt idx="1478">
                  <c:v>44110</c:v>
                </c:pt>
                <c:pt idx="1479">
                  <c:v>44111</c:v>
                </c:pt>
                <c:pt idx="1480">
                  <c:v>44112</c:v>
                </c:pt>
                <c:pt idx="1481">
                  <c:v>44113</c:v>
                </c:pt>
                <c:pt idx="1482">
                  <c:v>44116</c:v>
                </c:pt>
                <c:pt idx="1483">
                  <c:v>44117</c:v>
                </c:pt>
                <c:pt idx="1484">
                  <c:v>44118</c:v>
                </c:pt>
                <c:pt idx="1485">
                  <c:v>44119</c:v>
                </c:pt>
                <c:pt idx="1486">
                  <c:v>44120</c:v>
                </c:pt>
                <c:pt idx="1487">
                  <c:v>44123</c:v>
                </c:pt>
                <c:pt idx="1488">
                  <c:v>44124</c:v>
                </c:pt>
                <c:pt idx="1489">
                  <c:v>44125</c:v>
                </c:pt>
                <c:pt idx="1490">
                  <c:v>44126</c:v>
                </c:pt>
                <c:pt idx="1491">
                  <c:v>44127</c:v>
                </c:pt>
                <c:pt idx="1492">
                  <c:v>44130</c:v>
                </c:pt>
                <c:pt idx="1493">
                  <c:v>44131</c:v>
                </c:pt>
                <c:pt idx="1494">
                  <c:v>44132</c:v>
                </c:pt>
                <c:pt idx="1495">
                  <c:v>44133</c:v>
                </c:pt>
                <c:pt idx="1496">
                  <c:v>44134</c:v>
                </c:pt>
                <c:pt idx="1497">
                  <c:v>44137</c:v>
                </c:pt>
                <c:pt idx="1498">
                  <c:v>44138</c:v>
                </c:pt>
                <c:pt idx="1499">
                  <c:v>44139</c:v>
                </c:pt>
                <c:pt idx="1500">
                  <c:v>44140</c:v>
                </c:pt>
                <c:pt idx="1501">
                  <c:v>44141</c:v>
                </c:pt>
                <c:pt idx="1502">
                  <c:v>44144</c:v>
                </c:pt>
                <c:pt idx="1503">
                  <c:v>44145</c:v>
                </c:pt>
                <c:pt idx="1504">
                  <c:v>44146</c:v>
                </c:pt>
                <c:pt idx="1505">
                  <c:v>44147</c:v>
                </c:pt>
                <c:pt idx="1506">
                  <c:v>44148</c:v>
                </c:pt>
                <c:pt idx="1507">
                  <c:v>44151</c:v>
                </c:pt>
                <c:pt idx="1508">
                  <c:v>44152</c:v>
                </c:pt>
                <c:pt idx="1509">
                  <c:v>44153</c:v>
                </c:pt>
                <c:pt idx="1510">
                  <c:v>44154</c:v>
                </c:pt>
                <c:pt idx="1511">
                  <c:v>44155</c:v>
                </c:pt>
                <c:pt idx="1512">
                  <c:v>44158</c:v>
                </c:pt>
                <c:pt idx="1513">
                  <c:v>44159</c:v>
                </c:pt>
                <c:pt idx="1514">
                  <c:v>44160</c:v>
                </c:pt>
                <c:pt idx="1515">
                  <c:v>44161</c:v>
                </c:pt>
                <c:pt idx="1516">
                  <c:v>44162</c:v>
                </c:pt>
                <c:pt idx="1517">
                  <c:v>44165</c:v>
                </c:pt>
                <c:pt idx="1518">
                  <c:v>44166</c:v>
                </c:pt>
                <c:pt idx="1519">
                  <c:v>44167</c:v>
                </c:pt>
                <c:pt idx="1520">
                  <c:v>44168</c:v>
                </c:pt>
                <c:pt idx="1521">
                  <c:v>44169</c:v>
                </c:pt>
                <c:pt idx="1522">
                  <c:v>44172</c:v>
                </c:pt>
                <c:pt idx="1523">
                  <c:v>44173</c:v>
                </c:pt>
                <c:pt idx="1524">
                  <c:v>44174</c:v>
                </c:pt>
                <c:pt idx="1525">
                  <c:v>44175</c:v>
                </c:pt>
                <c:pt idx="1526">
                  <c:v>44176</c:v>
                </c:pt>
                <c:pt idx="1527">
                  <c:v>44179</c:v>
                </c:pt>
                <c:pt idx="1528">
                  <c:v>44180</c:v>
                </c:pt>
                <c:pt idx="1529">
                  <c:v>44181</c:v>
                </c:pt>
                <c:pt idx="1530">
                  <c:v>44182</c:v>
                </c:pt>
                <c:pt idx="1531">
                  <c:v>44183</c:v>
                </c:pt>
                <c:pt idx="1532">
                  <c:v>44186</c:v>
                </c:pt>
                <c:pt idx="1533">
                  <c:v>44187</c:v>
                </c:pt>
                <c:pt idx="1534">
                  <c:v>44188</c:v>
                </c:pt>
                <c:pt idx="1535">
                  <c:v>44189</c:v>
                </c:pt>
                <c:pt idx="1536">
                  <c:v>44193</c:v>
                </c:pt>
                <c:pt idx="1537">
                  <c:v>44194</c:v>
                </c:pt>
                <c:pt idx="1538">
                  <c:v>44195</c:v>
                </c:pt>
                <c:pt idx="1539">
                  <c:v>44196</c:v>
                </c:pt>
                <c:pt idx="1540">
                  <c:v>44200</c:v>
                </c:pt>
                <c:pt idx="1541">
                  <c:v>44201</c:v>
                </c:pt>
                <c:pt idx="1542">
                  <c:v>44202</c:v>
                </c:pt>
                <c:pt idx="1543">
                  <c:v>44203</c:v>
                </c:pt>
                <c:pt idx="1544">
                  <c:v>44204</c:v>
                </c:pt>
                <c:pt idx="1545">
                  <c:v>44207</c:v>
                </c:pt>
                <c:pt idx="1546">
                  <c:v>44208</c:v>
                </c:pt>
                <c:pt idx="1547">
                  <c:v>44209</c:v>
                </c:pt>
                <c:pt idx="1548">
                  <c:v>44210</c:v>
                </c:pt>
                <c:pt idx="1549">
                  <c:v>44211</c:v>
                </c:pt>
                <c:pt idx="1550">
                  <c:v>44214</c:v>
                </c:pt>
                <c:pt idx="1551">
                  <c:v>44215</c:v>
                </c:pt>
                <c:pt idx="1552">
                  <c:v>44216</c:v>
                </c:pt>
                <c:pt idx="1553">
                  <c:v>44217</c:v>
                </c:pt>
                <c:pt idx="1554">
                  <c:v>44218</c:v>
                </c:pt>
                <c:pt idx="1555">
                  <c:v>44221</c:v>
                </c:pt>
                <c:pt idx="1556">
                  <c:v>44222</c:v>
                </c:pt>
                <c:pt idx="1557">
                  <c:v>44223</c:v>
                </c:pt>
                <c:pt idx="1558">
                  <c:v>44224</c:v>
                </c:pt>
                <c:pt idx="1559">
                  <c:v>44225</c:v>
                </c:pt>
                <c:pt idx="1560">
                  <c:v>44228</c:v>
                </c:pt>
                <c:pt idx="1561">
                  <c:v>44229</c:v>
                </c:pt>
                <c:pt idx="1562">
                  <c:v>44230</c:v>
                </c:pt>
                <c:pt idx="1563">
                  <c:v>44231</c:v>
                </c:pt>
                <c:pt idx="1564">
                  <c:v>44232</c:v>
                </c:pt>
                <c:pt idx="1565">
                  <c:v>44235</c:v>
                </c:pt>
                <c:pt idx="1566">
                  <c:v>44236</c:v>
                </c:pt>
                <c:pt idx="1567">
                  <c:v>44237</c:v>
                </c:pt>
                <c:pt idx="1568">
                  <c:v>44238</c:v>
                </c:pt>
                <c:pt idx="1569">
                  <c:v>44239</c:v>
                </c:pt>
                <c:pt idx="1570">
                  <c:v>44242</c:v>
                </c:pt>
                <c:pt idx="1571">
                  <c:v>44243</c:v>
                </c:pt>
                <c:pt idx="1572">
                  <c:v>44244</c:v>
                </c:pt>
                <c:pt idx="1573">
                  <c:v>44245</c:v>
                </c:pt>
                <c:pt idx="1574">
                  <c:v>44246</c:v>
                </c:pt>
                <c:pt idx="1575">
                  <c:v>44249</c:v>
                </c:pt>
                <c:pt idx="1576">
                  <c:v>44250</c:v>
                </c:pt>
                <c:pt idx="1577">
                  <c:v>44251</c:v>
                </c:pt>
                <c:pt idx="1578">
                  <c:v>44252</c:v>
                </c:pt>
                <c:pt idx="1579">
                  <c:v>44253</c:v>
                </c:pt>
                <c:pt idx="1580">
                  <c:v>44256</c:v>
                </c:pt>
                <c:pt idx="1581">
                  <c:v>44257</c:v>
                </c:pt>
                <c:pt idx="1582">
                  <c:v>44258</c:v>
                </c:pt>
                <c:pt idx="1583">
                  <c:v>44259</c:v>
                </c:pt>
                <c:pt idx="1584">
                  <c:v>44260</c:v>
                </c:pt>
                <c:pt idx="1585">
                  <c:v>44263</c:v>
                </c:pt>
                <c:pt idx="1586">
                  <c:v>44264</c:v>
                </c:pt>
                <c:pt idx="1587">
                  <c:v>44265</c:v>
                </c:pt>
                <c:pt idx="1588">
                  <c:v>44266</c:v>
                </c:pt>
                <c:pt idx="1589">
                  <c:v>44267</c:v>
                </c:pt>
                <c:pt idx="1590">
                  <c:v>44270</c:v>
                </c:pt>
                <c:pt idx="1591">
                  <c:v>44271</c:v>
                </c:pt>
                <c:pt idx="1592">
                  <c:v>44272</c:v>
                </c:pt>
                <c:pt idx="1593">
                  <c:v>44273</c:v>
                </c:pt>
                <c:pt idx="1594">
                  <c:v>44274</c:v>
                </c:pt>
                <c:pt idx="1595">
                  <c:v>44277</c:v>
                </c:pt>
                <c:pt idx="1596">
                  <c:v>44278</c:v>
                </c:pt>
                <c:pt idx="1597">
                  <c:v>44279</c:v>
                </c:pt>
                <c:pt idx="1598">
                  <c:v>44280</c:v>
                </c:pt>
                <c:pt idx="1599">
                  <c:v>44281</c:v>
                </c:pt>
                <c:pt idx="1600">
                  <c:v>44284</c:v>
                </c:pt>
                <c:pt idx="1601">
                  <c:v>44285</c:v>
                </c:pt>
                <c:pt idx="1602">
                  <c:v>44286</c:v>
                </c:pt>
                <c:pt idx="1603">
                  <c:v>44287</c:v>
                </c:pt>
                <c:pt idx="1604">
                  <c:v>44292</c:v>
                </c:pt>
                <c:pt idx="1605">
                  <c:v>44293</c:v>
                </c:pt>
                <c:pt idx="1606">
                  <c:v>44294</c:v>
                </c:pt>
                <c:pt idx="1607">
                  <c:v>44295</c:v>
                </c:pt>
                <c:pt idx="1608">
                  <c:v>44298</c:v>
                </c:pt>
                <c:pt idx="1609">
                  <c:v>44299</c:v>
                </c:pt>
                <c:pt idx="1610">
                  <c:v>44300</c:v>
                </c:pt>
                <c:pt idx="1611">
                  <c:v>44301</c:v>
                </c:pt>
                <c:pt idx="1612">
                  <c:v>44302</c:v>
                </c:pt>
              </c:numCache>
            </c:numRef>
          </c:cat>
          <c:val>
            <c:numRef>
              <c:f>'M1'!$E$7:$E$2132</c:f>
              <c:numCache>
                <c:formatCode>0.00</c:formatCode>
                <c:ptCount val="2126"/>
                <c:pt idx="0">
                  <c:v>20.448</c:v>
                </c:pt>
                <c:pt idx="1">
                  <c:v>20.145</c:v>
                </c:pt>
                <c:pt idx="2">
                  <c:v>19.538</c:v>
                </c:pt>
                <c:pt idx="3">
                  <c:v>19.594000000000001</c:v>
                </c:pt>
                <c:pt idx="4">
                  <c:v>19.591000000000001</c:v>
                </c:pt>
                <c:pt idx="5">
                  <c:v>19.559999999999999</c:v>
                </c:pt>
                <c:pt idx="6">
                  <c:v>19.760000000000002</c:v>
                </c:pt>
                <c:pt idx="7">
                  <c:v>20.451000000000001</c:v>
                </c:pt>
                <c:pt idx="8">
                  <c:v>20.591999999999999</c:v>
                </c:pt>
                <c:pt idx="9">
                  <c:v>20.25</c:v>
                </c:pt>
                <c:pt idx="10">
                  <c:v>19.82</c:v>
                </c:pt>
                <c:pt idx="11">
                  <c:v>19.274999999999999</c:v>
                </c:pt>
                <c:pt idx="12">
                  <c:v>19.248999999999999</c:v>
                </c:pt>
                <c:pt idx="13">
                  <c:v>19.524999999999999</c:v>
                </c:pt>
                <c:pt idx="14">
                  <c:v>19.548999999999999</c:v>
                </c:pt>
                <c:pt idx="15">
                  <c:v>19.466999999999999</c:v>
                </c:pt>
                <c:pt idx="16">
                  <c:v>19.611999999999998</c:v>
                </c:pt>
                <c:pt idx="17">
                  <c:v>19.919</c:v>
                </c:pt>
                <c:pt idx="18">
                  <c:v>20.213999999999999</c:v>
                </c:pt>
                <c:pt idx="19">
                  <c:v>20.7</c:v>
                </c:pt>
                <c:pt idx="20">
                  <c:v>20.265000000000001</c:v>
                </c:pt>
                <c:pt idx="21">
                  <c:v>20.286999999999999</c:v>
                </c:pt>
                <c:pt idx="22">
                  <c:v>20.111999999999998</c:v>
                </c:pt>
                <c:pt idx="23">
                  <c:v>20.405999999999999</c:v>
                </c:pt>
                <c:pt idx="24">
                  <c:v>21.373999999999999</c:v>
                </c:pt>
                <c:pt idx="25">
                  <c:v>21.009</c:v>
                </c:pt>
                <c:pt idx="26">
                  <c:v>21.600999999999999</c:v>
                </c:pt>
                <c:pt idx="27">
                  <c:v>22.344000000000001</c:v>
                </c:pt>
                <c:pt idx="28">
                  <c:v>22.878</c:v>
                </c:pt>
                <c:pt idx="29">
                  <c:v>24.102</c:v>
                </c:pt>
                <c:pt idx="30">
                  <c:v>23.55</c:v>
                </c:pt>
                <c:pt idx="31">
                  <c:v>22.806999999999999</c:v>
                </c:pt>
                <c:pt idx="32">
                  <c:v>22.684000000000001</c:v>
                </c:pt>
                <c:pt idx="33">
                  <c:v>22.654</c:v>
                </c:pt>
                <c:pt idx="34">
                  <c:v>21.876999999999999</c:v>
                </c:pt>
                <c:pt idx="35">
                  <c:v>22.202999999999999</c:v>
                </c:pt>
                <c:pt idx="36">
                  <c:v>21.876999999999999</c:v>
                </c:pt>
                <c:pt idx="37">
                  <c:v>22.308</c:v>
                </c:pt>
                <c:pt idx="38">
                  <c:v>23.015999999999998</c:v>
                </c:pt>
                <c:pt idx="39">
                  <c:v>23.756</c:v>
                </c:pt>
                <c:pt idx="40">
                  <c:v>23.056000000000001</c:v>
                </c:pt>
                <c:pt idx="41">
                  <c:v>22.4</c:v>
                </c:pt>
                <c:pt idx="42">
                  <c:v>21.902000000000001</c:v>
                </c:pt>
                <c:pt idx="43">
                  <c:v>22.126999999999999</c:v>
                </c:pt>
                <c:pt idx="44">
                  <c:v>21.434000000000001</c:v>
                </c:pt>
                <c:pt idx="45">
                  <c:v>20.998999999999999</c:v>
                </c:pt>
                <c:pt idx="46">
                  <c:v>21.673999999999999</c:v>
                </c:pt>
                <c:pt idx="47">
                  <c:v>21.585999999999999</c:v>
                </c:pt>
                <c:pt idx="48">
                  <c:v>22.12</c:v>
                </c:pt>
                <c:pt idx="49">
                  <c:v>21.876000000000001</c:v>
                </c:pt>
                <c:pt idx="50">
                  <c:v>21.628</c:v>
                </c:pt>
                <c:pt idx="51">
                  <c:v>21.364999999999998</c:v>
                </c:pt>
                <c:pt idx="52">
                  <c:v>21.145</c:v>
                </c:pt>
                <c:pt idx="53">
                  <c:v>21.306000000000001</c:v>
                </c:pt>
                <c:pt idx="54">
                  <c:v>21.236999999999998</c:v>
                </c:pt>
                <c:pt idx="55">
                  <c:v>21.067</c:v>
                </c:pt>
                <c:pt idx="56">
                  <c:v>20.931999999999999</c:v>
                </c:pt>
                <c:pt idx="57">
                  <c:v>21.186</c:v>
                </c:pt>
                <c:pt idx="58">
                  <c:v>21.111000000000001</c:v>
                </c:pt>
                <c:pt idx="59">
                  <c:v>21.707000000000001</c:v>
                </c:pt>
                <c:pt idx="60">
                  <c:v>21.809000000000001</c:v>
                </c:pt>
                <c:pt idx="61">
                  <c:v>21.773</c:v>
                </c:pt>
                <c:pt idx="62">
                  <c:v>21.567</c:v>
                </c:pt>
                <c:pt idx="63">
                  <c:v>21.931000000000001</c:v>
                </c:pt>
                <c:pt idx="64">
                  <c:v>21.876999999999999</c:v>
                </c:pt>
                <c:pt idx="65">
                  <c:v>21.488</c:v>
                </c:pt>
                <c:pt idx="66">
                  <c:v>21.640999999999998</c:v>
                </c:pt>
                <c:pt idx="67">
                  <c:v>21.841000000000001</c:v>
                </c:pt>
                <c:pt idx="68">
                  <c:v>21.702999999999999</c:v>
                </c:pt>
                <c:pt idx="69">
                  <c:v>21.975000000000001</c:v>
                </c:pt>
                <c:pt idx="70">
                  <c:v>21.620999999999999</c:v>
                </c:pt>
                <c:pt idx="71">
                  <c:v>21.806000000000001</c:v>
                </c:pt>
                <c:pt idx="72">
                  <c:v>21.553000000000001</c:v>
                </c:pt>
                <c:pt idx="73">
                  <c:v>21.146999999999998</c:v>
                </c:pt>
                <c:pt idx="74">
                  <c:v>21.13</c:v>
                </c:pt>
                <c:pt idx="75">
                  <c:v>21.399000000000001</c:v>
                </c:pt>
                <c:pt idx="76">
                  <c:v>21.311</c:v>
                </c:pt>
                <c:pt idx="77">
                  <c:v>21.007000000000001</c:v>
                </c:pt>
                <c:pt idx="78">
                  <c:v>21.138000000000002</c:v>
                </c:pt>
                <c:pt idx="79">
                  <c:v>21.003</c:v>
                </c:pt>
                <c:pt idx="80">
                  <c:v>20.887</c:v>
                </c:pt>
                <c:pt idx="81">
                  <c:v>20.946000000000002</c:v>
                </c:pt>
                <c:pt idx="82">
                  <c:v>20.478000000000002</c:v>
                </c:pt>
                <c:pt idx="83">
                  <c:v>20.163</c:v>
                </c:pt>
                <c:pt idx="84">
                  <c:v>20.163</c:v>
                </c:pt>
                <c:pt idx="85">
                  <c:v>20.427</c:v>
                </c:pt>
                <c:pt idx="86">
                  <c:v>20.347000000000001</c:v>
                </c:pt>
                <c:pt idx="87">
                  <c:v>20.129000000000001</c:v>
                </c:pt>
                <c:pt idx="88">
                  <c:v>20.295000000000002</c:v>
                </c:pt>
                <c:pt idx="89">
                  <c:v>20.9</c:v>
                </c:pt>
                <c:pt idx="90">
                  <c:v>20.798999999999999</c:v>
                </c:pt>
                <c:pt idx="91">
                  <c:v>20.751000000000001</c:v>
                </c:pt>
                <c:pt idx="92">
                  <c:v>20.45</c:v>
                </c:pt>
                <c:pt idx="93">
                  <c:v>20.484000000000002</c:v>
                </c:pt>
                <c:pt idx="94">
                  <c:v>20.308</c:v>
                </c:pt>
                <c:pt idx="95">
                  <c:v>20.356000000000002</c:v>
                </c:pt>
                <c:pt idx="96">
                  <c:v>20.446999999999999</c:v>
                </c:pt>
                <c:pt idx="97">
                  <c:v>20.413</c:v>
                </c:pt>
                <c:pt idx="98">
                  <c:v>20.38</c:v>
                </c:pt>
                <c:pt idx="99">
                  <c:v>20.38</c:v>
                </c:pt>
                <c:pt idx="100">
                  <c:v>20.484999999999999</c:v>
                </c:pt>
                <c:pt idx="101">
                  <c:v>20.492000000000001</c:v>
                </c:pt>
                <c:pt idx="102">
                  <c:v>20.556999999999999</c:v>
                </c:pt>
                <c:pt idx="103">
                  <c:v>20.244</c:v>
                </c:pt>
                <c:pt idx="104">
                  <c:v>20.141999999999999</c:v>
                </c:pt>
                <c:pt idx="105">
                  <c:v>20.170000000000002</c:v>
                </c:pt>
                <c:pt idx="106">
                  <c:v>20.152000000000001</c:v>
                </c:pt>
                <c:pt idx="107">
                  <c:v>19.978000000000002</c:v>
                </c:pt>
                <c:pt idx="108">
                  <c:v>20.106000000000002</c:v>
                </c:pt>
                <c:pt idx="109">
                  <c:v>20.350000000000001</c:v>
                </c:pt>
                <c:pt idx="110">
                  <c:v>20.338000000000001</c:v>
                </c:pt>
                <c:pt idx="111">
                  <c:v>20.399999999999999</c:v>
                </c:pt>
                <c:pt idx="112">
                  <c:v>20.053999999999998</c:v>
                </c:pt>
                <c:pt idx="113">
                  <c:v>20.045000000000002</c:v>
                </c:pt>
                <c:pt idx="114">
                  <c:v>20.042999999999999</c:v>
                </c:pt>
                <c:pt idx="115">
                  <c:v>20.213999999999999</c:v>
                </c:pt>
                <c:pt idx="116">
                  <c:v>20.077000000000002</c:v>
                </c:pt>
                <c:pt idx="117">
                  <c:v>20.119</c:v>
                </c:pt>
                <c:pt idx="118">
                  <c:v>20.286999999999999</c:v>
                </c:pt>
                <c:pt idx="119">
                  <c:v>20.710999999999999</c:v>
                </c:pt>
                <c:pt idx="120">
                  <c:v>20.736000000000001</c:v>
                </c:pt>
                <c:pt idx="121">
                  <c:v>20.631</c:v>
                </c:pt>
                <c:pt idx="122">
                  <c:v>20.462</c:v>
                </c:pt>
                <c:pt idx="123">
                  <c:v>20.446999999999999</c:v>
                </c:pt>
                <c:pt idx="124">
                  <c:v>20.398</c:v>
                </c:pt>
                <c:pt idx="125">
                  <c:v>20.454000000000001</c:v>
                </c:pt>
                <c:pt idx="126">
                  <c:v>20.673999999999999</c:v>
                </c:pt>
                <c:pt idx="127">
                  <c:v>20.876000000000001</c:v>
                </c:pt>
                <c:pt idx="128">
                  <c:v>20.823</c:v>
                </c:pt>
                <c:pt idx="129">
                  <c:v>20.721</c:v>
                </c:pt>
                <c:pt idx="130">
                  <c:v>20.666</c:v>
                </c:pt>
                <c:pt idx="131">
                  <c:v>20.462</c:v>
                </c:pt>
                <c:pt idx="132">
                  <c:v>20.734999999999999</c:v>
                </c:pt>
                <c:pt idx="133">
                  <c:v>20.872</c:v>
                </c:pt>
                <c:pt idx="134">
                  <c:v>20.98</c:v>
                </c:pt>
                <c:pt idx="135">
                  <c:v>20.835999999999999</c:v>
                </c:pt>
                <c:pt idx="136">
                  <c:v>20.916</c:v>
                </c:pt>
                <c:pt idx="137">
                  <c:v>21.073</c:v>
                </c:pt>
                <c:pt idx="138">
                  <c:v>20.945</c:v>
                </c:pt>
                <c:pt idx="139">
                  <c:v>20.991</c:v>
                </c:pt>
                <c:pt idx="140">
                  <c:v>20.864000000000001</c:v>
                </c:pt>
                <c:pt idx="141">
                  <c:v>20.655000000000001</c:v>
                </c:pt>
                <c:pt idx="142">
                  <c:v>20.574999999999999</c:v>
                </c:pt>
                <c:pt idx="143">
                  <c:v>20.449000000000002</c:v>
                </c:pt>
                <c:pt idx="144">
                  <c:v>20.483000000000001</c:v>
                </c:pt>
                <c:pt idx="145">
                  <c:v>20.709</c:v>
                </c:pt>
                <c:pt idx="146">
                  <c:v>20.725000000000001</c:v>
                </c:pt>
                <c:pt idx="147">
                  <c:v>20.882000000000001</c:v>
                </c:pt>
                <c:pt idx="148">
                  <c:v>20.51</c:v>
                </c:pt>
                <c:pt idx="149">
                  <c:v>20.358000000000001</c:v>
                </c:pt>
                <c:pt idx="150">
                  <c:v>20.295999999999999</c:v>
                </c:pt>
                <c:pt idx="151">
                  <c:v>20.216000000000001</c:v>
                </c:pt>
                <c:pt idx="152">
                  <c:v>20.277000000000001</c:v>
                </c:pt>
                <c:pt idx="153">
                  <c:v>20.024000000000001</c:v>
                </c:pt>
                <c:pt idx="154">
                  <c:v>19.978999999999999</c:v>
                </c:pt>
                <c:pt idx="155">
                  <c:v>19.969000000000001</c:v>
                </c:pt>
                <c:pt idx="156">
                  <c:v>19.585000000000001</c:v>
                </c:pt>
                <c:pt idx="157">
                  <c:v>19.466000000000001</c:v>
                </c:pt>
                <c:pt idx="158">
                  <c:v>19.454000000000001</c:v>
                </c:pt>
                <c:pt idx="159">
                  <c:v>19.317</c:v>
                </c:pt>
                <c:pt idx="160">
                  <c:v>19.393000000000001</c:v>
                </c:pt>
                <c:pt idx="161">
                  <c:v>19.204000000000001</c:v>
                </c:pt>
                <c:pt idx="162">
                  <c:v>18.943000000000001</c:v>
                </c:pt>
                <c:pt idx="163">
                  <c:v>18.899999999999999</c:v>
                </c:pt>
                <c:pt idx="164">
                  <c:v>18.358000000000001</c:v>
                </c:pt>
                <c:pt idx="165">
                  <c:v>18.728999999999999</c:v>
                </c:pt>
                <c:pt idx="166">
                  <c:v>18.628</c:v>
                </c:pt>
                <c:pt idx="167">
                  <c:v>18.972999999999999</c:v>
                </c:pt>
                <c:pt idx="168">
                  <c:v>18.972999999999999</c:v>
                </c:pt>
                <c:pt idx="169">
                  <c:v>19.25</c:v>
                </c:pt>
                <c:pt idx="170">
                  <c:v>19.384</c:v>
                </c:pt>
                <c:pt idx="171">
                  <c:v>19.501000000000001</c:v>
                </c:pt>
                <c:pt idx="172">
                  <c:v>19.704000000000001</c:v>
                </c:pt>
                <c:pt idx="173">
                  <c:v>19.425000000000001</c:v>
                </c:pt>
                <c:pt idx="174">
                  <c:v>19.344999999999999</c:v>
                </c:pt>
                <c:pt idx="175">
                  <c:v>19.343</c:v>
                </c:pt>
                <c:pt idx="176">
                  <c:v>19.388000000000002</c:v>
                </c:pt>
                <c:pt idx="177">
                  <c:v>19.321000000000002</c:v>
                </c:pt>
                <c:pt idx="178">
                  <c:v>19.277999999999999</c:v>
                </c:pt>
                <c:pt idx="179">
                  <c:v>19.172000000000001</c:v>
                </c:pt>
                <c:pt idx="180">
                  <c:v>19.04</c:v>
                </c:pt>
                <c:pt idx="181">
                  <c:v>19.260999999999999</c:v>
                </c:pt>
                <c:pt idx="182">
                  <c:v>19.056999999999999</c:v>
                </c:pt>
                <c:pt idx="183">
                  <c:v>18.927</c:v>
                </c:pt>
                <c:pt idx="184">
                  <c:v>18.782</c:v>
                </c:pt>
                <c:pt idx="185">
                  <c:v>18.952999999999999</c:v>
                </c:pt>
                <c:pt idx="186">
                  <c:v>18.88</c:v>
                </c:pt>
                <c:pt idx="187">
                  <c:v>18.587</c:v>
                </c:pt>
                <c:pt idx="188">
                  <c:v>18.753</c:v>
                </c:pt>
                <c:pt idx="189">
                  <c:v>18.495999999999999</c:v>
                </c:pt>
                <c:pt idx="190">
                  <c:v>18.481999999999999</c:v>
                </c:pt>
                <c:pt idx="191">
                  <c:v>18.667000000000002</c:v>
                </c:pt>
                <c:pt idx="192">
                  <c:v>18.396000000000001</c:v>
                </c:pt>
                <c:pt idx="193">
                  <c:v>18.177</c:v>
                </c:pt>
                <c:pt idx="194">
                  <c:v>18.381</c:v>
                </c:pt>
                <c:pt idx="195">
                  <c:v>18.859000000000002</c:v>
                </c:pt>
                <c:pt idx="196">
                  <c:v>18.745999999999999</c:v>
                </c:pt>
                <c:pt idx="197">
                  <c:v>18.8</c:v>
                </c:pt>
                <c:pt idx="198">
                  <c:v>18.754000000000001</c:v>
                </c:pt>
                <c:pt idx="199">
                  <c:v>18.449000000000002</c:v>
                </c:pt>
                <c:pt idx="200">
                  <c:v>18.175999999999998</c:v>
                </c:pt>
                <c:pt idx="201">
                  <c:v>18.027999999999999</c:v>
                </c:pt>
                <c:pt idx="202">
                  <c:v>18.172999999999998</c:v>
                </c:pt>
                <c:pt idx="203">
                  <c:v>18.198</c:v>
                </c:pt>
                <c:pt idx="204">
                  <c:v>18.411000000000001</c:v>
                </c:pt>
                <c:pt idx="205">
                  <c:v>18.187000000000001</c:v>
                </c:pt>
                <c:pt idx="206">
                  <c:v>18.065000000000001</c:v>
                </c:pt>
                <c:pt idx="207">
                  <c:v>18.143999999999998</c:v>
                </c:pt>
                <c:pt idx="208">
                  <c:v>18.276</c:v>
                </c:pt>
                <c:pt idx="209">
                  <c:v>18.05</c:v>
                </c:pt>
                <c:pt idx="210">
                  <c:v>18.09</c:v>
                </c:pt>
                <c:pt idx="211">
                  <c:v>18.125</c:v>
                </c:pt>
                <c:pt idx="212">
                  <c:v>18.149999999999999</c:v>
                </c:pt>
                <c:pt idx="213">
                  <c:v>17.989000000000001</c:v>
                </c:pt>
                <c:pt idx="214">
                  <c:v>17.831</c:v>
                </c:pt>
                <c:pt idx="215">
                  <c:v>17.876000000000001</c:v>
                </c:pt>
                <c:pt idx="216">
                  <c:v>17.95</c:v>
                </c:pt>
                <c:pt idx="217">
                  <c:v>17.707000000000001</c:v>
                </c:pt>
                <c:pt idx="218">
                  <c:v>17.870999999999999</c:v>
                </c:pt>
                <c:pt idx="219">
                  <c:v>17.457999999999998</c:v>
                </c:pt>
                <c:pt idx="220">
                  <c:v>17.251000000000001</c:v>
                </c:pt>
                <c:pt idx="221">
                  <c:v>17.074000000000002</c:v>
                </c:pt>
                <c:pt idx="222">
                  <c:v>16.899000000000001</c:v>
                </c:pt>
                <c:pt idx="223">
                  <c:v>17.001000000000001</c:v>
                </c:pt>
                <c:pt idx="224">
                  <c:v>17.225000000000001</c:v>
                </c:pt>
                <c:pt idx="225">
                  <c:v>17.623999999999999</c:v>
                </c:pt>
                <c:pt idx="226">
                  <c:v>17.344999999999999</c:v>
                </c:pt>
                <c:pt idx="227">
                  <c:v>17.36</c:v>
                </c:pt>
                <c:pt idx="228">
                  <c:v>17.221</c:v>
                </c:pt>
                <c:pt idx="229">
                  <c:v>17.192</c:v>
                </c:pt>
                <c:pt idx="230">
                  <c:v>17.422999999999998</c:v>
                </c:pt>
                <c:pt idx="231">
                  <c:v>17.561</c:v>
                </c:pt>
                <c:pt idx="232">
                  <c:v>17.606000000000002</c:v>
                </c:pt>
                <c:pt idx="233">
                  <c:v>17.542000000000002</c:v>
                </c:pt>
                <c:pt idx="234">
                  <c:v>18.024999999999999</c:v>
                </c:pt>
                <c:pt idx="235">
                  <c:v>18.218</c:v>
                </c:pt>
                <c:pt idx="236">
                  <c:v>17.850000000000001</c:v>
                </c:pt>
                <c:pt idx="237">
                  <c:v>17.353999999999999</c:v>
                </c:pt>
                <c:pt idx="238">
                  <c:v>17.452999999999999</c:v>
                </c:pt>
                <c:pt idx="239">
                  <c:v>16.835999999999999</c:v>
                </c:pt>
                <c:pt idx="240">
                  <c:v>16.84</c:v>
                </c:pt>
                <c:pt idx="241">
                  <c:v>16.585999999999999</c:v>
                </c:pt>
                <c:pt idx="242">
                  <c:v>16.506</c:v>
                </c:pt>
                <c:pt idx="243">
                  <c:v>16.289000000000001</c:v>
                </c:pt>
                <c:pt idx="244">
                  <c:v>15.872</c:v>
                </c:pt>
                <c:pt idx="245">
                  <c:v>16.094000000000001</c:v>
                </c:pt>
                <c:pt idx="246">
                  <c:v>15.73</c:v>
                </c:pt>
                <c:pt idx="247">
                  <c:v>15.603</c:v>
                </c:pt>
                <c:pt idx="248">
                  <c:v>15.394</c:v>
                </c:pt>
                <c:pt idx="249">
                  <c:v>15.086</c:v>
                </c:pt>
                <c:pt idx="250">
                  <c:v>14.944000000000001</c:v>
                </c:pt>
                <c:pt idx="251">
                  <c:v>14.566000000000001</c:v>
                </c:pt>
                <c:pt idx="252">
                  <c:v>14.457000000000001</c:v>
                </c:pt>
                <c:pt idx="253">
                  <c:v>14.83</c:v>
                </c:pt>
                <c:pt idx="254">
                  <c:v>15.393000000000001</c:v>
                </c:pt>
                <c:pt idx="255">
                  <c:v>14.911</c:v>
                </c:pt>
                <c:pt idx="256">
                  <c:v>14.786</c:v>
                </c:pt>
                <c:pt idx="257">
                  <c:v>14.605</c:v>
                </c:pt>
                <c:pt idx="258">
                  <c:v>14.784000000000001</c:v>
                </c:pt>
                <c:pt idx="259">
                  <c:v>15.125999999999999</c:v>
                </c:pt>
                <c:pt idx="260">
                  <c:v>15.528</c:v>
                </c:pt>
                <c:pt idx="261">
                  <c:v>14.766</c:v>
                </c:pt>
                <c:pt idx="262">
                  <c:v>14.641999999999999</c:v>
                </c:pt>
                <c:pt idx="263">
                  <c:v>14.048</c:v>
                </c:pt>
                <c:pt idx="264">
                  <c:v>14.172000000000001</c:v>
                </c:pt>
                <c:pt idx="265">
                  <c:v>13.757</c:v>
                </c:pt>
                <c:pt idx="266">
                  <c:v>13.321</c:v>
                </c:pt>
                <c:pt idx="267">
                  <c:v>13.39</c:v>
                </c:pt>
                <c:pt idx="268">
                  <c:v>13.35</c:v>
                </c:pt>
                <c:pt idx="269">
                  <c:v>12.797000000000001</c:v>
                </c:pt>
                <c:pt idx="270">
                  <c:v>12.577</c:v>
                </c:pt>
                <c:pt idx="271">
                  <c:v>13.458</c:v>
                </c:pt>
                <c:pt idx="272">
                  <c:v>12.757</c:v>
                </c:pt>
                <c:pt idx="273">
                  <c:v>12.891999999999999</c:v>
                </c:pt>
                <c:pt idx="274">
                  <c:v>13.284000000000001</c:v>
                </c:pt>
                <c:pt idx="275">
                  <c:v>13.669</c:v>
                </c:pt>
                <c:pt idx="276">
                  <c:v>13.375999999999999</c:v>
                </c:pt>
                <c:pt idx="277">
                  <c:v>12.803000000000001</c:v>
                </c:pt>
                <c:pt idx="278">
                  <c:v>12.78</c:v>
                </c:pt>
                <c:pt idx="279">
                  <c:v>12.923999999999999</c:v>
                </c:pt>
                <c:pt idx="280">
                  <c:v>12.406000000000001</c:v>
                </c:pt>
                <c:pt idx="281">
                  <c:v>12.272</c:v>
                </c:pt>
                <c:pt idx="282">
                  <c:v>12.24</c:v>
                </c:pt>
                <c:pt idx="283">
                  <c:v>12.156000000000001</c:v>
                </c:pt>
                <c:pt idx="284">
                  <c:v>11.981</c:v>
                </c:pt>
                <c:pt idx="285">
                  <c:v>11.859</c:v>
                </c:pt>
                <c:pt idx="286">
                  <c:v>12.082000000000001</c:v>
                </c:pt>
                <c:pt idx="287">
                  <c:v>11.965</c:v>
                </c:pt>
                <c:pt idx="288">
                  <c:v>11.726000000000001</c:v>
                </c:pt>
                <c:pt idx="289">
                  <c:v>11.885999999999999</c:v>
                </c:pt>
                <c:pt idx="290">
                  <c:v>12.138999999999999</c:v>
                </c:pt>
                <c:pt idx="291">
                  <c:v>11.994999999999999</c:v>
                </c:pt>
                <c:pt idx="292">
                  <c:v>12.381</c:v>
                </c:pt>
                <c:pt idx="293">
                  <c:v>12.308999999999999</c:v>
                </c:pt>
                <c:pt idx="294">
                  <c:v>12.051</c:v>
                </c:pt>
                <c:pt idx="295">
                  <c:v>11.904</c:v>
                </c:pt>
                <c:pt idx="296">
                  <c:v>12.164</c:v>
                </c:pt>
                <c:pt idx="297">
                  <c:v>12.193</c:v>
                </c:pt>
                <c:pt idx="298">
                  <c:v>12.172000000000001</c:v>
                </c:pt>
                <c:pt idx="299">
                  <c:v>12.214</c:v>
                </c:pt>
                <c:pt idx="300">
                  <c:v>12.036</c:v>
                </c:pt>
                <c:pt idx="301">
                  <c:v>11.852</c:v>
                </c:pt>
                <c:pt idx="302">
                  <c:v>11.824999999999999</c:v>
                </c:pt>
                <c:pt idx="303">
                  <c:v>11.942</c:v>
                </c:pt>
                <c:pt idx="304">
                  <c:v>12.074</c:v>
                </c:pt>
                <c:pt idx="305">
                  <c:v>11.877000000000001</c:v>
                </c:pt>
                <c:pt idx="306">
                  <c:v>12</c:v>
                </c:pt>
                <c:pt idx="307">
                  <c:v>12.02</c:v>
                </c:pt>
                <c:pt idx="308">
                  <c:v>12.044</c:v>
                </c:pt>
                <c:pt idx="309">
                  <c:v>11.994999999999999</c:v>
                </c:pt>
                <c:pt idx="310">
                  <c:v>12.055999999999999</c:v>
                </c:pt>
                <c:pt idx="311">
                  <c:v>12.121</c:v>
                </c:pt>
                <c:pt idx="312">
                  <c:v>11.927</c:v>
                </c:pt>
                <c:pt idx="313">
                  <c:v>11.920999999999999</c:v>
                </c:pt>
                <c:pt idx="314">
                  <c:v>11.958</c:v>
                </c:pt>
                <c:pt idx="315">
                  <c:v>12.042</c:v>
                </c:pt>
                <c:pt idx="316">
                  <c:v>12.044</c:v>
                </c:pt>
                <c:pt idx="317">
                  <c:v>12.073</c:v>
                </c:pt>
                <c:pt idx="318">
                  <c:v>11.936999999999999</c:v>
                </c:pt>
                <c:pt idx="319">
                  <c:v>11.638999999999999</c:v>
                </c:pt>
                <c:pt idx="320">
                  <c:v>11.375</c:v>
                </c:pt>
                <c:pt idx="321">
                  <c:v>11.237</c:v>
                </c:pt>
                <c:pt idx="322">
                  <c:v>11.4</c:v>
                </c:pt>
                <c:pt idx="323">
                  <c:v>11.15</c:v>
                </c:pt>
                <c:pt idx="324">
                  <c:v>11.226000000000001</c:v>
                </c:pt>
                <c:pt idx="325">
                  <c:v>11.188000000000001</c:v>
                </c:pt>
                <c:pt idx="326">
                  <c:v>11.26</c:v>
                </c:pt>
                <c:pt idx="327">
                  <c:v>11.321999999999999</c:v>
                </c:pt>
                <c:pt idx="328">
                  <c:v>11.225</c:v>
                </c:pt>
                <c:pt idx="329">
                  <c:v>11.21</c:v>
                </c:pt>
                <c:pt idx="330">
                  <c:v>11.343</c:v>
                </c:pt>
                <c:pt idx="331">
                  <c:v>11.663</c:v>
                </c:pt>
                <c:pt idx="332">
                  <c:v>11.798999999999999</c:v>
                </c:pt>
                <c:pt idx="333">
                  <c:v>12.5</c:v>
                </c:pt>
                <c:pt idx="334">
                  <c:v>13.08</c:v>
                </c:pt>
                <c:pt idx="335">
                  <c:v>12.968999999999999</c:v>
                </c:pt>
                <c:pt idx="336">
                  <c:v>13.98</c:v>
                </c:pt>
                <c:pt idx="337">
                  <c:v>13.98</c:v>
                </c:pt>
                <c:pt idx="338">
                  <c:v>12.643000000000001</c:v>
                </c:pt>
                <c:pt idx="339">
                  <c:v>12.779</c:v>
                </c:pt>
                <c:pt idx="340">
                  <c:v>12.275</c:v>
                </c:pt>
                <c:pt idx="341">
                  <c:v>12.148</c:v>
                </c:pt>
                <c:pt idx="342">
                  <c:v>12.425000000000001</c:v>
                </c:pt>
                <c:pt idx="343">
                  <c:v>12.834</c:v>
                </c:pt>
                <c:pt idx="344">
                  <c:v>12.875</c:v>
                </c:pt>
                <c:pt idx="345">
                  <c:v>13.122999999999999</c:v>
                </c:pt>
                <c:pt idx="346">
                  <c:v>12.919</c:v>
                </c:pt>
                <c:pt idx="347">
                  <c:v>13.010999999999999</c:v>
                </c:pt>
                <c:pt idx="348">
                  <c:v>12.914</c:v>
                </c:pt>
                <c:pt idx="349">
                  <c:v>12.853999999999999</c:v>
                </c:pt>
                <c:pt idx="350">
                  <c:v>13.093999999999999</c:v>
                </c:pt>
                <c:pt idx="351">
                  <c:v>13.144</c:v>
                </c:pt>
                <c:pt idx="352">
                  <c:v>13.096</c:v>
                </c:pt>
                <c:pt idx="353">
                  <c:v>12.951000000000001</c:v>
                </c:pt>
                <c:pt idx="354">
                  <c:v>13.028</c:v>
                </c:pt>
                <c:pt idx="355">
                  <c:v>12.917999999999999</c:v>
                </c:pt>
                <c:pt idx="356">
                  <c:v>12.999000000000001</c:v>
                </c:pt>
                <c:pt idx="357">
                  <c:v>13.295999999999999</c:v>
                </c:pt>
                <c:pt idx="358">
                  <c:v>13.486000000000001</c:v>
                </c:pt>
                <c:pt idx="359">
                  <c:v>13.817</c:v>
                </c:pt>
                <c:pt idx="360">
                  <c:v>13.91</c:v>
                </c:pt>
                <c:pt idx="361">
                  <c:v>14.238</c:v>
                </c:pt>
                <c:pt idx="362">
                  <c:v>14.073</c:v>
                </c:pt>
                <c:pt idx="363">
                  <c:v>14.393000000000001</c:v>
                </c:pt>
                <c:pt idx="364">
                  <c:v>14.268000000000001</c:v>
                </c:pt>
                <c:pt idx="365">
                  <c:v>14.496</c:v>
                </c:pt>
                <c:pt idx="366">
                  <c:v>14.62</c:v>
                </c:pt>
                <c:pt idx="367">
                  <c:v>14.4</c:v>
                </c:pt>
                <c:pt idx="368">
                  <c:v>14.193</c:v>
                </c:pt>
                <c:pt idx="369">
                  <c:v>13.987</c:v>
                </c:pt>
                <c:pt idx="370">
                  <c:v>13.85</c:v>
                </c:pt>
                <c:pt idx="371">
                  <c:v>14.02</c:v>
                </c:pt>
                <c:pt idx="372">
                  <c:v>14.2</c:v>
                </c:pt>
                <c:pt idx="373">
                  <c:v>14.176</c:v>
                </c:pt>
                <c:pt idx="374">
                  <c:v>14.518000000000001</c:v>
                </c:pt>
                <c:pt idx="375">
                  <c:v>15.144</c:v>
                </c:pt>
                <c:pt idx="376">
                  <c:v>14.884</c:v>
                </c:pt>
                <c:pt idx="377">
                  <c:v>15.26</c:v>
                </c:pt>
                <c:pt idx="378">
                  <c:v>15.170999999999999</c:v>
                </c:pt>
                <c:pt idx="379">
                  <c:v>14.9</c:v>
                </c:pt>
                <c:pt idx="380">
                  <c:v>14.302</c:v>
                </c:pt>
                <c:pt idx="381">
                  <c:v>14.153</c:v>
                </c:pt>
                <c:pt idx="382">
                  <c:v>14.428000000000001</c:v>
                </c:pt>
                <c:pt idx="383">
                  <c:v>14.375</c:v>
                </c:pt>
                <c:pt idx="384">
                  <c:v>14.28</c:v>
                </c:pt>
                <c:pt idx="385">
                  <c:v>14.539</c:v>
                </c:pt>
                <c:pt idx="386">
                  <c:v>14.24</c:v>
                </c:pt>
                <c:pt idx="387">
                  <c:v>14.162000000000001</c:v>
                </c:pt>
                <c:pt idx="388">
                  <c:v>14.387</c:v>
                </c:pt>
                <c:pt idx="389">
                  <c:v>14.137</c:v>
                </c:pt>
                <c:pt idx="390">
                  <c:v>14.114000000000001</c:v>
                </c:pt>
                <c:pt idx="391">
                  <c:v>14.303000000000001</c:v>
                </c:pt>
                <c:pt idx="392">
                  <c:v>14.225</c:v>
                </c:pt>
                <c:pt idx="393">
                  <c:v>14.307</c:v>
                </c:pt>
                <c:pt idx="394">
                  <c:v>14.218999999999999</c:v>
                </c:pt>
                <c:pt idx="395">
                  <c:v>14.289</c:v>
                </c:pt>
                <c:pt idx="396">
                  <c:v>14.413</c:v>
                </c:pt>
                <c:pt idx="397">
                  <c:v>14.723000000000001</c:v>
                </c:pt>
                <c:pt idx="398">
                  <c:v>14.983000000000001</c:v>
                </c:pt>
                <c:pt idx="399">
                  <c:v>14.85</c:v>
                </c:pt>
                <c:pt idx="400">
                  <c:v>14.843</c:v>
                </c:pt>
                <c:pt idx="401">
                  <c:v>14.593999999999999</c:v>
                </c:pt>
                <c:pt idx="402">
                  <c:v>14.45</c:v>
                </c:pt>
                <c:pt idx="403">
                  <c:v>14.151999999999999</c:v>
                </c:pt>
                <c:pt idx="404">
                  <c:v>14.458</c:v>
                </c:pt>
                <c:pt idx="405">
                  <c:v>14.05</c:v>
                </c:pt>
                <c:pt idx="406">
                  <c:v>13.803000000000001</c:v>
                </c:pt>
                <c:pt idx="407">
                  <c:v>13.702</c:v>
                </c:pt>
                <c:pt idx="408">
                  <c:v>13.65</c:v>
                </c:pt>
                <c:pt idx="409">
                  <c:v>13.35</c:v>
                </c:pt>
                <c:pt idx="410">
                  <c:v>13.074</c:v>
                </c:pt>
                <c:pt idx="411">
                  <c:v>12.856</c:v>
                </c:pt>
                <c:pt idx="412">
                  <c:v>12.895</c:v>
                </c:pt>
                <c:pt idx="413">
                  <c:v>12.8</c:v>
                </c:pt>
                <c:pt idx="414">
                  <c:v>12.273</c:v>
                </c:pt>
                <c:pt idx="415">
                  <c:v>11.67</c:v>
                </c:pt>
                <c:pt idx="416">
                  <c:v>11.884</c:v>
                </c:pt>
                <c:pt idx="417">
                  <c:v>12.101000000000001</c:v>
                </c:pt>
                <c:pt idx="418">
                  <c:v>12.023999999999999</c:v>
                </c:pt>
                <c:pt idx="419">
                  <c:v>10.613</c:v>
                </c:pt>
                <c:pt idx="420">
                  <c:v>11.276</c:v>
                </c:pt>
                <c:pt idx="421">
                  <c:v>11.688000000000001</c:v>
                </c:pt>
                <c:pt idx="422">
                  <c:v>11.127000000000001</c:v>
                </c:pt>
                <c:pt idx="423">
                  <c:v>11.103</c:v>
                </c:pt>
                <c:pt idx="424">
                  <c:v>11.438000000000001</c:v>
                </c:pt>
                <c:pt idx="425">
                  <c:v>11.8</c:v>
                </c:pt>
                <c:pt idx="426">
                  <c:v>11.544</c:v>
                </c:pt>
                <c:pt idx="427">
                  <c:v>12.673</c:v>
                </c:pt>
                <c:pt idx="428">
                  <c:v>12.62</c:v>
                </c:pt>
                <c:pt idx="429">
                  <c:v>12.72</c:v>
                </c:pt>
                <c:pt idx="430">
                  <c:v>12.521000000000001</c:v>
                </c:pt>
                <c:pt idx="431">
                  <c:v>12.375</c:v>
                </c:pt>
                <c:pt idx="432">
                  <c:v>12</c:v>
                </c:pt>
                <c:pt idx="433">
                  <c:v>11.971</c:v>
                </c:pt>
                <c:pt idx="434">
                  <c:v>11.9</c:v>
                </c:pt>
                <c:pt idx="435">
                  <c:v>11.829000000000001</c:v>
                </c:pt>
                <c:pt idx="436">
                  <c:v>12.006</c:v>
                </c:pt>
                <c:pt idx="437">
                  <c:v>11.946999999999999</c:v>
                </c:pt>
                <c:pt idx="438">
                  <c:v>12.481999999999999</c:v>
                </c:pt>
                <c:pt idx="439">
                  <c:v>12.778</c:v>
                </c:pt>
                <c:pt idx="440">
                  <c:v>13.377000000000001</c:v>
                </c:pt>
                <c:pt idx="441">
                  <c:v>13.029</c:v>
                </c:pt>
                <c:pt idx="442">
                  <c:v>13.266999999999999</c:v>
                </c:pt>
                <c:pt idx="443">
                  <c:v>13.553000000000001</c:v>
                </c:pt>
                <c:pt idx="444">
                  <c:v>14.01</c:v>
                </c:pt>
                <c:pt idx="445">
                  <c:v>13.898</c:v>
                </c:pt>
                <c:pt idx="446">
                  <c:v>13.3</c:v>
                </c:pt>
                <c:pt idx="447">
                  <c:v>13.9</c:v>
                </c:pt>
                <c:pt idx="448">
                  <c:v>13.95</c:v>
                </c:pt>
                <c:pt idx="449">
                  <c:v>15.35</c:v>
                </c:pt>
                <c:pt idx="450">
                  <c:v>15.598000000000001</c:v>
                </c:pt>
                <c:pt idx="451">
                  <c:v>15.975</c:v>
                </c:pt>
                <c:pt idx="452">
                  <c:v>16.128</c:v>
                </c:pt>
                <c:pt idx="453">
                  <c:v>16.437999999999999</c:v>
                </c:pt>
                <c:pt idx="454">
                  <c:v>16.074999999999999</c:v>
                </c:pt>
                <c:pt idx="455">
                  <c:v>15.818</c:v>
                </c:pt>
                <c:pt idx="456">
                  <c:v>15.459</c:v>
                </c:pt>
                <c:pt idx="457">
                  <c:v>15.397</c:v>
                </c:pt>
                <c:pt idx="458">
                  <c:v>15.725</c:v>
                </c:pt>
                <c:pt idx="459">
                  <c:v>16.146999999999998</c:v>
                </c:pt>
                <c:pt idx="460">
                  <c:v>16.29</c:v>
                </c:pt>
                <c:pt idx="461">
                  <c:v>16.760000000000002</c:v>
                </c:pt>
                <c:pt idx="462">
                  <c:v>16.745999999999999</c:v>
                </c:pt>
                <c:pt idx="463">
                  <c:v>16.902000000000001</c:v>
                </c:pt>
                <c:pt idx="464">
                  <c:v>16.774999999999999</c:v>
                </c:pt>
                <c:pt idx="465">
                  <c:v>17.295000000000002</c:v>
                </c:pt>
                <c:pt idx="466">
                  <c:v>17.587</c:v>
                </c:pt>
                <c:pt idx="467">
                  <c:v>17.132000000000001</c:v>
                </c:pt>
                <c:pt idx="468">
                  <c:v>17.434000000000001</c:v>
                </c:pt>
                <c:pt idx="469">
                  <c:v>17.25</c:v>
                </c:pt>
                <c:pt idx="470">
                  <c:v>17.791</c:v>
                </c:pt>
                <c:pt idx="471">
                  <c:v>18.446999999999999</c:v>
                </c:pt>
                <c:pt idx="472">
                  <c:v>18.954999999999998</c:v>
                </c:pt>
                <c:pt idx="473">
                  <c:v>18.867999999999999</c:v>
                </c:pt>
                <c:pt idx="474">
                  <c:v>18.338000000000001</c:v>
                </c:pt>
                <c:pt idx="475">
                  <c:v>17.988</c:v>
                </c:pt>
                <c:pt idx="476">
                  <c:v>17.646000000000001</c:v>
                </c:pt>
                <c:pt idx="477">
                  <c:v>17.914000000000001</c:v>
                </c:pt>
                <c:pt idx="478">
                  <c:v>18.071000000000002</c:v>
                </c:pt>
                <c:pt idx="479">
                  <c:v>18.062000000000001</c:v>
                </c:pt>
                <c:pt idx="480">
                  <c:v>17.588999999999999</c:v>
                </c:pt>
                <c:pt idx="481">
                  <c:v>17.850000000000001</c:v>
                </c:pt>
                <c:pt idx="482">
                  <c:v>17.63</c:v>
                </c:pt>
                <c:pt idx="483">
                  <c:v>17.638000000000002</c:v>
                </c:pt>
                <c:pt idx="484">
                  <c:v>17.898</c:v>
                </c:pt>
                <c:pt idx="485">
                  <c:v>17.37</c:v>
                </c:pt>
                <c:pt idx="486">
                  <c:v>17.629000000000001</c:v>
                </c:pt>
                <c:pt idx="487">
                  <c:v>17.805</c:v>
                </c:pt>
                <c:pt idx="488">
                  <c:v>17.844000000000001</c:v>
                </c:pt>
                <c:pt idx="489">
                  <c:v>17.702999999999999</c:v>
                </c:pt>
                <c:pt idx="490">
                  <c:v>17.960999999999999</c:v>
                </c:pt>
                <c:pt idx="491">
                  <c:v>17.971</c:v>
                </c:pt>
                <c:pt idx="492">
                  <c:v>18.213000000000001</c:v>
                </c:pt>
                <c:pt idx="493">
                  <c:v>18.09</c:v>
                </c:pt>
                <c:pt idx="494">
                  <c:v>17.54</c:v>
                </c:pt>
                <c:pt idx="495">
                  <c:v>16.966999999999999</c:v>
                </c:pt>
                <c:pt idx="496">
                  <c:v>16.315999999999999</c:v>
                </c:pt>
                <c:pt idx="497">
                  <c:v>16.25</c:v>
                </c:pt>
                <c:pt idx="498">
                  <c:v>16.404</c:v>
                </c:pt>
                <c:pt idx="499">
                  <c:v>16.492000000000001</c:v>
                </c:pt>
                <c:pt idx="500">
                  <c:v>17.100000000000001</c:v>
                </c:pt>
                <c:pt idx="501">
                  <c:v>17.132999999999999</c:v>
                </c:pt>
                <c:pt idx="502">
                  <c:v>17.123999999999999</c:v>
                </c:pt>
                <c:pt idx="503">
                  <c:v>17.170000000000002</c:v>
                </c:pt>
                <c:pt idx="504">
                  <c:v>17.498999999999999</c:v>
                </c:pt>
                <c:pt idx="505">
                  <c:v>17.350000000000001</c:v>
                </c:pt>
                <c:pt idx="506">
                  <c:v>17.498999999999999</c:v>
                </c:pt>
                <c:pt idx="507">
                  <c:v>17.63</c:v>
                </c:pt>
                <c:pt idx="508">
                  <c:v>18.061</c:v>
                </c:pt>
                <c:pt idx="509">
                  <c:v>18.081</c:v>
                </c:pt>
                <c:pt idx="510">
                  <c:v>18.334</c:v>
                </c:pt>
                <c:pt idx="511">
                  <c:v>18.774000000000001</c:v>
                </c:pt>
                <c:pt idx="512">
                  <c:v>18.995999999999999</c:v>
                </c:pt>
                <c:pt idx="513">
                  <c:v>19.541</c:v>
                </c:pt>
                <c:pt idx="514">
                  <c:v>19.202000000000002</c:v>
                </c:pt>
                <c:pt idx="515">
                  <c:v>18.385000000000002</c:v>
                </c:pt>
                <c:pt idx="516">
                  <c:v>18.843</c:v>
                </c:pt>
                <c:pt idx="517">
                  <c:v>18.86</c:v>
                </c:pt>
                <c:pt idx="518">
                  <c:v>18.542999999999999</c:v>
                </c:pt>
                <c:pt idx="519">
                  <c:v>19.137</c:v>
                </c:pt>
                <c:pt idx="520">
                  <c:v>19.806000000000001</c:v>
                </c:pt>
                <c:pt idx="521">
                  <c:v>20.501000000000001</c:v>
                </c:pt>
                <c:pt idx="522">
                  <c:v>20.318999999999999</c:v>
                </c:pt>
                <c:pt idx="523">
                  <c:v>20.007999999999999</c:v>
                </c:pt>
                <c:pt idx="524">
                  <c:v>19.001999999999999</c:v>
                </c:pt>
                <c:pt idx="525">
                  <c:v>19.465</c:v>
                </c:pt>
                <c:pt idx="526">
                  <c:v>19.619</c:v>
                </c:pt>
                <c:pt idx="527">
                  <c:v>19.908999999999999</c:v>
                </c:pt>
                <c:pt idx="528">
                  <c:v>20.492999999999999</c:v>
                </c:pt>
                <c:pt idx="529">
                  <c:v>21.128</c:v>
                </c:pt>
                <c:pt idx="530">
                  <c:v>20.702999999999999</c:v>
                </c:pt>
                <c:pt idx="531">
                  <c:v>20.023</c:v>
                </c:pt>
                <c:pt idx="532">
                  <c:v>19.846</c:v>
                </c:pt>
                <c:pt idx="533">
                  <c:v>19.5</c:v>
                </c:pt>
                <c:pt idx="534">
                  <c:v>20.399999999999999</c:v>
                </c:pt>
                <c:pt idx="535">
                  <c:v>20.748999999999999</c:v>
                </c:pt>
                <c:pt idx="536">
                  <c:v>21.515000000000001</c:v>
                </c:pt>
                <c:pt idx="537">
                  <c:v>21.75</c:v>
                </c:pt>
                <c:pt idx="538">
                  <c:v>22.242999999999999</c:v>
                </c:pt>
                <c:pt idx="539">
                  <c:v>21.942</c:v>
                </c:pt>
                <c:pt idx="540">
                  <c:v>21.27</c:v>
                </c:pt>
                <c:pt idx="541">
                  <c:v>20.291</c:v>
                </c:pt>
                <c:pt idx="542">
                  <c:v>20.187999999999999</c:v>
                </c:pt>
                <c:pt idx="543">
                  <c:v>19.771999999999998</c:v>
                </c:pt>
                <c:pt idx="544">
                  <c:v>19.05</c:v>
                </c:pt>
                <c:pt idx="545">
                  <c:v>18.731000000000002</c:v>
                </c:pt>
                <c:pt idx="546">
                  <c:v>18.850000000000001</c:v>
                </c:pt>
                <c:pt idx="547">
                  <c:v>19.010000000000002</c:v>
                </c:pt>
                <c:pt idx="548">
                  <c:v>18.475999999999999</c:v>
                </c:pt>
                <c:pt idx="549">
                  <c:v>18.568999999999999</c:v>
                </c:pt>
                <c:pt idx="550">
                  <c:v>18.120999999999999</c:v>
                </c:pt>
                <c:pt idx="551">
                  <c:v>18.045999999999999</c:v>
                </c:pt>
                <c:pt idx="552">
                  <c:v>18.302</c:v>
                </c:pt>
                <c:pt idx="553">
                  <c:v>17.797999999999998</c:v>
                </c:pt>
                <c:pt idx="554">
                  <c:v>17.280999999999999</c:v>
                </c:pt>
                <c:pt idx="555">
                  <c:v>16.896000000000001</c:v>
                </c:pt>
                <c:pt idx="556">
                  <c:v>17.111999999999998</c:v>
                </c:pt>
                <c:pt idx="557">
                  <c:v>16.760000000000002</c:v>
                </c:pt>
                <c:pt idx="558">
                  <c:v>16.765999999999998</c:v>
                </c:pt>
                <c:pt idx="559">
                  <c:v>16.614000000000001</c:v>
                </c:pt>
                <c:pt idx="560">
                  <c:v>16.503</c:v>
                </c:pt>
                <c:pt idx="561">
                  <c:v>16.245000000000001</c:v>
                </c:pt>
                <c:pt idx="562">
                  <c:v>16.120999999999999</c:v>
                </c:pt>
                <c:pt idx="563">
                  <c:v>16.149999999999999</c:v>
                </c:pt>
                <c:pt idx="564">
                  <c:v>15.824999999999999</c:v>
                </c:pt>
                <c:pt idx="565">
                  <c:v>15.925000000000001</c:v>
                </c:pt>
                <c:pt idx="566">
                  <c:v>16.094999999999999</c:v>
                </c:pt>
                <c:pt idx="567">
                  <c:v>15.978999999999999</c:v>
                </c:pt>
                <c:pt idx="568">
                  <c:v>15.983000000000001</c:v>
                </c:pt>
                <c:pt idx="569">
                  <c:v>15.775</c:v>
                </c:pt>
                <c:pt idx="570">
                  <c:v>15.635999999999999</c:v>
                </c:pt>
                <c:pt idx="571">
                  <c:v>15.6</c:v>
                </c:pt>
                <c:pt idx="572">
                  <c:v>15.579000000000001</c:v>
                </c:pt>
                <c:pt idx="573">
                  <c:v>15.247</c:v>
                </c:pt>
                <c:pt idx="574">
                  <c:v>14.936999999999999</c:v>
                </c:pt>
                <c:pt idx="575">
                  <c:v>15.074</c:v>
                </c:pt>
                <c:pt idx="576">
                  <c:v>15.576000000000001</c:v>
                </c:pt>
                <c:pt idx="577">
                  <c:v>15.936999999999999</c:v>
                </c:pt>
                <c:pt idx="578">
                  <c:v>15.801</c:v>
                </c:pt>
                <c:pt idx="579">
                  <c:v>15.991</c:v>
                </c:pt>
                <c:pt idx="580">
                  <c:v>16.132999999999999</c:v>
                </c:pt>
                <c:pt idx="581">
                  <c:v>16.222999999999999</c:v>
                </c:pt>
                <c:pt idx="582">
                  <c:v>16.149999999999999</c:v>
                </c:pt>
                <c:pt idx="583">
                  <c:v>15.835000000000001</c:v>
                </c:pt>
                <c:pt idx="584">
                  <c:v>15.513999999999999</c:v>
                </c:pt>
                <c:pt idx="585">
                  <c:v>15.5</c:v>
                </c:pt>
                <c:pt idx="586">
                  <c:v>15.635</c:v>
                </c:pt>
                <c:pt idx="587">
                  <c:v>15.65</c:v>
                </c:pt>
                <c:pt idx="588">
                  <c:v>16.234000000000002</c:v>
                </c:pt>
                <c:pt idx="589">
                  <c:v>16.164000000000001</c:v>
                </c:pt>
                <c:pt idx="590">
                  <c:v>16.042999999999999</c:v>
                </c:pt>
                <c:pt idx="591">
                  <c:v>16.321000000000002</c:v>
                </c:pt>
                <c:pt idx="592">
                  <c:v>16.125</c:v>
                </c:pt>
                <c:pt idx="593">
                  <c:v>15.773999999999999</c:v>
                </c:pt>
                <c:pt idx="594">
                  <c:v>16.062000000000001</c:v>
                </c:pt>
                <c:pt idx="595">
                  <c:v>16.048999999999999</c:v>
                </c:pt>
                <c:pt idx="596">
                  <c:v>16.181999999999999</c:v>
                </c:pt>
                <c:pt idx="597">
                  <c:v>16.175000000000001</c:v>
                </c:pt>
                <c:pt idx="598">
                  <c:v>16.448</c:v>
                </c:pt>
                <c:pt idx="599">
                  <c:v>16.327000000000002</c:v>
                </c:pt>
                <c:pt idx="600">
                  <c:v>15.9</c:v>
                </c:pt>
                <c:pt idx="601">
                  <c:v>15.821999999999999</c:v>
                </c:pt>
                <c:pt idx="602">
                  <c:v>15.457000000000001</c:v>
                </c:pt>
                <c:pt idx="603">
                  <c:v>15.42</c:v>
                </c:pt>
                <c:pt idx="604">
                  <c:v>15.542</c:v>
                </c:pt>
                <c:pt idx="605">
                  <c:v>15.4</c:v>
                </c:pt>
                <c:pt idx="606">
                  <c:v>15.35</c:v>
                </c:pt>
                <c:pt idx="607">
                  <c:v>15.49</c:v>
                </c:pt>
                <c:pt idx="608">
                  <c:v>15.345000000000001</c:v>
                </c:pt>
                <c:pt idx="609">
                  <c:v>15.577999999999999</c:v>
                </c:pt>
                <c:pt idx="610">
                  <c:v>15.722</c:v>
                </c:pt>
                <c:pt idx="611">
                  <c:v>15.5</c:v>
                </c:pt>
                <c:pt idx="612">
                  <c:v>15.500999999999999</c:v>
                </c:pt>
                <c:pt idx="613">
                  <c:v>15.634</c:v>
                </c:pt>
                <c:pt idx="614">
                  <c:v>15.548999999999999</c:v>
                </c:pt>
                <c:pt idx="615">
                  <c:v>15.377000000000001</c:v>
                </c:pt>
                <c:pt idx="616">
                  <c:v>15.35</c:v>
                </c:pt>
                <c:pt idx="617">
                  <c:v>15.425000000000001</c:v>
                </c:pt>
                <c:pt idx="618">
                  <c:v>15.65</c:v>
                </c:pt>
                <c:pt idx="619">
                  <c:v>15.295</c:v>
                </c:pt>
                <c:pt idx="620">
                  <c:v>15.1</c:v>
                </c:pt>
                <c:pt idx="621">
                  <c:v>14.943</c:v>
                </c:pt>
                <c:pt idx="622">
                  <c:v>15.025</c:v>
                </c:pt>
                <c:pt idx="623">
                  <c:v>14.846</c:v>
                </c:pt>
                <c:pt idx="624">
                  <c:v>14.925000000000001</c:v>
                </c:pt>
                <c:pt idx="625">
                  <c:v>15.285</c:v>
                </c:pt>
                <c:pt idx="626">
                  <c:v>15.002000000000001</c:v>
                </c:pt>
                <c:pt idx="627">
                  <c:v>14.794</c:v>
                </c:pt>
                <c:pt idx="628">
                  <c:v>14.670999999999999</c:v>
                </c:pt>
                <c:pt idx="629">
                  <c:v>14.7</c:v>
                </c:pt>
                <c:pt idx="630">
                  <c:v>14.583</c:v>
                </c:pt>
                <c:pt idx="631">
                  <c:v>14.599</c:v>
                </c:pt>
                <c:pt idx="632">
                  <c:v>14.755000000000001</c:v>
                </c:pt>
                <c:pt idx="633">
                  <c:v>14.794</c:v>
                </c:pt>
                <c:pt idx="634">
                  <c:v>14.733000000000001</c:v>
                </c:pt>
                <c:pt idx="635">
                  <c:v>14.619</c:v>
                </c:pt>
                <c:pt idx="636">
                  <c:v>14.625</c:v>
                </c:pt>
                <c:pt idx="637">
                  <c:v>14.798999999999999</c:v>
                </c:pt>
                <c:pt idx="638">
                  <c:v>15.010999999999999</c:v>
                </c:pt>
                <c:pt idx="639">
                  <c:v>15.127000000000001</c:v>
                </c:pt>
                <c:pt idx="640">
                  <c:v>14.975</c:v>
                </c:pt>
                <c:pt idx="641">
                  <c:v>14.84</c:v>
                </c:pt>
                <c:pt idx="642">
                  <c:v>15.124000000000001</c:v>
                </c:pt>
                <c:pt idx="643">
                  <c:v>14.954000000000001</c:v>
                </c:pt>
                <c:pt idx="644">
                  <c:v>14.949</c:v>
                </c:pt>
                <c:pt idx="645">
                  <c:v>15.003</c:v>
                </c:pt>
                <c:pt idx="646">
                  <c:v>14.776</c:v>
                </c:pt>
                <c:pt idx="647">
                  <c:v>14.597</c:v>
                </c:pt>
                <c:pt idx="648">
                  <c:v>14.461</c:v>
                </c:pt>
                <c:pt idx="649">
                  <c:v>14.468999999999999</c:v>
                </c:pt>
                <c:pt idx="650">
                  <c:v>14.6</c:v>
                </c:pt>
                <c:pt idx="651">
                  <c:v>14.635</c:v>
                </c:pt>
                <c:pt idx="652">
                  <c:v>14.871</c:v>
                </c:pt>
                <c:pt idx="653">
                  <c:v>14.74</c:v>
                </c:pt>
                <c:pt idx="654">
                  <c:v>14.775</c:v>
                </c:pt>
                <c:pt idx="655">
                  <c:v>14.948</c:v>
                </c:pt>
                <c:pt idx="656">
                  <c:v>14.884</c:v>
                </c:pt>
                <c:pt idx="657">
                  <c:v>14.723000000000001</c:v>
                </c:pt>
                <c:pt idx="658">
                  <c:v>14.827999999999999</c:v>
                </c:pt>
                <c:pt idx="659">
                  <c:v>15.177</c:v>
                </c:pt>
                <c:pt idx="660">
                  <c:v>15.129</c:v>
                </c:pt>
                <c:pt idx="661">
                  <c:v>14.983000000000001</c:v>
                </c:pt>
                <c:pt idx="662">
                  <c:v>14.965999999999999</c:v>
                </c:pt>
                <c:pt idx="663">
                  <c:v>14.675000000000001</c:v>
                </c:pt>
                <c:pt idx="664">
                  <c:v>14.742000000000001</c:v>
                </c:pt>
                <c:pt idx="665">
                  <c:v>14.79</c:v>
                </c:pt>
                <c:pt idx="666">
                  <c:v>15</c:v>
                </c:pt>
                <c:pt idx="667">
                  <c:v>15.349</c:v>
                </c:pt>
                <c:pt idx="668">
                  <c:v>15.173</c:v>
                </c:pt>
                <c:pt idx="669">
                  <c:v>15.571</c:v>
                </c:pt>
                <c:pt idx="670">
                  <c:v>15.775</c:v>
                </c:pt>
                <c:pt idx="671">
                  <c:v>16.013999999999999</c:v>
                </c:pt>
                <c:pt idx="672">
                  <c:v>15.875</c:v>
                </c:pt>
                <c:pt idx="673">
                  <c:v>15.577</c:v>
                </c:pt>
                <c:pt idx="674">
                  <c:v>16.097999999999999</c:v>
                </c:pt>
                <c:pt idx="675">
                  <c:v>16.198</c:v>
                </c:pt>
                <c:pt idx="676">
                  <c:v>16.097999999999999</c:v>
                </c:pt>
                <c:pt idx="677">
                  <c:v>16.181999999999999</c:v>
                </c:pt>
                <c:pt idx="678">
                  <c:v>16.152999999999999</c:v>
                </c:pt>
                <c:pt idx="679">
                  <c:v>16.36</c:v>
                </c:pt>
                <c:pt idx="680">
                  <c:v>16.347999999999999</c:v>
                </c:pt>
                <c:pt idx="681">
                  <c:v>16.303000000000001</c:v>
                </c:pt>
                <c:pt idx="682">
                  <c:v>16.305</c:v>
                </c:pt>
                <c:pt idx="683">
                  <c:v>16.471</c:v>
                </c:pt>
                <c:pt idx="684">
                  <c:v>16.518999999999998</c:v>
                </c:pt>
                <c:pt idx="685">
                  <c:v>16.451000000000001</c:v>
                </c:pt>
                <c:pt idx="686">
                  <c:v>16.411999999999999</c:v>
                </c:pt>
                <c:pt idx="687">
                  <c:v>16.449000000000002</c:v>
                </c:pt>
                <c:pt idx="688">
                  <c:v>16.847000000000001</c:v>
                </c:pt>
                <c:pt idx="689">
                  <c:v>16.827000000000002</c:v>
                </c:pt>
                <c:pt idx="690">
                  <c:v>16.798999999999999</c:v>
                </c:pt>
                <c:pt idx="691">
                  <c:v>16.786999999999999</c:v>
                </c:pt>
                <c:pt idx="692">
                  <c:v>17.193000000000001</c:v>
                </c:pt>
                <c:pt idx="693">
                  <c:v>17.152000000000001</c:v>
                </c:pt>
                <c:pt idx="694">
                  <c:v>17.292000000000002</c:v>
                </c:pt>
                <c:pt idx="695">
                  <c:v>17.585000000000001</c:v>
                </c:pt>
                <c:pt idx="696">
                  <c:v>17.198</c:v>
                </c:pt>
                <c:pt idx="697">
                  <c:v>17.103000000000002</c:v>
                </c:pt>
                <c:pt idx="698">
                  <c:v>17.126999999999999</c:v>
                </c:pt>
                <c:pt idx="699">
                  <c:v>16.925000000000001</c:v>
                </c:pt>
                <c:pt idx="700">
                  <c:v>16.75</c:v>
                </c:pt>
                <c:pt idx="701">
                  <c:v>16.646999999999998</c:v>
                </c:pt>
                <c:pt idx="702">
                  <c:v>17.405999999999999</c:v>
                </c:pt>
                <c:pt idx="703">
                  <c:v>17.36</c:v>
                </c:pt>
                <c:pt idx="704">
                  <c:v>17.495999999999999</c:v>
                </c:pt>
                <c:pt idx="705">
                  <c:v>17.608000000000001</c:v>
                </c:pt>
                <c:pt idx="706">
                  <c:v>17.382000000000001</c:v>
                </c:pt>
                <c:pt idx="707">
                  <c:v>17.632999999999999</c:v>
                </c:pt>
                <c:pt idx="708">
                  <c:v>17.927</c:v>
                </c:pt>
                <c:pt idx="709">
                  <c:v>17.957999999999998</c:v>
                </c:pt>
                <c:pt idx="710">
                  <c:v>18.079000000000001</c:v>
                </c:pt>
                <c:pt idx="711">
                  <c:v>18.048999999999999</c:v>
                </c:pt>
                <c:pt idx="712">
                  <c:v>18.227</c:v>
                </c:pt>
                <c:pt idx="713">
                  <c:v>18.100000000000001</c:v>
                </c:pt>
                <c:pt idx="714">
                  <c:v>18.038</c:v>
                </c:pt>
                <c:pt idx="715">
                  <c:v>17.872</c:v>
                </c:pt>
                <c:pt idx="716">
                  <c:v>17.940000000000001</c:v>
                </c:pt>
                <c:pt idx="717">
                  <c:v>18.131</c:v>
                </c:pt>
                <c:pt idx="718">
                  <c:v>18.082000000000001</c:v>
                </c:pt>
                <c:pt idx="719">
                  <c:v>18.305</c:v>
                </c:pt>
                <c:pt idx="720">
                  <c:v>18.100000000000001</c:v>
                </c:pt>
                <c:pt idx="721">
                  <c:v>17.768999999999998</c:v>
                </c:pt>
                <c:pt idx="722">
                  <c:v>17.722999999999999</c:v>
                </c:pt>
                <c:pt idx="723">
                  <c:v>17.573</c:v>
                </c:pt>
                <c:pt idx="724">
                  <c:v>17.73</c:v>
                </c:pt>
                <c:pt idx="725">
                  <c:v>17.600000000000001</c:v>
                </c:pt>
                <c:pt idx="726">
                  <c:v>17.62</c:v>
                </c:pt>
                <c:pt idx="727">
                  <c:v>17.611999999999998</c:v>
                </c:pt>
                <c:pt idx="728">
                  <c:v>18.210999999999999</c:v>
                </c:pt>
                <c:pt idx="729">
                  <c:v>18.436</c:v>
                </c:pt>
                <c:pt idx="730">
                  <c:v>18.45</c:v>
                </c:pt>
                <c:pt idx="731">
                  <c:v>18.215</c:v>
                </c:pt>
                <c:pt idx="732">
                  <c:v>18.856000000000002</c:v>
                </c:pt>
                <c:pt idx="733">
                  <c:v>19.22</c:v>
                </c:pt>
                <c:pt idx="734">
                  <c:v>19.251000000000001</c:v>
                </c:pt>
                <c:pt idx="735">
                  <c:v>19.417999999999999</c:v>
                </c:pt>
                <c:pt idx="736">
                  <c:v>19.632999999999999</c:v>
                </c:pt>
                <c:pt idx="737">
                  <c:v>19.835000000000001</c:v>
                </c:pt>
                <c:pt idx="738">
                  <c:v>19.25</c:v>
                </c:pt>
                <c:pt idx="739">
                  <c:v>18.895</c:v>
                </c:pt>
                <c:pt idx="740">
                  <c:v>19.184999999999999</c:v>
                </c:pt>
                <c:pt idx="741">
                  <c:v>18.850000000000001</c:v>
                </c:pt>
                <c:pt idx="742">
                  <c:v>19.388999999999999</c:v>
                </c:pt>
                <c:pt idx="743">
                  <c:v>19.745999999999999</c:v>
                </c:pt>
                <c:pt idx="744">
                  <c:v>19.588000000000001</c:v>
                </c:pt>
                <c:pt idx="745">
                  <c:v>19.943000000000001</c:v>
                </c:pt>
                <c:pt idx="746">
                  <c:v>20.440999999999999</c:v>
                </c:pt>
                <c:pt idx="747">
                  <c:v>20.608000000000001</c:v>
                </c:pt>
                <c:pt idx="748">
                  <c:v>20.236000000000001</c:v>
                </c:pt>
                <c:pt idx="749">
                  <c:v>20.338999999999999</c:v>
                </c:pt>
                <c:pt idx="750">
                  <c:v>20.303999999999998</c:v>
                </c:pt>
                <c:pt idx="751">
                  <c:v>20.852</c:v>
                </c:pt>
                <c:pt idx="752">
                  <c:v>21.303000000000001</c:v>
                </c:pt>
                <c:pt idx="753">
                  <c:v>21.355</c:v>
                </c:pt>
                <c:pt idx="754">
                  <c:v>21.175000000000001</c:v>
                </c:pt>
                <c:pt idx="755">
                  <c:v>21.375</c:v>
                </c:pt>
                <c:pt idx="756">
                  <c:v>20.95</c:v>
                </c:pt>
                <c:pt idx="757">
                  <c:v>20.984999999999999</c:v>
                </c:pt>
                <c:pt idx="758">
                  <c:v>21.763999999999999</c:v>
                </c:pt>
                <c:pt idx="759">
                  <c:v>20.648</c:v>
                </c:pt>
                <c:pt idx="760">
                  <c:v>21.303000000000001</c:v>
                </c:pt>
                <c:pt idx="761">
                  <c:v>21.036000000000001</c:v>
                </c:pt>
                <c:pt idx="762">
                  <c:v>20.475000000000001</c:v>
                </c:pt>
                <c:pt idx="763">
                  <c:v>20.122</c:v>
                </c:pt>
                <c:pt idx="764">
                  <c:v>20.335999999999999</c:v>
                </c:pt>
                <c:pt idx="765">
                  <c:v>20.015999999999998</c:v>
                </c:pt>
                <c:pt idx="766">
                  <c:v>19.675000000000001</c:v>
                </c:pt>
                <c:pt idx="767">
                  <c:v>19.167000000000002</c:v>
                </c:pt>
                <c:pt idx="768">
                  <c:v>19.710999999999999</c:v>
                </c:pt>
                <c:pt idx="769">
                  <c:v>19.625</c:v>
                </c:pt>
                <c:pt idx="770">
                  <c:v>19.428000000000001</c:v>
                </c:pt>
                <c:pt idx="771">
                  <c:v>19.309999999999999</c:v>
                </c:pt>
                <c:pt idx="772">
                  <c:v>19.2</c:v>
                </c:pt>
                <c:pt idx="773">
                  <c:v>18.927</c:v>
                </c:pt>
                <c:pt idx="774">
                  <c:v>19.059000000000001</c:v>
                </c:pt>
                <c:pt idx="775">
                  <c:v>19.446000000000002</c:v>
                </c:pt>
                <c:pt idx="776">
                  <c:v>19.512</c:v>
                </c:pt>
                <c:pt idx="777">
                  <c:v>19.332000000000001</c:v>
                </c:pt>
                <c:pt idx="778">
                  <c:v>19.853999999999999</c:v>
                </c:pt>
                <c:pt idx="779">
                  <c:v>19.175000000000001</c:v>
                </c:pt>
                <c:pt idx="780">
                  <c:v>18.998999999999999</c:v>
                </c:pt>
                <c:pt idx="781">
                  <c:v>18.465</c:v>
                </c:pt>
                <c:pt idx="782">
                  <c:v>18.3</c:v>
                </c:pt>
                <c:pt idx="783">
                  <c:v>18.177</c:v>
                </c:pt>
                <c:pt idx="784">
                  <c:v>18.539000000000001</c:v>
                </c:pt>
                <c:pt idx="785">
                  <c:v>18.234000000000002</c:v>
                </c:pt>
                <c:pt idx="786">
                  <c:v>17.861999999999998</c:v>
                </c:pt>
                <c:pt idx="787">
                  <c:v>17.780999999999999</c:v>
                </c:pt>
                <c:pt idx="788">
                  <c:v>17.853000000000002</c:v>
                </c:pt>
                <c:pt idx="789">
                  <c:v>17.486000000000001</c:v>
                </c:pt>
                <c:pt idx="790">
                  <c:v>17.350999999999999</c:v>
                </c:pt>
                <c:pt idx="791">
                  <c:v>17.95</c:v>
                </c:pt>
                <c:pt idx="792">
                  <c:v>18.25</c:v>
                </c:pt>
                <c:pt idx="793">
                  <c:v>18.184999999999999</c:v>
                </c:pt>
                <c:pt idx="794">
                  <c:v>17.623999999999999</c:v>
                </c:pt>
                <c:pt idx="795">
                  <c:v>17.856999999999999</c:v>
                </c:pt>
                <c:pt idx="796">
                  <c:v>18.262</c:v>
                </c:pt>
                <c:pt idx="797">
                  <c:v>17.898</c:v>
                </c:pt>
                <c:pt idx="798">
                  <c:v>17.901</c:v>
                </c:pt>
                <c:pt idx="799">
                  <c:v>17.954999999999998</c:v>
                </c:pt>
                <c:pt idx="800">
                  <c:v>18.309999999999999</c:v>
                </c:pt>
                <c:pt idx="801">
                  <c:v>18.152999999999999</c:v>
                </c:pt>
                <c:pt idx="802">
                  <c:v>17.774999999999999</c:v>
                </c:pt>
                <c:pt idx="803">
                  <c:v>18.204000000000001</c:v>
                </c:pt>
                <c:pt idx="804">
                  <c:v>19.181000000000001</c:v>
                </c:pt>
                <c:pt idx="805">
                  <c:v>19.888000000000002</c:v>
                </c:pt>
                <c:pt idx="806">
                  <c:v>19.806000000000001</c:v>
                </c:pt>
                <c:pt idx="807">
                  <c:v>19.928000000000001</c:v>
                </c:pt>
                <c:pt idx="808">
                  <c:v>20.71</c:v>
                </c:pt>
                <c:pt idx="809">
                  <c:v>18.602</c:v>
                </c:pt>
                <c:pt idx="810">
                  <c:v>19.184999999999999</c:v>
                </c:pt>
                <c:pt idx="811">
                  <c:v>17.350000000000001</c:v>
                </c:pt>
                <c:pt idx="812">
                  <c:v>17.542000000000002</c:v>
                </c:pt>
                <c:pt idx="813">
                  <c:v>17.925000000000001</c:v>
                </c:pt>
                <c:pt idx="814">
                  <c:v>17.54</c:v>
                </c:pt>
                <c:pt idx="815">
                  <c:v>17.811</c:v>
                </c:pt>
                <c:pt idx="816">
                  <c:v>17.803000000000001</c:v>
                </c:pt>
                <c:pt idx="817">
                  <c:v>18.28</c:v>
                </c:pt>
                <c:pt idx="818">
                  <c:v>18.937000000000001</c:v>
                </c:pt>
                <c:pt idx="819">
                  <c:v>19.824999999999999</c:v>
                </c:pt>
                <c:pt idx="820">
                  <c:v>19.594999999999999</c:v>
                </c:pt>
                <c:pt idx="821">
                  <c:v>18.411000000000001</c:v>
                </c:pt>
                <c:pt idx="822">
                  <c:v>18.920000000000002</c:v>
                </c:pt>
                <c:pt idx="823">
                  <c:v>18.678999999999998</c:v>
                </c:pt>
                <c:pt idx="824">
                  <c:v>18.736999999999998</c:v>
                </c:pt>
                <c:pt idx="825">
                  <c:v>19.163</c:v>
                </c:pt>
                <c:pt idx="826">
                  <c:v>19.375</c:v>
                </c:pt>
                <c:pt idx="827">
                  <c:v>19.018999999999998</c:v>
                </c:pt>
                <c:pt idx="828">
                  <c:v>18.452999999999999</c:v>
                </c:pt>
                <c:pt idx="829">
                  <c:v>17.978999999999999</c:v>
                </c:pt>
                <c:pt idx="830">
                  <c:v>18.492999999999999</c:v>
                </c:pt>
                <c:pt idx="831">
                  <c:v>18.393000000000001</c:v>
                </c:pt>
                <c:pt idx="832">
                  <c:v>18.206</c:v>
                </c:pt>
                <c:pt idx="833">
                  <c:v>18.05</c:v>
                </c:pt>
                <c:pt idx="834">
                  <c:v>18.193000000000001</c:v>
                </c:pt>
                <c:pt idx="835">
                  <c:v>18.155000000000001</c:v>
                </c:pt>
                <c:pt idx="836">
                  <c:v>18.158999999999999</c:v>
                </c:pt>
                <c:pt idx="837">
                  <c:v>18.638999999999999</c:v>
                </c:pt>
                <c:pt idx="838">
                  <c:v>18.855</c:v>
                </c:pt>
                <c:pt idx="839">
                  <c:v>19.295000000000002</c:v>
                </c:pt>
                <c:pt idx="840">
                  <c:v>19.222000000000001</c:v>
                </c:pt>
                <c:pt idx="841">
                  <c:v>19.600000000000001</c:v>
                </c:pt>
                <c:pt idx="842">
                  <c:v>19.440000000000001</c:v>
                </c:pt>
                <c:pt idx="843">
                  <c:v>19.084</c:v>
                </c:pt>
                <c:pt idx="844">
                  <c:v>19.350000000000001</c:v>
                </c:pt>
                <c:pt idx="845">
                  <c:v>19.763999999999999</c:v>
                </c:pt>
                <c:pt idx="846">
                  <c:v>19.774000000000001</c:v>
                </c:pt>
                <c:pt idx="847">
                  <c:v>19.942</c:v>
                </c:pt>
                <c:pt idx="848">
                  <c:v>19.684000000000001</c:v>
                </c:pt>
                <c:pt idx="849">
                  <c:v>19.870999999999999</c:v>
                </c:pt>
                <c:pt idx="850">
                  <c:v>20.167999999999999</c:v>
                </c:pt>
                <c:pt idx="851">
                  <c:v>20.248000000000001</c:v>
                </c:pt>
                <c:pt idx="852">
                  <c:v>20.603999999999999</c:v>
                </c:pt>
                <c:pt idx="853">
                  <c:v>20.16</c:v>
                </c:pt>
                <c:pt idx="854">
                  <c:v>19.876000000000001</c:v>
                </c:pt>
                <c:pt idx="855">
                  <c:v>19.896000000000001</c:v>
                </c:pt>
                <c:pt idx="856">
                  <c:v>20.399999999999999</c:v>
                </c:pt>
                <c:pt idx="857">
                  <c:v>20.65</c:v>
                </c:pt>
                <c:pt idx="858">
                  <c:v>20.677</c:v>
                </c:pt>
                <c:pt idx="859">
                  <c:v>20.837</c:v>
                </c:pt>
                <c:pt idx="860">
                  <c:v>20.89</c:v>
                </c:pt>
                <c:pt idx="861">
                  <c:v>21.242000000000001</c:v>
                </c:pt>
                <c:pt idx="862">
                  <c:v>21.597000000000001</c:v>
                </c:pt>
                <c:pt idx="863">
                  <c:v>21.692</c:v>
                </c:pt>
                <c:pt idx="864">
                  <c:v>21.574999999999999</c:v>
                </c:pt>
                <c:pt idx="865">
                  <c:v>22.242000000000001</c:v>
                </c:pt>
                <c:pt idx="866">
                  <c:v>22.053000000000001</c:v>
                </c:pt>
                <c:pt idx="867">
                  <c:v>22.315999999999999</c:v>
                </c:pt>
                <c:pt idx="868">
                  <c:v>22.968</c:v>
                </c:pt>
                <c:pt idx="869">
                  <c:v>22.754000000000001</c:v>
                </c:pt>
                <c:pt idx="870">
                  <c:v>22.742999999999999</c:v>
                </c:pt>
                <c:pt idx="871">
                  <c:v>21.917999999999999</c:v>
                </c:pt>
                <c:pt idx="872">
                  <c:v>21.956</c:v>
                </c:pt>
                <c:pt idx="873">
                  <c:v>22.79</c:v>
                </c:pt>
                <c:pt idx="874">
                  <c:v>23.087</c:v>
                </c:pt>
                <c:pt idx="875">
                  <c:v>22.6</c:v>
                </c:pt>
                <c:pt idx="876">
                  <c:v>21.754999999999999</c:v>
                </c:pt>
                <c:pt idx="877">
                  <c:v>21.946999999999999</c:v>
                </c:pt>
                <c:pt idx="878">
                  <c:v>21.475000000000001</c:v>
                </c:pt>
                <c:pt idx="879">
                  <c:v>21.311</c:v>
                </c:pt>
                <c:pt idx="880">
                  <c:v>21.65</c:v>
                </c:pt>
                <c:pt idx="881">
                  <c:v>21.536000000000001</c:v>
                </c:pt>
                <c:pt idx="882">
                  <c:v>21.338999999999999</c:v>
                </c:pt>
                <c:pt idx="883">
                  <c:v>21.79</c:v>
                </c:pt>
                <c:pt idx="884">
                  <c:v>22.388999999999999</c:v>
                </c:pt>
                <c:pt idx="885">
                  <c:v>22.488</c:v>
                </c:pt>
                <c:pt idx="886">
                  <c:v>21.76</c:v>
                </c:pt>
                <c:pt idx="887">
                  <c:v>22.175000000000001</c:v>
                </c:pt>
                <c:pt idx="888">
                  <c:v>21.702000000000002</c:v>
                </c:pt>
                <c:pt idx="889">
                  <c:v>21.492000000000001</c:v>
                </c:pt>
                <c:pt idx="890">
                  <c:v>21.571999999999999</c:v>
                </c:pt>
                <c:pt idx="891">
                  <c:v>21.681999999999999</c:v>
                </c:pt>
                <c:pt idx="892">
                  <c:v>21.594000000000001</c:v>
                </c:pt>
                <c:pt idx="893">
                  <c:v>21.460999999999999</c:v>
                </c:pt>
                <c:pt idx="894">
                  <c:v>22.039000000000001</c:v>
                </c:pt>
                <c:pt idx="895">
                  <c:v>21.96</c:v>
                </c:pt>
                <c:pt idx="896">
                  <c:v>21.87</c:v>
                </c:pt>
                <c:pt idx="897">
                  <c:v>22.2</c:v>
                </c:pt>
                <c:pt idx="898">
                  <c:v>22.282</c:v>
                </c:pt>
                <c:pt idx="899">
                  <c:v>22.251000000000001</c:v>
                </c:pt>
                <c:pt idx="900">
                  <c:v>22.463000000000001</c:v>
                </c:pt>
                <c:pt idx="901">
                  <c:v>22.356000000000002</c:v>
                </c:pt>
                <c:pt idx="902">
                  <c:v>22.731999999999999</c:v>
                </c:pt>
                <c:pt idx="903">
                  <c:v>22.731000000000002</c:v>
                </c:pt>
                <c:pt idx="904">
                  <c:v>22.58</c:v>
                </c:pt>
                <c:pt idx="905">
                  <c:v>21.971</c:v>
                </c:pt>
                <c:pt idx="906">
                  <c:v>22.263999999999999</c:v>
                </c:pt>
                <c:pt idx="907">
                  <c:v>22.021999999999998</c:v>
                </c:pt>
                <c:pt idx="908">
                  <c:v>21.852</c:v>
                </c:pt>
                <c:pt idx="909">
                  <c:v>22.138000000000002</c:v>
                </c:pt>
                <c:pt idx="910">
                  <c:v>22.152999999999999</c:v>
                </c:pt>
                <c:pt idx="911">
                  <c:v>21.873999999999999</c:v>
                </c:pt>
                <c:pt idx="912">
                  <c:v>22.027999999999999</c:v>
                </c:pt>
                <c:pt idx="913">
                  <c:v>22.097000000000001</c:v>
                </c:pt>
                <c:pt idx="914">
                  <c:v>22.172000000000001</c:v>
                </c:pt>
                <c:pt idx="915">
                  <c:v>22.113</c:v>
                </c:pt>
                <c:pt idx="916">
                  <c:v>21.891999999999999</c:v>
                </c:pt>
                <c:pt idx="917">
                  <c:v>22.059000000000001</c:v>
                </c:pt>
                <c:pt idx="918">
                  <c:v>22.113</c:v>
                </c:pt>
                <c:pt idx="919">
                  <c:v>21.931999999999999</c:v>
                </c:pt>
                <c:pt idx="920">
                  <c:v>21.936</c:v>
                </c:pt>
                <c:pt idx="921">
                  <c:v>22.260999999999999</c:v>
                </c:pt>
                <c:pt idx="922">
                  <c:v>22.5</c:v>
                </c:pt>
                <c:pt idx="923">
                  <c:v>22.611000000000001</c:v>
                </c:pt>
                <c:pt idx="924">
                  <c:v>22.599</c:v>
                </c:pt>
                <c:pt idx="925">
                  <c:v>22.713000000000001</c:v>
                </c:pt>
                <c:pt idx="926">
                  <c:v>22.881</c:v>
                </c:pt>
                <c:pt idx="927">
                  <c:v>23.5</c:v>
                </c:pt>
                <c:pt idx="928">
                  <c:v>23.724</c:v>
                </c:pt>
                <c:pt idx="929">
                  <c:v>23.518999999999998</c:v>
                </c:pt>
                <c:pt idx="930">
                  <c:v>23.832999999999998</c:v>
                </c:pt>
                <c:pt idx="931">
                  <c:v>24.152999999999999</c:v>
                </c:pt>
                <c:pt idx="932">
                  <c:v>24.178999999999998</c:v>
                </c:pt>
                <c:pt idx="933">
                  <c:v>24.405999999999999</c:v>
                </c:pt>
                <c:pt idx="934">
                  <c:v>24.448</c:v>
                </c:pt>
                <c:pt idx="935">
                  <c:v>24.76</c:v>
                </c:pt>
                <c:pt idx="936">
                  <c:v>24.975000000000001</c:v>
                </c:pt>
                <c:pt idx="937">
                  <c:v>25.411000000000001</c:v>
                </c:pt>
                <c:pt idx="938">
                  <c:v>25.36</c:v>
                </c:pt>
                <c:pt idx="939">
                  <c:v>25.867999999999999</c:v>
                </c:pt>
                <c:pt idx="940">
                  <c:v>26.13</c:v>
                </c:pt>
                <c:pt idx="941">
                  <c:v>25.837</c:v>
                </c:pt>
                <c:pt idx="942">
                  <c:v>26.239000000000001</c:v>
                </c:pt>
                <c:pt idx="943">
                  <c:v>26.712</c:v>
                </c:pt>
                <c:pt idx="944">
                  <c:v>27.018999999999998</c:v>
                </c:pt>
                <c:pt idx="945">
                  <c:v>27.454000000000001</c:v>
                </c:pt>
                <c:pt idx="946">
                  <c:v>27.989000000000001</c:v>
                </c:pt>
                <c:pt idx="947">
                  <c:v>29.125</c:v>
                </c:pt>
                <c:pt idx="948">
                  <c:v>28.782</c:v>
                </c:pt>
                <c:pt idx="949">
                  <c:v>27.494</c:v>
                </c:pt>
                <c:pt idx="950">
                  <c:v>26.808</c:v>
                </c:pt>
                <c:pt idx="951">
                  <c:v>26.928999999999998</c:v>
                </c:pt>
                <c:pt idx="952">
                  <c:v>28.077000000000002</c:v>
                </c:pt>
                <c:pt idx="953">
                  <c:v>27.41</c:v>
                </c:pt>
                <c:pt idx="954">
                  <c:v>28.321999999999999</c:v>
                </c:pt>
                <c:pt idx="955">
                  <c:v>28.591000000000001</c:v>
                </c:pt>
                <c:pt idx="956">
                  <c:v>28.724</c:v>
                </c:pt>
                <c:pt idx="957">
                  <c:v>29.244</c:v>
                </c:pt>
                <c:pt idx="958">
                  <c:v>29.231999999999999</c:v>
                </c:pt>
                <c:pt idx="959">
                  <c:v>28.262</c:v>
                </c:pt>
                <c:pt idx="960">
                  <c:v>27.577000000000002</c:v>
                </c:pt>
                <c:pt idx="961">
                  <c:v>27.329000000000001</c:v>
                </c:pt>
                <c:pt idx="962">
                  <c:v>27.443000000000001</c:v>
                </c:pt>
                <c:pt idx="963">
                  <c:v>27.257000000000001</c:v>
                </c:pt>
                <c:pt idx="964">
                  <c:v>27.114000000000001</c:v>
                </c:pt>
                <c:pt idx="965">
                  <c:v>27.471</c:v>
                </c:pt>
                <c:pt idx="966">
                  <c:v>27.902000000000001</c:v>
                </c:pt>
                <c:pt idx="967">
                  <c:v>27.218</c:v>
                </c:pt>
                <c:pt idx="968">
                  <c:v>26.835000000000001</c:v>
                </c:pt>
                <c:pt idx="969">
                  <c:v>26.22</c:v>
                </c:pt>
                <c:pt idx="970">
                  <c:v>25.759</c:v>
                </c:pt>
                <c:pt idx="971">
                  <c:v>26.628</c:v>
                </c:pt>
                <c:pt idx="972">
                  <c:v>26.625</c:v>
                </c:pt>
                <c:pt idx="973">
                  <c:v>26.327999999999999</c:v>
                </c:pt>
                <c:pt idx="974">
                  <c:v>25.942</c:v>
                </c:pt>
                <c:pt idx="975">
                  <c:v>26.024999999999999</c:v>
                </c:pt>
                <c:pt idx="976">
                  <c:v>26.858000000000001</c:v>
                </c:pt>
                <c:pt idx="977">
                  <c:v>26.114000000000001</c:v>
                </c:pt>
                <c:pt idx="978">
                  <c:v>25.667000000000002</c:v>
                </c:pt>
                <c:pt idx="979">
                  <c:v>25.260999999999999</c:v>
                </c:pt>
                <c:pt idx="980">
                  <c:v>24.866</c:v>
                </c:pt>
                <c:pt idx="981">
                  <c:v>24.280999999999999</c:v>
                </c:pt>
                <c:pt idx="982">
                  <c:v>24.577999999999999</c:v>
                </c:pt>
                <c:pt idx="983">
                  <c:v>23.873000000000001</c:v>
                </c:pt>
                <c:pt idx="984">
                  <c:v>24.332999999999998</c:v>
                </c:pt>
                <c:pt idx="985">
                  <c:v>23.649000000000001</c:v>
                </c:pt>
                <c:pt idx="986">
                  <c:v>24.283000000000001</c:v>
                </c:pt>
                <c:pt idx="987">
                  <c:v>23.808</c:v>
                </c:pt>
                <c:pt idx="988">
                  <c:v>23.896000000000001</c:v>
                </c:pt>
                <c:pt idx="989">
                  <c:v>24.42</c:v>
                </c:pt>
                <c:pt idx="990">
                  <c:v>24.428999999999998</c:v>
                </c:pt>
                <c:pt idx="991">
                  <c:v>24.326000000000001</c:v>
                </c:pt>
                <c:pt idx="992">
                  <c:v>25.954999999999998</c:v>
                </c:pt>
                <c:pt idx="993">
                  <c:v>26.518999999999998</c:v>
                </c:pt>
                <c:pt idx="994">
                  <c:v>26.277999999999999</c:v>
                </c:pt>
                <c:pt idx="995">
                  <c:v>26.677</c:v>
                </c:pt>
                <c:pt idx="996">
                  <c:v>25.956</c:v>
                </c:pt>
                <c:pt idx="997">
                  <c:v>24.152000000000001</c:v>
                </c:pt>
                <c:pt idx="998">
                  <c:v>24.352</c:v>
                </c:pt>
                <c:pt idx="999">
                  <c:v>24.5</c:v>
                </c:pt>
                <c:pt idx="1000">
                  <c:v>24.71</c:v>
                </c:pt>
                <c:pt idx="1001">
                  <c:v>24.818999999999999</c:v>
                </c:pt>
                <c:pt idx="1002">
                  <c:v>24.542999999999999</c:v>
                </c:pt>
                <c:pt idx="1003">
                  <c:v>25.158999999999999</c:v>
                </c:pt>
                <c:pt idx="1004">
                  <c:v>24.302</c:v>
                </c:pt>
                <c:pt idx="1005">
                  <c:v>24.632999999999999</c:v>
                </c:pt>
                <c:pt idx="1006">
                  <c:v>24.690999999999999</c:v>
                </c:pt>
                <c:pt idx="1007">
                  <c:v>25.082999999999998</c:v>
                </c:pt>
                <c:pt idx="1008">
                  <c:v>24.417000000000002</c:v>
                </c:pt>
                <c:pt idx="1009">
                  <c:v>23.821999999999999</c:v>
                </c:pt>
                <c:pt idx="1010">
                  <c:v>23.166</c:v>
                </c:pt>
                <c:pt idx="1011">
                  <c:v>23.143000000000001</c:v>
                </c:pt>
                <c:pt idx="1012">
                  <c:v>23.25</c:v>
                </c:pt>
                <c:pt idx="1013">
                  <c:v>23.620999999999999</c:v>
                </c:pt>
                <c:pt idx="1014">
                  <c:v>23.92</c:v>
                </c:pt>
                <c:pt idx="1015">
                  <c:v>24.225999999999999</c:v>
                </c:pt>
                <c:pt idx="1016">
                  <c:v>24.646000000000001</c:v>
                </c:pt>
                <c:pt idx="1017">
                  <c:v>24.681000000000001</c:v>
                </c:pt>
                <c:pt idx="1018">
                  <c:v>23.731999999999999</c:v>
                </c:pt>
                <c:pt idx="1019">
                  <c:v>24.21</c:v>
                </c:pt>
                <c:pt idx="1020">
                  <c:v>24.605</c:v>
                </c:pt>
                <c:pt idx="1021">
                  <c:v>24.9</c:v>
                </c:pt>
                <c:pt idx="1022">
                  <c:v>24.247</c:v>
                </c:pt>
                <c:pt idx="1023">
                  <c:v>23.32</c:v>
                </c:pt>
                <c:pt idx="1024">
                  <c:v>22.81</c:v>
                </c:pt>
                <c:pt idx="1025">
                  <c:v>21.981999999999999</c:v>
                </c:pt>
                <c:pt idx="1026">
                  <c:v>22.472999999999999</c:v>
                </c:pt>
                <c:pt idx="1027">
                  <c:v>22.256</c:v>
                </c:pt>
                <c:pt idx="1028">
                  <c:v>22.93</c:v>
                </c:pt>
                <c:pt idx="1029">
                  <c:v>21.530999999999999</c:v>
                </c:pt>
                <c:pt idx="1030">
                  <c:v>22.091999999999999</c:v>
                </c:pt>
                <c:pt idx="1031">
                  <c:v>21.719000000000001</c:v>
                </c:pt>
                <c:pt idx="1032">
                  <c:v>21.673999999999999</c:v>
                </c:pt>
                <c:pt idx="1033">
                  <c:v>22.254999999999999</c:v>
                </c:pt>
                <c:pt idx="1034">
                  <c:v>21.675000000000001</c:v>
                </c:pt>
                <c:pt idx="1035">
                  <c:v>21.998999999999999</c:v>
                </c:pt>
                <c:pt idx="1036">
                  <c:v>22.004999999999999</c:v>
                </c:pt>
                <c:pt idx="1037">
                  <c:v>22.994</c:v>
                </c:pt>
                <c:pt idx="1038">
                  <c:v>22.603999999999999</c:v>
                </c:pt>
                <c:pt idx="1039">
                  <c:v>21.774000000000001</c:v>
                </c:pt>
                <c:pt idx="1040">
                  <c:v>21.812999999999999</c:v>
                </c:pt>
                <c:pt idx="1041">
                  <c:v>22.190999999999999</c:v>
                </c:pt>
                <c:pt idx="1042">
                  <c:v>21.279</c:v>
                </c:pt>
                <c:pt idx="1043">
                  <c:v>20.888999999999999</c:v>
                </c:pt>
                <c:pt idx="1044">
                  <c:v>20.552</c:v>
                </c:pt>
                <c:pt idx="1045">
                  <c:v>20.585999999999999</c:v>
                </c:pt>
                <c:pt idx="1046">
                  <c:v>20.181000000000001</c:v>
                </c:pt>
                <c:pt idx="1047">
                  <c:v>19.852</c:v>
                </c:pt>
                <c:pt idx="1048">
                  <c:v>19.298999999999999</c:v>
                </c:pt>
                <c:pt idx="1049">
                  <c:v>19.355</c:v>
                </c:pt>
                <c:pt idx="1050">
                  <c:v>19.138000000000002</c:v>
                </c:pt>
                <c:pt idx="1051">
                  <c:v>18.916</c:v>
                </c:pt>
                <c:pt idx="1052">
                  <c:v>18.911999999999999</c:v>
                </c:pt>
                <c:pt idx="1053">
                  <c:v>18.263999999999999</c:v>
                </c:pt>
                <c:pt idx="1054">
                  <c:v>18.053000000000001</c:v>
                </c:pt>
                <c:pt idx="1055">
                  <c:v>17.785</c:v>
                </c:pt>
                <c:pt idx="1056">
                  <c:v>18.021999999999998</c:v>
                </c:pt>
                <c:pt idx="1057">
                  <c:v>17.754999999999999</c:v>
                </c:pt>
                <c:pt idx="1058">
                  <c:v>18.100000000000001</c:v>
                </c:pt>
                <c:pt idx="1059">
                  <c:v>17.428999999999998</c:v>
                </c:pt>
                <c:pt idx="1060">
                  <c:v>17.702999999999999</c:v>
                </c:pt>
                <c:pt idx="1061">
                  <c:v>18.143999999999998</c:v>
                </c:pt>
                <c:pt idx="1062">
                  <c:v>17.521000000000001</c:v>
                </c:pt>
                <c:pt idx="1063">
                  <c:v>17.231000000000002</c:v>
                </c:pt>
                <c:pt idx="1064">
                  <c:v>16.946000000000002</c:v>
                </c:pt>
                <c:pt idx="1065">
                  <c:v>17.044</c:v>
                </c:pt>
                <c:pt idx="1066">
                  <c:v>17.617000000000001</c:v>
                </c:pt>
                <c:pt idx="1067">
                  <c:v>17.814</c:v>
                </c:pt>
                <c:pt idx="1068">
                  <c:v>17.321000000000002</c:v>
                </c:pt>
                <c:pt idx="1069">
                  <c:v>17.399999999999999</c:v>
                </c:pt>
                <c:pt idx="1070">
                  <c:v>17.181000000000001</c:v>
                </c:pt>
                <c:pt idx="1071">
                  <c:v>16.850999999999999</c:v>
                </c:pt>
                <c:pt idx="1072">
                  <c:v>16.867999999999999</c:v>
                </c:pt>
                <c:pt idx="1073">
                  <c:v>16.728999999999999</c:v>
                </c:pt>
                <c:pt idx="1074">
                  <c:v>16.623000000000001</c:v>
                </c:pt>
                <c:pt idx="1075">
                  <c:v>16.209</c:v>
                </c:pt>
                <c:pt idx="1076">
                  <c:v>15.725</c:v>
                </c:pt>
                <c:pt idx="1077">
                  <c:v>15.603</c:v>
                </c:pt>
                <c:pt idx="1078">
                  <c:v>15.252000000000001</c:v>
                </c:pt>
                <c:pt idx="1079">
                  <c:v>14.98</c:v>
                </c:pt>
                <c:pt idx="1080">
                  <c:v>15.003</c:v>
                </c:pt>
                <c:pt idx="1081">
                  <c:v>15.212999999999999</c:v>
                </c:pt>
                <c:pt idx="1082">
                  <c:v>14.563000000000001</c:v>
                </c:pt>
                <c:pt idx="1083">
                  <c:v>14.454000000000001</c:v>
                </c:pt>
                <c:pt idx="1084">
                  <c:v>14.185</c:v>
                </c:pt>
                <c:pt idx="1085">
                  <c:v>14.384</c:v>
                </c:pt>
                <c:pt idx="1086">
                  <c:v>14.994</c:v>
                </c:pt>
                <c:pt idx="1087">
                  <c:v>14.428000000000001</c:v>
                </c:pt>
                <c:pt idx="1088">
                  <c:v>14.212999999999999</c:v>
                </c:pt>
                <c:pt idx="1089">
                  <c:v>13.843999999999999</c:v>
                </c:pt>
                <c:pt idx="1090">
                  <c:v>13.457000000000001</c:v>
                </c:pt>
                <c:pt idx="1091">
                  <c:v>14.189</c:v>
                </c:pt>
                <c:pt idx="1092">
                  <c:v>14.807</c:v>
                </c:pt>
                <c:pt idx="1093">
                  <c:v>16.632999999999999</c:v>
                </c:pt>
                <c:pt idx="1094">
                  <c:v>15.964</c:v>
                </c:pt>
                <c:pt idx="1095">
                  <c:v>16.757000000000001</c:v>
                </c:pt>
                <c:pt idx="1096">
                  <c:v>15.73</c:v>
                </c:pt>
                <c:pt idx="1097">
                  <c:v>15.994999999999999</c:v>
                </c:pt>
                <c:pt idx="1098">
                  <c:v>15.853</c:v>
                </c:pt>
                <c:pt idx="1099">
                  <c:v>15.012</c:v>
                </c:pt>
                <c:pt idx="1100">
                  <c:v>14.836</c:v>
                </c:pt>
                <c:pt idx="1101">
                  <c:v>15.195</c:v>
                </c:pt>
                <c:pt idx="1102">
                  <c:v>14.462</c:v>
                </c:pt>
                <c:pt idx="1103">
                  <c:v>14.422000000000001</c:v>
                </c:pt>
                <c:pt idx="1104">
                  <c:v>14.263999999999999</c:v>
                </c:pt>
                <c:pt idx="1105">
                  <c:v>14.535</c:v>
                </c:pt>
                <c:pt idx="1106">
                  <c:v>14.423</c:v>
                </c:pt>
                <c:pt idx="1107">
                  <c:v>14.525</c:v>
                </c:pt>
                <c:pt idx="1108">
                  <c:v>14.388999999999999</c:v>
                </c:pt>
                <c:pt idx="1109">
                  <c:v>14.055999999999999</c:v>
                </c:pt>
                <c:pt idx="1110">
                  <c:v>14.366</c:v>
                </c:pt>
                <c:pt idx="1111">
                  <c:v>14.566000000000001</c:v>
                </c:pt>
                <c:pt idx="1112">
                  <c:v>14.335000000000001</c:v>
                </c:pt>
                <c:pt idx="1113">
                  <c:v>14.154999999999999</c:v>
                </c:pt>
                <c:pt idx="1114">
                  <c:v>14.321999999999999</c:v>
                </c:pt>
                <c:pt idx="1115">
                  <c:v>14.457000000000001</c:v>
                </c:pt>
                <c:pt idx="1116">
                  <c:v>13.997</c:v>
                </c:pt>
                <c:pt idx="1117">
                  <c:v>13.760999999999999</c:v>
                </c:pt>
                <c:pt idx="1118">
                  <c:v>13.782999999999999</c:v>
                </c:pt>
                <c:pt idx="1119">
                  <c:v>13.856</c:v>
                </c:pt>
                <c:pt idx="1120">
                  <c:v>13.385</c:v>
                </c:pt>
                <c:pt idx="1121">
                  <c:v>12.856</c:v>
                </c:pt>
                <c:pt idx="1122">
                  <c:v>12.903</c:v>
                </c:pt>
                <c:pt idx="1123">
                  <c:v>12.705</c:v>
                </c:pt>
                <c:pt idx="1124">
                  <c:v>12.648999999999999</c:v>
                </c:pt>
                <c:pt idx="1125">
                  <c:v>12.595000000000001</c:v>
                </c:pt>
                <c:pt idx="1126">
                  <c:v>12.249000000000001</c:v>
                </c:pt>
                <c:pt idx="1127">
                  <c:v>12.162000000000001</c:v>
                </c:pt>
                <c:pt idx="1128">
                  <c:v>12.518000000000001</c:v>
                </c:pt>
                <c:pt idx="1129">
                  <c:v>12.223000000000001</c:v>
                </c:pt>
                <c:pt idx="1130">
                  <c:v>11.476000000000001</c:v>
                </c:pt>
                <c:pt idx="1131">
                  <c:v>11.205</c:v>
                </c:pt>
                <c:pt idx="1132">
                  <c:v>11.1</c:v>
                </c:pt>
                <c:pt idx="1133">
                  <c:v>11.91</c:v>
                </c:pt>
                <c:pt idx="1134">
                  <c:v>11.601000000000001</c:v>
                </c:pt>
                <c:pt idx="1135">
                  <c:v>11.103</c:v>
                </c:pt>
                <c:pt idx="1136">
                  <c:v>11.52</c:v>
                </c:pt>
                <c:pt idx="1137">
                  <c:v>11.804</c:v>
                </c:pt>
                <c:pt idx="1138">
                  <c:v>11.202</c:v>
                </c:pt>
                <c:pt idx="1139">
                  <c:v>11.141999999999999</c:v>
                </c:pt>
                <c:pt idx="1140">
                  <c:v>11.395</c:v>
                </c:pt>
                <c:pt idx="1141">
                  <c:v>11.319000000000001</c:v>
                </c:pt>
                <c:pt idx="1142">
                  <c:v>11.571999999999999</c:v>
                </c:pt>
                <c:pt idx="1143">
                  <c:v>11.034000000000001</c:v>
                </c:pt>
                <c:pt idx="1144">
                  <c:v>10.484</c:v>
                </c:pt>
                <c:pt idx="1145">
                  <c:v>10.148</c:v>
                </c:pt>
                <c:pt idx="1146">
                  <c:v>10.355</c:v>
                </c:pt>
                <c:pt idx="1147">
                  <c:v>10.198</c:v>
                </c:pt>
                <c:pt idx="1148">
                  <c:v>9.8469999999999995</c:v>
                </c:pt>
                <c:pt idx="1149">
                  <c:v>9.6199999999999992</c:v>
                </c:pt>
                <c:pt idx="1150">
                  <c:v>9.3759999999999994</c:v>
                </c:pt>
                <c:pt idx="1151">
                  <c:v>10.117000000000001</c:v>
                </c:pt>
                <c:pt idx="1152">
                  <c:v>10.365</c:v>
                </c:pt>
                <c:pt idx="1153">
                  <c:v>10.227</c:v>
                </c:pt>
                <c:pt idx="1154">
                  <c:v>10.294</c:v>
                </c:pt>
                <c:pt idx="1155">
                  <c:v>10.545999999999999</c:v>
                </c:pt>
                <c:pt idx="1156">
                  <c:v>11.215999999999999</c:v>
                </c:pt>
                <c:pt idx="1157">
                  <c:v>11.878</c:v>
                </c:pt>
                <c:pt idx="1158">
                  <c:v>11.757999999999999</c:v>
                </c:pt>
                <c:pt idx="1159">
                  <c:v>12.132999999999999</c:v>
                </c:pt>
                <c:pt idx="1160">
                  <c:v>13.129</c:v>
                </c:pt>
                <c:pt idx="1161">
                  <c:v>13.278</c:v>
                </c:pt>
                <c:pt idx="1162">
                  <c:v>12.893000000000001</c:v>
                </c:pt>
                <c:pt idx="1163">
                  <c:v>11.414999999999999</c:v>
                </c:pt>
                <c:pt idx="1164">
                  <c:v>10.988</c:v>
                </c:pt>
                <c:pt idx="1165">
                  <c:v>10.736000000000001</c:v>
                </c:pt>
                <c:pt idx="1166">
                  <c:v>10.813000000000001</c:v>
                </c:pt>
                <c:pt idx="1167">
                  <c:v>10.16</c:v>
                </c:pt>
                <c:pt idx="1168">
                  <c:v>10.749000000000001</c:v>
                </c:pt>
                <c:pt idx="1169">
                  <c:v>10.073</c:v>
                </c:pt>
                <c:pt idx="1170">
                  <c:v>10.023</c:v>
                </c:pt>
                <c:pt idx="1171">
                  <c:v>9.9640000000000004</c:v>
                </c:pt>
                <c:pt idx="1172">
                  <c:v>9.8109999999999999</c:v>
                </c:pt>
                <c:pt idx="1173">
                  <c:v>9.7910000000000004</c:v>
                </c:pt>
                <c:pt idx="1174">
                  <c:v>10.997999999999999</c:v>
                </c:pt>
                <c:pt idx="1175">
                  <c:v>12.361000000000001</c:v>
                </c:pt>
                <c:pt idx="1176">
                  <c:v>12.013</c:v>
                </c:pt>
                <c:pt idx="1177">
                  <c:v>11.465</c:v>
                </c:pt>
                <c:pt idx="1178">
                  <c:v>10.952</c:v>
                </c:pt>
                <c:pt idx="1179">
                  <c:v>11.412000000000001</c:v>
                </c:pt>
                <c:pt idx="1180">
                  <c:v>12.074999999999999</c:v>
                </c:pt>
                <c:pt idx="1181">
                  <c:v>12.023999999999999</c:v>
                </c:pt>
                <c:pt idx="1182">
                  <c:v>11.42</c:v>
                </c:pt>
                <c:pt idx="1183">
                  <c:v>11.859</c:v>
                </c:pt>
                <c:pt idx="1184">
                  <c:v>11.18</c:v>
                </c:pt>
                <c:pt idx="1185">
                  <c:v>11.223000000000001</c:v>
                </c:pt>
                <c:pt idx="1186">
                  <c:v>10.955</c:v>
                </c:pt>
                <c:pt idx="1187">
                  <c:v>10.786</c:v>
                </c:pt>
                <c:pt idx="1188">
                  <c:v>11.217000000000001</c:v>
                </c:pt>
                <c:pt idx="1189">
                  <c:v>11.414</c:v>
                </c:pt>
                <c:pt idx="1190">
                  <c:v>10.991</c:v>
                </c:pt>
                <c:pt idx="1191">
                  <c:v>10.583</c:v>
                </c:pt>
                <c:pt idx="1192">
                  <c:v>10.313000000000001</c:v>
                </c:pt>
                <c:pt idx="1193">
                  <c:v>10.07</c:v>
                </c:pt>
                <c:pt idx="1194">
                  <c:v>10.236000000000001</c:v>
                </c:pt>
                <c:pt idx="1195">
                  <c:v>10.715999999999999</c:v>
                </c:pt>
                <c:pt idx="1196">
                  <c:v>12.797000000000001</c:v>
                </c:pt>
                <c:pt idx="1197">
                  <c:v>11.848000000000001</c:v>
                </c:pt>
                <c:pt idx="1198">
                  <c:v>12.098000000000001</c:v>
                </c:pt>
                <c:pt idx="1199">
                  <c:v>11.958</c:v>
                </c:pt>
                <c:pt idx="1200">
                  <c:v>12.236000000000001</c:v>
                </c:pt>
                <c:pt idx="1201">
                  <c:v>12.351000000000001</c:v>
                </c:pt>
                <c:pt idx="1202">
                  <c:v>12.236000000000001</c:v>
                </c:pt>
                <c:pt idx="1203">
                  <c:v>14.404</c:v>
                </c:pt>
                <c:pt idx="1204">
                  <c:v>14.355</c:v>
                </c:pt>
                <c:pt idx="1205">
                  <c:v>14.462999999999999</c:v>
                </c:pt>
                <c:pt idx="1206">
                  <c:v>14.711</c:v>
                </c:pt>
                <c:pt idx="1207">
                  <c:v>15.334</c:v>
                </c:pt>
                <c:pt idx="1208">
                  <c:v>13.441000000000001</c:v>
                </c:pt>
                <c:pt idx="1209">
                  <c:v>12.433999999999999</c:v>
                </c:pt>
                <c:pt idx="1210">
                  <c:v>12.255000000000001</c:v>
                </c:pt>
                <c:pt idx="1211">
                  <c:v>12.711</c:v>
                </c:pt>
                <c:pt idx="1212">
                  <c:v>12.243</c:v>
                </c:pt>
                <c:pt idx="1213">
                  <c:v>12.339</c:v>
                </c:pt>
                <c:pt idx="1214">
                  <c:v>11.949</c:v>
                </c:pt>
                <c:pt idx="1215">
                  <c:v>12.044</c:v>
                </c:pt>
                <c:pt idx="1216">
                  <c:v>11.939</c:v>
                </c:pt>
                <c:pt idx="1217">
                  <c:v>16.391999999999999</c:v>
                </c:pt>
                <c:pt idx="1218">
                  <c:v>16.762</c:v>
                </c:pt>
                <c:pt idx="1219">
                  <c:v>16.004000000000001</c:v>
                </c:pt>
                <c:pt idx="1220">
                  <c:v>16.007999999999999</c:v>
                </c:pt>
                <c:pt idx="1221">
                  <c:v>15.769</c:v>
                </c:pt>
                <c:pt idx="1222">
                  <c:v>15.507</c:v>
                </c:pt>
                <c:pt idx="1223">
                  <c:v>15.64</c:v>
                </c:pt>
                <c:pt idx="1224">
                  <c:v>15.573</c:v>
                </c:pt>
                <c:pt idx="1225">
                  <c:v>15.85</c:v>
                </c:pt>
                <c:pt idx="1226">
                  <c:v>16.135999999999999</c:v>
                </c:pt>
                <c:pt idx="1227">
                  <c:v>16.04</c:v>
                </c:pt>
                <c:pt idx="1228">
                  <c:v>16.065000000000001</c:v>
                </c:pt>
                <c:pt idx="1229">
                  <c:v>16.073</c:v>
                </c:pt>
                <c:pt idx="1230">
                  <c:v>16.027000000000001</c:v>
                </c:pt>
                <c:pt idx="1231">
                  <c:v>15.967000000000001</c:v>
                </c:pt>
                <c:pt idx="1232">
                  <c:v>15.61</c:v>
                </c:pt>
                <c:pt idx="1233">
                  <c:v>15.596</c:v>
                </c:pt>
                <c:pt idx="1234">
                  <c:v>15.414999999999999</c:v>
                </c:pt>
                <c:pt idx="1235">
                  <c:v>15.656000000000001</c:v>
                </c:pt>
                <c:pt idx="1236">
                  <c:v>15.234999999999999</c:v>
                </c:pt>
                <c:pt idx="1237">
                  <c:v>14.391</c:v>
                </c:pt>
                <c:pt idx="1238">
                  <c:v>13.833</c:v>
                </c:pt>
                <c:pt idx="1239">
                  <c:v>13.779</c:v>
                </c:pt>
                <c:pt idx="1240">
                  <c:v>16.132999999999999</c:v>
                </c:pt>
                <c:pt idx="1241">
                  <c:v>16.177</c:v>
                </c:pt>
                <c:pt idx="1242">
                  <c:v>16.478000000000002</c:v>
                </c:pt>
                <c:pt idx="1243">
                  <c:v>16.789000000000001</c:v>
                </c:pt>
                <c:pt idx="1244">
                  <c:v>16.280999999999999</c:v>
                </c:pt>
                <c:pt idx="1245">
                  <c:v>16.117999999999999</c:v>
                </c:pt>
                <c:pt idx="1246">
                  <c:v>15.942</c:v>
                </c:pt>
                <c:pt idx="1247">
                  <c:v>15.845000000000001</c:v>
                </c:pt>
                <c:pt idx="1248">
                  <c:v>15.545999999999999</c:v>
                </c:pt>
                <c:pt idx="1249">
                  <c:v>15.451000000000001</c:v>
                </c:pt>
                <c:pt idx="1250">
                  <c:v>15.669</c:v>
                </c:pt>
                <c:pt idx="1251">
                  <c:v>15.712999999999999</c:v>
                </c:pt>
                <c:pt idx="1252">
                  <c:v>15.228999999999999</c:v>
                </c:pt>
                <c:pt idx="1253">
                  <c:v>15.292</c:v>
                </c:pt>
                <c:pt idx="1254">
                  <c:v>15.587999999999999</c:v>
                </c:pt>
                <c:pt idx="1255">
                  <c:v>15.624000000000001</c:v>
                </c:pt>
                <c:pt idx="1256">
                  <c:v>16.047999999999998</c:v>
                </c:pt>
                <c:pt idx="1257">
                  <c:v>16.236999999999998</c:v>
                </c:pt>
                <c:pt idx="1258">
                  <c:v>15.849</c:v>
                </c:pt>
                <c:pt idx="1259">
                  <c:v>15.98</c:v>
                </c:pt>
                <c:pt idx="1260">
                  <c:v>15.648999999999999</c:v>
                </c:pt>
                <c:pt idx="1261">
                  <c:v>16.329999999999998</c:v>
                </c:pt>
                <c:pt idx="1262">
                  <c:v>15.81</c:v>
                </c:pt>
                <c:pt idx="1263">
                  <c:v>15.771000000000001</c:v>
                </c:pt>
                <c:pt idx="1264">
                  <c:v>15.882</c:v>
                </c:pt>
                <c:pt idx="1265">
                  <c:v>15.414999999999999</c:v>
                </c:pt>
                <c:pt idx="1266">
                  <c:v>15.141</c:v>
                </c:pt>
                <c:pt idx="1267">
                  <c:v>14.888</c:v>
                </c:pt>
                <c:pt idx="1268">
                  <c:v>14.532</c:v>
                </c:pt>
                <c:pt idx="1269">
                  <c:v>14.047000000000001</c:v>
                </c:pt>
                <c:pt idx="1270">
                  <c:v>14.768000000000001</c:v>
                </c:pt>
                <c:pt idx="1271">
                  <c:v>13.804</c:v>
                </c:pt>
                <c:pt idx="1272">
                  <c:v>13.89</c:v>
                </c:pt>
                <c:pt idx="1273">
                  <c:v>14.461</c:v>
                </c:pt>
                <c:pt idx="1274">
                  <c:v>14.951000000000001</c:v>
                </c:pt>
                <c:pt idx="1275">
                  <c:v>15.007</c:v>
                </c:pt>
                <c:pt idx="1276">
                  <c:v>14.234999999999999</c:v>
                </c:pt>
                <c:pt idx="1277">
                  <c:v>13.026999999999999</c:v>
                </c:pt>
                <c:pt idx="1278">
                  <c:v>12.606999999999999</c:v>
                </c:pt>
                <c:pt idx="1279">
                  <c:v>12.766999999999999</c:v>
                </c:pt>
                <c:pt idx="1280">
                  <c:v>12.292999999999999</c:v>
                </c:pt>
                <c:pt idx="1281">
                  <c:v>12.051</c:v>
                </c:pt>
                <c:pt idx="1282">
                  <c:v>12.073</c:v>
                </c:pt>
                <c:pt idx="1283">
                  <c:v>12.984999999999999</c:v>
                </c:pt>
                <c:pt idx="1284">
                  <c:v>12.28</c:v>
                </c:pt>
                <c:pt idx="1285">
                  <c:v>11.929</c:v>
                </c:pt>
                <c:pt idx="1286">
                  <c:v>11.964</c:v>
                </c:pt>
                <c:pt idx="1287">
                  <c:v>12.179</c:v>
                </c:pt>
                <c:pt idx="1288">
                  <c:v>11.94</c:v>
                </c:pt>
                <c:pt idx="1289">
                  <c:v>12.054</c:v>
                </c:pt>
                <c:pt idx="1290">
                  <c:v>11.303000000000001</c:v>
                </c:pt>
                <c:pt idx="1291">
                  <c:v>11.179</c:v>
                </c:pt>
                <c:pt idx="1292">
                  <c:v>11.117000000000001</c:v>
                </c:pt>
                <c:pt idx="1293">
                  <c:v>10.929</c:v>
                </c:pt>
                <c:pt idx="1294">
                  <c:v>10.566000000000001</c:v>
                </c:pt>
                <c:pt idx="1295">
                  <c:v>10.776999999999999</c:v>
                </c:pt>
                <c:pt idx="1296">
                  <c:v>10.455</c:v>
                </c:pt>
                <c:pt idx="1297">
                  <c:v>10.428000000000001</c:v>
                </c:pt>
                <c:pt idx="1298">
                  <c:v>10.455</c:v>
                </c:pt>
                <c:pt idx="1299">
                  <c:v>10.526</c:v>
                </c:pt>
                <c:pt idx="1300">
                  <c:v>10.792</c:v>
                </c:pt>
                <c:pt idx="1301">
                  <c:v>10.15</c:v>
                </c:pt>
                <c:pt idx="1302">
                  <c:v>9.7810000000000006</c:v>
                </c:pt>
                <c:pt idx="1303">
                  <c:v>9.7550000000000008</c:v>
                </c:pt>
                <c:pt idx="1304">
                  <c:v>9.2110000000000003</c:v>
                </c:pt>
                <c:pt idx="1305">
                  <c:v>9.3659999999999997</c:v>
                </c:pt>
                <c:pt idx="1306">
                  <c:v>9.3130000000000006</c:v>
                </c:pt>
                <c:pt idx="1307">
                  <c:v>9.1489999999999991</c:v>
                </c:pt>
                <c:pt idx="1308">
                  <c:v>9.0679999999999996</c:v>
                </c:pt>
                <c:pt idx="1309">
                  <c:v>8.6430000000000007</c:v>
                </c:pt>
                <c:pt idx="1310">
                  <c:v>8.5570000000000004</c:v>
                </c:pt>
                <c:pt idx="1311">
                  <c:v>8.7219999999999995</c:v>
                </c:pt>
                <c:pt idx="1312">
                  <c:v>8.8889999999999993</c:v>
                </c:pt>
                <c:pt idx="1313">
                  <c:v>8.8789999999999996</c:v>
                </c:pt>
                <c:pt idx="1314">
                  <c:v>9.3119999999999994</c:v>
                </c:pt>
                <c:pt idx="1315">
                  <c:v>9.3800000000000008</c:v>
                </c:pt>
                <c:pt idx="1316">
                  <c:v>9.5719999999999992</c:v>
                </c:pt>
                <c:pt idx="1317">
                  <c:v>9.5670000000000002</c:v>
                </c:pt>
                <c:pt idx="1318">
                  <c:v>9.41</c:v>
                </c:pt>
                <c:pt idx="1319">
                  <c:v>9.0440000000000005</c:v>
                </c:pt>
                <c:pt idx="1320">
                  <c:v>9.0069999999999997</c:v>
                </c:pt>
                <c:pt idx="1321">
                  <c:v>9.0709999999999997</c:v>
                </c:pt>
                <c:pt idx="1322">
                  <c:v>8.8710000000000004</c:v>
                </c:pt>
                <c:pt idx="1323">
                  <c:v>8.8740000000000006</c:v>
                </c:pt>
                <c:pt idx="1324">
                  <c:v>8.8870000000000005</c:v>
                </c:pt>
                <c:pt idx="1325">
                  <c:v>9.1690000000000005</c:v>
                </c:pt>
                <c:pt idx="1326">
                  <c:v>8.9120000000000008</c:v>
                </c:pt>
                <c:pt idx="1327">
                  <c:v>8.8490000000000002</c:v>
                </c:pt>
                <c:pt idx="1328">
                  <c:v>8.6470000000000002</c:v>
                </c:pt>
                <c:pt idx="1329">
                  <c:v>8.6270000000000007</c:v>
                </c:pt>
                <c:pt idx="1330">
                  <c:v>8.9930000000000003</c:v>
                </c:pt>
                <c:pt idx="1331">
                  <c:v>9.3689999999999998</c:v>
                </c:pt>
                <c:pt idx="1332">
                  <c:v>9.3239999999999998</c:v>
                </c:pt>
                <c:pt idx="1333">
                  <c:v>9.2850000000000001</c:v>
                </c:pt>
                <c:pt idx="1334">
                  <c:v>8.7409999999999997</c:v>
                </c:pt>
                <c:pt idx="1335">
                  <c:v>8.4700000000000006</c:v>
                </c:pt>
                <c:pt idx="1336">
                  <c:v>8.2650000000000006</c:v>
                </c:pt>
                <c:pt idx="1337">
                  <c:v>8.5440000000000005</c:v>
                </c:pt>
                <c:pt idx="1338">
                  <c:v>8.2929999999999993</c:v>
                </c:pt>
                <c:pt idx="1339">
                  <c:v>7.8490000000000002</c:v>
                </c:pt>
                <c:pt idx="1340">
                  <c:v>7.9080000000000004</c:v>
                </c:pt>
                <c:pt idx="1341">
                  <c:v>7.7439999999999998</c:v>
                </c:pt>
                <c:pt idx="1342">
                  <c:v>7.5750000000000002</c:v>
                </c:pt>
                <c:pt idx="1343">
                  <c:v>7.218</c:v>
                </c:pt>
                <c:pt idx="1344">
                  <c:v>6.8970000000000002</c:v>
                </c:pt>
                <c:pt idx="1345">
                  <c:v>6.9020000000000001</c:v>
                </c:pt>
                <c:pt idx="1346">
                  <c:v>6.8239999999999998</c:v>
                </c:pt>
                <c:pt idx="1347">
                  <c:v>6.9349999999999996</c:v>
                </c:pt>
                <c:pt idx="1348">
                  <c:v>6.9219999999999997</c:v>
                </c:pt>
                <c:pt idx="1349">
                  <c:v>7.2869999999999999</c:v>
                </c:pt>
                <c:pt idx="1350">
                  <c:v>7.2830000000000004</c:v>
                </c:pt>
                <c:pt idx="1351">
                  <c:v>7.2590000000000003</c:v>
                </c:pt>
                <c:pt idx="1352">
                  <c:v>7.2789999999999999</c:v>
                </c:pt>
                <c:pt idx="1353">
                  <c:v>6.8739999999999997</c:v>
                </c:pt>
                <c:pt idx="1354">
                  <c:v>6.649</c:v>
                </c:pt>
                <c:pt idx="1355">
                  <c:v>6.907</c:v>
                </c:pt>
                <c:pt idx="1356">
                  <c:v>6.9939999999999998</c:v>
                </c:pt>
                <c:pt idx="1357">
                  <c:v>6.6180000000000003</c:v>
                </c:pt>
                <c:pt idx="1358">
                  <c:v>6.3150000000000004</c:v>
                </c:pt>
                <c:pt idx="1359">
                  <c:v>6.226</c:v>
                </c:pt>
                <c:pt idx="1360">
                  <c:v>6.0570000000000004</c:v>
                </c:pt>
                <c:pt idx="1361">
                  <c:v>5.77</c:v>
                </c:pt>
                <c:pt idx="1362">
                  <c:v>5.9409999999999998</c:v>
                </c:pt>
                <c:pt idx="1363">
                  <c:v>6.1470000000000002</c:v>
                </c:pt>
                <c:pt idx="1364">
                  <c:v>6.0140000000000002</c:v>
                </c:pt>
                <c:pt idx="1365">
                  <c:v>6.2210000000000001</c:v>
                </c:pt>
                <c:pt idx="1366">
                  <c:v>5.843</c:v>
                </c:pt>
                <c:pt idx="1367">
                  <c:v>5.74</c:v>
                </c:pt>
                <c:pt idx="1368">
                  <c:v>5.6740000000000004</c:v>
                </c:pt>
                <c:pt idx="1369">
                  <c:v>5.7629999999999999</c:v>
                </c:pt>
                <c:pt idx="1370">
                  <c:v>5.8470000000000004</c:v>
                </c:pt>
                <c:pt idx="1371">
                  <c:v>5.8310000000000004</c:v>
                </c:pt>
                <c:pt idx="1372">
                  <c:v>5.7069999999999999</c:v>
                </c:pt>
                <c:pt idx="1373">
                  <c:v>5.3129999999999997</c:v>
                </c:pt>
                <c:pt idx="1374">
                  <c:v>5.1189999999999998</c:v>
                </c:pt>
                <c:pt idx="1375">
                  <c:v>5.2649999999999997</c:v>
                </c:pt>
                <c:pt idx="1376">
                  <c:v>5.218</c:v>
                </c:pt>
                <c:pt idx="1377">
                  <c:v>4.9219999999999997</c:v>
                </c:pt>
                <c:pt idx="1378">
                  <c:v>4.6120000000000001</c:v>
                </c:pt>
                <c:pt idx="1379">
                  <c:v>4.4619999999999997</c:v>
                </c:pt>
                <c:pt idx="1380">
                  <c:v>3.8239999999999998</c:v>
                </c:pt>
                <c:pt idx="1381">
                  <c:v>3.8889999999999998</c:v>
                </c:pt>
                <c:pt idx="1382">
                  <c:v>4.7939999999999996</c:v>
                </c:pt>
                <c:pt idx="1383">
                  <c:v>4.1230000000000002</c:v>
                </c:pt>
                <c:pt idx="1384">
                  <c:v>3.6949999999999998</c:v>
                </c:pt>
                <c:pt idx="1385">
                  <c:v>3.5089999999999999</c:v>
                </c:pt>
                <c:pt idx="1386">
                  <c:v>4.3849999999999998</c:v>
                </c:pt>
                <c:pt idx="1387">
                  <c:v>4.0529999999999999</c:v>
                </c:pt>
                <c:pt idx="1388">
                  <c:v>4.8520000000000003</c:v>
                </c:pt>
                <c:pt idx="1389">
                  <c:v>5.3310000000000004</c:v>
                </c:pt>
                <c:pt idx="1390">
                  <c:v>5.3920000000000003</c:v>
                </c:pt>
                <c:pt idx="1391">
                  <c:v>5.7080000000000002</c:v>
                </c:pt>
                <c:pt idx="1392">
                  <c:v>5.2489999999999997</c:v>
                </c:pt>
                <c:pt idx="1393">
                  <c:v>4.806</c:v>
                </c:pt>
                <c:pt idx="1394">
                  <c:v>4.8019999999999996</c:v>
                </c:pt>
                <c:pt idx="1395">
                  <c:v>4.9880000000000004</c:v>
                </c:pt>
                <c:pt idx="1396">
                  <c:v>5.2729999999999997</c:v>
                </c:pt>
                <c:pt idx="1397">
                  <c:v>5.516</c:v>
                </c:pt>
                <c:pt idx="1398">
                  <c:v>5.2610000000000001</c:v>
                </c:pt>
                <c:pt idx="1399">
                  <c:v>5.2089999999999996</c:v>
                </c:pt>
                <c:pt idx="1400">
                  <c:v>5.4509999999999996</c:v>
                </c:pt>
                <c:pt idx="1401">
                  <c:v>5.6150000000000002</c:v>
                </c:pt>
                <c:pt idx="1402">
                  <c:v>5.4950000000000001</c:v>
                </c:pt>
                <c:pt idx="1403">
                  <c:v>5.8289999999999997</c:v>
                </c:pt>
                <c:pt idx="1404">
                  <c:v>5.6630000000000003</c:v>
                </c:pt>
                <c:pt idx="1405">
                  <c:v>5.2560000000000002</c:v>
                </c:pt>
                <c:pt idx="1406">
                  <c:v>5.1050000000000004</c:v>
                </c:pt>
                <c:pt idx="1407">
                  <c:v>5.8390000000000004</c:v>
                </c:pt>
                <c:pt idx="1408">
                  <c:v>6.1630000000000003</c:v>
                </c:pt>
                <c:pt idx="1409">
                  <c:v>5.8630000000000004</c:v>
                </c:pt>
                <c:pt idx="1410">
                  <c:v>5.944</c:v>
                </c:pt>
                <c:pt idx="1411">
                  <c:v>6.0309999999999997</c:v>
                </c:pt>
                <c:pt idx="1412">
                  <c:v>6.0960000000000001</c:v>
                </c:pt>
                <c:pt idx="1413">
                  <c:v>6.1239999999999997</c:v>
                </c:pt>
                <c:pt idx="1414">
                  <c:v>5.9370000000000003</c:v>
                </c:pt>
                <c:pt idx="1415">
                  <c:v>5.7569999999999997</c:v>
                </c:pt>
                <c:pt idx="1416">
                  <c:v>5.4749999999999996</c:v>
                </c:pt>
                <c:pt idx="1417">
                  <c:v>5.1100000000000003</c:v>
                </c:pt>
                <c:pt idx="1418">
                  <c:v>5.085</c:v>
                </c:pt>
                <c:pt idx="1419">
                  <c:v>5.226</c:v>
                </c:pt>
                <c:pt idx="1420">
                  <c:v>5.0579999999999998</c:v>
                </c:pt>
                <c:pt idx="1421">
                  <c:v>5.1139999999999999</c:v>
                </c:pt>
                <c:pt idx="1422">
                  <c:v>4.7320000000000002</c:v>
                </c:pt>
                <c:pt idx="1423">
                  <c:v>4.7919999999999998</c:v>
                </c:pt>
                <c:pt idx="1424">
                  <c:v>4.8289999999999997</c:v>
                </c:pt>
                <c:pt idx="1425">
                  <c:v>4.984</c:v>
                </c:pt>
                <c:pt idx="1426">
                  <c:v>5.0110000000000001</c:v>
                </c:pt>
                <c:pt idx="1427">
                  <c:v>4.7869999999999999</c:v>
                </c:pt>
                <c:pt idx="1428">
                  <c:v>4.9580000000000002</c:v>
                </c:pt>
                <c:pt idx="1429">
                  <c:v>5.1769999999999996</c:v>
                </c:pt>
                <c:pt idx="1430">
                  <c:v>5.2229999999999999</c:v>
                </c:pt>
                <c:pt idx="1431">
                  <c:v>6.0229999999999997</c:v>
                </c:pt>
                <c:pt idx="1432">
                  <c:v>6.8019999999999996</c:v>
                </c:pt>
                <c:pt idx="1433">
                  <c:v>7.3550000000000004</c:v>
                </c:pt>
                <c:pt idx="1434">
                  <c:v>7.32</c:v>
                </c:pt>
                <c:pt idx="1435">
                  <c:v>7.94</c:v>
                </c:pt>
                <c:pt idx="1436">
                  <c:v>7.931</c:v>
                </c:pt>
                <c:pt idx="1437">
                  <c:v>7.5890000000000004</c:v>
                </c:pt>
                <c:pt idx="1438">
                  <c:v>7.4160000000000004</c:v>
                </c:pt>
                <c:pt idx="1439">
                  <c:v>7.1719999999999997</c:v>
                </c:pt>
                <c:pt idx="1440">
                  <c:v>7.3120000000000003</c:v>
                </c:pt>
                <c:pt idx="1441">
                  <c:v>8.0190000000000001</c:v>
                </c:pt>
                <c:pt idx="1442">
                  <c:v>8.1809999999999992</c:v>
                </c:pt>
                <c:pt idx="1443">
                  <c:v>8.5489999999999995</c:v>
                </c:pt>
                <c:pt idx="1444">
                  <c:v>8.3529999999999998</c:v>
                </c:pt>
                <c:pt idx="1445">
                  <c:v>8.15</c:v>
                </c:pt>
                <c:pt idx="1446">
                  <c:v>7.6219999999999999</c:v>
                </c:pt>
                <c:pt idx="1447">
                  <c:v>8.3610000000000007</c:v>
                </c:pt>
                <c:pt idx="1448">
                  <c:v>8.8670000000000009</c:v>
                </c:pt>
                <c:pt idx="1449">
                  <c:v>9.1489999999999991</c:v>
                </c:pt>
                <c:pt idx="1450">
                  <c:v>8.8719999999999999</c:v>
                </c:pt>
                <c:pt idx="1451">
                  <c:v>11.169</c:v>
                </c:pt>
                <c:pt idx="1452">
                  <c:v>11.239000000000001</c:v>
                </c:pt>
                <c:pt idx="1453">
                  <c:v>11.297000000000001</c:v>
                </c:pt>
                <c:pt idx="1454">
                  <c:v>11.11</c:v>
                </c:pt>
                <c:pt idx="1455">
                  <c:v>11.733000000000001</c:v>
                </c:pt>
                <c:pt idx="1456">
                  <c:v>11.682</c:v>
                </c:pt>
                <c:pt idx="1457">
                  <c:v>11.231999999999999</c:v>
                </c:pt>
                <c:pt idx="1458">
                  <c:v>10.802</c:v>
                </c:pt>
                <c:pt idx="1459">
                  <c:v>10.734</c:v>
                </c:pt>
                <c:pt idx="1460">
                  <c:v>10.516</c:v>
                </c:pt>
                <c:pt idx="1461">
                  <c:v>10.497</c:v>
                </c:pt>
                <c:pt idx="1462">
                  <c:v>10.707000000000001</c:v>
                </c:pt>
                <c:pt idx="1463">
                  <c:v>10.896000000000001</c:v>
                </c:pt>
                <c:pt idx="1464">
                  <c:v>11.318</c:v>
                </c:pt>
                <c:pt idx="1465">
                  <c:v>11.121</c:v>
                </c:pt>
                <c:pt idx="1466">
                  <c:v>11.475</c:v>
                </c:pt>
                <c:pt idx="1467">
                  <c:v>11.497</c:v>
                </c:pt>
                <c:pt idx="1468">
                  <c:v>11.704000000000001</c:v>
                </c:pt>
                <c:pt idx="1469">
                  <c:v>12.019</c:v>
                </c:pt>
                <c:pt idx="1470">
                  <c:v>11.634</c:v>
                </c:pt>
                <c:pt idx="1471">
                  <c:v>11.666</c:v>
                </c:pt>
                <c:pt idx="1472">
                  <c:v>12.352</c:v>
                </c:pt>
                <c:pt idx="1473">
                  <c:v>12.28</c:v>
                </c:pt>
                <c:pt idx="1474">
                  <c:v>13.286</c:v>
                </c:pt>
                <c:pt idx="1475">
                  <c:v>13.180999999999999</c:v>
                </c:pt>
                <c:pt idx="1476">
                  <c:v>13.026</c:v>
                </c:pt>
                <c:pt idx="1477">
                  <c:v>13.419</c:v>
                </c:pt>
                <c:pt idx="1478">
                  <c:v>13.307</c:v>
                </c:pt>
                <c:pt idx="1479">
                  <c:v>13.709</c:v>
                </c:pt>
                <c:pt idx="1480">
                  <c:v>13.9</c:v>
                </c:pt>
                <c:pt idx="1481">
                  <c:v>13.753</c:v>
                </c:pt>
                <c:pt idx="1482">
                  <c:v>13.837999999999999</c:v>
                </c:pt>
                <c:pt idx="1483">
                  <c:v>13.596</c:v>
                </c:pt>
                <c:pt idx="1484">
                  <c:v>13.872</c:v>
                </c:pt>
                <c:pt idx="1485">
                  <c:v>14.239000000000001</c:v>
                </c:pt>
                <c:pt idx="1486">
                  <c:v>14.499000000000001</c:v>
                </c:pt>
                <c:pt idx="1487">
                  <c:v>14.718</c:v>
                </c:pt>
                <c:pt idx="1488">
                  <c:v>14.895</c:v>
                </c:pt>
                <c:pt idx="1489">
                  <c:v>14.867000000000001</c:v>
                </c:pt>
                <c:pt idx="1490">
                  <c:v>15.257</c:v>
                </c:pt>
                <c:pt idx="1491">
                  <c:v>15.41</c:v>
                </c:pt>
                <c:pt idx="1492">
                  <c:v>14.866</c:v>
                </c:pt>
                <c:pt idx="1493">
                  <c:v>14.743</c:v>
                </c:pt>
                <c:pt idx="1494">
                  <c:v>14.487</c:v>
                </c:pt>
                <c:pt idx="1495">
                  <c:v>14.215999999999999</c:v>
                </c:pt>
                <c:pt idx="1496">
                  <c:v>14.061</c:v>
                </c:pt>
                <c:pt idx="1497">
                  <c:v>13.656000000000001</c:v>
                </c:pt>
                <c:pt idx="1498">
                  <c:v>13.664999999999999</c:v>
                </c:pt>
                <c:pt idx="1499">
                  <c:v>13.882999999999999</c:v>
                </c:pt>
                <c:pt idx="1500">
                  <c:v>14.456</c:v>
                </c:pt>
                <c:pt idx="1501">
                  <c:v>13.901999999999999</c:v>
                </c:pt>
                <c:pt idx="1502">
                  <c:v>13.853999999999999</c:v>
                </c:pt>
                <c:pt idx="1503">
                  <c:v>14.035</c:v>
                </c:pt>
                <c:pt idx="1504">
                  <c:v>14.096</c:v>
                </c:pt>
                <c:pt idx="1505">
                  <c:v>14.000999999999999</c:v>
                </c:pt>
                <c:pt idx="1506">
                  <c:v>14.239000000000001</c:v>
                </c:pt>
                <c:pt idx="1507">
                  <c:v>14.494</c:v>
                </c:pt>
                <c:pt idx="1508">
                  <c:v>13.968</c:v>
                </c:pt>
                <c:pt idx="1509">
                  <c:v>13.682</c:v>
                </c:pt>
                <c:pt idx="1510">
                  <c:v>13.022</c:v>
                </c:pt>
                <c:pt idx="1511">
                  <c:v>12.894</c:v>
                </c:pt>
                <c:pt idx="1512">
                  <c:v>13.537000000000001</c:v>
                </c:pt>
                <c:pt idx="1513">
                  <c:v>13.901999999999999</c:v>
                </c:pt>
                <c:pt idx="1514">
                  <c:v>13.932</c:v>
                </c:pt>
                <c:pt idx="1515">
                  <c:v>13.914</c:v>
                </c:pt>
                <c:pt idx="1516">
                  <c:v>14.484999999999999</c:v>
                </c:pt>
                <c:pt idx="1517">
                  <c:v>15.138</c:v>
                </c:pt>
                <c:pt idx="1518">
                  <c:v>14.912000000000001</c:v>
                </c:pt>
                <c:pt idx="1519">
                  <c:v>14.904999999999999</c:v>
                </c:pt>
                <c:pt idx="1520">
                  <c:v>14.143000000000001</c:v>
                </c:pt>
                <c:pt idx="1521">
                  <c:v>14.643000000000001</c:v>
                </c:pt>
                <c:pt idx="1522">
                  <c:v>14.356999999999999</c:v>
                </c:pt>
                <c:pt idx="1523">
                  <c:v>14.446999999999999</c:v>
                </c:pt>
                <c:pt idx="1524">
                  <c:v>14.733000000000001</c:v>
                </c:pt>
                <c:pt idx="1525">
                  <c:v>15.539</c:v>
                </c:pt>
                <c:pt idx="1526">
                  <c:v>15.959</c:v>
                </c:pt>
                <c:pt idx="1527">
                  <c:v>16.606999999999999</c:v>
                </c:pt>
                <c:pt idx="1528">
                  <c:v>17.225000000000001</c:v>
                </c:pt>
                <c:pt idx="1529">
                  <c:v>16.381</c:v>
                </c:pt>
                <c:pt idx="1530">
                  <c:v>15.941000000000001</c:v>
                </c:pt>
                <c:pt idx="1531">
                  <c:v>15.885999999999999</c:v>
                </c:pt>
                <c:pt idx="1532">
                  <c:v>16.795000000000002</c:v>
                </c:pt>
                <c:pt idx="1533">
                  <c:v>17.635999999999999</c:v>
                </c:pt>
                <c:pt idx="1534">
                  <c:v>17.507000000000001</c:v>
                </c:pt>
                <c:pt idx="1535">
                  <c:v>17.649000000000001</c:v>
                </c:pt>
                <c:pt idx="1536">
                  <c:v>19.152000000000001</c:v>
                </c:pt>
                <c:pt idx="1537">
                  <c:v>18.774000000000001</c:v>
                </c:pt>
                <c:pt idx="1538">
                  <c:v>19.001000000000001</c:v>
                </c:pt>
                <c:pt idx="1539">
                  <c:v>19.123000000000001</c:v>
                </c:pt>
                <c:pt idx="1540">
                  <c:v>19.844000000000001</c:v>
                </c:pt>
                <c:pt idx="1541">
                  <c:v>18.007000000000001</c:v>
                </c:pt>
                <c:pt idx="1542">
                  <c:v>17.564</c:v>
                </c:pt>
                <c:pt idx="1543">
                  <c:v>19.303000000000001</c:v>
                </c:pt>
                <c:pt idx="1544">
                  <c:v>20.117999999999999</c:v>
                </c:pt>
                <c:pt idx="1545">
                  <c:v>22.123999999999999</c:v>
                </c:pt>
                <c:pt idx="1546">
                  <c:v>26.155000000000001</c:v>
                </c:pt>
                <c:pt idx="1547">
                  <c:v>21.5</c:v>
                </c:pt>
                <c:pt idx="1548">
                  <c:v>21.332999999999998</c:v>
                </c:pt>
                <c:pt idx="1549">
                  <c:v>20.2</c:v>
                </c:pt>
                <c:pt idx="1550">
                  <c:v>19.026</c:v>
                </c:pt>
                <c:pt idx="1551">
                  <c:v>20.327000000000002</c:v>
                </c:pt>
                <c:pt idx="1552">
                  <c:v>20.260000000000002</c:v>
                </c:pt>
                <c:pt idx="1553">
                  <c:v>20.062999999999999</c:v>
                </c:pt>
                <c:pt idx="1554">
                  <c:v>21.483000000000001</c:v>
                </c:pt>
                <c:pt idx="1555">
                  <c:v>20.161999999999999</c:v>
                </c:pt>
                <c:pt idx="1556">
                  <c:v>19.509</c:v>
                </c:pt>
                <c:pt idx="1557">
                  <c:v>19.701000000000001</c:v>
                </c:pt>
                <c:pt idx="1558">
                  <c:v>20.908000000000001</c:v>
                </c:pt>
                <c:pt idx="1559">
                  <c:v>19.818999999999999</c:v>
                </c:pt>
                <c:pt idx="1560">
                  <c:v>18.138999999999999</c:v>
                </c:pt>
                <c:pt idx="1561">
                  <c:v>18.251000000000001</c:v>
                </c:pt>
                <c:pt idx="1562">
                  <c:v>17.853999999999999</c:v>
                </c:pt>
                <c:pt idx="1563">
                  <c:v>18.12</c:v>
                </c:pt>
                <c:pt idx="1564">
                  <c:v>18.38</c:v>
                </c:pt>
                <c:pt idx="1565">
                  <c:v>20.178999999999998</c:v>
                </c:pt>
                <c:pt idx="1566">
                  <c:v>19.045000000000002</c:v>
                </c:pt>
                <c:pt idx="1567">
                  <c:v>18.558</c:v>
                </c:pt>
                <c:pt idx="1568">
                  <c:v>17.373000000000001</c:v>
                </c:pt>
                <c:pt idx="1569">
                  <c:v>17.617999999999999</c:v>
                </c:pt>
                <c:pt idx="1570">
                  <c:v>16.54</c:v>
                </c:pt>
                <c:pt idx="1571">
                  <c:v>16.715</c:v>
                </c:pt>
                <c:pt idx="1572">
                  <c:v>16.54</c:v>
                </c:pt>
                <c:pt idx="1573">
                  <c:v>17.329000000000001</c:v>
                </c:pt>
                <c:pt idx="1574">
                  <c:v>16.553999999999998</c:v>
                </c:pt>
                <c:pt idx="1575">
                  <c:v>15.96</c:v>
                </c:pt>
                <c:pt idx="1576">
                  <c:v>16.248000000000001</c:v>
                </c:pt>
                <c:pt idx="1577">
                  <c:v>16.381</c:v>
                </c:pt>
                <c:pt idx="1578">
                  <c:v>15.935</c:v>
                </c:pt>
                <c:pt idx="1579">
                  <c:v>15.694000000000001</c:v>
                </c:pt>
                <c:pt idx="1580">
                  <c:v>16.082000000000001</c:v>
                </c:pt>
                <c:pt idx="1581">
                  <c:v>15.869</c:v>
                </c:pt>
                <c:pt idx="1582">
                  <c:v>15.526999999999999</c:v>
                </c:pt>
                <c:pt idx="1583">
                  <c:v>15.932</c:v>
                </c:pt>
                <c:pt idx="1584">
                  <c:v>16.367000000000001</c:v>
                </c:pt>
                <c:pt idx="1585">
                  <c:v>16.151</c:v>
                </c:pt>
                <c:pt idx="1586">
                  <c:v>16.925000000000001</c:v>
                </c:pt>
                <c:pt idx="1587">
                  <c:v>17.632000000000001</c:v>
                </c:pt>
                <c:pt idx="1588">
                  <c:v>18.126999999999999</c:v>
                </c:pt>
                <c:pt idx="1589">
                  <c:v>18.448</c:v>
                </c:pt>
                <c:pt idx="1590">
                  <c:v>17.931999999999999</c:v>
                </c:pt>
                <c:pt idx="1591">
                  <c:v>17.658000000000001</c:v>
                </c:pt>
                <c:pt idx="1592">
                  <c:v>17.972000000000001</c:v>
                </c:pt>
                <c:pt idx="1593">
                  <c:v>17.760999999999999</c:v>
                </c:pt>
                <c:pt idx="1594">
                  <c:v>17.265999999999998</c:v>
                </c:pt>
                <c:pt idx="1595">
                  <c:v>18.045999999999999</c:v>
                </c:pt>
                <c:pt idx="1596">
                  <c:v>18.39</c:v>
                </c:pt>
                <c:pt idx="1597">
                  <c:v>18.588999999999999</c:v>
                </c:pt>
                <c:pt idx="1598">
                  <c:v>18.367000000000001</c:v>
                </c:pt>
                <c:pt idx="1599">
                  <c:v>18.699000000000002</c:v>
                </c:pt>
                <c:pt idx="1600">
                  <c:v>18.443000000000001</c:v>
                </c:pt>
                <c:pt idx="1601">
                  <c:v>18.803999999999998</c:v>
                </c:pt>
                <c:pt idx="1602">
                  <c:v>18.994</c:v>
                </c:pt>
                <c:pt idx="1603">
                  <c:v>19.172000000000001</c:v>
                </c:pt>
                <c:pt idx="1604">
                  <c:v>19.780999999999999</c:v>
                </c:pt>
                <c:pt idx="1605">
                  <c:v>19.286999999999999</c:v>
                </c:pt>
                <c:pt idx="1606">
                  <c:v>18.991</c:v>
                </c:pt>
                <c:pt idx="1607">
                  <c:v>18.937999999999999</c:v>
                </c:pt>
                <c:pt idx="1608">
                  <c:v>19.649999999999999</c:v>
                </c:pt>
                <c:pt idx="1609">
                  <c:v>19.512</c:v>
                </c:pt>
                <c:pt idx="1610">
                  <c:v>19.681999999999999</c:v>
                </c:pt>
                <c:pt idx="1611">
                  <c:v>20.260000000000002</c:v>
                </c:pt>
                <c:pt idx="1612">
                  <c:v>20.538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4EB-42CD-AD23-1403467BE27D}"/>
            </c:ext>
          </c:extLst>
        </c:ser>
        <c:ser>
          <c:idx val="1"/>
          <c:order val="1"/>
          <c:tx>
            <c:strRef>
              <c:f>'M1'!$T$6</c:f>
              <c:strCache>
                <c:ptCount val="1"/>
                <c:pt idx="0">
                  <c:v>TTF_M1_forecast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'M1'!$D$7:$D$2132</c:f>
              <c:numCache>
                <c:formatCode>m/d/yyyy</c:formatCode>
                <c:ptCount val="2126"/>
                <c:pt idx="0">
                  <c:v>42006</c:v>
                </c:pt>
                <c:pt idx="1">
                  <c:v>42009</c:v>
                </c:pt>
                <c:pt idx="2">
                  <c:v>42010</c:v>
                </c:pt>
                <c:pt idx="3">
                  <c:v>42011</c:v>
                </c:pt>
                <c:pt idx="4">
                  <c:v>42012</c:v>
                </c:pt>
                <c:pt idx="5">
                  <c:v>42013</c:v>
                </c:pt>
                <c:pt idx="6">
                  <c:v>42016</c:v>
                </c:pt>
                <c:pt idx="7">
                  <c:v>42017</c:v>
                </c:pt>
                <c:pt idx="8">
                  <c:v>42018</c:v>
                </c:pt>
                <c:pt idx="9">
                  <c:v>42019</c:v>
                </c:pt>
                <c:pt idx="10">
                  <c:v>42020</c:v>
                </c:pt>
                <c:pt idx="11">
                  <c:v>42023</c:v>
                </c:pt>
                <c:pt idx="12">
                  <c:v>42024</c:v>
                </c:pt>
                <c:pt idx="13">
                  <c:v>42025</c:v>
                </c:pt>
                <c:pt idx="14">
                  <c:v>42026</c:v>
                </c:pt>
                <c:pt idx="15">
                  <c:v>42027</c:v>
                </c:pt>
                <c:pt idx="16">
                  <c:v>42030</c:v>
                </c:pt>
                <c:pt idx="17">
                  <c:v>42031</c:v>
                </c:pt>
                <c:pt idx="18">
                  <c:v>42032</c:v>
                </c:pt>
                <c:pt idx="19">
                  <c:v>42033</c:v>
                </c:pt>
                <c:pt idx="20">
                  <c:v>42034</c:v>
                </c:pt>
                <c:pt idx="21">
                  <c:v>42037</c:v>
                </c:pt>
                <c:pt idx="22">
                  <c:v>42038</c:v>
                </c:pt>
                <c:pt idx="23">
                  <c:v>42039</c:v>
                </c:pt>
                <c:pt idx="24">
                  <c:v>42040</c:v>
                </c:pt>
                <c:pt idx="25">
                  <c:v>42041</c:v>
                </c:pt>
                <c:pt idx="26">
                  <c:v>42044</c:v>
                </c:pt>
                <c:pt idx="27">
                  <c:v>42045</c:v>
                </c:pt>
                <c:pt idx="28">
                  <c:v>42046</c:v>
                </c:pt>
                <c:pt idx="29">
                  <c:v>42047</c:v>
                </c:pt>
                <c:pt idx="30">
                  <c:v>42048</c:v>
                </c:pt>
                <c:pt idx="31">
                  <c:v>42051</c:v>
                </c:pt>
                <c:pt idx="32">
                  <c:v>42052</c:v>
                </c:pt>
                <c:pt idx="33">
                  <c:v>42053</c:v>
                </c:pt>
                <c:pt idx="34">
                  <c:v>42054</c:v>
                </c:pt>
                <c:pt idx="35">
                  <c:v>42055</c:v>
                </c:pt>
                <c:pt idx="36">
                  <c:v>42058</c:v>
                </c:pt>
                <c:pt idx="37">
                  <c:v>42059</c:v>
                </c:pt>
                <c:pt idx="38">
                  <c:v>42060</c:v>
                </c:pt>
                <c:pt idx="39">
                  <c:v>42061</c:v>
                </c:pt>
                <c:pt idx="40">
                  <c:v>42062</c:v>
                </c:pt>
                <c:pt idx="41">
                  <c:v>42065</c:v>
                </c:pt>
                <c:pt idx="42">
                  <c:v>42066</c:v>
                </c:pt>
                <c:pt idx="43">
                  <c:v>42067</c:v>
                </c:pt>
                <c:pt idx="44">
                  <c:v>42068</c:v>
                </c:pt>
                <c:pt idx="45">
                  <c:v>42069</c:v>
                </c:pt>
                <c:pt idx="46">
                  <c:v>42072</c:v>
                </c:pt>
                <c:pt idx="47">
                  <c:v>42073</c:v>
                </c:pt>
                <c:pt idx="48">
                  <c:v>42074</c:v>
                </c:pt>
                <c:pt idx="49">
                  <c:v>42075</c:v>
                </c:pt>
                <c:pt idx="50">
                  <c:v>42076</c:v>
                </c:pt>
                <c:pt idx="51">
                  <c:v>42079</c:v>
                </c:pt>
                <c:pt idx="52">
                  <c:v>42080</c:v>
                </c:pt>
                <c:pt idx="53">
                  <c:v>42081</c:v>
                </c:pt>
                <c:pt idx="54">
                  <c:v>42082</c:v>
                </c:pt>
                <c:pt idx="55">
                  <c:v>42083</c:v>
                </c:pt>
                <c:pt idx="56">
                  <c:v>42086</c:v>
                </c:pt>
                <c:pt idx="57">
                  <c:v>42087</c:v>
                </c:pt>
                <c:pt idx="58">
                  <c:v>42088</c:v>
                </c:pt>
                <c:pt idx="59">
                  <c:v>42089</c:v>
                </c:pt>
                <c:pt idx="60">
                  <c:v>42090</c:v>
                </c:pt>
                <c:pt idx="61">
                  <c:v>42093</c:v>
                </c:pt>
                <c:pt idx="62">
                  <c:v>42094</c:v>
                </c:pt>
                <c:pt idx="63">
                  <c:v>42095</c:v>
                </c:pt>
                <c:pt idx="64">
                  <c:v>42096</c:v>
                </c:pt>
                <c:pt idx="65">
                  <c:v>42101</c:v>
                </c:pt>
                <c:pt idx="66">
                  <c:v>42102</c:v>
                </c:pt>
                <c:pt idx="67">
                  <c:v>42103</c:v>
                </c:pt>
                <c:pt idx="68">
                  <c:v>42104</c:v>
                </c:pt>
                <c:pt idx="69">
                  <c:v>42107</c:v>
                </c:pt>
                <c:pt idx="70">
                  <c:v>42108</c:v>
                </c:pt>
                <c:pt idx="71">
                  <c:v>42109</c:v>
                </c:pt>
                <c:pt idx="72">
                  <c:v>42110</c:v>
                </c:pt>
                <c:pt idx="73">
                  <c:v>42111</c:v>
                </c:pt>
                <c:pt idx="74">
                  <c:v>42114</c:v>
                </c:pt>
                <c:pt idx="75">
                  <c:v>42115</c:v>
                </c:pt>
                <c:pt idx="76">
                  <c:v>42116</c:v>
                </c:pt>
                <c:pt idx="77">
                  <c:v>42117</c:v>
                </c:pt>
                <c:pt idx="78">
                  <c:v>42118</c:v>
                </c:pt>
                <c:pt idx="79">
                  <c:v>42121</c:v>
                </c:pt>
                <c:pt idx="80">
                  <c:v>42122</c:v>
                </c:pt>
                <c:pt idx="81">
                  <c:v>42123</c:v>
                </c:pt>
                <c:pt idx="82">
                  <c:v>42124</c:v>
                </c:pt>
                <c:pt idx="83">
                  <c:v>42125</c:v>
                </c:pt>
                <c:pt idx="84">
                  <c:v>42128</c:v>
                </c:pt>
                <c:pt idx="85">
                  <c:v>42129</c:v>
                </c:pt>
                <c:pt idx="86">
                  <c:v>42130</c:v>
                </c:pt>
                <c:pt idx="87">
                  <c:v>42131</c:v>
                </c:pt>
                <c:pt idx="88">
                  <c:v>42132</c:v>
                </c:pt>
                <c:pt idx="89">
                  <c:v>42135</c:v>
                </c:pt>
                <c:pt idx="90">
                  <c:v>42136</c:v>
                </c:pt>
                <c:pt idx="91">
                  <c:v>42137</c:v>
                </c:pt>
                <c:pt idx="92">
                  <c:v>42138</c:v>
                </c:pt>
                <c:pt idx="93">
                  <c:v>42139</c:v>
                </c:pt>
                <c:pt idx="94">
                  <c:v>42142</c:v>
                </c:pt>
                <c:pt idx="95">
                  <c:v>42143</c:v>
                </c:pt>
                <c:pt idx="96">
                  <c:v>42144</c:v>
                </c:pt>
                <c:pt idx="97">
                  <c:v>42145</c:v>
                </c:pt>
                <c:pt idx="98">
                  <c:v>42146</c:v>
                </c:pt>
                <c:pt idx="99">
                  <c:v>42149</c:v>
                </c:pt>
                <c:pt idx="100">
                  <c:v>42150</c:v>
                </c:pt>
                <c:pt idx="101">
                  <c:v>42151</c:v>
                </c:pt>
                <c:pt idx="102">
                  <c:v>42152</c:v>
                </c:pt>
                <c:pt idx="103">
                  <c:v>42153</c:v>
                </c:pt>
                <c:pt idx="104">
                  <c:v>42156</c:v>
                </c:pt>
                <c:pt idx="105">
                  <c:v>42157</c:v>
                </c:pt>
                <c:pt idx="106">
                  <c:v>42158</c:v>
                </c:pt>
                <c:pt idx="107">
                  <c:v>42159</c:v>
                </c:pt>
                <c:pt idx="108">
                  <c:v>42160</c:v>
                </c:pt>
                <c:pt idx="109">
                  <c:v>42163</c:v>
                </c:pt>
                <c:pt idx="110">
                  <c:v>42164</c:v>
                </c:pt>
                <c:pt idx="111">
                  <c:v>42165</c:v>
                </c:pt>
                <c:pt idx="112">
                  <c:v>42166</c:v>
                </c:pt>
                <c:pt idx="113">
                  <c:v>42167</c:v>
                </c:pt>
                <c:pt idx="114">
                  <c:v>42170</c:v>
                </c:pt>
                <c:pt idx="115">
                  <c:v>42171</c:v>
                </c:pt>
                <c:pt idx="116">
                  <c:v>42172</c:v>
                </c:pt>
                <c:pt idx="117">
                  <c:v>42173</c:v>
                </c:pt>
                <c:pt idx="118">
                  <c:v>42174</c:v>
                </c:pt>
                <c:pt idx="119">
                  <c:v>42177</c:v>
                </c:pt>
                <c:pt idx="120">
                  <c:v>42178</c:v>
                </c:pt>
                <c:pt idx="121">
                  <c:v>42179</c:v>
                </c:pt>
                <c:pt idx="122">
                  <c:v>42180</c:v>
                </c:pt>
                <c:pt idx="123">
                  <c:v>42181</c:v>
                </c:pt>
                <c:pt idx="124">
                  <c:v>42184</c:v>
                </c:pt>
                <c:pt idx="125">
                  <c:v>42185</c:v>
                </c:pt>
                <c:pt idx="126">
                  <c:v>42186</c:v>
                </c:pt>
                <c:pt idx="127">
                  <c:v>42187</c:v>
                </c:pt>
                <c:pt idx="128">
                  <c:v>42188</c:v>
                </c:pt>
                <c:pt idx="129">
                  <c:v>42191</c:v>
                </c:pt>
                <c:pt idx="130">
                  <c:v>42192</c:v>
                </c:pt>
                <c:pt idx="131">
                  <c:v>42193</c:v>
                </c:pt>
                <c:pt idx="132">
                  <c:v>42194</c:v>
                </c:pt>
                <c:pt idx="133">
                  <c:v>42195</c:v>
                </c:pt>
                <c:pt idx="134">
                  <c:v>42198</c:v>
                </c:pt>
                <c:pt idx="135">
                  <c:v>42199</c:v>
                </c:pt>
                <c:pt idx="136">
                  <c:v>42200</c:v>
                </c:pt>
                <c:pt idx="137">
                  <c:v>42201</c:v>
                </c:pt>
                <c:pt idx="138">
                  <c:v>42202</c:v>
                </c:pt>
                <c:pt idx="139">
                  <c:v>42205</c:v>
                </c:pt>
                <c:pt idx="140">
                  <c:v>42206</c:v>
                </c:pt>
                <c:pt idx="141">
                  <c:v>42207</c:v>
                </c:pt>
                <c:pt idx="142">
                  <c:v>42208</c:v>
                </c:pt>
                <c:pt idx="143">
                  <c:v>42209</c:v>
                </c:pt>
                <c:pt idx="144">
                  <c:v>42212</c:v>
                </c:pt>
                <c:pt idx="145">
                  <c:v>42213</c:v>
                </c:pt>
                <c:pt idx="146">
                  <c:v>42214</c:v>
                </c:pt>
                <c:pt idx="147">
                  <c:v>42215</c:v>
                </c:pt>
                <c:pt idx="148">
                  <c:v>42216</c:v>
                </c:pt>
                <c:pt idx="149">
                  <c:v>42219</c:v>
                </c:pt>
                <c:pt idx="150">
                  <c:v>42220</c:v>
                </c:pt>
                <c:pt idx="151">
                  <c:v>42221</c:v>
                </c:pt>
                <c:pt idx="152">
                  <c:v>42222</c:v>
                </c:pt>
                <c:pt idx="153">
                  <c:v>42223</c:v>
                </c:pt>
                <c:pt idx="154">
                  <c:v>42226</c:v>
                </c:pt>
                <c:pt idx="155">
                  <c:v>42227</c:v>
                </c:pt>
                <c:pt idx="156">
                  <c:v>42228</c:v>
                </c:pt>
                <c:pt idx="157">
                  <c:v>42229</c:v>
                </c:pt>
                <c:pt idx="158">
                  <c:v>42230</c:v>
                </c:pt>
                <c:pt idx="159">
                  <c:v>42233</c:v>
                </c:pt>
                <c:pt idx="160">
                  <c:v>42234</c:v>
                </c:pt>
                <c:pt idx="161">
                  <c:v>42235</c:v>
                </c:pt>
                <c:pt idx="162">
                  <c:v>42236</c:v>
                </c:pt>
                <c:pt idx="163">
                  <c:v>42237</c:v>
                </c:pt>
                <c:pt idx="164">
                  <c:v>42240</c:v>
                </c:pt>
                <c:pt idx="165">
                  <c:v>42241</c:v>
                </c:pt>
                <c:pt idx="166">
                  <c:v>42242</c:v>
                </c:pt>
                <c:pt idx="167">
                  <c:v>42243</c:v>
                </c:pt>
                <c:pt idx="168">
                  <c:v>42244</c:v>
                </c:pt>
                <c:pt idx="169">
                  <c:v>42247</c:v>
                </c:pt>
                <c:pt idx="170">
                  <c:v>42248</c:v>
                </c:pt>
                <c:pt idx="171">
                  <c:v>42249</c:v>
                </c:pt>
                <c:pt idx="172">
                  <c:v>42250</c:v>
                </c:pt>
                <c:pt idx="173">
                  <c:v>42251</c:v>
                </c:pt>
                <c:pt idx="174">
                  <c:v>42254</c:v>
                </c:pt>
                <c:pt idx="175">
                  <c:v>42255</c:v>
                </c:pt>
                <c:pt idx="176">
                  <c:v>42256</c:v>
                </c:pt>
                <c:pt idx="177">
                  <c:v>42257</c:v>
                </c:pt>
                <c:pt idx="178">
                  <c:v>42258</c:v>
                </c:pt>
                <c:pt idx="179">
                  <c:v>42261</c:v>
                </c:pt>
                <c:pt idx="180">
                  <c:v>42262</c:v>
                </c:pt>
                <c:pt idx="181">
                  <c:v>42263</c:v>
                </c:pt>
                <c:pt idx="182">
                  <c:v>42264</c:v>
                </c:pt>
                <c:pt idx="183">
                  <c:v>42265</c:v>
                </c:pt>
                <c:pt idx="184">
                  <c:v>42268</c:v>
                </c:pt>
                <c:pt idx="185">
                  <c:v>42269</c:v>
                </c:pt>
                <c:pt idx="186">
                  <c:v>42270</c:v>
                </c:pt>
                <c:pt idx="187">
                  <c:v>42271</c:v>
                </c:pt>
                <c:pt idx="188">
                  <c:v>42272</c:v>
                </c:pt>
                <c:pt idx="189">
                  <c:v>42275</c:v>
                </c:pt>
                <c:pt idx="190">
                  <c:v>42276</c:v>
                </c:pt>
                <c:pt idx="191">
                  <c:v>42277</c:v>
                </c:pt>
                <c:pt idx="192">
                  <c:v>42278</c:v>
                </c:pt>
                <c:pt idx="193">
                  <c:v>42279</c:v>
                </c:pt>
                <c:pt idx="194">
                  <c:v>42282</c:v>
                </c:pt>
                <c:pt idx="195">
                  <c:v>42283</c:v>
                </c:pt>
                <c:pt idx="196">
                  <c:v>42284</c:v>
                </c:pt>
                <c:pt idx="197">
                  <c:v>42285</c:v>
                </c:pt>
                <c:pt idx="198">
                  <c:v>42286</c:v>
                </c:pt>
                <c:pt idx="199">
                  <c:v>42289</c:v>
                </c:pt>
                <c:pt idx="200">
                  <c:v>42290</c:v>
                </c:pt>
                <c:pt idx="201">
                  <c:v>42291</c:v>
                </c:pt>
                <c:pt idx="202">
                  <c:v>42292</c:v>
                </c:pt>
                <c:pt idx="203">
                  <c:v>42293</c:v>
                </c:pt>
                <c:pt idx="204">
                  <c:v>42296</c:v>
                </c:pt>
                <c:pt idx="205">
                  <c:v>42297</c:v>
                </c:pt>
                <c:pt idx="206">
                  <c:v>42298</c:v>
                </c:pt>
                <c:pt idx="207">
                  <c:v>42299</c:v>
                </c:pt>
                <c:pt idx="208">
                  <c:v>42300</c:v>
                </c:pt>
                <c:pt idx="209">
                  <c:v>42303</c:v>
                </c:pt>
                <c:pt idx="210">
                  <c:v>42304</c:v>
                </c:pt>
                <c:pt idx="211">
                  <c:v>42305</c:v>
                </c:pt>
                <c:pt idx="212">
                  <c:v>42306</c:v>
                </c:pt>
                <c:pt idx="213">
                  <c:v>42307</c:v>
                </c:pt>
                <c:pt idx="214">
                  <c:v>42310</c:v>
                </c:pt>
                <c:pt idx="215">
                  <c:v>42311</c:v>
                </c:pt>
                <c:pt idx="216">
                  <c:v>42312</c:v>
                </c:pt>
                <c:pt idx="217">
                  <c:v>42313</c:v>
                </c:pt>
                <c:pt idx="218">
                  <c:v>42314</c:v>
                </c:pt>
                <c:pt idx="219">
                  <c:v>42317</c:v>
                </c:pt>
                <c:pt idx="220">
                  <c:v>42318</c:v>
                </c:pt>
                <c:pt idx="221">
                  <c:v>42319</c:v>
                </c:pt>
                <c:pt idx="222">
                  <c:v>42320</c:v>
                </c:pt>
                <c:pt idx="223">
                  <c:v>42321</c:v>
                </c:pt>
                <c:pt idx="224">
                  <c:v>42324</c:v>
                </c:pt>
                <c:pt idx="225">
                  <c:v>42325</c:v>
                </c:pt>
                <c:pt idx="226">
                  <c:v>42326</c:v>
                </c:pt>
                <c:pt idx="227">
                  <c:v>42327</c:v>
                </c:pt>
                <c:pt idx="228">
                  <c:v>42328</c:v>
                </c:pt>
                <c:pt idx="229">
                  <c:v>42331</c:v>
                </c:pt>
                <c:pt idx="230">
                  <c:v>42332</c:v>
                </c:pt>
                <c:pt idx="231">
                  <c:v>42333</c:v>
                </c:pt>
                <c:pt idx="232">
                  <c:v>42334</c:v>
                </c:pt>
                <c:pt idx="233">
                  <c:v>42335</c:v>
                </c:pt>
                <c:pt idx="234">
                  <c:v>42338</c:v>
                </c:pt>
                <c:pt idx="235">
                  <c:v>42339</c:v>
                </c:pt>
                <c:pt idx="236">
                  <c:v>42340</c:v>
                </c:pt>
                <c:pt idx="237">
                  <c:v>42341</c:v>
                </c:pt>
                <c:pt idx="238">
                  <c:v>42342</c:v>
                </c:pt>
                <c:pt idx="239">
                  <c:v>42345</c:v>
                </c:pt>
                <c:pt idx="240">
                  <c:v>42346</c:v>
                </c:pt>
                <c:pt idx="241">
                  <c:v>42347</c:v>
                </c:pt>
                <c:pt idx="242">
                  <c:v>42348</c:v>
                </c:pt>
                <c:pt idx="243">
                  <c:v>42349</c:v>
                </c:pt>
                <c:pt idx="244">
                  <c:v>42352</c:v>
                </c:pt>
                <c:pt idx="245">
                  <c:v>42353</c:v>
                </c:pt>
                <c:pt idx="246">
                  <c:v>42354</c:v>
                </c:pt>
                <c:pt idx="247">
                  <c:v>42355</c:v>
                </c:pt>
                <c:pt idx="248">
                  <c:v>42356</c:v>
                </c:pt>
                <c:pt idx="249">
                  <c:v>42359</c:v>
                </c:pt>
                <c:pt idx="250">
                  <c:v>42360</c:v>
                </c:pt>
                <c:pt idx="251">
                  <c:v>42361</c:v>
                </c:pt>
                <c:pt idx="252">
                  <c:v>42362</c:v>
                </c:pt>
                <c:pt idx="253">
                  <c:v>42366</c:v>
                </c:pt>
                <c:pt idx="254">
                  <c:v>42367</c:v>
                </c:pt>
                <c:pt idx="255">
                  <c:v>42368</c:v>
                </c:pt>
                <c:pt idx="256">
                  <c:v>42369</c:v>
                </c:pt>
                <c:pt idx="257">
                  <c:v>42373</c:v>
                </c:pt>
                <c:pt idx="258">
                  <c:v>42374</c:v>
                </c:pt>
                <c:pt idx="259">
                  <c:v>42375</c:v>
                </c:pt>
                <c:pt idx="260">
                  <c:v>42376</c:v>
                </c:pt>
                <c:pt idx="261">
                  <c:v>42377</c:v>
                </c:pt>
                <c:pt idx="262">
                  <c:v>42380</c:v>
                </c:pt>
                <c:pt idx="263">
                  <c:v>42381</c:v>
                </c:pt>
                <c:pt idx="264">
                  <c:v>42382</c:v>
                </c:pt>
                <c:pt idx="265">
                  <c:v>42383</c:v>
                </c:pt>
                <c:pt idx="266">
                  <c:v>42384</c:v>
                </c:pt>
                <c:pt idx="267">
                  <c:v>42387</c:v>
                </c:pt>
                <c:pt idx="268">
                  <c:v>42388</c:v>
                </c:pt>
                <c:pt idx="269">
                  <c:v>42389</c:v>
                </c:pt>
                <c:pt idx="270">
                  <c:v>42390</c:v>
                </c:pt>
                <c:pt idx="271">
                  <c:v>42391</c:v>
                </c:pt>
                <c:pt idx="272">
                  <c:v>42394</c:v>
                </c:pt>
                <c:pt idx="273">
                  <c:v>42395</c:v>
                </c:pt>
                <c:pt idx="274">
                  <c:v>42396</c:v>
                </c:pt>
                <c:pt idx="275">
                  <c:v>42397</c:v>
                </c:pt>
                <c:pt idx="276">
                  <c:v>42398</c:v>
                </c:pt>
                <c:pt idx="277">
                  <c:v>42401</c:v>
                </c:pt>
                <c:pt idx="278">
                  <c:v>42402</c:v>
                </c:pt>
                <c:pt idx="279">
                  <c:v>42403</c:v>
                </c:pt>
                <c:pt idx="280">
                  <c:v>42404</c:v>
                </c:pt>
                <c:pt idx="281">
                  <c:v>42405</c:v>
                </c:pt>
                <c:pt idx="282">
                  <c:v>42408</c:v>
                </c:pt>
                <c:pt idx="283">
                  <c:v>42409</c:v>
                </c:pt>
                <c:pt idx="284">
                  <c:v>42410</c:v>
                </c:pt>
                <c:pt idx="285">
                  <c:v>42411</c:v>
                </c:pt>
                <c:pt idx="286">
                  <c:v>42412</c:v>
                </c:pt>
                <c:pt idx="287">
                  <c:v>42415</c:v>
                </c:pt>
                <c:pt idx="288">
                  <c:v>42416</c:v>
                </c:pt>
                <c:pt idx="289">
                  <c:v>42417</c:v>
                </c:pt>
                <c:pt idx="290">
                  <c:v>42418</c:v>
                </c:pt>
                <c:pt idx="291">
                  <c:v>42419</c:v>
                </c:pt>
                <c:pt idx="292">
                  <c:v>42422</c:v>
                </c:pt>
                <c:pt idx="293">
                  <c:v>42423</c:v>
                </c:pt>
                <c:pt idx="294">
                  <c:v>42424</c:v>
                </c:pt>
                <c:pt idx="295">
                  <c:v>42425</c:v>
                </c:pt>
                <c:pt idx="296">
                  <c:v>42426</c:v>
                </c:pt>
                <c:pt idx="297">
                  <c:v>42429</c:v>
                </c:pt>
                <c:pt idx="298">
                  <c:v>42430</c:v>
                </c:pt>
                <c:pt idx="299">
                  <c:v>42431</c:v>
                </c:pt>
                <c:pt idx="300">
                  <c:v>42432</c:v>
                </c:pt>
                <c:pt idx="301">
                  <c:v>42433</c:v>
                </c:pt>
                <c:pt idx="302">
                  <c:v>42436</c:v>
                </c:pt>
                <c:pt idx="303">
                  <c:v>42437</c:v>
                </c:pt>
                <c:pt idx="304">
                  <c:v>42438</c:v>
                </c:pt>
                <c:pt idx="305">
                  <c:v>42439</c:v>
                </c:pt>
                <c:pt idx="306">
                  <c:v>42440</c:v>
                </c:pt>
                <c:pt idx="307">
                  <c:v>42443</c:v>
                </c:pt>
                <c:pt idx="308">
                  <c:v>42444</c:v>
                </c:pt>
                <c:pt idx="309">
                  <c:v>42445</c:v>
                </c:pt>
                <c:pt idx="310">
                  <c:v>42446</c:v>
                </c:pt>
                <c:pt idx="311">
                  <c:v>42447</c:v>
                </c:pt>
                <c:pt idx="312">
                  <c:v>42450</c:v>
                </c:pt>
                <c:pt idx="313">
                  <c:v>42451</c:v>
                </c:pt>
                <c:pt idx="314">
                  <c:v>42452</c:v>
                </c:pt>
                <c:pt idx="315">
                  <c:v>42453</c:v>
                </c:pt>
                <c:pt idx="316">
                  <c:v>42458</c:v>
                </c:pt>
                <c:pt idx="317">
                  <c:v>42459</c:v>
                </c:pt>
                <c:pt idx="318">
                  <c:v>42460</c:v>
                </c:pt>
                <c:pt idx="319">
                  <c:v>42461</c:v>
                </c:pt>
                <c:pt idx="320">
                  <c:v>42464</c:v>
                </c:pt>
                <c:pt idx="321">
                  <c:v>42465</c:v>
                </c:pt>
                <c:pt idx="322">
                  <c:v>42466</c:v>
                </c:pt>
                <c:pt idx="323">
                  <c:v>42467</c:v>
                </c:pt>
                <c:pt idx="324">
                  <c:v>42468</c:v>
                </c:pt>
                <c:pt idx="325">
                  <c:v>42471</c:v>
                </c:pt>
                <c:pt idx="326">
                  <c:v>42472</c:v>
                </c:pt>
                <c:pt idx="327">
                  <c:v>42473</c:v>
                </c:pt>
                <c:pt idx="328">
                  <c:v>42474</c:v>
                </c:pt>
                <c:pt idx="329">
                  <c:v>42475</c:v>
                </c:pt>
                <c:pt idx="330">
                  <c:v>42478</c:v>
                </c:pt>
                <c:pt idx="331">
                  <c:v>42479</c:v>
                </c:pt>
                <c:pt idx="332">
                  <c:v>42480</c:v>
                </c:pt>
                <c:pt idx="333">
                  <c:v>42481</c:v>
                </c:pt>
                <c:pt idx="334">
                  <c:v>42482</c:v>
                </c:pt>
                <c:pt idx="335">
                  <c:v>42485</c:v>
                </c:pt>
                <c:pt idx="336">
                  <c:v>42486</c:v>
                </c:pt>
                <c:pt idx="337">
                  <c:v>42487</c:v>
                </c:pt>
                <c:pt idx="338">
                  <c:v>42488</c:v>
                </c:pt>
                <c:pt idx="339">
                  <c:v>42489</c:v>
                </c:pt>
                <c:pt idx="340">
                  <c:v>42492</c:v>
                </c:pt>
                <c:pt idx="341">
                  <c:v>42493</c:v>
                </c:pt>
                <c:pt idx="342">
                  <c:v>42494</c:v>
                </c:pt>
                <c:pt idx="343">
                  <c:v>42495</c:v>
                </c:pt>
                <c:pt idx="344">
                  <c:v>42496</c:v>
                </c:pt>
                <c:pt idx="345">
                  <c:v>42499</c:v>
                </c:pt>
                <c:pt idx="346">
                  <c:v>42500</c:v>
                </c:pt>
                <c:pt idx="347">
                  <c:v>42501</c:v>
                </c:pt>
                <c:pt idx="348">
                  <c:v>42502</c:v>
                </c:pt>
                <c:pt idx="349">
                  <c:v>42503</c:v>
                </c:pt>
                <c:pt idx="350">
                  <c:v>42506</c:v>
                </c:pt>
                <c:pt idx="351">
                  <c:v>42507</c:v>
                </c:pt>
                <c:pt idx="352">
                  <c:v>42508</c:v>
                </c:pt>
                <c:pt idx="353">
                  <c:v>42509</c:v>
                </c:pt>
                <c:pt idx="354">
                  <c:v>42510</c:v>
                </c:pt>
                <c:pt idx="355">
                  <c:v>42513</c:v>
                </c:pt>
                <c:pt idx="356">
                  <c:v>42514</c:v>
                </c:pt>
                <c:pt idx="357">
                  <c:v>42515</c:v>
                </c:pt>
                <c:pt idx="358">
                  <c:v>42516</c:v>
                </c:pt>
                <c:pt idx="359">
                  <c:v>42517</c:v>
                </c:pt>
                <c:pt idx="360">
                  <c:v>42520</c:v>
                </c:pt>
                <c:pt idx="361">
                  <c:v>42521</c:v>
                </c:pt>
                <c:pt idx="362">
                  <c:v>42522</c:v>
                </c:pt>
                <c:pt idx="363">
                  <c:v>42523</c:v>
                </c:pt>
                <c:pt idx="364">
                  <c:v>42524</c:v>
                </c:pt>
                <c:pt idx="365">
                  <c:v>42527</c:v>
                </c:pt>
                <c:pt idx="366">
                  <c:v>42528</c:v>
                </c:pt>
                <c:pt idx="367">
                  <c:v>42529</c:v>
                </c:pt>
                <c:pt idx="368">
                  <c:v>42530</c:v>
                </c:pt>
                <c:pt idx="369">
                  <c:v>42531</c:v>
                </c:pt>
                <c:pt idx="370">
                  <c:v>42534</c:v>
                </c:pt>
                <c:pt idx="371">
                  <c:v>42535</c:v>
                </c:pt>
                <c:pt idx="372">
                  <c:v>42536</c:v>
                </c:pt>
                <c:pt idx="373">
                  <c:v>42537</c:v>
                </c:pt>
                <c:pt idx="374">
                  <c:v>42538</c:v>
                </c:pt>
                <c:pt idx="375">
                  <c:v>42541</c:v>
                </c:pt>
                <c:pt idx="376">
                  <c:v>42542</c:v>
                </c:pt>
                <c:pt idx="377">
                  <c:v>42543</c:v>
                </c:pt>
                <c:pt idx="378">
                  <c:v>42544</c:v>
                </c:pt>
                <c:pt idx="379">
                  <c:v>42545</c:v>
                </c:pt>
                <c:pt idx="380">
                  <c:v>42548</c:v>
                </c:pt>
                <c:pt idx="381">
                  <c:v>42549</c:v>
                </c:pt>
                <c:pt idx="382">
                  <c:v>42550</c:v>
                </c:pt>
                <c:pt idx="383">
                  <c:v>42551</c:v>
                </c:pt>
                <c:pt idx="384">
                  <c:v>42552</c:v>
                </c:pt>
                <c:pt idx="385">
                  <c:v>42555</c:v>
                </c:pt>
                <c:pt idx="386">
                  <c:v>42556</c:v>
                </c:pt>
                <c:pt idx="387">
                  <c:v>42557</c:v>
                </c:pt>
                <c:pt idx="388">
                  <c:v>42558</c:v>
                </c:pt>
                <c:pt idx="389">
                  <c:v>42559</c:v>
                </c:pt>
                <c:pt idx="390">
                  <c:v>42562</c:v>
                </c:pt>
                <c:pt idx="391">
                  <c:v>42563</c:v>
                </c:pt>
                <c:pt idx="392">
                  <c:v>42564</c:v>
                </c:pt>
                <c:pt idx="393">
                  <c:v>42565</c:v>
                </c:pt>
                <c:pt idx="394">
                  <c:v>42566</c:v>
                </c:pt>
                <c:pt idx="395">
                  <c:v>42569</c:v>
                </c:pt>
                <c:pt idx="396">
                  <c:v>42570</c:v>
                </c:pt>
                <c:pt idx="397">
                  <c:v>42571</c:v>
                </c:pt>
                <c:pt idx="398">
                  <c:v>42572</c:v>
                </c:pt>
                <c:pt idx="399">
                  <c:v>42573</c:v>
                </c:pt>
                <c:pt idx="400">
                  <c:v>42576</c:v>
                </c:pt>
                <c:pt idx="401">
                  <c:v>42577</c:v>
                </c:pt>
                <c:pt idx="402">
                  <c:v>42578</c:v>
                </c:pt>
                <c:pt idx="403">
                  <c:v>42579</c:v>
                </c:pt>
                <c:pt idx="404">
                  <c:v>42580</c:v>
                </c:pt>
                <c:pt idx="405">
                  <c:v>42583</c:v>
                </c:pt>
                <c:pt idx="406">
                  <c:v>42584</c:v>
                </c:pt>
                <c:pt idx="407">
                  <c:v>42585</c:v>
                </c:pt>
                <c:pt idx="408">
                  <c:v>42586</c:v>
                </c:pt>
                <c:pt idx="409">
                  <c:v>42587</c:v>
                </c:pt>
                <c:pt idx="410">
                  <c:v>42590</c:v>
                </c:pt>
                <c:pt idx="411">
                  <c:v>42591</c:v>
                </c:pt>
                <c:pt idx="412">
                  <c:v>42592</c:v>
                </c:pt>
                <c:pt idx="413">
                  <c:v>42593</c:v>
                </c:pt>
                <c:pt idx="414">
                  <c:v>42594</c:v>
                </c:pt>
                <c:pt idx="415">
                  <c:v>42597</c:v>
                </c:pt>
                <c:pt idx="416">
                  <c:v>42598</c:v>
                </c:pt>
                <c:pt idx="417">
                  <c:v>42599</c:v>
                </c:pt>
                <c:pt idx="418">
                  <c:v>42600</c:v>
                </c:pt>
                <c:pt idx="419">
                  <c:v>42601</c:v>
                </c:pt>
                <c:pt idx="420">
                  <c:v>42604</c:v>
                </c:pt>
                <c:pt idx="421">
                  <c:v>42605</c:v>
                </c:pt>
                <c:pt idx="422">
                  <c:v>42606</c:v>
                </c:pt>
                <c:pt idx="423">
                  <c:v>42607</c:v>
                </c:pt>
                <c:pt idx="424">
                  <c:v>42608</c:v>
                </c:pt>
                <c:pt idx="425">
                  <c:v>42611</c:v>
                </c:pt>
                <c:pt idx="426">
                  <c:v>42612</c:v>
                </c:pt>
                <c:pt idx="427">
                  <c:v>42613</c:v>
                </c:pt>
                <c:pt idx="428">
                  <c:v>42614</c:v>
                </c:pt>
                <c:pt idx="429">
                  <c:v>42615</c:v>
                </c:pt>
                <c:pt idx="430">
                  <c:v>42618</c:v>
                </c:pt>
                <c:pt idx="431">
                  <c:v>42619</c:v>
                </c:pt>
                <c:pt idx="432">
                  <c:v>42620</c:v>
                </c:pt>
                <c:pt idx="433">
                  <c:v>42621</c:v>
                </c:pt>
                <c:pt idx="434">
                  <c:v>42622</c:v>
                </c:pt>
                <c:pt idx="435">
                  <c:v>42625</c:v>
                </c:pt>
                <c:pt idx="436">
                  <c:v>42626</c:v>
                </c:pt>
                <c:pt idx="437">
                  <c:v>42627</c:v>
                </c:pt>
                <c:pt idx="438">
                  <c:v>42628</c:v>
                </c:pt>
                <c:pt idx="439">
                  <c:v>42629</c:v>
                </c:pt>
                <c:pt idx="440">
                  <c:v>42632</c:v>
                </c:pt>
                <c:pt idx="441">
                  <c:v>42633</c:v>
                </c:pt>
                <c:pt idx="442">
                  <c:v>42634</c:v>
                </c:pt>
                <c:pt idx="443">
                  <c:v>42635</c:v>
                </c:pt>
                <c:pt idx="444">
                  <c:v>42636</c:v>
                </c:pt>
                <c:pt idx="445">
                  <c:v>42639</c:v>
                </c:pt>
                <c:pt idx="446">
                  <c:v>42640</c:v>
                </c:pt>
                <c:pt idx="447">
                  <c:v>42641</c:v>
                </c:pt>
                <c:pt idx="448">
                  <c:v>42642</c:v>
                </c:pt>
                <c:pt idx="449">
                  <c:v>42643</c:v>
                </c:pt>
                <c:pt idx="450">
                  <c:v>42646</c:v>
                </c:pt>
                <c:pt idx="451">
                  <c:v>42647</c:v>
                </c:pt>
                <c:pt idx="452">
                  <c:v>42648</c:v>
                </c:pt>
                <c:pt idx="453">
                  <c:v>42649</c:v>
                </c:pt>
                <c:pt idx="454">
                  <c:v>42650</c:v>
                </c:pt>
                <c:pt idx="455">
                  <c:v>42653</c:v>
                </c:pt>
                <c:pt idx="456">
                  <c:v>42654</c:v>
                </c:pt>
                <c:pt idx="457">
                  <c:v>42655</c:v>
                </c:pt>
                <c:pt idx="458">
                  <c:v>42656</c:v>
                </c:pt>
                <c:pt idx="459">
                  <c:v>42657</c:v>
                </c:pt>
                <c:pt idx="460">
                  <c:v>42660</c:v>
                </c:pt>
                <c:pt idx="461">
                  <c:v>42661</c:v>
                </c:pt>
                <c:pt idx="462">
                  <c:v>42662</c:v>
                </c:pt>
                <c:pt idx="463">
                  <c:v>42663</c:v>
                </c:pt>
                <c:pt idx="464">
                  <c:v>42664</c:v>
                </c:pt>
                <c:pt idx="465">
                  <c:v>42667</c:v>
                </c:pt>
                <c:pt idx="466">
                  <c:v>42668</c:v>
                </c:pt>
                <c:pt idx="467">
                  <c:v>42669</c:v>
                </c:pt>
                <c:pt idx="468">
                  <c:v>42670</c:v>
                </c:pt>
                <c:pt idx="469">
                  <c:v>42671</c:v>
                </c:pt>
                <c:pt idx="470">
                  <c:v>42674</c:v>
                </c:pt>
                <c:pt idx="471">
                  <c:v>42675</c:v>
                </c:pt>
                <c:pt idx="472">
                  <c:v>42676</c:v>
                </c:pt>
                <c:pt idx="473">
                  <c:v>42677</c:v>
                </c:pt>
                <c:pt idx="474">
                  <c:v>42678</c:v>
                </c:pt>
                <c:pt idx="475">
                  <c:v>42681</c:v>
                </c:pt>
                <c:pt idx="476">
                  <c:v>42682</c:v>
                </c:pt>
                <c:pt idx="477">
                  <c:v>42683</c:v>
                </c:pt>
                <c:pt idx="478">
                  <c:v>42684</c:v>
                </c:pt>
                <c:pt idx="479">
                  <c:v>42685</c:v>
                </c:pt>
                <c:pt idx="480">
                  <c:v>42688</c:v>
                </c:pt>
                <c:pt idx="481">
                  <c:v>42689</c:v>
                </c:pt>
                <c:pt idx="482">
                  <c:v>42690</c:v>
                </c:pt>
                <c:pt idx="483">
                  <c:v>42691</c:v>
                </c:pt>
                <c:pt idx="484">
                  <c:v>42692</c:v>
                </c:pt>
                <c:pt idx="485">
                  <c:v>42695</c:v>
                </c:pt>
                <c:pt idx="486">
                  <c:v>42696</c:v>
                </c:pt>
                <c:pt idx="487">
                  <c:v>42697</c:v>
                </c:pt>
                <c:pt idx="488">
                  <c:v>42698</c:v>
                </c:pt>
                <c:pt idx="489">
                  <c:v>42699</c:v>
                </c:pt>
                <c:pt idx="490">
                  <c:v>42702</c:v>
                </c:pt>
                <c:pt idx="491">
                  <c:v>42703</c:v>
                </c:pt>
                <c:pt idx="492">
                  <c:v>42704</c:v>
                </c:pt>
                <c:pt idx="493">
                  <c:v>42705</c:v>
                </c:pt>
                <c:pt idx="494">
                  <c:v>42706</c:v>
                </c:pt>
                <c:pt idx="495">
                  <c:v>42709</c:v>
                </c:pt>
                <c:pt idx="496">
                  <c:v>42710</c:v>
                </c:pt>
                <c:pt idx="497">
                  <c:v>42711</c:v>
                </c:pt>
                <c:pt idx="498">
                  <c:v>42712</c:v>
                </c:pt>
                <c:pt idx="499">
                  <c:v>42713</c:v>
                </c:pt>
                <c:pt idx="500">
                  <c:v>42716</c:v>
                </c:pt>
                <c:pt idx="501">
                  <c:v>42717</c:v>
                </c:pt>
                <c:pt idx="502">
                  <c:v>42718</c:v>
                </c:pt>
                <c:pt idx="503">
                  <c:v>42719</c:v>
                </c:pt>
                <c:pt idx="504">
                  <c:v>42720</c:v>
                </c:pt>
                <c:pt idx="505">
                  <c:v>42723</c:v>
                </c:pt>
                <c:pt idx="506">
                  <c:v>42724</c:v>
                </c:pt>
                <c:pt idx="507">
                  <c:v>42725</c:v>
                </c:pt>
                <c:pt idx="508">
                  <c:v>42726</c:v>
                </c:pt>
                <c:pt idx="509">
                  <c:v>42727</c:v>
                </c:pt>
                <c:pt idx="510">
                  <c:v>42731</c:v>
                </c:pt>
                <c:pt idx="511">
                  <c:v>42732</c:v>
                </c:pt>
                <c:pt idx="512">
                  <c:v>42733</c:v>
                </c:pt>
                <c:pt idx="513">
                  <c:v>42734</c:v>
                </c:pt>
                <c:pt idx="514">
                  <c:v>42737</c:v>
                </c:pt>
                <c:pt idx="515">
                  <c:v>42738</c:v>
                </c:pt>
                <c:pt idx="516">
                  <c:v>42739</c:v>
                </c:pt>
                <c:pt idx="517">
                  <c:v>42740</c:v>
                </c:pt>
                <c:pt idx="518">
                  <c:v>42741</c:v>
                </c:pt>
                <c:pt idx="519">
                  <c:v>42744</c:v>
                </c:pt>
                <c:pt idx="520">
                  <c:v>42745</c:v>
                </c:pt>
                <c:pt idx="521">
                  <c:v>42746</c:v>
                </c:pt>
                <c:pt idx="522">
                  <c:v>42747</c:v>
                </c:pt>
                <c:pt idx="523">
                  <c:v>42748</c:v>
                </c:pt>
                <c:pt idx="524">
                  <c:v>42751</c:v>
                </c:pt>
                <c:pt idx="525">
                  <c:v>42752</c:v>
                </c:pt>
                <c:pt idx="526">
                  <c:v>42753</c:v>
                </c:pt>
                <c:pt idx="527">
                  <c:v>42754</c:v>
                </c:pt>
                <c:pt idx="528">
                  <c:v>42755</c:v>
                </c:pt>
                <c:pt idx="529">
                  <c:v>42758</c:v>
                </c:pt>
                <c:pt idx="530">
                  <c:v>42759</c:v>
                </c:pt>
                <c:pt idx="531">
                  <c:v>42760</c:v>
                </c:pt>
                <c:pt idx="532">
                  <c:v>42761</c:v>
                </c:pt>
                <c:pt idx="533">
                  <c:v>42762</c:v>
                </c:pt>
                <c:pt idx="534">
                  <c:v>42765</c:v>
                </c:pt>
                <c:pt idx="535">
                  <c:v>42766</c:v>
                </c:pt>
                <c:pt idx="536">
                  <c:v>42767</c:v>
                </c:pt>
                <c:pt idx="537">
                  <c:v>42768</c:v>
                </c:pt>
                <c:pt idx="538">
                  <c:v>42769</c:v>
                </c:pt>
                <c:pt idx="539">
                  <c:v>42772</c:v>
                </c:pt>
                <c:pt idx="540">
                  <c:v>42773</c:v>
                </c:pt>
                <c:pt idx="541">
                  <c:v>42774</c:v>
                </c:pt>
                <c:pt idx="542">
                  <c:v>42775</c:v>
                </c:pt>
                <c:pt idx="543">
                  <c:v>42776</c:v>
                </c:pt>
                <c:pt idx="544">
                  <c:v>42779</c:v>
                </c:pt>
                <c:pt idx="545">
                  <c:v>42780</c:v>
                </c:pt>
                <c:pt idx="546">
                  <c:v>42781</c:v>
                </c:pt>
                <c:pt idx="547">
                  <c:v>42782</c:v>
                </c:pt>
                <c:pt idx="548">
                  <c:v>42783</c:v>
                </c:pt>
                <c:pt idx="549">
                  <c:v>42786</c:v>
                </c:pt>
                <c:pt idx="550">
                  <c:v>42787</c:v>
                </c:pt>
                <c:pt idx="551">
                  <c:v>42788</c:v>
                </c:pt>
                <c:pt idx="552">
                  <c:v>42789</c:v>
                </c:pt>
                <c:pt idx="553">
                  <c:v>42790</c:v>
                </c:pt>
                <c:pt idx="554">
                  <c:v>42793</c:v>
                </c:pt>
                <c:pt idx="555">
                  <c:v>42794</c:v>
                </c:pt>
                <c:pt idx="556">
                  <c:v>42795</c:v>
                </c:pt>
                <c:pt idx="557">
                  <c:v>42796</c:v>
                </c:pt>
                <c:pt idx="558">
                  <c:v>42797</c:v>
                </c:pt>
                <c:pt idx="559">
                  <c:v>42800</c:v>
                </c:pt>
                <c:pt idx="560">
                  <c:v>42801</c:v>
                </c:pt>
                <c:pt idx="561">
                  <c:v>42802</c:v>
                </c:pt>
                <c:pt idx="562">
                  <c:v>42803</c:v>
                </c:pt>
                <c:pt idx="563">
                  <c:v>42804</c:v>
                </c:pt>
                <c:pt idx="564">
                  <c:v>42807</c:v>
                </c:pt>
                <c:pt idx="565">
                  <c:v>42808</c:v>
                </c:pt>
                <c:pt idx="566">
                  <c:v>42809</c:v>
                </c:pt>
                <c:pt idx="567">
                  <c:v>42810</c:v>
                </c:pt>
                <c:pt idx="568">
                  <c:v>42811</c:v>
                </c:pt>
                <c:pt idx="569">
                  <c:v>42814</c:v>
                </c:pt>
                <c:pt idx="570">
                  <c:v>42815</c:v>
                </c:pt>
                <c:pt idx="571">
                  <c:v>42816</c:v>
                </c:pt>
                <c:pt idx="572">
                  <c:v>42817</c:v>
                </c:pt>
                <c:pt idx="573">
                  <c:v>42818</c:v>
                </c:pt>
                <c:pt idx="574">
                  <c:v>42821</c:v>
                </c:pt>
                <c:pt idx="575">
                  <c:v>42822</c:v>
                </c:pt>
                <c:pt idx="576">
                  <c:v>42823</c:v>
                </c:pt>
                <c:pt idx="577">
                  <c:v>42824</c:v>
                </c:pt>
                <c:pt idx="578">
                  <c:v>42825</c:v>
                </c:pt>
                <c:pt idx="579">
                  <c:v>42828</c:v>
                </c:pt>
                <c:pt idx="580">
                  <c:v>42829</c:v>
                </c:pt>
                <c:pt idx="581">
                  <c:v>42830</c:v>
                </c:pt>
                <c:pt idx="582">
                  <c:v>42831</c:v>
                </c:pt>
                <c:pt idx="583">
                  <c:v>42832</c:v>
                </c:pt>
                <c:pt idx="584">
                  <c:v>42835</c:v>
                </c:pt>
                <c:pt idx="585">
                  <c:v>42836</c:v>
                </c:pt>
                <c:pt idx="586">
                  <c:v>42837</c:v>
                </c:pt>
                <c:pt idx="587">
                  <c:v>42838</c:v>
                </c:pt>
                <c:pt idx="588">
                  <c:v>42843</c:v>
                </c:pt>
                <c:pt idx="589">
                  <c:v>42844</c:v>
                </c:pt>
                <c:pt idx="590">
                  <c:v>42845</c:v>
                </c:pt>
                <c:pt idx="591">
                  <c:v>42846</c:v>
                </c:pt>
                <c:pt idx="592">
                  <c:v>42849</c:v>
                </c:pt>
                <c:pt idx="593">
                  <c:v>42850</c:v>
                </c:pt>
                <c:pt idx="594">
                  <c:v>42851</c:v>
                </c:pt>
                <c:pt idx="595">
                  <c:v>42852</c:v>
                </c:pt>
                <c:pt idx="596">
                  <c:v>42853</c:v>
                </c:pt>
                <c:pt idx="597">
                  <c:v>42856</c:v>
                </c:pt>
                <c:pt idx="598">
                  <c:v>42857</c:v>
                </c:pt>
                <c:pt idx="599">
                  <c:v>42858</c:v>
                </c:pt>
                <c:pt idx="600">
                  <c:v>42859</c:v>
                </c:pt>
                <c:pt idx="601">
                  <c:v>42860</c:v>
                </c:pt>
                <c:pt idx="602">
                  <c:v>42863</c:v>
                </c:pt>
                <c:pt idx="603">
                  <c:v>42864</c:v>
                </c:pt>
                <c:pt idx="604">
                  <c:v>42865</c:v>
                </c:pt>
                <c:pt idx="605">
                  <c:v>42866</c:v>
                </c:pt>
                <c:pt idx="606">
                  <c:v>42867</c:v>
                </c:pt>
                <c:pt idx="607">
                  <c:v>42870</c:v>
                </c:pt>
                <c:pt idx="608">
                  <c:v>42871</c:v>
                </c:pt>
                <c:pt idx="609">
                  <c:v>42872</c:v>
                </c:pt>
                <c:pt idx="610">
                  <c:v>42873</c:v>
                </c:pt>
                <c:pt idx="611">
                  <c:v>42874</c:v>
                </c:pt>
                <c:pt idx="612">
                  <c:v>42877</c:v>
                </c:pt>
                <c:pt idx="613">
                  <c:v>42878</c:v>
                </c:pt>
                <c:pt idx="614">
                  <c:v>42879</c:v>
                </c:pt>
                <c:pt idx="615">
                  <c:v>42880</c:v>
                </c:pt>
                <c:pt idx="616">
                  <c:v>42881</c:v>
                </c:pt>
                <c:pt idx="617">
                  <c:v>42884</c:v>
                </c:pt>
                <c:pt idx="618">
                  <c:v>42885</c:v>
                </c:pt>
                <c:pt idx="619">
                  <c:v>42886</c:v>
                </c:pt>
                <c:pt idx="620">
                  <c:v>42887</c:v>
                </c:pt>
                <c:pt idx="621">
                  <c:v>42888</c:v>
                </c:pt>
                <c:pt idx="622">
                  <c:v>42891</c:v>
                </c:pt>
                <c:pt idx="623">
                  <c:v>42892</c:v>
                </c:pt>
                <c:pt idx="624">
                  <c:v>42893</c:v>
                </c:pt>
                <c:pt idx="625">
                  <c:v>42894</c:v>
                </c:pt>
                <c:pt idx="626">
                  <c:v>42895</c:v>
                </c:pt>
                <c:pt idx="627">
                  <c:v>42898</c:v>
                </c:pt>
                <c:pt idx="628">
                  <c:v>42899</c:v>
                </c:pt>
                <c:pt idx="629">
                  <c:v>42900</c:v>
                </c:pt>
                <c:pt idx="630">
                  <c:v>42901</c:v>
                </c:pt>
                <c:pt idx="631">
                  <c:v>42902</c:v>
                </c:pt>
                <c:pt idx="632">
                  <c:v>42905</c:v>
                </c:pt>
                <c:pt idx="633">
                  <c:v>42906</c:v>
                </c:pt>
                <c:pt idx="634">
                  <c:v>42907</c:v>
                </c:pt>
                <c:pt idx="635">
                  <c:v>42908</c:v>
                </c:pt>
                <c:pt idx="636">
                  <c:v>42909</c:v>
                </c:pt>
                <c:pt idx="637">
                  <c:v>42912</c:v>
                </c:pt>
                <c:pt idx="638">
                  <c:v>42913</c:v>
                </c:pt>
                <c:pt idx="639">
                  <c:v>42914</c:v>
                </c:pt>
                <c:pt idx="640">
                  <c:v>42915</c:v>
                </c:pt>
                <c:pt idx="641">
                  <c:v>42916</c:v>
                </c:pt>
                <c:pt idx="642">
                  <c:v>42919</c:v>
                </c:pt>
                <c:pt idx="643">
                  <c:v>42920</c:v>
                </c:pt>
                <c:pt idx="644">
                  <c:v>42921</c:v>
                </c:pt>
                <c:pt idx="645">
                  <c:v>42922</c:v>
                </c:pt>
                <c:pt idx="646">
                  <c:v>42923</c:v>
                </c:pt>
                <c:pt idx="647">
                  <c:v>42926</c:v>
                </c:pt>
                <c:pt idx="648">
                  <c:v>42927</c:v>
                </c:pt>
                <c:pt idx="649">
                  <c:v>42928</c:v>
                </c:pt>
                <c:pt idx="650">
                  <c:v>42929</c:v>
                </c:pt>
                <c:pt idx="651">
                  <c:v>42930</c:v>
                </c:pt>
                <c:pt idx="652">
                  <c:v>42933</c:v>
                </c:pt>
                <c:pt idx="653">
                  <c:v>42934</c:v>
                </c:pt>
                <c:pt idx="654">
                  <c:v>42935</c:v>
                </c:pt>
                <c:pt idx="655">
                  <c:v>42936</c:v>
                </c:pt>
                <c:pt idx="656">
                  <c:v>42937</c:v>
                </c:pt>
                <c:pt idx="657">
                  <c:v>42940</c:v>
                </c:pt>
                <c:pt idx="658">
                  <c:v>42941</c:v>
                </c:pt>
                <c:pt idx="659">
                  <c:v>42942</c:v>
                </c:pt>
                <c:pt idx="660">
                  <c:v>42943</c:v>
                </c:pt>
                <c:pt idx="661">
                  <c:v>42944</c:v>
                </c:pt>
                <c:pt idx="662">
                  <c:v>42947</c:v>
                </c:pt>
                <c:pt idx="663">
                  <c:v>42948</c:v>
                </c:pt>
                <c:pt idx="664">
                  <c:v>42949</c:v>
                </c:pt>
                <c:pt idx="665">
                  <c:v>42950</c:v>
                </c:pt>
                <c:pt idx="666">
                  <c:v>42951</c:v>
                </c:pt>
                <c:pt idx="667">
                  <c:v>42954</c:v>
                </c:pt>
                <c:pt idx="668">
                  <c:v>42955</c:v>
                </c:pt>
                <c:pt idx="669">
                  <c:v>42956</c:v>
                </c:pt>
                <c:pt idx="670">
                  <c:v>42957</c:v>
                </c:pt>
                <c:pt idx="671">
                  <c:v>42958</c:v>
                </c:pt>
                <c:pt idx="672">
                  <c:v>42961</c:v>
                </c:pt>
                <c:pt idx="673">
                  <c:v>42962</c:v>
                </c:pt>
                <c:pt idx="674">
                  <c:v>42963</c:v>
                </c:pt>
                <c:pt idx="675">
                  <c:v>42964</c:v>
                </c:pt>
                <c:pt idx="676">
                  <c:v>42965</c:v>
                </c:pt>
                <c:pt idx="677">
                  <c:v>42968</c:v>
                </c:pt>
                <c:pt idx="678">
                  <c:v>42969</c:v>
                </c:pt>
                <c:pt idx="679">
                  <c:v>42970</c:v>
                </c:pt>
                <c:pt idx="680">
                  <c:v>42971</c:v>
                </c:pt>
                <c:pt idx="681">
                  <c:v>42972</c:v>
                </c:pt>
                <c:pt idx="682">
                  <c:v>42975</c:v>
                </c:pt>
                <c:pt idx="683">
                  <c:v>42976</c:v>
                </c:pt>
                <c:pt idx="684">
                  <c:v>42977</c:v>
                </c:pt>
                <c:pt idx="685">
                  <c:v>42978</c:v>
                </c:pt>
                <c:pt idx="686">
                  <c:v>42979</c:v>
                </c:pt>
                <c:pt idx="687">
                  <c:v>42982</c:v>
                </c:pt>
                <c:pt idx="688">
                  <c:v>42983</c:v>
                </c:pt>
                <c:pt idx="689">
                  <c:v>42984</c:v>
                </c:pt>
                <c:pt idx="690">
                  <c:v>42985</c:v>
                </c:pt>
                <c:pt idx="691">
                  <c:v>42986</c:v>
                </c:pt>
                <c:pt idx="692">
                  <c:v>42989</c:v>
                </c:pt>
                <c:pt idx="693">
                  <c:v>42990</c:v>
                </c:pt>
                <c:pt idx="694">
                  <c:v>42991</c:v>
                </c:pt>
                <c:pt idx="695">
                  <c:v>42992</c:v>
                </c:pt>
                <c:pt idx="696">
                  <c:v>42993</c:v>
                </c:pt>
                <c:pt idx="697">
                  <c:v>42996</c:v>
                </c:pt>
                <c:pt idx="698">
                  <c:v>42997</c:v>
                </c:pt>
                <c:pt idx="699">
                  <c:v>42998</c:v>
                </c:pt>
                <c:pt idx="700">
                  <c:v>42999</c:v>
                </c:pt>
                <c:pt idx="701">
                  <c:v>43000</c:v>
                </c:pt>
                <c:pt idx="702">
                  <c:v>43003</c:v>
                </c:pt>
                <c:pt idx="703">
                  <c:v>43004</c:v>
                </c:pt>
                <c:pt idx="704">
                  <c:v>43005</c:v>
                </c:pt>
                <c:pt idx="705">
                  <c:v>43006</c:v>
                </c:pt>
                <c:pt idx="706">
                  <c:v>43007</c:v>
                </c:pt>
                <c:pt idx="707">
                  <c:v>43010</c:v>
                </c:pt>
                <c:pt idx="708">
                  <c:v>43011</c:v>
                </c:pt>
                <c:pt idx="709">
                  <c:v>43012</c:v>
                </c:pt>
                <c:pt idx="710">
                  <c:v>43013</c:v>
                </c:pt>
                <c:pt idx="711">
                  <c:v>43014</c:v>
                </c:pt>
                <c:pt idx="712">
                  <c:v>43017</c:v>
                </c:pt>
                <c:pt idx="713">
                  <c:v>43018</c:v>
                </c:pt>
                <c:pt idx="714">
                  <c:v>43019</c:v>
                </c:pt>
                <c:pt idx="715">
                  <c:v>43020</c:v>
                </c:pt>
                <c:pt idx="716">
                  <c:v>43021</c:v>
                </c:pt>
                <c:pt idx="717">
                  <c:v>43024</c:v>
                </c:pt>
                <c:pt idx="718">
                  <c:v>43025</c:v>
                </c:pt>
                <c:pt idx="719">
                  <c:v>43026</c:v>
                </c:pt>
                <c:pt idx="720">
                  <c:v>43027</c:v>
                </c:pt>
                <c:pt idx="721">
                  <c:v>43028</c:v>
                </c:pt>
                <c:pt idx="722">
                  <c:v>43031</c:v>
                </c:pt>
                <c:pt idx="723">
                  <c:v>43032</c:v>
                </c:pt>
                <c:pt idx="724">
                  <c:v>43033</c:v>
                </c:pt>
                <c:pt idx="725">
                  <c:v>43034</c:v>
                </c:pt>
                <c:pt idx="726">
                  <c:v>43035</c:v>
                </c:pt>
                <c:pt idx="727">
                  <c:v>43038</c:v>
                </c:pt>
                <c:pt idx="728">
                  <c:v>43039</c:v>
                </c:pt>
                <c:pt idx="729">
                  <c:v>43040</c:v>
                </c:pt>
                <c:pt idx="730">
                  <c:v>43041</c:v>
                </c:pt>
                <c:pt idx="731">
                  <c:v>43042</c:v>
                </c:pt>
                <c:pt idx="732">
                  <c:v>43045</c:v>
                </c:pt>
                <c:pt idx="733">
                  <c:v>43046</c:v>
                </c:pt>
                <c:pt idx="734">
                  <c:v>43047</c:v>
                </c:pt>
                <c:pt idx="735">
                  <c:v>43048</c:v>
                </c:pt>
                <c:pt idx="736">
                  <c:v>43049</c:v>
                </c:pt>
                <c:pt idx="737">
                  <c:v>43052</c:v>
                </c:pt>
                <c:pt idx="738">
                  <c:v>43053</c:v>
                </c:pt>
                <c:pt idx="739">
                  <c:v>43054</c:v>
                </c:pt>
                <c:pt idx="740">
                  <c:v>43055</c:v>
                </c:pt>
                <c:pt idx="741">
                  <c:v>43056</c:v>
                </c:pt>
                <c:pt idx="742">
                  <c:v>43059</c:v>
                </c:pt>
                <c:pt idx="743">
                  <c:v>43060</c:v>
                </c:pt>
                <c:pt idx="744">
                  <c:v>43061</c:v>
                </c:pt>
                <c:pt idx="745">
                  <c:v>43062</c:v>
                </c:pt>
                <c:pt idx="746">
                  <c:v>43063</c:v>
                </c:pt>
                <c:pt idx="747">
                  <c:v>43066</c:v>
                </c:pt>
                <c:pt idx="748">
                  <c:v>43067</c:v>
                </c:pt>
                <c:pt idx="749">
                  <c:v>43068</c:v>
                </c:pt>
                <c:pt idx="750">
                  <c:v>43069</c:v>
                </c:pt>
                <c:pt idx="751">
                  <c:v>43070</c:v>
                </c:pt>
                <c:pt idx="752">
                  <c:v>43073</c:v>
                </c:pt>
                <c:pt idx="753">
                  <c:v>43074</c:v>
                </c:pt>
                <c:pt idx="754">
                  <c:v>43075</c:v>
                </c:pt>
                <c:pt idx="755">
                  <c:v>43076</c:v>
                </c:pt>
                <c:pt idx="756">
                  <c:v>43077</c:v>
                </c:pt>
                <c:pt idx="757">
                  <c:v>43080</c:v>
                </c:pt>
                <c:pt idx="758">
                  <c:v>43081</c:v>
                </c:pt>
                <c:pt idx="759">
                  <c:v>43082</c:v>
                </c:pt>
                <c:pt idx="760">
                  <c:v>43083</c:v>
                </c:pt>
                <c:pt idx="761">
                  <c:v>43084</c:v>
                </c:pt>
                <c:pt idx="762">
                  <c:v>43087</c:v>
                </c:pt>
                <c:pt idx="763">
                  <c:v>43088</c:v>
                </c:pt>
                <c:pt idx="764">
                  <c:v>43089</c:v>
                </c:pt>
                <c:pt idx="765">
                  <c:v>43090</c:v>
                </c:pt>
                <c:pt idx="766">
                  <c:v>43091</c:v>
                </c:pt>
                <c:pt idx="767">
                  <c:v>43096</c:v>
                </c:pt>
                <c:pt idx="768">
                  <c:v>43097</c:v>
                </c:pt>
                <c:pt idx="769">
                  <c:v>43098</c:v>
                </c:pt>
                <c:pt idx="770">
                  <c:v>43102</c:v>
                </c:pt>
                <c:pt idx="771">
                  <c:v>43103</c:v>
                </c:pt>
                <c:pt idx="772">
                  <c:v>43104</c:v>
                </c:pt>
                <c:pt idx="773">
                  <c:v>43105</c:v>
                </c:pt>
                <c:pt idx="774">
                  <c:v>43108</c:v>
                </c:pt>
                <c:pt idx="775">
                  <c:v>43109</c:v>
                </c:pt>
                <c:pt idx="776">
                  <c:v>43110</c:v>
                </c:pt>
                <c:pt idx="777">
                  <c:v>43111</c:v>
                </c:pt>
                <c:pt idx="778">
                  <c:v>43112</c:v>
                </c:pt>
                <c:pt idx="779">
                  <c:v>43115</c:v>
                </c:pt>
                <c:pt idx="780">
                  <c:v>43116</c:v>
                </c:pt>
                <c:pt idx="781">
                  <c:v>43117</c:v>
                </c:pt>
                <c:pt idx="782">
                  <c:v>43118</c:v>
                </c:pt>
                <c:pt idx="783">
                  <c:v>43119</c:v>
                </c:pt>
                <c:pt idx="784">
                  <c:v>43122</c:v>
                </c:pt>
                <c:pt idx="785">
                  <c:v>43123</c:v>
                </c:pt>
                <c:pt idx="786">
                  <c:v>43124</c:v>
                </c:pt>
                <c:pt idx="787">
                  <c:v>43125</c:v>
                </c:pt>
                <c:pt idx="788">
                  <c:v>43126</c:v>
                </c:pt>
                <c:pt idx="789">
                  <c:v>43129</c:v>
                </c:pt>
                <c:pt idx="790">
                  <c:v>43130</c:v>
                </c:pt>
                <c:pt idx="791">
                  <c:v>43131</c:v>
                </c:pt>
                <c:pt idx="792">
                  <c:v>43132</c:v>
                </c:pt>
                <c:pt idx="793">
                  <c:v>43133</c:v>
                </c:pt>
                <c:pt idx="794">
                  <c:v>43136</c:v>
                </c:pt>
                <c:pt idx="795">
                  <c:v>43137</c:v>
                </c:pt>
                <c:pt idx="796">
                  <c:v>43138</c:v>
                </c:pt>
                <c:pt idx="797">
                  <c:v>43139</c:v>
                </c:pt>
                <c:pt idx="798">
                  <c:v>43140</c:v>
                </c:pt>
                <c:pt idx="799">
                  <c:v>43143</c:v>
                </c:pt>
                <c:pt idx="800">
                  <c:v>43144</c:v>
                </c:pt>
                <c:pt idx="801">
                  <c:v>43145</c:v>
                </c:pt>
                <c:pt idx="802">
                  <c:v>43146</c:v>
                </c:pt>
                <c:pt idx="803">
                  <c:v>43147</c:v>
                </c:pt>
                <c:pt idx="804">
                  <c:v>43150</c:v>
                </c:pt>
                <c:pt idx="805">
                  <c:v>43151</c:v>
                </c:pt>
                <c:pt idx="806">
                  <c:v>43152</c:v>
                </c:pt>
                <c:pt idx="807">
                  <c:v>43153</c:v>
                </c:pt>
                <c:pt idx="808">
                  <c:v>43154</c:v>
                </c:pt>
                <c:pt idx="809">
                  <c:v>43157</c:v>
                </c:pt>
                <c:pt idx="810">
                  <c:v>43158</c:v>
                </c:pt>
                <c:pt idx="811">
                  <c:v>43159</c:v>
                </c:pt>
                <c:pt idx="812">
                  <c:v>43160</c:v>
                </c:pt>
                <c:pt idx="813">
                  <c:v>43161</c:v>
                </c:pt>
                <c:pt idx="814">
                  <c:v>43164</c:v>
                </c:pt>
                <c:pt idx="815">
                  <c:v>43165</c:v>
                </c:pt>
                <c:pt idx="816">
                  <c:v>43166</c:v>
                </c:pt>
                <c:pt idx="817">
                  <c:v>43167</c:v>
                </c:pt>
                <c:pt idx="818">
                  <c:v>43168</c:v>
                </c:pt>
                <c:pt idx="819">
                  <c:v>43171</c:v>
                </c:pt>
                <c:pt idx="820">
                  <c:v>43172</c:v>
                </c:pt>
                <c:pt idx="821">
                  <c:v>43173</c:v>
                </c:pt>
                <c:pt idx="822">
                  <c:v>43174</c:v>
                </c:pt>
                <c:pt idx="823">
                  <c:v>43175</c:v>
                </c:pt>
                <c:pt idx="824">
                  <c:v>43178</c:v>
                </c:pt>
                <c:pt idx="825">
                  <c:v>43179</c:v>
                </c:pt>
                <c:pt idx="826">
                  <c:v>43180</c:v>
                </c:pt>
                <c:pt idx="827">
                  <c:v>43181</c:v>
                </c:pt>
                <c:pt idx="828">
                  <c:v>43182</c:v>
                </c:pt>
                <c:pt idx="829">
                  <c:v>43185</c:v>
                </c:pt>
                <c:pt idx="830">
                  <c:v>43186</c:v>
                </c:pt>
                <c:pt idx="831">
                  <c:v>43187</c:v>
                </c:pt>
                <c:pt idx="832">
                  <c:v>43188</c:v>
                </c:pt>
                <c:pt idx="833">
                  <c:v>43193</c:v>
                </c:pt>
                <c:pt idx="834">
                  <c:v>43194</c:v>
                </c:pt>
                <c:pt idx="835">
                  <c:v>43195</c:v>
                </c:pt>
                <c:pt idx="836">
                  <c:v>43196</c:v>
                </c:pt>
                <c:pt idx="837">
                  <c:v>43199</c:v>
                </c:pt>
                <c:pt idx="838">
                  <c:v>43200</c:v>
                </c:pt>
                <c:pt idx="839">
                  <c:v>43201</c:v>
                </c:pt>
                <c:pt idx="840">
                  <c:v>43202</c:v>
                </c:pt>
                <c:pt idx="841">
                  <c:v>43203</c:v>
                </c:pt>
                <c:pt idx="842">
                  <c:v>43206</c:v>
                </c:pt>
                <c:pt idx="843">
                  <c:v>43207</c:v>
                </c:pt>
                <c:pt idx="844">
                  <c:v>43208</c:v>
                </c:pt>
                <c:pt idx="845">
                  <c:v>43209</c:v>
                </c:pt>
                <c:pt idx="846">
                  <c:v>43210</c:v>
                </c:pt>
                <c:pt idx="847">
                  <c:v>43213</c:v>
                </c:pt>
                <c:pt idx="848">
                  <c:v>43214</c:v>
                </c:pt>
                <c:pt idx="849">
                  <c:v>43215</c:v>
                </c:pt>
                <c:pt idx="850">
                  <c:v>43216</c:v>
                </c:pt>
                <c:pt idx="851">
                  <c:v>43217</c:v>
                </c:pt>
                <c:pt idx="852">
                  <c:v>43220</c:v>
                </c:pt>
                <c:pt idx="853">
                  <c:v>43221</c:v>
                </c:pt>
                <c:pt idx="854">
                  <c:v>43222</c:v>
                </c:pt>
                <c:pt idx="855">
                  <c:v>43223</c:v>
                </c:pt>
                <c:pt idx="856">
                  <c:v>43224</c:v>
                </c:pt>
                <c:pt idx="857">
                  <c:v>43227</c:v>
                </c:pt>
                <c:pt idx="858">
                  <c:v>43228</c:v>
                </c:pt>
                <c:pt idx="859">
                  <c:v>43229</c:v>
                </c:pt>
                <c:pt idx="860">
                  <c:v>43230</c:v>
                </c:pt>
                <c:pt idx="861">
                  <c:v>43231</c:v>
                </c:pt>
                <c:pt idx="862">
                  <c:v>43234</c:v>
                </c:pt>
                <c:pt idx="863">
                  <c:v>43235</c:v>
                </c:pt>
                <c:pt idx="864">
                  <c:v>43236</c:v>
                </c:pt>
                <c:pt idx="865">
                  <c:v>43237</c:v>
                </c:pt>
                <c:pt idx="866">
                  <c:v>43238</c:v>
                </c:pt>
                <c:pt idx="867">
                  <c:v>43241</c:v>
                </c:pt>
                <c:pt idx="868">
                  <c:v>43242</c:v>
                </c:pt>
                <c:pt idx="869">
                  <c:v>43243</c:v>
                </c:pt>
                <c:pt idx="870">
                  <c:v>43244</c:v>
                </c:pt>
                <c:pt idx="871">
                  <c:v>43245</c:v>
                </c:pt>
                <c:pt idx="872">
                  <c:v>43248</c:v>
                </c:pt>
                <c:pt idx="873">
                  <c:v>43249</c:v>
                </c:pt>
                <c:pt idx="874">
                  <c:v>43250</c:v>
                </c:pt>
                <c:pt idx="875">
                  <c:v>43251</c:v>
                </c:pt>
                <c:pt idx="876">
                  <c:v>43252</c:v>
                </c:pt>
                <c:pt idx="877">
                  <c:v>43255</c:v>
                </c:pt>
                <c:pt idx="878">
                  <c:v>43256</c:v>
                </c:pt>
                <c:pt idx="879">
                  <c:v>43257</c:v>
                </c:pt>
                <c:pt idx="880">
                  <c:v>43258</c:v>
                </c:pt>
                <c:pt idx="881">
                  <c:v>43259</c:v>
                </c:pt>
                <c:pt idx="882">
                  <c:v>43262</c:v>
                </c:pt>
                <c:pt idx="883">
                  <c:v>43263</c:v>
                </c:pt>
                <c:pt idx="884">
                  <c:v>43264</c:v>
                </c:pt>
                <c:pt idx="885">
                  <c:v>43265</c:v>
                </c:pt>
                <c:pt idx="886">
                  <c:v>43266</c:v>
                </c:pt>
                <c:pt idx="887">
                  <c:v>43269</c:v>
                </c:pt>
                <c:pt idx="888">
                  <c:v>43270</c:v>
                </c:pt>
                <c:pt idx="889">
                  <c:v>43271</c:v>
                </c:pt>
                <c:pt idx="890">
                  <c:v>43272</c:v>
                </c:pt>
                <c:pt idx="891">
                  <c:v>43273</c:v>
                </c:pt>
                <c:pt idx="892">
                  <c:v>43276</c:v>
                </c:pt>
                <c:pt idx="893">
                  <c:v>43277</c:v>
                </c:pt>
                <c:pt idx="894">
                  <c:v>43278</c:v>
                </c:pt>
                <c:pt idx="895">
                  <c:v>43279</c:v>
                </c:pt>
                <c:pt idx="896">
                  <c:v>43280</c:v>
                </c:pt>
                <c:pt idx="897">
                  <c:v>43283</c:v>
                </c:pt>
                <c:pt idx="898">
                  <c:v>43284</c:v>
                </c:pt>
                <c:pt idx="899">
                  <c:v>43285</c:v>
                </c:pt>
                <c:pt idx="900">
                  <c:v>43286</c:v>
                </c:pt>
                <c:pt idx="901">
                  <c:v>43287</c:v>
                </c:pt>
                <c:pt idx="902">
                  <c:v>43290</c:v>
                </c:pt>
                <c:pt idx="903">
                  <c:v>43291</c:v>
                </c:pt>
                <c:pt idx="904">
                  <c:v>43292</c:v>
                </c:pt>
                <c:pt idx="905">
                  <c:v>43293</c:v>
                </c:pt>
                <c:pt idx="906">
                  <c:v>43294</c:v>
                </c:pt>
                <c:pt idx="907">
                  <c:v>43297</c:v>
                </c:pt>
                <c:pt idx="908">
                  <c:v>43298</c:v>
                </c:pt>
                <c:pt idx="909">
                  <c:v>43299</c:v>
                </c:pt>
                <c:pt idx="910">
                  <c:v>43300</c:v>
                </c:pt>
                <c:pt idx="911">
                  <c:v>43301</c:v>
                </c:pt>
                <c:pt idx="912">
                  <c:v>43304</c:v>
                </c:pt>
                <c:pt idx="913">
                  <c:v>43305</c:v>
                </c:pt>
                <c:pt idx="914">
                  <c:v>43306</c:v>
                </c:pt>
                <c:pt idx="915">
                  <c:v>43307</c:v>
                </c:pt>
                <c:pt idx="916">
                  <c:v>43308</c:v>
                </c:pt>
                <c:pt idx="917">
                  <c:v>43311</c:v>
                </c:pt>
                <c:pt idx="918">
                  <c:v>43312</c:v>
                </c:pt>
                <c:pt idx="919">
                  <c:v>43313</c:v>
                </c:pt>
                <c:pt idx="920">
                  <c:v>43314</c:v>
                </c:pt>
                <c:pt idx="921">
                  <c:v>43315</c:v>
                </c:pt>
                <c:pt idx="922">
                  <c:v>43318</c:v>
                </c:pt>
                <c:pt idx="923">
                  <c:v>43319</c:v>
                </c:pt>
                <c:pt idx="924">
                  <c:v>43320</c:v>
                </c:pt>
                <c:pt idx="925">
                  <c:v>43321</c:v>
                </c:pt>
                <c:pt idx="926">
                  <c:v>43322</c:v>
                </c:pt>
                <c:pt idx="927">
                  <c:v>43325</c:v>
                </c:pt>
                <c:pt idx="928">
                  <c:v>43326</c:v>
                </c:pt>
                <c:pt idx="929">
                  <c:v>43327</c:v>
                </c:pt>
                <c:pt idx="930">
                  <c:v>43328</c:v>
                </c:pt>
                <c:pt idx="931">
                  <c:v>43329</c:v>
                </c:pt>
                <c:pt idx="932">
                  <c:v>43332</c:v>
                </c:pt>
                <c:pt idx="933">
                  <c:v>43333</c:v>
                </c:pt>
                <c:pt idx="934">
                  <c:v>43334</c:v>
                </c:pt>
                <c:pt idx="935">
                  <c:v>43335</c:v>
                </c:pt>
                <c:pt idx="936">
                  <c:v>43336</c:v>
                </c:pt>
                <c:pt idx="937">
                  <c:v>43339</c:v>
                </c:pt>
                <c:pt idx="938">
                  <c:v>43340</c:v>
                </c:pt>
                <c:pt idx="939">
                  <c:v>43341</c:v>
                </c:pt>
                <c:pt idx="940">
                  <c:v>43342</c:v>
                </c:pt>
                <c:pt idx="941">
                  <c:v>43343</c:v>
                </c:pt>
                <c:pt idx="942">
                  <c:v>43346</c:v>
                </c:pt>
                <c:pt idx="943">
                  <c:v>43347</c:v>
                </c:pt>
                <c:pt idx="944">
                  <c:v>43348</c:v>
                </c:pt>
                <c:pt idx="945">
                  <c:v>43349</c:v>
                </c:pt>
                <c:pt idx="946">
                  <c:v>43350</c:v>
                </c:pt>
                <c:pt idx="947">
                  <c:v>43353</c:v>
                </c:pt>
                <c:pt idx="948">
                  <c:v>43354</c:v>
                </c:pt>
                <c:pt idx="949">
                  <c:v>43355</c:v>
                </c:pt>
                <c:pt idx="950">
                  <c:v>43356</c:v>
                </c:pt>
                <c:pt idx="951">
                  <c:v>43357</c:v>
                </c:pt>
                <c:pt idx="952">
                  <c:v>43360</c:v>
                </c:pt>
                <c:pt idx="953">
                  <c:v>43361</c:v>
                </c:pt>
                <c:pt idx="954">
                  <c:v>43362</c:v>
                </c:pt>
                <c:pt idx="955">
                  <c:v>43363</c:v>
                </c:pt>
                <c:pt idx="956">
                  <c:v>43364</c:v>
                </c:pt>
                <c:pt idx="957">
                  <c:v>43367</c:v>
                </c:pt>
                <c:pt idx="958">
                  <c:v>43368</c:v>
                </c:pt>
                <c:pt idx="959">
                  <c:v>43369</c:v>
                </c:pt>
                <c:pt idx="960">
                  <c:v>43370</c:v>
                </c:pt>
                <c:pt idx="961">
                  <c:v>43371</c:v>
                </c:pt>
                <c:pt idx="962">
                  <c:v>43374</c:v>
                </c:pt>
                <c:pt idx="963">
                  <c:v>43375</c:v>
                </c:pt>
                <c:pt idx="964">
                  <c:v>43376</c:v>
                </c:pt>
                <c:pt idx="965">
                  <c:v>43377</c:v>
                </c:pt>
                <c:pt idx="966">
                  <c:v>43378</c:v>
                </c:pt>
                <c:pt idx="967">
                  <c:v>43381</c:v>
                </c:pt>
                <c:pt idx="968">
                  <c:v>43382</c:v>
                </c:pt>
                <c:pt idx="969">
                  <c:v>43383</c:v>
                </c:pt>
                <c:pt idx="970">
                  <c:v>43384</c:v>
                </c:pt>
                <c:pt idx="971">
                  <c:v>43385</c:v>
                </c:pt>
                <c:pt idx="972">
                  <c:v>43388</c:v>
                </c:pt>
                <c:pt idx="973">
                  <c:v>43389</c:v>
                </c:pt>
                <c:pt idx="974">
                  <c:v>43390</c:v>
                </c:pt>
                <c:pt idx="975">
                  <c:v>43391</c:v>
                </c:pt>
                <c:pt idx="976">
                  <c:v>43392</c:v>
                </c:pt>
                <c:pt idx="977">
                  <c:v>43395</c:v>
                </c:pt>
                <c:pt idx="978">
                  <c:v>43396</c:v>
                </c:pt>
                <c:pt idx="979">
                  <c:v>43397</c:v>
                </c:pt>
                <c:pt idx="980">
                  <c:v>43398</c:v>
                </c:pt>
                <c:pt idx="981">
                  <c:v>43399</c:v>
                </c:pt>
                <c:pt idx="982">
                  <c:v>43402</c:v>
                </c:pt>
                <c:pt idx="983">
                  <c:v>43403</c:v>
                </c:pt>
                <c:pt idx="984">
                  <c:v>43404</c:v>
                </c:pt>
                <c:pt idx="985">
                  <c:v>43405</c:v>
                </c:pt>
                <c:pt idx="986">
                  <c:v>43406</c:v>
                </c:pt>
                <c:pt idx="987">
                  <c:v>43409</c:v>
                </c:pt>
                <c:pt idx="988">
                  <c:v>43410</c:v>
                </c:pt>
                <c:pt idx="989">
                  <c:v>43411</c:v>
                </c:pt>
                <c:pt idx="990">
                  <c:v>43412</c:v>
                </c:pt>
                <c:pt idx="991">
                  <c:v>43413</c:v>
                </c:pt>
                <c:pt idx="992">
                  <c:v>43416</c:v>
                </c:pt>
                <c:pt idx="993">
                  <c:v>43417</c:v>
                </c:pt>
                <c:pt idx="994">
                  <c:v>43418</c:v>
                </c:pt>
                <c:pt idx="995">
                  <c:v>43419</c:v>
                </c:pt>
                <c:pt idx="996">
                  <c:v>43420</c:v>
                </c:pt>
                <c:pt idx="997">
                  <c:v>43423</c:v>
                </c:pt>
                <c:pt idx="998">
                  <c:v>43424</c:v>
                </c:pt>
                <c:pt idx="999">
                  <c:v>43425</c:v>
                </c:pt>
                <c:pt idx="1000">
                  <c:v>43426</c:v>
                </c:pt>
                <c:pt idx="1001">
                  <c:v>43427</c:v>
                </c:pt>
                <c:pt idx="1002">
                  <c:v>43430</c:v>
                </c:pt>
                <c:pt idx="1003">
                  <c:v>43431</c:v>
                </c:pt>
                <c:pt idx="1004">
                  <c:v>43432</c:v>
                </c:pt>
                <c:pt idx="1005">
                  <c:v>43433</c:v>
                </c:pt>
                <c:pt idx="1006">
                  <c:v>43434</c:v>
                </c:pt>
                <c:pt idx="1007">
                  <c:v>43437</c:v>
                </c:pt>
                <c:pt idx="1008">
                  <c:v>43438</c:v>
                </c:pt>
                <c:pt idx="1009">
                  <c:v>43439</c:v>
                </c:pt>
                <c:pt idx="1010">
                  <c:v>43440</c:v>
                </c:pt>
                <c:pt idx="1011">
                  <c:v>43441</c:v>
                </c:pt>
                <c:pt idx="1012">
                  <c:v>43444</c:v>
                </c:pt>
                <c:pt idx="1013">
                  <c:v>43445</c:v>
                </c:pt>
                <c:pt idx="1014">
                  <c:v>43446</c:v>
                </c:pt>
                <c:pt idx="1015">
                  <c:v>43447</c:v>
                </c:pt>
                <c:pt idx="1016">
                  <c:v>43448</c:v>
                </c:pt>
                <c:pt idx="1017">
                  <c:v>43451</c:v>
                </c:pt>
                <c:pt idx="1018">
                  <c:v>43452</c:v>
                </c:pt>
                <c:pt idx="1019">
                  <c:v>43453</c:v>
                </c:pt>
                <c:pt idx="1020">
                  <c:v>43454</c:v>
                </c:pt>
                <c:pt idx="1021">
                  <c:v>43455</c:v>
                </c:pt>
                <c:pt idx="1022">
                  <c:v>43458</c:v>
                </c:pt>
                <c:pt idx="1023">
                  <c:v>43461</c:v>
                </c:pt>
                <c:pt idx="1024">
                  <c:v>43462</c:v>
                </c:pt>
                <c:pt idx="1025">
                  <c:v>43465</c:v>
                </c:pt>
                <c:pt idx="1026">
                  <c:v>43467</c:v>
                </c:pt>
                <c:pt idx="1027">
                  <c:v>43468</c:v>
                </c:pt>
                <c:pt idx="1028">
                  <c:v>43469</c:v>
                </c:pt>
                <c:pt idx="1029">
                  <c:v>43472</c:v>
                </c:pt>
                <c:pt idx="1030">
                  <c:v>43473</c:v>
                </c:pt>
                <c:pt idx="1031">
                  <c:v>43474</c:v>
                </c:pt>
                <c:pt idx="1032">
                  <c:v>43475</c:v>
                </c:pt>
                <c:pt idx="1033">
                  <c:v>43476</c:v>
                </c:pt>
                <c:pt idx="1034">
                  <c:v>43479</c:v>
                </c:pt>
                <c:pt idx="1035">
                  <c:v>43480</c:v>
                </c:pt>
                <c:pt idx="1036">
                  <c:v>43481</c:v>
                </c:pt>
                <c:pt idx="1037">
                  <c:v>43482</c:v>
                </c:pt>
                <c:pt idx="1038">
                  <c:v>43483</c:v>
                </c:pt>
                <c:pt idx="1039">
                  <c:v>43486</c:v>
                </c:pt>
                <c:pt idx="1040">
                  <c:v>43487</c:v>
                </c:pt>
                <c:pt idx="1041">
                  <c:v>43488</c:v>
                </c:pt>
                <c:pt idx="1042">
                  <c:v>43489</c:v>
                </c:pt>
                <c:pt idx="1043">
                  <c:v>43490</c:v>
                </c:pt>
                <c:pt idx="1044">
                  <c:v>43493</c:v>
                </c:pt>
                <c:pt idx="1045">
                  <c:v>43494</c:v>
                </c:pt>
                <c:pt idx="1046">
                  <c:v>43495</c:v>
                </c:pt>
                <c:pt idx="1047">
                  <c:v>43496</c:v>
                </c:pt>
                <c:pt idx="1048">
                  <c:v>43497</c:v>
                </c:pt>
                <c:pt idx="1049">
                  <c:v>43500</c:v>
                </c:pt>
                <c:pt idx="1050">
                  <c:v>43501</c:v>
                </c:pt>
                <c:pt idx="1051">
                  <c:v>43502</c:v>
                </c:pt>
                <c:pt idx="1052">
                  <c:v>43503</c:v>
                </c:pt>
                <c:pt idx="1053">
                  <c:v>43504</c:v>
                </c:pt>
                <c:pt idx="1054">
                  <c:v>43507</c:v>
                </c:pt>
                <c:pt idx="1055">
                  <c:v>43508</c:v>
                </c:pt>
                <c:pt idx="1056">
                  <c:v>43509</c:v>
                </c:pt>
                <c:pt idx="1057">
                  <c:v>43510</c:v>
                </c:pt>
                <c:pt idx="1058">
                  <c:v>43511</c:v>
                </c:pt>
                <c:pt idx="1059">
                  <c:v>43514</c:v>
                </c:pt>
                <c:pt idx="1060">
                  <c:v>43515</c:v>
                </c:pt>
                <c:pt idx="1061">
                  <c:v>43516</c:v>
                </c:pt>
                <c:pt idx="1062">
                  <c:v>43517</c:v>
                </c:pt>
                <c:pt idx="1063">
                  <c:v>43518</c:v>
                </c:pt>
                <c:pt idx="1064">
                  <c:v>43521</c:v>
                </c:pt>
                <c:pt idx="1065">
                  <c:v>43522</c:v>
                </c:pt>
                <c:pt idx="1066">
                  <c:v>43523</c:v>
                </c:pt>
                <c:pt idx="1067">
                  <c:v>43524</c:v>
                </c:pt>
                <c:pt idx="1068">
                  <c:v>43525</c:v>
                </c:pt>
                <c:pt idx="1069">
                  <c:v>43528</c:v>
                </c:pt>
                <c:pt idx="1070">
                  <c:v>43529</c:v>
                </c:pt>
                <c:pt idx="1071">
                  <c:v>43530</c:v>
                </c:pt>
                <c:pt idx="1072">
                  <c:v>43531</c:v>
                </c:pt>
                <c:pt idx="1073">
                  <c:v>43532</c:v>
                </c:pt>
                <c:pt idx="1074">
                  <c:v>43535</c:v>
                </c:pt>
                <c:pt idx="1075">
                  <c:v>43536</c:v>
                </c:pt>
                <c:pt idx="1076">
                  <c:v>43537</c:v>
                </c:pt>
                <c:pt idx="1077">
                  <c:v>43538</c:v>
                </c:pt>
                <c:pt idx="1078">
                  <c:v>43539</c:v>
                </c:pt>
                <c:pt idx="1079">
                  <c:v>43542</c:v>
                </c:pt>
                <c:pt idx="1080">
                  <c:v>43543</c:v>
                </c:pt>
                <c:pt idx="1081">
                  <c:v>43544</c:v>
                </c:pt>
                <c:pt idx="1082">
                  <c:v>43545</c:v>
                </c:pt>
                <c:pt idx="1083">
                  <c:v>43546</c:v>
                </c:pt>
                <c:pt idx="1084">
                  <c:v>43549</c:v>
                </c:pt>
                <c:pt idx="1085">
                  <c:v>43550</c:v>
                </c:pt>
                <c:pt idx="1086">
                  <c:v>43551</c:v>
                </c:pt>
                <c:pt idx="1087">
                  <c:v>43552</c:v>
                </c:pt>
                <c:pt idx="1088">
                  <c:v>43553</c:v>
                </c:pt>
                <c:pt idx="1089">
                  <c:v>43556</c:v>
                </c:pt>
                <c:pt idx="1090">
                  <c:v>43557</c:v>
                </c:pt>
                <c:pt idx="1091">
                  <c:v>43558</c:v>
                </c:pt>
                <c:pt idx="1092">
                  <c:v>43559</c:v>
                </c:pt>
                <c:pt idx="1093">
                  <c:v>43560</c:v>
                </c:pt>
                <c:pt idx="1094">
                  <c:v>43563</c:v>
                </c:pt>
                <c:pt idx="1095">
                  <c:v>43564</c:v>
                </c:pt>
                <c:pt idx="1096">
                  <c:v>43565</c:v>
                </c:pt>
                <c:pt idx="1097">
                  <c:v>43566</c:v>
                </c:pt>
                <c:pt idx="1098">
                  <c:v>43567</c:v>
                </c:pt>
                <c:pt idx="1099">
                  <c:v>43570</c:v>
                </c:pt>
                <c:pt idx="1100">
                  <c:v>43571</c:v>
                </c:pt>
                <c:pt idx="1101">
                  <c:v>43572</c:v>
                </c:pt>
                <c:pt idx="1102">
                  <c:v>43573</c:v>
                </c:pt>
                <c:pt idx="1103">
                  <c:v>43578</c:v>
                </c:pt>
                <c:pt idx="1104">
                  <c:v>43579</c:v>
                </c:pt>
                <c:pt idx="1105">
                  <c:v>43580</c:v>
                </c:pt>
                <c:pt idx="1106">
                  <c:v>43581</c:v>
                </c:pt>
                <c:pt idx="1107">
                  <c:v>43584</c:v>
                </c:pt>
                <c:pt idx="1108">
                  <c:v>43585</c:v>
                </c:pt>
                <c:pt idx="1109">
                  <c:v>43586</c:v>
                </c:pt>
                <c:pt idx="1110">
                  <c:v>43587</c:v>
                </c:pt>
                <c:pt idx="1111">
                  <c:v>43588</c:v>
                </c:pt>
                <c:pt idx="1112">
                  <c:v>43591</c:v>
                </c:pt>
                <c:pt idx="1113">
                  <c:v>43592</c:v>
                </c:pt>
                <c:pt idx="1114">
                  <c:v>43593</c:v>
                </c:pt>
                <c:pt idx="1115">
                  <c:v>43594</c:v>
                </c:pt>
                <c:pt idx="1116">
                  <c:v>43595</c:v>
                </c:pt>
                <c:pt idx="1117">
                  <c:v>43598</c:v>
                </c:pt>
                <c:pt idx="1118">
                  <c:v>43599</c:v>
                </c:pt>
                <c:pt idx="1119">
                  <c:v>43600</c:v>
                </c:pt>
                <c:pt idx="1120">
                  <c:v>43601</c:v>
                </c:pt>
                <c:pt idx="1121">
                  <c:v>43602</c:v>
                </c:pt>
                <c:pt idx="1122">
                  <c:v>43605</c:v>
                </c:pt>
                <c:pt idx="1123">
                  <c:v>43606</c:v>
                </c:pt>
                <c:pt idx="1124">
                  <c:v>43607</c:v>
                </c:pt>
                <c:pt idx="1125">
                  <c:v>43608</c:v>
                </c:pt>
                <c:pt idx="1126">
                  <c:v>43609</c:v>
                </c:pt>
                <c:pt idx="1127">
                  <c:v>43612</c:v>
                </c:pt>
                <c:pt idx="1128">
                  <c:v>43613</c:v>
                </c:pt>
                <c:pt idx="1129">
                  <c:v>43614</c:v>
                </c:pt>
                <c:pt idx="1130">
                  <c:v>43615</c:v>
                </c:pt>
                <c:pt idx="1131">
                  <c:v>43616</c:v>
                </c:pt>
                <c:pt idx="1132">
                  <c:v>43619</c:v>
                </c:pt>
                <c:pt idx="1133">
                  <c:v>43620</c:v>
                </c:pt>
                <c:pt idx="1134">
                  <c:v>43621</c:v>
                </c:pt>
                <c:pt idx="1135">
                  <c:v>43622</c:v>
                </c:pt>
                <c:pt idx="1136">
                  <c:v>43623</c:v>
                </c:pt>
                <c:pt idx="1137">
                  <c:v>43626</c:v>
                </c:pt>
                <c:pt idx="1138">
                  <c:v>43627</c:v>
                </c:pt>
                <c:pt idx="1139">
                  <c:v>43628</c:v>
                </c:pt>
                <c:pt idx="1140">
                  <c:v>43629</c:v>
                </c:pt>
                <c:pt idx="1141">
                  <c:v>43630</c:v>
                </c:pt>
                <c:pt idx="1142">
                  <c:v>43633</c:v>
                </c:pt>
                <c:pt idx="1143">
                  <c:v>43634</c:v>
                </c:pt>
                <c:pt idx="1144">
                  <c:v>43635</c:v>
                </c:pt>
                <c:pt idx="1145">
                  <c:v>43636</c:v>
                </c:pt>
                <c:pt idx="1146">
                  <c:v>43637</c:v>
                </c:pt>
                <c:pt idx="1147">
                  <c:v>43640</c:v>
                </c:pt>
                <c:pt idx="1148">
                  <c:v>43641</c:v>
                </c:pt>
                <c:pt idx="1149">
                  <c:v>43642</c:v>
                </c:pt>
                <c:pt idx="1150">
                  <c:v>43643</c:v>
                </c:pt>
                <c:pt idx="1151">
                  <c:v>43644</c:v>
                </c:pt>
                <c:pt idx="1152">
                  <c:v>43647</c:v>
                </c:pt>
                <c:pt idx="1153">
                  <c:v>43648</c:v>
                </c:pt>
                <c:pt idx="1154">
                  <c:v>43649</c:v>
                </c:pt>
                <c:pt idx="1155">
                  <c:v>43650</c:v>
                </c:pt>
                <c:pt idx="1156">
                  <c:v>43651</c:v>
                </c:pt>
                <c:pt idx="1157">
                  <c:v>43654</c:v>
                </c:pt>
                <c:pt idx="1158">
                  <c:v>43655</c:v>
                </c:pt>
                <c:pt idx="1159">
                  <c:v>43656</c:v>
                </c:pt>
                <c:pt idx="1160">
                  <c:v>43657</c:v>
                </c:pt>
                <c:pt idx="1161">
                  <c:v>43658</c:v>
                </c:pt>
                <c:pt idx="1162">
                  <c:v>43661</c:v>
                </c:pt>
                <c:pt idx="1163">
                  <c:v>43662</c:v>
                </c:pt>
                <c:pt idx="1164">
                  <c:v>43663</c:v>
                </c:pt>
                <c:pt idx="1165">
                  <c:v>43664</c:v>
                </c:pt>
                <c:pt idx="1166">
                  <c:v>43665</c:v>
                </c:pt>
                <c:pt idx="1167">
                  <c:v>43668</c:v>
                </c:pt>
                <c:pt idx="1168">
                  <c:v>43669</c:v>
                </c:pt>
                <c:pt idx="1169">
                  <c:v>43670</c:v>
                </c:pt>
                <c:pt idx="1170">
                  <c:v>43671</c:v>
                </c:pt>
                <c:pt idx="1171">
                  <c:v>43672</c:v>
                </c:pt>
                <c:pt idx="1172">
                  <c:v>43675</c:v>
                </c:pt>
                <c:pt idx="1173">
                  <c:v>43676</c:v>
                </c:pt>
                <c:pt idx="1174">
                  <c:v>43677</c:v>
                </c:pt>
                <c:pt idx="1175">
                  <c:v>43678</c:v>
                </c:pt>
                <c:pt idx="1176">
                  <c:v>43679</c:v>
                </c:pt>
                <c:pt idx="1177">
                  <c:v>43682</c:v>
                </c:pt>
                <c:pt idx="1178">
                  <c:v>43683</c:v>
                </c:pt>
                <c:pt idx="1179">
                  <c:v>43684</c:v>
                </c:pt>
                <c:pt idx="1180">
                  <c:v>43685</c:v>
                </c:pt>
                <c:pt idx="1181">
                  <c:v>43686</c:v>
                </c:pt>
                <c:pt idx="1182">
                  <c:v>43689</c:v>
                </c:pt>
                <c:pt idx="1183">
                  <c:v>43690</c:v>
                </c:pt>
                <c:pt idx="1184">
                  <c:v>43691</c:v>
                </c:pt>
                <c:pt idx="1185">
                  <c:v>43692</c:v>
                </c:pt>
                <c:pt idx="1186">
                  <c:v>43693</c:v>
                </c:pt>
                <c:pt idx="1187">
                  <c:v>43696</c:v>
                </c:pt>
                <c:pt idx="1188">
                  <c:v>43697</c:v>
                </c:pt>
                <c:pt idx="1189">
                  <c:v>43698</c:v>
                </c:pt>
                <c:pt idx="1190">
                  <c:v>43699</c:v>
                </c:pt>
                <c:pt idx="1191">
                  <c:v>43700</c:v>
                </c:pt>
                <c:pt idx="1192">
                  <c:v>43703</c:v>
                </c:pt>
                <c:pt idx="1193">
                  <c:v>43704</c:v>
                </c:pt>
                <c:pt idx="1194">
                  <c:v>43705</c:v>
                </c:pt>
                <c:pt idx="1195">
                  <c:v>43706</c:v>
                </c:pt>
                <c:pt idx="1196">
                  <c:v>43707</c:v>
                </c:pt>
                <c:pt idx="1197">
                  <c:v>43710</c:v>
                </c:pt>
                <c:pt idx="1198">
                  <c:v>43711</c:v>
                </c:pt>
                <c:pt idx="1199">
                  <c:v>43712</c:v>
                </c:pt>
                <c:pt idx="1200">
                  <c:v>43713</c:v>
                </c:pt>
                <c:pt idx="1201">
                  <c:v>43714</c:v>
                </c:pt>
                <c:pt idx="1202">
                  <c:v>43717</c:v>
                </c:pt>
                <c:pt idx="1203">
                  <c:v>43718</c:v>
                </c:pt>
                <c:pt idx="1204">
                  <c:v>43719</c:v>
                </c:pt>
                <c:pt idx="1205">
                  <c:v>43720</c:v>
                </c:pt>
                <c:pt idx="1206">
                  <c:v>43721</c:v>
                </c:pt>
                <c:pt idx="1207">
                  <c:v>43724</c:v>
                </c:pt>
                <c:pt idx="1208">
                  <c:v>43725</c:v>
                </c:pt>
                <c:pt idx="1209">
                  <c:v>43726</c:v>
                </c:pt>
                <c:pt idx="1210">
                  <c:v>43727</c:v>
                </c:pt>
                <c:pt idx="1211">
                  <c:v>43728</c:v>
                </c:pt>
                <c:pt idx="1212">
                  <c:v>43731</c:v>
                </c:pt>
                <c:pt idx="1213">
                  <c:v>43732</c:v>
                </c:pt>
                <c:pt idx="1214">
                  <c:v>43733</c:v>
                </c:pt>
                <c:pt idx="1215">
                  <c:v>43734</c:v>
                </c:pt>
                <c:pt idx="1216">
                  <c:v>43735</c:v>
                </c:pt>
                <c:pt idx="1217">
                  <c:v>43738</c:v>
                </c:pt>
                <c:pt idx="1218">
                  <c:v>43739</c:v>
                </c:pt>
                <c:pt idx="1219">
                  <c:v>43740</c:v>
                </c:pt>
                <c:pt idx="1220">
                  <c:v>43741</c:v>
                </c:pt>
                <c:pt idx="1221">
                  <c:v>43742</c:v>
                </c:pt>
                <c:pt idx="1222">
                  <c:v>43745</c:v>
                </c:pt>
                <c:pt idx="1223">
                  <c:v>43746</c:v>
                </c:pt>
                <c:pt idx="1224">
                  <c:v>43747</c:v>
                </c:pt>
                <c:pt idx="1225">
                  <c:v>43748</c:v>
                </c:pt>
                <c:pt idx="1226">
                  <c:v>43749</c:v>
                </c:pt>
                <c:pt idx="1227">
                  <c:v>43752</c:v>
                </c:pt>
                <c:pt idx="1228">
                  <c:v>43753</c:v>
                </c:pt>
                <c:pt idx="1229">
                  <c:v>43754</c:v>
                </c:pt>
                <c:pt idx="1230">
                  <c:v>43755</c:v>
                </c:pt>
                <c:pt idx="1231">
                  <c:v>43756</c:v>
                </c:pt>
                <c:pt idx="1232">
                  <c:v>43759</c:v>
                </c:pt>
                <c:pt idx="1233">
                  <c:v>43760</c:v>
                </c:pt>
                <c:pt idx="1234">
                  <c:v>43761</c:v>
                </c:pt>
                <c:pt idx="1235">
                  <c:v>43762</c:v>
                </c:pt>
                <c:pt idx="1236">
                  <c:v>43763</c:v>
                </c:pt>
                <c:pt idx="1237">
                  <c:v>43766</c:v>
                </c:pt>
                <c:pt idx="1238">
                  <c:v>43767</c:v>
                </c:pt>
                <c:pt idx="1239">
                  <c:v>43768</c:v>
                </c:pt>
                <c:pt idx="1240">
                  <c:v>43769</c:v>
                </c:pt>
                <c:pt idx="1241">
                  <c:v>43770</c:v>
                </c:pt>
                <c:pt idx="1242">
                  <c:v>43773</c:v>
                </c:pt>
                <c:pt idx="1243">
                  <c:v>43774</c:v>
                </c:pt>
                <c:pt idx="1244">
                  <c:v>43775</c:v>
                </c:pt>
                <c:pt idx="1245">
                  <c:v>43776</c:v>
                </c:pt>
                <c:pt idx="1246">
                  <c:v>43777</c:v>
                </c:pt>
                <c:pt idx="1247">
                  <c:v>43780</c:v>
                </c:pt>
                <c:pt idx="1248">
                  <c:v>43781</c:v>
                </c:pt>
                <c:pt idx="1249">
                  <c:v>43782</c:v>
                </c:pt>
                <c:pt idx="1250">
                  <c:v>43783</c:v>
                </c:pt>
                <c:pt idx="1251">
                  <c:v>43784</c:v>
                </c:pt>
                <c:pt idx="1252">
                  <c:v>43787</c:v>
                </c:pt>
                <c:pt idx="1253">
                  <c:v>43788</c:v>
                </c:pt>
                <c:pt idx="1254">
                  <c:v>43789</c:v>
                </c:pt>
                <c:pt idx="1255">
                  <c:v>43790</c:v>
                </c:pt>
                <c:pt idx="1256">
                  <c:v>43791</c:v>
                </c:pt>
                <c:pt idx="1257">
                  <c:v>43794</c:v>
                </c:pt>
                <c:pt idx="1258">
                  <c:v>43795</c:v>
                </c:pt>
                <c:pt idx="1259">
                  <c:v>43796</c:v>
                </c:pt>
                <c:pt idx="1260">
                  <c:v>43797</c:v>
                </c:pt>
                <c:pt idx="1261">
                  <c:v>43798</c:v>
                </c:pt>
                <c:pt idx="1262">
                  <c:v>43801</c:v>
                </c:pt>
                <c:pt idx="1263">
                  <c:v>43802</c:v>
                </c:pt>
                <c:pt idx="1264">
                  <c:v>43803</c:v>
                </c:pt>
                <c:pt idx="1265">
                  <c:v>43804</c:v>
                </c:pt>
                <c:pt idx="1266">
                  <c:v>43805</c:v>
                </c:pt>
                <c:pt idx="1267">
                  <c:v>43808</c:v>
                </c:pt>
                <c:pt idx="1268">
                  <c:v>43809</c:v>
                </c:pt>
                <c:pt idx="1269">
                  <c:v>43810</c:v>
                </c:pt>
                <c:pt idx="1270">
                  <c:v>43811</c:v>
                </c:pt>
                <c:pt idx="1271">
                  <c:v>43812</c:v>
                </c:pt>
                <c:pt idx="1272">
                  <c:v>43815</c:v>
                </c:pt>
                <c:pt idx="1273">
                  <c:v>43816</c:v>
                </c:pt>
                <c:pt idx="1274">
                  <c:v>43817</c:v>
                </c:pt>
                <c:pt idx="1275">
                  <c:v>43818</c:v>
                </c:pt>
                <c:pt idx="1276">
                  <c:v>43819</c:v>
                </c:pt>
                <c:pt idx="1277">
                  <c:v>43822</c:v>
                </c:pt>
                <c:pt idx="1278">
                  <c:v>43823</c:v>
                </c:pt>
                <c:pt idx="1279">
                  <c:v>43826</c:v>
                </c:pt>
                <c:pt idx="1280">
                  <c:v>43829</c:v>
                </c:pt>
                <c:pt idx="1281">
                  <c:v>43830</c:v>
                </c:pt>
                <c:pt idx="1282">
                  <c:v>43832</c:v>
                </c:pt>
                <c:pt idx="1283">
                  <c:v>43833</c:v>
                </c:pt>
                <c:pt idx="1284">
                  <c:v>43836</c:v>
                </c:pt>
                <c:pt idx="1285">
                  <c:v>43837</c:v>
                </c:pt>
                <c:pt idx="1286">
                  <c:v>43838</c:v>
                </c:pt>
                <c:pt idx="1287">
                  <c:v>43839</c:v>
                </c:pt>
                <c:pt idx="1288">
                  <c:v>43840</c:v>
                </c:pt>
                <c:pt idx="1289">
                  <c:v>43843</c:v>
                </c:pt>
                <c:pt idx="1290">
                  <c:v>43844</c:v>
                </c:pt>
                <c:pt idx="1291">
                  <c:v>43845</c:v>
                </c:pt>
                <c:pt idx="1292">
                  <c:v>43846</c:v>
                </c:pt>
                <c:pt idx="1293">
                  <c:v>43847</c:v>
                </c:pt>
                <c:pt idx="1294">
                  <c:v>43850</c:v>
                </c:pt>
                <c:pt idx="1295">
                  <c:v>43851</c:v>
                </c:pt>
                <c:pt idx="1296">
                  <c:v>43852</c:v>
                </c:pt>
                <c:pt idx="1297">
                  <c:v>43853</c:v>
                </c:pt>
                <c:pt idx="1298">
                  <c:v>43854</c:v>
                </c:pt>
                <c:pt idx="1299">
                  <c:v>43857</c:v>
                </c:pt>
                <c:pt idx="1300">
                  <c:v>43858</c:v>
                </c:pt>
                <c:pt idx="1301">
                  <c:v>43859</c:v>
                </c:pt>
                <c:pt idx="1302">
                  <c:v>43860</c:v>
                </c:pt>
                <c:pt idx="1303">
                  <c:v>43861</c:v>
                </c:pt>
                <c:pt idx="1304">
                  <c:v>43864</c:v>
                </c:pt>
                <c:pt idx="1305">
                  <c:v>43865</c:v>
                </c:pt>
                <c:pt idx="1306">
                  <c:v>43866</c:v>
                </c:pt>
                <c:pt idx="1307">
                  <c:v>43867</c:v>
                </c:pt>
                <c:pt idx="1308">
                  <c:v>43868</c:v>
                </c:pt>
                <c:pt idx="1309">
                  <c:v>43871</c:v>
                </c:pt>
                <c:pt idx="1310">
                  <c:v>43872</c:v>
                </c:pt>
                <c:pt idx="1311">
                  <c:v>43873</c:v>
                </c:pt>
                <c:pt idx="1312">
                  <c:v>43874</c:v>
                </c:pt>
                <c:pt idx="1313">
                  <c:v>43875</c:v>
                </c:pt>
                <c:pt idx="1314">
                  <c:v>43878</c:v>
                </c:pt>
                <c:pt idx="1315">
                  <c:v>43879</c:v>
                </c:pt>
                <c:pt idx="1316">
                  <c:v>43880</c:v>
                </c:pt>
                <c:pt idx="1317">
                  <c:v>43881</c:v>
                </c:pt>
                <c:pt idx="1318">
                  <c:v>43882</c:v>
                </c:pt>
                <c:pt idx="1319">
                  <c:v>43885</c:v>
                </c:pt>
                <c:pt idx="1320">
                  <c:v>43886</c:v>
                </c:pt>
                <c:pt idx="1321">
                  <c:v>43887</c:v>
                </c:pt>
                <c:pt idx="1322">
                  <c:v>43888</c:v>
                </c:pt>
                <c:pt idx="1323">
                  <c:v>43889</c:v>
                </c:pt>
                <c:pt idx="1324">
                  <c:v>43892</c:v>
                </c:pt>
                <c:pt idx="1325">
                  <c:v>43893</c:v>
                </c:pt>
                <c:pt idx="1326">
                  <c:v>43894</c:v>
                </c:pt>
                <c:pt idx="1327">
                  <c:v>43895</c:v>
                </c:pt>
                <c:pt idx="1328">
                  <c:v>43896</c:v>
                </c:pt>
                <c:pt idx="1329">
                  <c:v>43899</c:v>
                </c:pt>
                <c:pt idx="1330">
                  <c:v>43900</c:v>
                </c:pt>
                <c:pt idx="1331">
                  <c:v>43901</c:v>
                </c:pt>
                <c:pt idx="1332">
                  <c:v>43902</c:v>
                </c:pt>
                <c:pt idx="1333">
                  <c:v>43903</c:v>
                </c:pt>
                <c:pt idx="1334">
                  <c:v>43906</c:v>
                </c:pt>
                <c:pt idx="1335">
                  <c:v>43907</c:v>
                </c:pt>
                <c:pt idx="1336">
                  <c:v>43908</c:v>
                </c:pt>
                <c:pt idx="1337">
                  <c:v>43909</c:v>
                </c:pt>
                <c:pt idx="1338">
                  <c:v>43910</c:v>
                </c:pt>
                <c:pt idx="1339">
                  <c:v>43913</c:v>
                </c:pt>
                <c:pt idx="1340">
                  <c:v>43914</c:v>
                </c:pt>
                <c:pt idx="1341">
                  <c:v>43915</c:v>
                </c:pt>
                <c:pt idx="1342">
                  <c:v>43916</c:v>
                </c:pt>
                <c:pt idx="1343">
                  <c:v>43917</c:v>
                </c:pt>
                <c:pt idx="1344">
                  <c:v>43920</c:v>
                </c:pt>
                <c:pt idx="1345">
                  <c:v>43921</c:v>
                </c:pt>
                <c:pt idx="1346">
                  <c:v>43922</c:v>
                </c:pt>
                <c:pt idx="1347">
                  <c:v>43923</c:v>
                </c:pt>
                <c:pt idx="1348">
                  <c:v>43924</c:v>
                </c:pt>
                <c:pt idx="1349">
                  <c:v>43927</c:v>
                </c:pt>
                <c:pt idx="1350">
                  <c:v>43928</c:v>
                </c:pt>
                <c:pt idx="1351">
                  <c:v>43929</c:v>
                </c:pt>
                <c:pt idx="1352">
                  <c:v>43930</c:v>
                </c:pt>
                <c:pt idx="1353">
                  <c:v>43935</c:v>
                </c:pt>
                <c:pt idx="1354">
                  <c:v>43936</c:v>
                </c:pt>
                <c:pt idx="1355">
                  <c:v>43937</c:v>
                </c:pt>
                <c:pt idx="1356">
                  <c:v>43938</c:v>
                </c:pt>
                <c:pt idx="1357">
                  <c:v>43941</c:v>
                </c:pt>
                <c:pt idx="1358">
                  <c:v>43942</c:v>
                </c:pt>
                <c:pt idx="1359">
                  <c:v>43943</c:v>
                </c:pt>
                <c:pt idx="1360">
                  <c:v>43944</c:v>
                </c:pt>
                <c:pt idx="1361">
                  <c:v>43945</c:v>
                </c:pt>
                <c:pt idx="1362">
                  <c:v>43948</c:v>
                </c:pt>
                <c:pt idx="1363">
                  <c:v>43949</c:v>
                </c:pt>
                <c:pt idx="1364">
                  <c:v>43950</c:v>
                </c:pt>
                <c:pt idx="1365">
                  <c:v>43951</c:v>
                </c:pt>
                <c:pt idx="1366">
                  <c:v>43952</c:v>
                </c:pt>
                <c:pt idx="1367">
                  <c:v>43955</c:v>
                </c:pt>
                <c:pt idx="1368">
                  <c:v>43956</c:v>
                </c:pt>
                <c:pt idx="1369">
                  <c:v>43957</c:v>
                </c:pt>
                <c:pt idx="1370">
                  <c:v>43958</c:v>
                </c:pt>
                <c:pt idx="1371">
                  <c:v>43959</c:v>
                </c:pt>
                <c:pt idx="1372">
                  <c:v>43962</c:v>
                </c:pt>
                <c:pt idx="1373">
                  <c:v>43963</c:v>
                </c:pt>
                <c:pt idx="1374">
                  <c:v>43964</c:v>
                </c:pt>
                <c:pt idx="1375">
                  <c:v>43965</c:v>
                </c:pt>
                <c:pt idx="1376">
                  <c:v>43966</c:v>
                </c:pt>
                <c:pt idx="1377">
                  <c:v>43969</c:v>
                </c:pt>
                <c:pt idx="1378">
                  <c:v>43970</c:v>
                </c:pt>
                <c:pt idx="1379">
                  <c:v>43971</c:v>
                </c:pt>
                <c:pt idx="1380">
                  <c:v>43972</c:v>
                </c:pt>
                <c:pt idx="1381">
                  <c:v>43973</c:v>
                </c:pt>
                <c:pt idx="1382">
                  <c:v>43976</c:v>
                </c:pt>
                <c:pt idx="1383">
                  <c:v>43977</c:v>
                </c:pt>
                <c:pt idx="1384">
                  <c:v>43978</c:v>
                </c:pt>
                <c:pt idx="1385">
                  <c:v>43979</c:v>
                </c:pt>
                <c:pt idx="1386">
                  <c:v>43980</c:v>
                </c:pt>
                <c:pt idx="1387">
                  <c:v>43983</c:v>
                </c:pt>
                <c:pt idx="1388">
                  <c:v>43984</c:v>
                </c:pt>
                <c:pt idx="1389">
                  <c:v>43985</c:v>
                </c:pt>
                <c:pt idx="1390">
                  <c:v>43986</c:v>
                </c:pt>
                <c:pt idx="1391">
                  <c:v>43987</c:v>
                </c:pt>
                <c:pt idx="1392">
                  <c:v>43990</c:v>
                </c:pt>
                <c:pt idx="1393">
                  <c:v>43991</c:v>
                </c:pt>
                <c:pt idx="1394">
                  <c:v>43992</c:v>
                </c:pt>
                <c:pt idx="1395">
                  <c:v>43993</c:v>
                </c:pt>
                <c:pt idx="1396">
                  <c:v>43994</c:v>
                </c:pt>
                <c:pt idx="1397">
                  <c:v>43997</c:v>
                </c:pt>
                <c:pt idx="1398">
                  <c:v>43998</c:v>
                </c:pt>
                <c:pt idx="1399">
                  <c:v>43999</c:v>
                </c:pt>
                <c:pt idx="1400">
                  <c:v>44000</c:v>
                </c:pt>
                <c:pt idx="1401">
                  <c:v>44001</c:v>
                </c:pt>
                <c:pt idx="1402">
                  <c:v>44004</c:v>
                </c:pt>
                <c:pt idx="1403">
                  <c:v>44005</c:v>
                </c:pt>
                <c:pt idx="1404">
                  <c:v>44006</c:v>
                </c:pt>
                <c:pt idx="1405">
                  <c:v>44007</c:v>
                </c:pt>
                <c:pt idx="1406">
                  <c:v>44008</c:v>
                </c:pt>
                <c:pt idx="1407">
                  <c:v>44011</c:v>
                </c:pt>
                <c:pt idx="1408">
                  <c:v>44012</c:v>
                </c:pt>
                <c:pt idx="1409">
                  <c:v>44013</c:v>
                </c:pt>
                <c:pt idx="1410">
                  <c:v>44014</c:v>
                </c:pt>
                <c:pt idx="1411">
                  <c:v>44015</c:v>
                </c:pt>
                <c:pt idx="1412">
                  <c:v>44018</c:v>
                </c:pt>
                <c:pt idx="1413">
                  <c:v>44019</c:v>
                </c:pt>
                <c:pt idx="1414">
                  <c:v>44020</c:v>
                </c:pt>
                <c:pt idx="1415">
                  <c:v>44021</c:v>
                </c:pt>
                <c:pt idx="1416">
                  <c:v>44022</c:v>
                </c:pt>
                <c:pt idx="1417">
                  <c:v>44025</c:v>
                </c:pt>
                <c:pt idx="1418">
                  <c:v>44026</c:v>
                </c:pt>
                <c:pt idx="1419">
                  <c:v>44027</c:v>
                </c:pt>
                <c:pt idx="1420">
                  <c:v>44028</c:v>
                </c:pt>
                <c:pt idx="1421">
                  <c:v>44029</c:v>
                </c:pt>
                <c:pt idx="1422">
                  <c:v>44032</c:v>
                </c:pt>
                <c:pt idx="1423">
                  <c:v>44033</c:v>
                </c:pt>
                <c:pt idx="1424">
                  <c:v>44034</c:v>
                </c:pt>
                <c:pt idx="1425">
                  <c:v>44035</c:v>
                </c:pt>
                <c:pt idx="1426">
                  <c:v>44036</c:v>
                </c:pt>
                <c:pt idx="1427">
                  <c:v>44039</c:v>
                </c:pt>
                <c:pt idx="1428">
                  <c:v>44040</c:v>
                </c:pt>
                <c:pt idx="1429">
                  <c:v>44041</c:v>
                </c:pt>
                <c:pt idx="1430">
                  <c:v>44042</c:v>
                </c:pt>
                <c:pt idx="1431">
                  <c:v>44043</c:v>
                </c:pt>
                <c:pt idx="1432">
                  <c:v>44046</c:v>
                </c:pt>
                <c:pt idx="1433">
                  <c:v>44047</c:v>
                </c:pt>
                <c:pt idx="1434">
                  <c:v>44048</c:v>
                </c:pt>
                <c:pt idx="1435">
                  <c:v>44049</c:v>
                </c:pt>
                <c:pt idx="1436">
                  <c:v>44050</c:v>
                </c:pt>
                <c:pt idx="1437">
                  <c:v>44053</c:v>
                </c:pt>
                <c:pt idx="1438">
                  <c:v>44054</c:v>
                </c:pt>
                <c:pt idx="1439">
                  <c:v>44055</c:v>
                </c:pt>
                <c:pt idx="1440">
                  <c:v>44056</c:v>
                </c:pt>
                <c:pt idx="1441">
                  <c:v>44057</c:v>
                </c:pt>
                <c:pt idx="1442">
                  <c:v>44060</c:v>
                </c:pt>
                <c:pt idx="1443">
                  <c:v>44061</c:v>
                </c:pt>
                <c:pt idx="1444">
                  <c:v>44062</c:v>
                </c:pt>
                <c:pt idx="1445">
                  <c:v>44063</c:v>
                </c:pt>
                <c:pt idx="1446">
                  <c:v>44064</c:v>
                </c:pt>
                <c:pt idx="1447">
                  <c:v>44067</c:v>
                </c:pt>
                <c:pt idx="1448">
                  <c:v>44068</c:v>
                </c:pt>
                <c:pt idx="1449">
                  <c:v>44069</c:v>
                </c:pt>
                <c:pt idx="1450">
                  <c:v>44070</c:v>
                </c:pt>
                <c:pt idx="1451">
                  <c:v>44071</c:v>
                </c:pt>
                <c:pt idx="1452">
                  <c:v>44074</c:v>
                </c:pt>
                <c:pt idx="1453">
                  <c:v>44075</c:v>
                </c:pt>
                <c:pt idx="1454">
                  <c:v>44076</c:v>
                </c:pt>
                <c:pt idx="1455">
                  <c:v>44077</c:v>
                </c:pt>
                <c:pt idx="1456">
                  <c:v>44078</c:v>
                </c:pt>
                <c:pt idx="1457">
                  <c:v>44081</c:v>
                </c:pt>
                <c:pt idx="1458">
                  <c:v>44082</c:v>
                </c:pt>
                <c:pt idx="1459">
                  <c:v>44083</c:v>
                </c:pt>
                <c:pt idx="1460">
                  <c:v>44084</c:v>
                </c:pt>
                <c:pt idx="1461">
                  <c:v>44085</c:v>
                </c:pt>
                <c:pt idx="1462">
                  <c:v>44088</c:v>
                </c:pt>
                <c:pt idx="1463">
                  <c:v>44089</c:v>
                </c:pt>
                <c:pt idx="1464">
                  <c:v>44090</c:v>
                </c:pt>
                <c:pt idx="1465">
                  <c:v>44091</c:v>
                </c:pt>
                <c:pt idx="1466">
                  <c:v>44092</c:v>
                </c:pt>
                <c:pt idx="1467">
                  <c:v>44095</c:v>
                </c:pt>
                <c:pt idx="1468">
                  <c:v>44096</c:v>
                </c:pt>
                <c:pt idx="1469">
                  <c:v>44097</c:v>
                </c:pt>
                <c:pt idx="1470">
                  <c:v>44098</c:v>
                </c:pt>
                <c:pt idx="1471">
                  <c:v>44099</c:v>
                </c:pt>
                <c:pt idx="1472">
                  <c:v>44102</c:v>
                </c:pt>
                <c:pt idx="1473">
                  <c:v>44103</c:v>
                </c:pt>
                <c:pt idx="1474">
                  <c:v>44104</c:v>
                </c:pt>
                <c:pt idx="1475">
                  <c:v>44105</c:v>
                </c:pt>
                <c:pt idx="1476">
                  <c:v>44106</c:v>
                </c:pt>
                <c:pt idx="1477">
                  <c:v>44109</c:v>
                </c:pt>
                <c:pt idx="1478">
                  <c:v>44110</c:v>
                </c:pt>
                <c:pt idx="1479">
                  <c:v>44111</c:v>
                </c:pt>
                <c:pt idx="1480">
                  <c:v>44112</c:v>
                </c:pt>
                <c:pt idx="1481">
                  <c:v>44113</c:v>
                </c:pt>
                <c:pt idx="1482">
                  <c:v>44116</c:v>
                </c:pt>
                <c:pt idx="1483">
                  <c:v>44117</c:v>
                </c:pt>
                <c:pt idx="1484">
                  <c:v>44118</c:v>
                </c:pt>
                <c:pt idx="1485">
                  <c:v>44119</c:v>
                </c:pt>
                <c:pt idx="1486">
                  <c:v>44120</c:v>
                </c:pt>
                <c:pt idx="1487">
                  <c:v>44123</c:v>
                </c:pt>
                <c:pt idx="1488">
                  <c:v>44124</c:v>
                </c:pt>
                <c:pt idx="1489">
                  <c:v>44125</c:v>
                </c:pt>
                <c:pt idx="1490">
                  <c:v>44126</c:v>
                </c:pt>
                <c:pt idx="1491">
                  <c:v>44127</c:v>
                </c:pt>
                <c:pt idx="1492">
                  <c:v>44130</c:v>
                </c:pt>
                <c:pt idx="1493">
                  <c:v>44131</c:v>
                </c:pt>
                <c:pt idx="1494">
                  <c:v>44132</c:v>
                </c:pt>
                <c:pt idx="1495">
                  <c:v>44133</c:v>
                </c:pt>
                <c:pt idx="1496">
                  <c:v>44134</c:v>
                </c:pt>
                <c:pt idx="1497">
                  <c:v>44137</c:v>
                </c:pt>
                <c:pt idx="1498">
                  <c:v>44138</c:v>
                </c:pt>
                <c:pt idx="1499">
                  <c:v>44139</c:v>
                </c:pt>
                <c:pt idx="1500">
                  <c:v>44140</c:v>
                </c:pt>
                <c:pt idx="1501">
                  <c:v>44141</c:v>
                </c:pt>
                <c:pt idx="1502">
                  <c:v>44144</c:v>
                </c:pt>
                <c:pt idx="1503">
                  <c:v>44145</c:v>
                </c:pt>
                <c:pt idx="1504">
                  <c:v>44146</c:v>
                </c:pt>
                <c:pt idx="1505">
                  <c:v>44147</c:v>
                </c:pt>
                <c:pt idx="1506">
                  <c:v>44148</c:v>
                </c:pt>
                <c:pt idx="1507">
                  <c:v>44151</c:v>
                </c:pt>
                <c:pt idx="1508">
                  <c:v>44152</c:v>
                </c:pt>
                <c:pt idx="1509">
                  <c:v>44153</c:v>
                </c:pt>
                <c:pt idx="1510">
                  <c:v>44154</c:v>
                </c:pt>
                <c:pt idx="1511">
                  <c:v>44155</c:v>
                </c:pt>
                <c:pt idx="1512">
                  <c:v>44158</c:v>
                </c:pt>
                <c:pt idx="1513">
                  <c:v>44159</c:v>
                </c:pt>
                <c:pt idx="1514">
                  <c:v>44160</c:v>
                </c:pt>
                <c:pt idx="1515">
                  <c:v>44161</c:v>
                </c:pt>
                <c:pt idx="1516">
                  <c:v>44162</c:v>
                </c:pt>
                <c:pt idx="1517">
                  <c:v>44165</c:v>
                </c:pt>
                <c:pt idx="1518">
                  <c:v>44166</c:v>
                </c:pt>
                <c:pt idx="1519">
                  <c:v>44167</c:v>
                </c:pt>
                <c:pt idx="1520">
                  <c:v>44168</c:v>
                </c:pt>
                <c:pt idx="1521">
                  <c:v>44169</c:v>
                </c:pt>
                <c:pt idx="1522">
                  <c:v>44172</c:v>
                </c:pt>
                <c:pt idx="1523">
                  <c:v>44173</c:v>
                </c:pt>
                <c:pt idx="1524">
                  <c:v>44174</c:v>
                </c:pt>
                <c:pt idx="1525">
                  <c:v>44175</c:v>
                </c:pt>
                <c:pt idx="1526">
                  <c:v>44176</c:v>
                </c:pt>
                <c:pt idx="1527">
                  <c:v>44179</c:v>
                </c:pt>
                <c:pt idx="1528">
                  <c:v>44180</c:v>
                </c:pt>
                <c:pt idx="1529">
                  <c:v>44181</c:v>
                </c:pt>
                <c:pt idx="1530">
                  <c:v>44182</c:v>
                </c:pt>
                <c:pt idx="1531">
                  <c:v>44183</c:v>
                </c:pt>
                <c:pt idx="1532">
                  <c:v>44186</c:v>
                </c:pt>
                <c:pt idx="1533">
                  <c:v>44187</c:v>
                </c:pt>
                <c:pt idx="1534">
                  <c:v>44188</c:v>
                </c:pt>
                <c:pt idx="1535">
                  <c:v>44189</c:v>
                </c:pt>
                <c:pt idx="1536">
                  <c:v>44193</c:v>
                </c:pt>
                <c:pt idx="1537">
                  <c:v>44194</c:v>
                </c:pt>
                <c:pt idx="1538">
                  <c:v>44195</c:v>
                </c:pt>
                <c:pt idx="1539">
                  <c:v>44196</c:v>
                </c:pt>
                <c:pt idx="1540">
                  <c:v>44200</c:v>
                </c:pt>
                <c:pt idx="1541">
                  <c:v>44201</c:v>
                </c:pt>
                <c:pt idx="1542">
                  <c:v>44202</c:v>
                </c:pt>
                <c:pt idx="1543">
                  <c:v>44203</c:v>
                </c:pt>
                <c:pt idx="1544">
                  <c:v>44204</c:v>
                </c:pt>
                <c:pt idx="1545">
                  <c:v>44207</c:v>
                </c:pt>
                <c:pt idx="1546">
                  <c:v>44208</c:v>
                </c:pt>
                <c:pt idx="1547">
                  <c:v>44209</c:v>
                </c:pt>
                <c:pt idx="1548">
                  <c:v>44210</c:v>
                </c:pt>
                <c:pt idx="1549">
                  <c:v>44211</c:v>
                </c:pt>
                <c:pt idx="1550">
                  <c:v>44214</c:v>
                </c:pt>
                <c:pt idx="1551">
                  <c:v>44215</c:v>
                </c:pt>
                <c:pt idx="1552">
                  <c:v>44216</c:v>
                </c:pt>
                <c:pt idx="1553">
                  <c:v>44217</c:v>
                </c:pt>
                <c:pt idx="1554">
                  <c:v>44218</c:v>
                </c:pt>
                <c:pt idx="1555">
                  <c:v>44221</c:v>
                </c:pt>
                <c:pt idx="1556">
                  <c:v>44222</c:v>
                </c:pt>
                <c:pt idx="1557">
                  <c:v>44223</c:v>
                </c:pt>
                <c:pt idx="1558">
                  <c:v>44224</c:v>
                </c:pt>
                <c:pt idx="1559">
                  <c:v>44225</c:v>
                </c:pt>
                <c:pt idx="1560">
                  <c:v>44228</c:v>
                </c:pt>
                <c:pt idx="1561">
                  <c:v>44229</c:v>
                </c:pt>
                <c:pt idx="1562">
                  <c:v>44230</c:v>
                </c:pt>
                <c:pt idx="1563">
                  <c:v>44231</c:v>
                </c:pt>
                <c:pt idx="1564">
                  <c:v>44232</c:v>
                </c:pt>
                <c:pt idx="1565">
                  <c:v>44235</c:v>
                </c:pt>
                <c:pt idx="1566">
                  <c:v>44236</c:v>
                </c:pt>
                <c:pt idx="1567">
                  <c:v>44237</c:v>
                </c:pt>
                <c:pt idx="1568">
                  <c:v>44238</c:v>
                </c:pt>
                <c:pt idx="1569">
                  <c:v>44239</c:v>
                </c:pt>
                <c:pt idx="1570">
                  <c:v>44242</c:v>
                </c:pt>
                <c:pt idx="1571">
                  <c:v>44243</c:v>
                </c:pt>
                <c:pt idx="1572">
                  <c:v>44244</c:v>
                </c:pt>
                <c:pt idx="1573">
                  <c:v>44245</c:v>
                </c:pt>
                <c:pt idx="1574">
                  <c:v>44246</c:v>
                </c:pt>
                <c:pt idx="1575">
                  <c:v>44249</c:v>
                </c:pt>
                <c:pt idx="1576">
                  <c:v>44250</c:v>
                </c:pt>
                <c:pt idx="1577">
                  <c:v>44251</c:v>
                </c:pt>
                <c:pt idx="1578">
                  <c:v>44252</c:v>
                </c:pt>
                <c:pt idx="1579">
                  <c:v>44253</c:v>
                </c:pt>
                <c:pt idx="1580">
                  <c:v>44256</c:v>
                </c:pt>
                <c:pt idx="1581">
                  <c:v>44257</c:v>
                </c:pt>
                <c:pt idx="1582">
                  <c:v>44258</c:v>
                </c:pt>
                <c:pt idx="1583">
                  <c:v>44259</c:v>
                </c:pt>
                <c:pt idx="1584">
                  <c:v>44260</c:v>
                </c:pt>
                <c:pt idx="1585">
                  <c:v>44263</c:v>
                </c:pt>
                <c:pt idx="1586">
                  <c:v>44264</c:v>
                </c:pt>
                <c:pt idx="1587">
                  <c:v>44265</c:v>
                </c:pt>
                <c:pt idx="1588">
                  <c:v>44266</c:v>
                </c:pt>
                <c:pt idx="1589">
                  <c:v>44267</c:v>
                </c:pt>
                <c:pt idx="1590">
                  <c:v>44270</c:v>
                </c:pt>
                <c:pt idx="1591">
                  <c:v>44271</c:v>
                </c:pt>
                <c:pt idx="1592">
                  <c:v>44272</c:v>
                </c:pt>
                <c:pt idx="1593">
                  <c:v>44273</c:v>
                </c:pt>
                <c:pt idx="1594">
                  <c:v>44274</c:v>
                </c:pt>
                <c:pt idx="1595">
                  <c:v>44277</c:v>
                </c:pt>
                <c:pt idx="1596">
                  <c:v>44278</c:v>
                </c:pt>
                <c:pt idx="1597">
                  <c:v>44279</c:v>
                </c:pt>
                <c:pt idx="1598">
                  <c:v>44280</c:v>
                </c:pt>
                <c:pt idx="1599">
                  <c:v>44281</c:v>
                </c:pt>
                <c:pt idx="1600">
                  <c:v>44284</c:v>
                </c:pt>
                <c:pt idx="1601">
                  <c:v>44285</c:v>
                </c:pt>
                <c:pt idx="1602">
                  <c:v>44286</c:v>
                </c:pt>
                <c:pt idx="1603">
                  <c:v>44287</c:v>
                </c:pt>
                <c:pt idx="1604">
                  <c:v>44292</c:v>
                </c:pt>
                <c:pt idx="1605">
                  <c:v>44293</c:v>
                </c:pt>
                <c:pt idx="1606">
                  <c:v>44294</c:v>
                </c:pt>
                <c:pt idx="1607">
                  <c:v>44295</c:v>
                </c:pt>
                <c:pt idx="1608">
                  <c:v>44298</c:v>
                </c:pt>
                <c:pt idx="1609">
                  <c:v>44299</c:v>
                </c:pt>
                <c:pt idx="1610">
                  <c:v>44300</c:v>
                </c:pt>
                <c:pt idx="1611">
                  <c:v>44301</c:v>
                </c:pt>
                <c:pt idx="1612">
                  <c:v>44302</c:v>
                </c:pt>
              </c:numCache>
            </c:numRef>
          </c:cat>
          <c:val>
            <c:numRef>
              <c:f>'M1'!$T$7:$T$2132</c:f>
              <c:numCache>
                <c:formatCode>0.00</c:formatCode>
                <c:ptCount val="21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15.302503378530171</c:v>
                </c:pt>
                <c:pt idx="251">
                  <c:v>15.967631899354021</c:v>
                </c:pt>
                <c:pt idx="252">
                  <c:v>15.81238464449703</c:v>
                </c:pt>
                <c:pt idx="253">
                  <c:v>15.354908427069311</c:v>
                </c:pt>
                <c:pt idx="254">
                  <c:v>15.520242350518544</c:v>
                </c:pt>
                <c:pt idx="255">
                  <c:v>15.449389709157</c:v>
                </c:pt>
                <c:pt idx="256">
                  <c:v>15.677613261100358</c:v>
                </c:pt>
                <c:pt idx="257">
                  <c:v>17.258182574164024</c:v>
                </c:pt>
                <c:pt idx="258">
                  <c:v>17.182252909682777</c:v>
                </c:pt>
                <c:pt idx="259">
                  <c:v>16.717202942012662</c:v>
                </c:pt>
                <c:pt idx="260">
                  <c:v>16.113542540377264</c:v>
                </c:pt>
                <c:pt idx="261">
                  <c:v>15.851696995608027</c:v>
                </c:pt>
                <c:pt idx="262">
                  <c:v>15.45477778253359</c:v>
                </c:pt>
                <c:pt idx="263">
                  <c:v>15.217275392994486</c:v>
                </c:pt>
                <c:pt idx="264">
                  <c:v>14.908801212992032</c:v>
                </c:pt>
                <c:pt idx="265">
                  <c:v>14.953988100743757</c:v>
                </c:pt>
                <c:pt idx="266">
                  <c:v>14.424818949876435</c:v>
                </c:pt>
                <c:pt idx="267">
                  <c:v>14.267992298959664</c:v>
                </c:pt>
                <c:pt idx="268">
                  <c:v>13.800508096375804</c:v>
                </c:pt>
                <c:pt idx="269">
                  <c:v>13.534369677413384</c:v>
                </c:pt>
                <c:pt idx="270">
                  <c:v>13.486063831631549</c:v>
                </c:pt>
                <c:pt idx="271">
                  <c:v>13.698157730043468</c:v>
                </c:pt>
                <c:pt idx="272">
                  <c:v>13.390563812772861</c:v>
                </c:pt>
                <c:pt idx="273">
                  <c:v>13.352047109795109</c:v>
                </c:pt>
                <c:pt idx="274">
                  <c:v>13.285089243923039</c:v>
                </c:pt>
                <c:pt idx="275">
                  <c:v>13.290085487713144</c:v>
                </c:pt>
                <c:pt idx="276">
                  <c:v>13.521929459958304</c:v>
                </c:pt>
                <c:pt idx="277">
                  <c:v>17.866451712231946</c:v>
                </c:pt>
                <c:pt idx="278">
                  <c:v>16.49110108465015</c:v>
                </c:pt>
                <c:pt idx="279">
                  <c:v>15.834020732608728</c:v>
                </c:pt>
                <c:pt idx="280">
                  <c:v>14.968737084535416</c:v>
                </c:pt>
                <c:pt idx="281">
                  <c:v>14.497131824468646</c:v>
                </c:pt>
                <c:pt idx="282">
                  <c:v>13.833791507529508</c:v>
                </c:pt>
                <c:pt idx="283">
                  <c:v>12.857507009938445</c:v>
                </c:pt>
                <c:pt idx="284">
                  <c:v>12.862901512487184</c:v>
                </c:pt>
                <c:pt idx="285">
                  <c:v>12.511292411821836</c:v>
                </c:pt>
                <c:pt idx="286">
                  <c:v>13.298723651382604</c:v>
                </c:pt>
                <c:pt idx="287">
                  <c:v>13.274391765152881</c:v>
                </c:pt>
                <c:pt idx="288">
                  <c:v>12.229848981599133</c:v>
                </c:pt>
                <c:pt idx="289">
                  <c:v>12.653913463383509</c:v>
                </c:pt>
                <c:pt idx="290">
                  <c:v>12.363069518828974</c:v>
                </c:pt>
                <c:pt idx="291">
                  <c:v>11.997243416032417</c:v>
                </c:pt>
                <c:pt idx="292">
                  <c:v>12.2276977572816</c:v>
                </c:pt>
                <c:pt idx="293">
                  <c:v>12.069758076129336</c:v>
                </c:pt>
                <c:pt idx="294">
                  <c:v>12.147649224163919</c:v>
                </c:pt>
                <c:pt idx="295">
                  <c:v>12.22845214412469</c:v>
                </c:pt>
                <c:pt idx="296">
                  <c:v>12.298504268917704</c:v>
                </c:pt>
                <c:pt idx="297">
                  <c:v>12.333716347315724</c:v>
                </c:pt>
                <c:pt idx="298">
                  <c:v>15.851552351056107</c:v>
                </c:pt>
                <c:pt idx="299">
                  <c:v>14.755478331737596</c:v>
                </c:pt>
                <c:pt idx="300">
                  <c:v>14.124253460500267</c:v>
                </c:pt>
                <c:pt idx="301">
                  <c:v>13.909826507195888</c:v>
                </c:pt>
                <c:pt idx="302">
                  <c:v>13.951682578504515</c:v>
                </c:pt>
                <c:pt idx="303">
                  <c:v>13.463735120918646</c:v>
                </c:pt>
                <c:pt idx="304">
                  <c:v>13.573318374340122</c:v>
                </c:pt>
                <c:pt idx="305">
                  <c:v>13.004974228073355</c:v>
                </c:pt>
                <c:pt idx="306">
                  <c:v>12.992418664097471</c:v>
                </c:pt>
                <c:pt idx="307">
                  <c:v>12.750479146725866</c:v>
                </c:pt>
                <c:pt idx="308">
                  <c:v>12.502203259202794</c:v>
                </c:pt>
                <c:pt idx="309">
                  <c:v>12.550671609036161</c:v>
                </c:pt>
                <c:pt idx="310">
                  <c:v>12.580707308528993</c:v>
                </c:pt>
                <c:pt idx="311">
                  <c:v>12.432398387655574</c:v>
                </c:pt>
                <c:pt idx="312">
                  <c:v>12.26330728544448</c:v>
                </c:pt>
                <c:pt idx="313">
                  <c:v>11.993674710894997</c:v>
                </c:pt>
                <c:pt idx="314">
                  <c:v>11.92991591269749</c:v>
                </c:pt>
                <c:pt idx="315">
                  <c:v>11.939546223414105</c:v>
                </c:pt>
                <c:pt idx="316">
                  <c:v>11.535009029508215</c:v>
                </c:pt>
                <c:pt idx="317">
                  <c:v>11.575591309678741</c:v>
                </c:pt>
                <c:pt idx="318">
                  <c:v>11.572192457336882</c:v>
                </c:pt>
                <c:pt idx="319">
                  <c:v>14.87395751151556</c:v>
                </c:pt>
                <c:pt idx="320">
                  <c:v>13.199993291478641</c:v>
                </c:pt>
                <c:pt idx="321">
                  <c:v>12.58549508179088</c:v>
                </c:pt>
                <c:pt idx="322">
                  <c:v>12.571068291725934</c:v>
                </c:pt>
                <c:pt idx="323">
                  <c:v>12.268196941511947</c:v>
                </c:pt>
                <c:pt idx="324">
                  <c:v>12.603668953418872</c:v>
                </c:pt>
                <c:pt idx="325">
                  <c:v>12.620699877065757</c:v>
                </c:pt>
                <c:pt idx="326">
                  <c:v>12.854177579963764</c:v>
                </c:pt>
                <c:pt idx="327">
                  <c:v>12.715258194757316</c:v>
                </c:pt>
                <c:pt idx="328">
                  <c:v>12.518222323922448</c:v>
                </c:pt>
                <c:pt idx="329">
                  <c:v>12.211068014083192</c:v>
                </c:pt>
                <c:pt idx="330">
                  <c:v>11.800802781541737</c:v>
                </c:pt>
                <c:pt idx="331">
                  <c:v>11.885671577869823</c:v>
                </c:pt>
                <c:pt idx="332">
                  <c:v>12.132354138958018</c:v>
                </c:pt>
                <c:pt idx="333">
                  <c:v>11.820967570724532</c:v>
                </c:pt>
                <c:pt idx="334">
                  <c:v>12.009486957690802</c:v>
                </c:pt>
                <c:pt idx="335">
                  <c:v>12.025875558427371</c:v>
                </c:pt>
                <c:pt idx="336">
                  <c:v>12.225402375340371</c:v>
                </c:pt>
                <c:pt idx="337">
                  <c:v>12.536310669493563</c:v>
                </c:pt>
                <c:pt idx="338">
                  <c:v>12.766300044562183</c:v>
                </c:pt>
                <c:pt idx="339">
                  <c:v>12.613771662357006</c:v>
                </c:pt>
                <c:pt idx="340">
                  <c:v>14.200076632437288</c:v>
                </c:pt>
                <c:pt idx="341">
                  <c:v>13.555898996537438</c:v>
                </c:pt>
                <c:pt idx="342">
                  <c:v>13.163645365158727</c:v>
                </c:pt>
                <c:pt idx="343">
                  <c:v>13.15758032364929</c:v>
                </c:pt>
                <c:pt idx="344">
                  <c:v>13.097359625976795</c:v>
                </c:pt>
                <c:pt idx="345">
                  <c:v>12.76029143974193</c:v>
                </c:pt>
                <c:pt idx="346">
                  <c:v>13.087453606922297</c:v>
                </c:pt>
                <c:pt idx="347">
                  <c:v>13.328254082384237</c:v>
                </c:pt>
                <c:pt idx="348">
                  <c:v>13.437101075078418</c:v>
                </c:pt>
                <c:pt idx="349">
                  <c:v>13.431666690189777</c:v>
                </c:pt>
                <c:pt idx="350">
                  <c:v>13.571765580673421</c:v>
                </c:pt>
                <c:pt idx="351">
                  <c:v>13.568854999492439</c:v>
                </c:pt>
                <c:pt idx="352">
                  <c:v>13.659509183270725</c:v>
                </c:pt>
                <c:pt idx="353">
                  <c:v>13.506259103804325</c:v>
                </c:pt>
                <c:pt idx="354">
                  <c:v>13.359980935137482</c:v>
                </c:pt>
                <c:pt idx="355">
                  <c:v>13.2844368265014</c:v>
                </c:pt>
                <c:pt idx="356">
                  <c:v>13.399742894070242</c:v>
                </c:pt>
                <c:pt idx="357">
                  <c:v>13.508586692433097</c:v>
                </c:pt>
                <c:pt idx="358">
                  <c:v>13.451828231930842</c:v>
                </c:pt>
                <c:pt idx="359">
                  <c:v>13.531641479633045</c:v>
                </c:pt>
                <c:pt idx="360">
                  <c:v>13.745013426999636</c:v>
                </c:pt>
                <c:pt idx="361">
                  <c:v>13.823203856217917</c:v>
                </c:pt>
                <c:pt idx="362">
                  <c:v>16.097497754027216</c:v>
                </c:pt>
                <c:pt idx="363">
                  <c:v>15.830675769301019</c:v>
                </c:pt>
                <c:pt idx="364">
                  <c:v>15.251636230292117</c:v>
                </c:pt>
                <c:pt idx="365">
                  <c:v>15.312013843269083</c:v>
                </c:pt>
                <c:pt idx="366">
                  <c:v>15.317467677145965</c:v>
                </c:pt>
                <c:pt idx="367">
                  <c:v>15.319911747514803</c:v>
                </c:pt>
                <c:pt idx="368">
                  <c:v>15.2131845843088</c:v>
                </c:pt>
                <c:pt idx="369">
                  <c:v>14.94767245583173</c:v>
                </c:pt>
                <c:pt idx="370">
                  <c:v>14.753398884153672</c:v>
                </c:pt>
                <c:pt idx="371">
                  <c:v>14.683104765805089</c:v>
                </c:pt>
                <c:pt idx="372">
                  <c:v>14.385119804216234</c:v>
                </c:pt>
                <c:pt idx="373">
                  <c:v>14.31600048897878</c:v>
                </c:pt>
                <c:pt idx="374">
                  <c:v>14.507395264468748</c:v>
                </c:pt>
                <c:pt idx="375">
                  <c:v>14.681708107050937</c:v>
                </c:pt>
                <c:pt idx="376">
                  <c:v>14.800642351542351</c:v>
                </c:pt>
                <c:pt idx="377">
                  <c:v>14.610881482622421</c:v>
                </c:pt>
                <c:pt idx="378">
                  <c:v>14.68699051413344</c:v>
                </c:pt>
                <c:pt idx="379">
                  <c:v>14.757447532961113</c:v>
                </c:pt>
                <c:pt idx="380">
                  <c:v>14.704338561058066</c:v>
                </c:pt>
                <c:pt idx="381">
                  <c:v>14.860017083151837</c:v>
                </c:pt>
                <c:pt idx="382">
                  <c:v>15.011290758311691</c:v>
                </c:pt>
                <c:pt idx="383">
                  <c:v>14.937553063623374</c:v>
                </c:pt>
                <c:pt idx="384">
                  <c:v>18.045155445407012</c:v>
                </c:pt>
                <c:pt idx="385">
                  <c:v>16.749645600951666</c:v>
                </c:pt>
                <c:pt idx="386">
                  <c:v>15.865806795865804</c:v>
                </c:pt>
                <c:pt idx="387">
                  <c:v>15.594521366409412</c:v>
                </c:pt>
                <c:pt idx="388">
                  <c:v>14.959213890380539</c:v>
                </c:pt>
                <c:pt idx="389">
                  <c:v>14.982734162563595</c:v>
                </c:pt>
                <c:pt idx="390">
                  <c:v>14.785761323448881</c:v>
                </c:pt>
                <c:pt idx="391">
                  <c:v>15.092431539276483</c:v>
                </c:pt>
                <c:pt idx="392">
                  <c:v>14.550145712500138</c:v>
                </c:pt>
                <c:pt idx="393">
                  <c:v>14.686052982924778</c:v>
                </c:pt>
                <c:pt idx="394">
                  <c:v>14.789930598353649</c:v>
                </c:pt>
                <c:pt idx="395">
                  <c:v>15.065724696456297</c:v>
                </c:pt>
                <c:pt idx="396">
                  <c:v>15.100206111426562</c:v>
                </c:pt>
                <c:pt idx="397">
                  <c:v>15.139568487983013</c:v>
                </c:pt>
                <c:pt idx="398">
                  <c:v>14.900019776614489</c:v>
                </c:pt>
                <c:pt idx="399">
                  <c:v>14.720330047462578</c:v>
                </c:pt>
                <c:pt idx="400">
                  <c:v>14.636006540089769</c:v>
                </c:pt>
                <c:pt idx="401">
                  <c:v>14.678884164514109</c:v>
                </c:pt>
                <c:pt idx="402">
                  <c:v>14.381152511317868</c:v>
                </c:pt>
                <c:pt idx="403">
                  <c:v>14.25545579414714</c:v>
                </c:pt>
                <c:pt idx="404">
                  <c:v>14.072994616554809</c:v>
                </c:pt>
                <c:pt idx="405">
                  <c:v>18.228762806639114</c:v>
                </c:pt>
                <c:pt idx="406">
                  <c:v>16.107761058367998</c:v>
                </c:pt>
                <c:pt idx="407">
                  <c:v>15.651293925404696</c:v>
                </c:pt>
                <c:pt idx="408">
                  <c:v>15.513871999423081</c:v>
                </c:pt>
                <c:pt idx="409">
                  <c:v>15.304654528065443</c:v>
                </c:pt>
                <c:pt idx="410">
                  <c:v>15.122647746058421</c:v>
                </c:pt>
                <c:pt idx="411">
                  <c:v>14.690868144907778</c:v>
                </c:pt>
                <c:pt idx="412">
                  <c:v>14.259339012244055</c:v>
                </c:pt>
                <c:pt idx="413">
                  <c:v>14.473280131431322</c:v>
                </c:pt>
                <c:pt idx="414">
                  <c:v>14.396799057164667</c:v>
                </c:pt>
                <c:pt idx="415">
                  <c:v>14.44255359507653</c:v>
                </c:pt>
                <c:pt idx="416">
                  <c:v>13.698823556275634</c:v>
                </c:pt>
                <c:pt idx="417">
                  <c:v>13.683973332552457</c:v>
                </c:pt>
                <c:pt idx="418">
                  <c:v>13.621398988732237</c:v>
                </c:pt>
                <c:pt idx="419">
                  <c:v>13.556825919386167</c:v>
                </c:pt>
                <c:pt idx="420">
                  <c:v>12.816320182290973</c:v>
                </c:pt>
                <c:pt idx="421">
                  <c:v>12.67497322504336</c:v>
                </c:pt>
                <c:pt idx="422">
                  <c:v>12.526855852226282</c:v>
                </c:pt>
                <c:pt idx="423">
                  <c:v>12.538760695749943</c:v>
                </c:pt>
                <c:pt idx="424">
                  <c:v>12.558572699017917</c:v>
                </c:pt>
                <c:pt idx="425">
                  <c:v>12.455745604261725</c:v>
                </c:pt>
                <c:pt idx="426">
                  <c:v>12.414233740692953</c:v>
                </c:pt>
                <c:pt idx="427">
                  <c:v>12.193112342182987</c:v>
                </c:pt>
                <c:pt idx="428">
                  <c:v>18.959605945695955</c:v>
                </c:pt>
                <c:pt idx="429">
                  <c:v>16.274740104669551</c:v>
                </c:pt>
                <c:pt idx="430">
                  <c:v>15.315032132303948</c:v>
                </c:pt>
                <c:pt idx="431">
                  <c:v>14.481007191122103</c:v>
                </c:pt>
                <c:pt idx="432">
                  <c:v>14.288543184142288</c:v>
                </c:pt>
                <c:pt idx="433">
                  <c:v>14.401051636987184</c:v>
                </c:pt>
                <c:pt idx="434">
                  <c:v>13.718396795330014</c:v>
                </c:pt>
                <c:pt idx="435">
                  <c:v>13.477357443838057</c:v>
                </c:pt>
                <c:pt idx="436">
                  <c:v>13.098316588388922</c:v>
                </c:pt>
                <c:pt idx="437">
                  <c:v>12.65441855092282</c:v>
                </c:pt>
                <c:pt idx="438">
                  <c:v>12.662429677020793</c:v>
                </c:pt>
                <c:pt idx="439">
                  <c:v>12.843395310974831</c:v>
                </c:pt>
                <c:pt idx="440">
                  <c:v>12.77316981657461</c:v>
                </c:pt>
                <c:pt idx="441">
                  <c:v>12.738198482775495</c:v>
                </c:pt>
                <c:pt idx="442">
                  <c:v>12.680585392782657</c:v>
                </c:pt>
                <c:pt idx="443">
                  <c:v>12.726185452013457</c:v>
                </c:pt>
                <c:pt idx="444">
                  <c:v>12.668577446096766</c:v>
                </c:pt>
                <c:pt idx="445">
                  <c:v>12.901018364292192</c:v>
                </c:pt>
                <c:pt idx="446">
                  <c:v>12.85985772904152</c:v>
                </c:pt>
                <c:pt idx="447">
                  <c:v>13.208460235521809</c:v>
                </c:pt>
                <c:pt idx="448">
                  <c:v>13.312915267772427</c:v>
                </c:pt>
                <c:pt idx="449">
                  <c:v>13.375788115157606</c:v>
                </c:pt>
                <c:pt idx="450">
                  <c:v>20.197429588379439</c:v>
                </c:pt>
                <c:pt idx="451">
                  <c:v>17.537015883816359</c:v>
                </c:pt>
                <c:pt idx="452">
                  <c:v>17.049551233174068</c:v>
                </c:pt>
                <c:pt idx="453">
                  <c:v>16.930719859405464</c:v>
                </c:pt>
                <c:pt idx="454">
                  <c:v>16.683936446344717</c:v>
                </c:pt>
                <c:pt idx="455">
                  <c:v>16.793390235238107</c:v>
                </c:pt>
                <c:pt idx="456">
                  <c:v>16.655337645920717</c:v>
                </c:pt>
                <c:pt idx="457">
                  <c:v>16.460165439468703</c:v>
                </c:pt>
                <c:pt idx="458">
                  <c:v>16.279377052520147</c:v>
                </c:pt>
                <c:pt idx="459">
                  <c:v>16.31911903409393</c:v>
                </c:pt>
                <c:pt idx="460">
                  <c:v>17.174749267928416</c:v>
                </c:pt>
                <c:pt idx="461">
                  <c:v>17.202533303619283</c:v>
                </c:pt>
                <c:pt idx="462">
                  <c:v>17.290210018542957</c:v>
                </c:pt>
                <c:pt idx="463">
                  <c:v>17.19674460348822</c:v>
                </c:pt>
                <c:pt idx="464">
                  <c:v>17.533367144955918</c:v>
                </c:pt>
                <c:pt idx="465">
                  <c:v>17.342336116151316</c:v>
                </c:pt>
                <c:pt idx="466">
                  <c:v>17.272513506153441</c:v>
                </c:pt>
                <c:pt idx="467">
                  <c:v>17.225885708057746</c:v>
                </c:pt>
                <c:pt idx="468">
                  <c:v>17.348282907375975</c:v>
                </c:pt>
                <c:pt idx="469">
                  <c:v>17.28335540581535</c:v>
                </c:pt>
                <c:pt idx="470">
                  <c:v>18.093730164144063</c:v>
                </c:pt>
                <c:pt idx="471">
                  <c:v>20.601265538184656</c:v>
                </c:pt>
                <c:pt idx="472">
                  <c:v>18.843507094471974</c:v>
                </c:pt>
                <c:pt idx="473">
                  <c:v>18.898219470256574</c:v>
                </c:pt>
                <c:pt idx="474">
                  <c:v>18.999994414551853</c:v>
                </c:pt>
                <c:pt idx="475">
                  <c:v>19.191434983925234</c:v>
                </c:pt>
                <c:pt idx="476">
                  <c:v>18.935639936488712</c:v>
                </c:pt>
                <c:pt idx="477">
                  <c:v>18.917704770604686</c:v>
                </c:pt>
                <c:pt idx="478">
                  <c:v>18.707145733285579</c:v>
                </c:pt>
                <c:pt idx="479">
                  <c:v>18.564591848296377</c:v>
                </c:pt>
                <c:pt idx="480">
                  <c:v>18.439868060709031</c:v>
                </c:pt>
                <c:pt idx="481">
                  <c:v>18.707733731085654</c:v>
                </c:pt>
                <c:pt idx="482">
                  <c:v>18.940705708991239</c:v>
                </c:pt>
                <c:pt idx="483">
                  <c:v>18.748080865799317</c:v>
                </c:pt>
                <c:pt idx="484">
                  <c:v>18.56182982694305</c:v>
                </c:pt>
                <c:pt idx="485">
                  <c:v>18.423300213330453</c:v>
                </c:pt>
                <c:pt idx="486">
                  <c:v>18.333564084390083</c:v>
                </c:pt>
                <c:pt idx="487">
                  <c:v>18.192753860951075</c:v>
                </c:pt>
                <c:pt idx="488">
                  <c:v>18.398291250742897</c:v>
                </c:pt>
                <c:pt idx="489">
                  <c:v>18.12402004268716</c:v>
                </c:pt>
                <c:pt idx="490">
                  <c:v>17.500177332176058</c:v>
                </c:pt>
                <c:pt idx="491">
                  <c:v>17.133921563708306</c:v>
                </c:pt>
                <c:pt idx="492">
                  <c:v>17.798204808114658</c:v>
                </c:pt>
                <c:pt idx="493">
                  <c:v>20.623833291850548</c:v>
                </c:pt>
                <c:pt idx="494">
                  <c:v>19.496454664154879</c:v>
                </c:pt>
                <c:pt idx="495">
                  <c:v>18.867605008119412</c:v>
                </c:pt>
                <c:pt idx="496">
                  <c:v>18.398980233338655</c:v>
                </c:pt>
                <c:pt idx="497">
                  <c:v>17.942042204321254</c:v>
                </c:pt>
                <c:pt idx="498">
                  <c:v>18.2519373809263</c:v>
                </c:pt>
                <c:pt idx="499">
                  <c:v>18.193791567145539</c:v>
                </c:pt>
                <c:pt idx="500">
                  <c:v>18.059953308355549</c:v>
                </c:pt>
                <c:pt idx="501">
                  <c:v>17.874332200866853</c:v>
                </c:pt>
                <c:pt idx="502">
                  <c:v>17.889835864272396</c:v>
                </c:pt>
                <c:pt idx="503">
                  <c:v>18.046121098364537</c:v>
                </c:pt>
                <c:pt idx="504">
                  <c:v>19.182003924030841</c:v>
                </c:pt>
                <c:pt idx="505">
                  <c:v>18.747022300924126</c:v>
                </c:pt>
                <c:pt idx="506">
                  <c:v>18.527543787436777</c:v>
                </c:pt>
                <c:pt idx="507">
                  <c:v>18.138107055091513</c:v>
                </c:pt>
                <c:pt idx="508">
                  <c:v>18.045569067761445</c:v>
                </c:pt>
                <c:pt idx="509">
                  <c:v>18.030074615345868</c:v>
                </c:pt>
                <c:pt idx="510">
                  <c:v>18.066729338757117</c:v>
                </c:pt>
                <c:pt idx="511">
                  <c:v>18.165662501045922</c:v>
                </c:pt>
                <c:pt idx="512">
                  <c:v>18.019666302133615</c:v>
                </c:pt>
                <c:pt idx="513">
                  <c:v>18.058158680603213</c:v>
                </c:pt>
                <c:pt idx="514">
                  <c:v>20.823286196786356</c:v>
                </c:pt>
                <c:pt idx="515">
                  <c:v>20.834906082077687</c:v>
                </c:pt>
                <c:pt idx="516">
                  <c:v>20.461098220016339</c:v>
                </c:pt>
                <c:pt idx="517">
                  <c:v>20.192802378224698</c:v>
                </c:pt>
                <c:pt idx="518">
                  <c:v>20.127386566311873</c:v>
                </c:pt>
                <c:pt idx="519">
                  <c:v>19.813127671344144</c:v>
                </c:pt>
                <c:pt idx="520">
                  <c:v>19.922455816044124</c:v>
                </c:pt>
                <c:pt idx="521">
                  <c:v>19.95648070964706</c:v>
                </c:pt>
                <c:pt idx="522">
                  <c:v>19.871993973976082</c:v>
                </c:pt>
                <c:pt idx="523">
                  <c:v>19.796240709458267</c:v>
                </c:pt>
                <c:pt idx="524">
                  <c:v>19.785625536573441</c:v>
                </c:pt>
                <c:pt idx="525">
                  <c:v>18.986380289199914</c:v>
                </c:pt>
                <c:pt idx="526">
                  <c:v>18.895962782663577</c:v>
                </c:pt>
                <c:pt idx="527">
                  <c:v>18.711108628821226</c:v>
                </c:pt>
                <c:pt idx="528">
                  <c:v>18.863584292818615</c:v>
                </c:pt>
                <c:pt idx="529">
                  <c:v>18.871763675518466</c:v>
                </c:pt>
                <c:pt idx="530">
                  <c:v>19.073332318562798</c:v>
                </c:pt>
                <c:pt idx="531">
                  <c:v>19.185887116056183</c:v>
                </c:pt>
                <c:pt idx="532">
                  <c:v>19.335089139717589</c:v>
                </c:pt>
                <c:pt idx="533">
                  <c:v>19.337314332394531</c:v>
                </c:pt>
                <c:pt idx="534">
                  <c:v>19.362960050118232</c:v>
                </c:pt>
                <c:pt idx="535">
                  <c:v>19.4082397442216</c:v>
                </c:pt>
                <c:pt idx="536">
                  <c:v>19.494238798836108</c:v>
                </c:pt>
                <c:pt idx="537">
                  <c:v>19.742114725137359</c:v>
                </c:pt>
                <c:pt idx="538">
                  <c:v>19.892098591289454</c:v>
                </c:pt>
                <c:pt idx="539">
                  <c:v>19.878978176129586</c:v>
                </c:pt>
                <c:pt idx="540">
                  <c:v>20.208959197993138</c:v>
                </c:pt>
                <c:pt idx="541">
                  <c:v>20.246085792578818</c:v>
                </c:pt>
                <c:pt idx="542">
                  <c:v>20.4414677891974</c:v>
                </c:pt>
                <c:pt idx="543">
                  <c:v>20.491682232394496</c:v>
                </c:pt>
                <c:pt idx="544">
                  <c:v>20.451614688585941</c:v>
                </c:pt>
                <c:pt idx="545">
                  <c:v>20.281721354318574</c:v>
                </c:pt>
                <c:pt idx="546">
                  <c:v>20.320007190857158</c:v>
                </c:pt>
                <c:pt idx="547">
                  <c:v>19.456583284264685</c:v>
                </c:pt>
                <c:pt idx="548">
                  <c:v>19.601739674646847</c:v>
                </c:pt>
                <c:pt idx="549">
                  <c:v>19.515802562875525</c:v>
                </c:pt>
                <c:pt idx="550">
                  <c:v>19.542613345192414</c:v>
                </c:pt>
                <c:pt idx="551">
                  <c:v>19.327608833683733</c:v>
                </c:pt>
                <c:pt idx="552">
                  <c:v>19.174987215487246</c:v>
                </c:pt>
                <c:pt idx="553">
                  <c:v>19.125158415175029</c:v>
                </c:pt>
                <c:pt idx="554">
                  <c:v>18.996788322566054</c:v>
                </c:pt>
                <c:pt idx="555">
                  <c:v>18.857830504970572</c:v>
                </c:pt>
                <c:pt idx="556">
                  <c:v>18.338536698855307</c:v>
                </c:pt>
                <c:pt idx="557">
                  <c:v>18.307798071434433</c:v>
                </c:pt>
                <c:pt idx="558">
                  <c:v>17.892261179529299</c:v>
                </c:pt>
                <c:pt idx="559">
                  <c:v>17.84412085193194</c:v>
                </c:pt>
                <c:pt idx="560">
                  <c:v>17.651404179194767</c:v>
                </c:pt>
                <c:pt idx="561">
                  <c:v>17.433930802191465</c:v>
                </c:pt>
                <c:pt idx="562">
                  <c:v>17.141952979385906</c:v>
                </c:pt>
                <c:pt idx="563">
                  <c:v>16.876401383257019</c:v>
                </c:pt>
                <c:pt idx="564">
                  <c:v>16.84383010310917</c:v>
                </c:pt>
                <c:pt idx="565">
                  <c:v>16.688353879120584</c:v>
                </c:pt>
                <c:pt idx="566">
                  <c:v>16.347309839610311</c:v>
                </c:pt>
                <c:pt idx="567">
                  <c:v>15.727284204303555</c:v>
                </c:pt>
                <c:pt idx="568">
                  <c:v>15.674678807495589</c:v>
                </c:pt>
                <c:pt idx="569">
                  <c:v>15.560747751008694</c:v>
                </c:pt>
                <c:pt idx="570">
                  <c:v>15.457822515221114</c:v>
                </c:pt>
                <c:pt idx="571">
                  <c:v>15.471203529900468</c:v>
                </c:pt>
                <c:pt idx="572">
                  <c:v>15.521348143103506</c:v>
                </c:pt>
                <c:pt idx="573">
                  <c:v>15.501993719676328</c:v>
                </c:pt>
                <c:pt idx="574">
                  <c:v>15.318516683496915</c:v>
                </c:pt>
                <c:pt idx="575">
                  <c:v>15.340535650832551</c:v>
                </c:pt>
                <c:pt idx="576">
                  <c:v>15.435650434204298</c:v>
                </c:pt>
                <c:pt idx="577">
                  <c:v>15.565342657117156</c:v>
                </c:pt>
                <c:pt idx="578">
                  <c:v>15.7315780152061</c:v>
                </c:pt>
                <c:pt idx="579">
                  <c:v>18.498933349473521</c:v>
                </c:pt>
                <c:pt idx="580">
                  <c:v>18.049284028449652</c:v>
                </c:pt>
                <c:pt idx="581">
                  <c:v>17.772070119523111</c:v>
                </c:pt>
                <c:pt idx="582">
                  <c:v>17.764042490891974</c:v>
                </c:pt>
                <c:pt idx="583">
                  <c:v>17.602720644139438</c:v>
                </c:pt>
                <c:pt idx="584">
                  <c:v>17.265052871052191</c:v>
                </c:pt>
                <c:pt idx="585">
                  <c:v>16.942418190668104</c:v>
                </c:pt>
                <c:pt idx="586">
                  <c:v>16.601378487432882</c:v>
                </c:pt>
                <c:pt idx="587">
                  <c:v>16.396583806198961</c:v>
                </c:pt>
                <c:pt idx="588">
                  <c:v>15.814321710312978</c:v>
                </c:pt>
                <c:pt idx="589">
                  <c:v>15.671702005435325</c:v>
                </c:pt>
                <c:pt idx="590">
                  <c:v>15.528318442741917</c:v>
                </c:pt>
                <c:pt idx="591">
                  <c:v>15.523623397682945</c:v>
                </c:pt>
                <c:pt idx="592">
                  <c:v>15.393114494978196</c:v>
                </c:pt>
                <c:pt idx="593">
                  <c:v>15.31936088496864</c:v>
                </c:pt>
                <c:pt idx="594">
                  <c:v>15.415154156418536</c:v>
                </c:pt>
                <c:pt idx="595">
                  <c:v>15.591958562327424</c:v>
                </c:pt>
                <c:pt idx="596">
                  <c:v>15.471414962085927</c:v>
                </c:pt>
                <c:pt idx="597">
                  <c:v>18.015725137342535</c:v>
                </c:pt>
                <c:pt idx="598">
                  <c:v>17.591806364824684</c:v>
                </c:pt>
                <c:pt idx="599">
                  <c:v>17.363678185118896</c:v>
                </c:pt>
                <c:pt idx="600">
                  <c:v>16.982847677543504</c:v>
                </c:pt>
                <c:pt idx="601">
                  <c:v>16.744246709708381</c:v>
                </c:pt>
                <c:pt idx="602">
                  <c:v>16.611582633028021</c:v>
                </c:pt>
                <c:pt idx="603">
                  <c:v>16.453830149410969</c:v>
                </c:pt>
                <c:pt idx="604">
                  <c:v>16.449886710753898</c:v>
                </c:pt>
                <c:pt idx="605">
                  <c:v>16.355296821833942</c:v>
                </c:pt>
                <c:pt idx="606">
                  <c:v>16.185499579560027</c:v>
                </c:pt>
                <c:pt idx="607">
                  <c:v>16.076143431324006</c:v>
                </c:pt>
                <c:pt idx="608">
                  <c:v>15.857975400517848</c:v>
                </c:pt>
                <c:pt idx="609">
                  <c:v>15.712786710092427</c:v>
                </c:pt>
                <c:pt idx="610">
                  <c:v>15.641057348675748</c:v>
                </c:pt>
                <c:pt idx="611">
                  <c:v>15.379417545459479</c:v>
                </c:pt>
                <c:pt idx="612">
                  <c:v>15.19786934653705</c:v>
                </c:pt>
                <c:pt idx="613">
                  <c:v>15.235380285298774</c:v>
                </c:pt>
                <c:pt idx="614">
                  <c:v>14.827386532436726</c:v>
                </c:pt>
                <c:pt idx="615">
                  <c:v>14.914526073312567</c:v>
                </c:pt>
                <c:pt idx="616">
                  <c:v>14.889613606827105</c:v>
                </c:pt>
                <c:pt idx="617">
                  <c:v>15.136491431239204</c:v>
                </c:pt>
                <c:pt idx="618">
                  <c:v>15.234101809598837</c:v>
                </c:pt>
                <c:pt idx="619">
                  <c:v>15.115339533535863</c:v>
                </c:pt>
                <c:pt idx="620">
                  <c:v>17.13656745924202</c:v>
                </c:pt>
                <c:pt idx="621">
                  <c:v>16.794521153630992</c:v>
                </c:pt>
                <c:pt idx="622">
                  <c:v>16.718657473434806</c:v>
                </c:pt>
                <c:pt idx="623">
                  <c:v>16.426876014739861</c:v>
                </c:pt>
                <c:pt idx="624">
                  <c:v>16.357461474551652</c:v>
                </c:pt>
                <c:pt idx="625">
                  <c:v>16.289168748688908</c:v>
                </c:pt>
                <c:pt idx="626">
                  <c:v>16.128744684778688</c:v>
                </c:pt>
                <c:pt idx="627">
                  <c:v>15.885452509355074</c:v>
                </c:pt>
                <c:pt idx="628">
                  <c:v>15.648284663302764</c:v>
                </c:pt>
                <c:pt idx="629">
                  <c:v>15.348779760683724</c:v>
                </c:pt>
                <c:pt idx="630">
                  <c:v>15.392862896145274</c:v>
                </c:pt>
                <c:pt idx="631">
                  <c:v>15.188484331194358</c:v>
                </c:pt>
                <c:pt idx="632">
                  <c:v>15.189780721542308</c:v>
                </c:pt>
                <c:pt idx="633">
                  <c:v>15.057998546968888</c:v>
                </c:pt>
                <c:pt idx="634">
                  <c:v>14.966681711144794</c:v>
                </c:pt>
                <c:pt idx="635">
                  <c:v>14.925342247585254</c:v>
                </c:pt>
                <c:pt idx="636">
                  <c:v>14.857598411944242</c:v>
                </c:pt>
                <c:pt idx="637">
                  <c:v>14.846480696561402</c:v>
                </c:pt>
                <c:pt idx="638">
                  <c:v>14.617108765162719</c:v>
                </c:pt>
                <c:pt idx="639">
                  <c:v>14.572697139436441</c:v>
                </c:pt>
                <c:pt idx="640">
                  <c:v>14.509074127435417</c:v>
                </c:pt>
                <c:pt idx="641">
                  <c:v>14.562464375978911</c:v>
                </c:pt>
                <c:pt idx="642">
                  <c:v>15.923853048336447</c:v>
                </c:pt>
                <c:pt idx="643">
                  <c:v>16.089077241196222</c:v>
                </c:pt>
                <c:pt idx="644">
                  <c:v>16.183121729020176</c:v>
                </c:pt>
                <c:pt idx="645">
                  <c:v>16.002770731281931</c:v>
                </c:pt>
                <c:pt idx="646">
                  <c:v>15.880663151035774</c:v>
                </c:pt>
                <c:pt idx="647">
                  <c:v>15.666337755244497</c:v>
                </c:pt>
                <c:pt idx="648">
                  <c:v>15.365036570146309</c:v>
                </c:pt>
                <c:pt idx="649">
                  <c:v>15.218147205983751</c:v>
                </c:pt>
                <c:pt idx="650">
                  <c:v>14.985271489051964</c:v>
                </c:pt>
                <c:pt idx="651">
                  <c:v>14.841198307698647</c:v>
                </c:pt>
                <c:pt idx="652">
                  <c:v>14.922283424972525</c:v>
                </c:pt>
                <c:pt idx="653">
                  <c:v>14.801841808663813</c:v>
                </c:pt>
                <c:pt idx="654">
                  <c:v>14.817561513265074</c:v>
                </c:pt>
                <c:pt idx="655">
                  <c:v>14.635715461098949</c:v>
                </c:pt>
                <c:pt idx="656">
                  <c:v>14.654599579200642</c:v>
                </c:pt>
                <c:pt idx="657">
                  <c:v>14.650853808687859</c:v>
                </c:pt>
                <c:pt idx="658">
                  <c:v>14.626333190229264</c:v>
                </c:pt>
                <c:pt idx="659">
                  <c:v>14.560204279741269</c:v>
                </c:pt>
                <c:pt idx="660">
                  <c:v>14.777222324941587</c:v>
                </c:pt>
                <c:pt idx="661">
                  <c:v>14.70014073234926</c:v>
                </c:pt>
                <c:pt idx="662">
                  <c:v>14.843408471597293</c:v>
                </c:pt>
                <c:pt idx="663">
                  <c:v>13.318093418410179</c:v>
                </c:pt>
                <c:pt idx="664">
                  <c:v>13.465603441229989</c:v>
                </c:pt>
                <c:pt idx="665">
                  <c:v>13.663532358092587</c:v>
                </c:pt>
                <c:pt idx="666">
                  <c:v>14.109120302835279</c:v>
                </c:pt>
                <c:pt idx="667">
                  <c:v>14.124527277543846</c:v>
                </c:pt>
                <c:pt idx="668">
                  <c:v>14.18856638603852</c:v>
                </c:pt>
                <c:pt idx="669">
                  <c:v>14.386815756604223</c:v>
                </c:pt>
                <c:pt idx="670">
                  <c:v>14.612962787372762</c:v>
                </c:pt>
                <c:pt idx="671">
                  <c:v>14.768236432594216</c:v>
                </c:pt>
                <c:pt idx="672">
                  <c:v>14.885426778797328</c:v>
                </c:pt>
                <c:pt idx="673">
                  <c:v>14.965474394582367</c:v>
                </c:pt>
                <c:pt idx="674">
                  <c:v>15.426234937247767</c:v>
                </c:pt>
                <c:pt idx="675">
                  <c:v>15.692527337364236</c:v>
                </c:pt>
                <c:pt idx="676">
                  <c:v>15.753095164930286</c:v>
                </c:pt>
                <c:pt idx="677">
                  <c:v>15.697247548499453</c:v>
                </c:pt>
                <c:pt idx="678">
                  <c:v>15.772310749677057</c:v>
                </c:pt>
                <c:pt idx="679">
                  <c:v>15.766060664639737</c:v>
                </c:pt>
                <c:pt idx="680">
                  <c:v>15.811540908286059</c:v>
                </c:pt>
                <c:pt idx="681">
                  <c:v>15.701554381545726</c:v>
                </c:pt>
                <c:pt idx="682">
                  <c:v>15.978933135054895</c:v>
                </c:pt>
                <c:pt idx="683">
                  <c:v>15.986308485675556</c:v>
                </c:pt>
                <c:pt idx="684">
                  <c:v>16.156682084775145</c:v>
                </c:pt>
                <c:pt idx="685">
                  <c:v>15.992279899074536</c:v>
                </c:pt>
                <c:pt idx="686">
                  <c:v>15.43255007231515</c:v>
                </c:pt>
                <c:pt idx="687">
                  <c:v>15.655800520677435</c:v>
                </c:pt>
                <c:pt idx="688">
                  <c:v>15.983408963061317</c:v>
                </c:pt>
                <c:pt idx="689">
                  <c:v>16.151051881843095</c:v>
                </c:pt>
                <c:pt idx="690">
                  <c:v>16.19472868851005</c:v>
                </c:pt>
                <c:pt idx="691">
                  <c:v>16.333027175045807</c:v>
                </c:pt>
                <c:pt idx="692">
                  <c:v>16.641234086800509</c:v>
                </c:pt>
                <c:pt idx="693">
                  <c:v>16.757827405232767</c:v>
                </c:pt>
                <c:pt idx="694">
                  <c:v>17.149489570585061</c:v>
                </c:pt>
                <c:pt idx="695">
                  <c:v>17.260933079516658</c:v>
                </c:pt>
                <c:pt idx="696">
                  <c:v>17.089302192876907</c:v>
                </c:pt>
                <c:pt idx="697">
                  <c:v>17.96199756366029</c:v>
                </c:pt>
                <c:pt idx="698">
                  <c:v>17.930195916685584</c:v>
                </c:pt>
                <c:pt idx="699">
                  <c:v>18.045029657346145</c:v>
                </c:pt>
                <c:pt idx="700">
                  <c:v>17.737397115614382</c:v>
                </c:pt>
                <c:pt idx="701">
                  <c:v>17.687310089181096</c:v>
                </c:pt>
                <c:pt idx="702">
                  <c:v>17.913354830419372</c:v>
                </c:pt>
                <c:pt idx="703">
                  <c:v>17.885532403798763</c:v>
                </c:pt>
                <c:pt idx="704">
                  <c:v>17.871073761075785</c:v>
                </c:pt>
                <c:pt idx="705">
                  <c:v>17.807999373334667</c:v>
                </c:pt>
                <c:pt idx="706">
                  <c:v>17.81333303660017</c:v>
                </c:pt>
                <c:pt idx="707">
                  <c:v>17.376296442452212</c:v>
                </c:pt>
                <c:pt idx="708">
                  <c:v>17.542903110759415</c:v>
                </c:pt>
                <c:pt idx="709">
                  <c:v>17.600297414258474</c:v>
                </c:pt>
                <c:pt idx="710">
                  <c:v>17.765610218809012</c:v>
                </c:pt>
                <c:pt idx="711">
                  <c:v>17.666341186003397</c:v>
                </c:pt>
                <c:pt idx="712">
                  <c:v>17.734206055626263</c:v>
                </c:pt>
                <c:pt idx="713">
                  <c:v>17.703605997380677</c:v>
                </c:pt>
                <c:pt idx="714">
                  <c:v>17.763249651654942</c:v>
                </c:pt>
                <c:pt idx="715">
                  <c:v>17.920353034929601</c:v>
                </c:pt>
                <c:pt idx="716">
                  <c:v>17.947753520234542</c:v>
                </c:pt>
                <c:pt idx="717">
                  <c:v>18.425531238174578</c:v>
                </c:pt>
                <c:pt idx="718">
                  <c:v>18.482452647973542</c:v>
                </c:pt>
                <c:pt idx="719">
                  <c:v>18.374174343769099</c:v>
                </c:pt>
                <c:pt idx="720">
                  <c:v>18.182485636017795</c:v>
                </c:pt>
                <c:pt idx="721">
                  <c:v>18.300767430539437</c:v>
                </c:pt>
                <c:pt idx="722">
                  <c:v>18.261386863703333</c:v>
                </c:pt>
                <c:pt idx="723">
                  <c:v>18.265164488172466</c:v>
                </c:pt>
                <c:pt idx="724">
                  <c:v>18.119793686376823</c:v>
                </c:pt>
                <c:pt idx="725">
                  <c:v>18.386412640873743</c:v>
                </c:pt>
                <c:pt idx="726">
                  <c:v>18.542861992294412</c:v>
                </c:pt>
                <c:pt idx="727">
                  <c:v>18.621486518576884</c:v>
                </c:pt>
                <c:pt idx="728">
                  <c:v>18.807270280502031</c:v>
                </c:pt>
                <c:pt idx="729">
                  <c:v>17.884083719766473</c:v>
                </c:pt>
                <c:pt idx="730">
                  <c:v>17.889105616156606</c:v>
                </c:pt>
                <c:pt idx="731">
                  <c:v>17.88359797203606</c:v>
                </c:pt>
                <c:pt idx="732">
                  <c:v>17.916794530960672</c:v>
                </c:pt>
                <c:pt idx="733">
                  <c:v>18.144204016195175</c:v>
                </c:pt>
                <c:pt idx="734">
                  <c:v>18.254793475365656</c:v>
                </c:pt>
                <c:pt idx="735">
                  <c:v>18.276494105329625</c:v>
                </c:pt>
                <c:pt idx="736">
                  <c:v>18.392964052631491</c:v>
                </c:pt>
                <c:pt idx="737">
                  <c:v>18.493449393315192</c:v>
                </c:pt>
                <c:pt idx="738">
                  <c:v>18.356309488124865</c:v>
                </c:pt>
                <c:pt idx="739">
                  <c:v>18.45526268681947</c:v>
                </c:pt>
                <c:pt idx="740">
                  <c:v>18.764756584745498</c:v>
                </c:pt>
                <c:pt idx="741">
                  <c:v>18.744531758881394</c:v>
                </c:pt>
                <c:pt idx="742">
                  <c:v>18.837313707108983</c:v>
                </c:pt>
                <c:pt idx="743">
                  <c:v>18.862824665757728</c:v>
                </c:pt>
                <c:pt idx="744">
                  <c:v>18.783729401877551</c:v>
                </c:pt>
                <c:pt idx="745">
                  <c:v>18.819776355395195</c:v>
                </c:pt>
                <c:pt idx="746">
                  <c:v>18.787563988430097</c:v>
                </c:pt>
                <c:pt idx="747">
                  <c:v>19.133923497507205</c:v>
                </c:pt>
                <c:pt idx="748">
                  <c:v>19.566570904337045</c:v>
                </c:pt>
                <c:pt idx="749">
                  <c:v>19.612440182071339</c:v>
                </c:pt>
                <c:pt idx="750">
                  <c:v>19.551356270151334</c:v>
                </c:pt>
                <c:pt idx="751">
                  <c:v>17.887720403973876</c:v>
                </c:pt>
                <c:pt idx="752">
                  <c:v>18.28667280860358</c:v>
                </c:pt>
                <c:pt idx="753">
                  <c:v>18.634288749119772</c:v>
                </c:pt>
                <c:pt idx="754">
                  <c:v>19.055203862229934</c:v>
                </c:pt>
                <c:pt idx="755">
                  <c:v>19.426806667204517</c:v>
                </c:pt>
                <c:pt idx="756">
                  <c:v>19.704282033588804</c:v>
                </c:pt>
                <c:pt idx="757">
                  <c:v>19.924194452495449</c:v>
                </c:pt>
                <c:pt idx="758">
                  <c:v>20.412329055547833</c:v>
                </c:pt>
                <c:pt idx="759">
                  <c:v>20.275299451759743</c:v>
                </c:pt>
                <c:pt idx="760">
                  <c:v>20.562402871803517</c:v>
                </c:pt>
                <c:pt idx="761">
                  <c:v>20.748903973832</c:v>
                </c:pt>
                <c:pt idx="762">
                  <c:v>21.383823407380124</c:v>
                </c:pt>
                <c:pt idx="763">
                  <c:v>21.391413830909297</c:v>
                </c:pt>
                <c:pt idx="764">
                  <c:v>21.310756920482877</c:v>
                </c:pt>
                <c:pt idx="765">
                  <c:v>21.22151938964441</c:v>
                </c:pt>
                <c:pt idx="766">
                  <c:v>21.162059539316616</c:v>
                </c:pt>
                <c:pt idx="767">
                  <c:v>21.019855704075063</c:v>
                </c:pt>
                <c:pt idx="768">
                  <c:v>20.784038849274609</c:v>
                </c:pt>
                <c:pt idx="769">
                  <c:v>20.626746867604258</c:v>
                </c:pt>
                <c:pt idx="770">
                  <c:v>20.600827674867034</c:v>
                </c:pt>
                <c:pt idx="771">
                  <c:v>20.557312573945957</c:v>
                </c:pt>
                <c:pt idx="772">
                  <c:v>20.379017535741884</c:v>
                </c:pt>
                <c:pt idx="773">
                  <c:v>20.361900517919899</c:v>
                </c:pt>
                <c:pt idx="774">
                  <c:v>20.372249357317241</c:v>
                </c:pt>
                <c:pt idx="775">
                  <c:v>20.332011773821414</c:v>
                </c:pt>
                <c:pt idx="776">
                  <c:v>20.13829236684963</c:v>
                </c:pt>
                <c:pt idx="777">
                  <c:v>19.939558060124121</c:v>
                </c:pt>
                <c:pt idx="778">
                  <c:v>19.622448606458118</c:v>
                </c:pt>
                <c:pt idx="779">
                  <c:v>19.500624264152489</c:v>
                </c:pt>
                <c:pt idx="780">
                  <c:v>19.229983719953619</c:v>
                </c:pt>
                <c:pt idx="781">
                  <c:v>19.254246166631596</c:v>
                </c:pt>
                <c:pt idx="782">
                  <c:v>19.12114092997518</c:v>
                </c:pt>
                <c:pt idx="783">
                  <c:v>19.127619050563364</c:v>
                </c:pt>
                <c:pt idx="784">
                  <c:v>18.934545247380317</c:v>
                </c:pt>
                <c:pt idx="785">
                  <c:v>18.453219647546767</c:v>
                </c:pt>
                <c:pt idx="786">
                  <c:v>17.996836648738292</c:v>
                </c:pt>
                <c:pt idx="787">
                  <c:v>18.071871567871643</c:v>
                </c:pt>
                <c:pt idx="788">
                  <c:v>18.085249996603395</c:v>
                </c:pt>
                <c:pt idx="789">
                  <c:v>18.283400145468946</c:v>
                </c:pt>
                <c:pt idx="790">
                  <c:v>18.146219777158883</c:v>
                </c:pt>
                <c:pt idx="791">
                  <c:v>17.939433098530902</c:v>
                </c:pt>
                <c:pt idx="792">
                  <c:v>18.639391407110143</c:v>
                </c:pt>
                <c:pt idx="793">
                  <c:v>18.519947922350152</c:v>
                </c:pt>
                <c:pt idx="794">
                  <c:v>18.44857828346267</c:v>
                </c:pt>
                <c:pt idx="795">
                  <c:v>17.849796358971119</c:v>
                </c:pt>
                <c:pt idx="796">
                  <c:v>17.977235827489309</c:v>
                </c:pt>
                <c:pt idx="797">
                  <c:v>17.795732426044147</c:v>
                </c:pt>
                <c:pt idx="798">
                  <c:v>17.683669530425185</c:v>
                </c:pt>
                <c:pt idx="799">
                  <c:v>17.68199026967611</c:v>
                </c:pt>
                <c:pt idx="800">
                  <c:v>17.706976833673053</c:v>
                </c:pt>
                <c:pt idx="801">
                  <c:v>17.833303687442847</c:v>
                </c:pt>
                <c:pt idx="802">
                  <c:v>17.789724686575447</c:v>
                </c:pt>
                <c:pt idx="803">
                  <c:v>17.1849328790206</c:v>
                </c:pt>
                <c:pt idx="804">
                  <c:v>17.338823159609024</c:v>
                </c:pt>
                <c:pt idx="805">
                  <c:v>17.967254056817843</c:v>
                </c:pt>
                <c:pt idx="806">
                  <c:v>18.542399871642598</c:v>
                </c:pt>
                <c:pt idx="807">
                  <c:v>18.69455611987355</c:v>
                </c:pt>
                <c:pt idx="808">
                  <c:v>18.862350779331063</c:v>
                </c:pt>
                <c:pt idx="809">
                  <c:v>18.931669784508767</c:v>
                </c:pt>
                <c:pt idx="810">
                  <c:v>19.217624872623645</c:v>
                </c:pt>
                <c:pt idx="811">
                  <c:v>19.308845875498136</c:v>
                </c:pt>
                <c:pt idx="812">
                  <c:v>16.490057066756489</c:v>
                </c:pt>
                <c:pt idx="813">
                  <c:v>16.641706034677263</c:v>
                </c:pt>
                <c:pt idx="814">
                  <c:v>16.711608776947838</c:v>
                </c:pt>
                <c:pt idx="815">
                  <c:v>16.607246227443667</c:v>
                </c:pt>
                <c:pt idx="816">
                  <c:v>16.368347181717184</c:v>
                </c:pt>
                <c:pt idx="817">
                  <c:v>16.656930940711877</c:v>
                </c:pt>
                <c:pt idx="818">
                  <c:v>16.888353005333638</c:v>
                </c:pt>
                <c:pt idx="819">
                  <c:v>16.916544402398788</c:v>
                </c:pt>
                <c:pt idx="820">
                  <c:v>17.079159619659137</c:v>
                </c:pt>
                <c:pt idx="821">
                  <c:v>17.299533953987591</c:v>
                </c:pt>
                <c:pt idx="822">
                  <c:v>17.530595508544707</c:v>
                </c:pt>
                <c:pt idx="823">
                  <c:v>17.667963626105969</c:v>
                </c:pt>
                <c:pt idx="824">
                  <c:v>17.608621322884211</c:v>
                </c:pt>
                <c:pt idx="825">
                  <c:v>18.156613653370368</c:v>
                </c:pt>
                <c:pt idx="826">
                  <c:v>18.317021117954706</c:v>
                </c:pt>
                <c:pt idx="827">
                  <c:v>18.46931684966248</c:v>
                </c:pt>
                <c:pt idx="828">
                  <c:v>18.643112808496944</c:v>
                </c:pt>
                <c:pt idx="829">
                  <c:v>18.544284904989318</c:v>
                </c:pt>
                <c:pt idx="830">
                  <c:v>18.579876274745398</c:v>
                </c:pt>
                <c:pt idx="831">
                  <c:v>18.667953044586689</c:v>
                </c:pt>
                <c:pt idx="832">
                  <c:v>18.704735988251006</c:v>
                </c:pt>
                <c:pt idx="833">
                  <c:v>16.319166874812954</c:v>
                </c:pt>
                <c:pt idx="834">
                  <c:v>16.872725932904466</c:v>
                </c:pt>
                <c:pt idx="835">
                  <c:v>17.427991199946195</c:v>
                </c:pt>
                <c:pt idx="836">
                  <c:v>17.451064408283077</c:v>
                </c:pt>
                <c:pt idx="837">
                  <c:v>17.634349624290504</c:v>
                </c:pt>
                <c:pt idx="838">
                  <c:v>18.00650170630529</c:v>
                </c:pt>
                <c:pt idx="839">
                  <c:v>18.234655826727224</c:v>
                </c:pt>
                <c:pt idx="840">
                  <c:v>18.47887964472941</c:v>
                </c:pt>
                <c:pt idx="841">
                  <c:v>18.707630245976045</c:v>
                </c:pt>
                <c:pt idx="842">
                  <c:v>18.635288169451645</c:v>
                </c:pt>
                <c:pt idx="843">
                  <c:v>18.686351990980281</c:v>
                </c:pt>
                <c:pt idx="844">
                  <c:v>18.979291667793554</c:v>
                </c:pt>
                <c:pt idx="845">
                  <c:v>19.216404122155698</c:v>
                </c:pt>
                <c:pt idx="846">
                  <c:v>19.376334603381046</c:v>
                </c:pt>
                <c:pt idx="847">
                  <c:v>19.588919462785707</c:v>
                </c:pt>
                <c:pt idx="848">
                  <c:v>19.478073451838565</c:v>
                </c:pt>
                <c:pt idx="849">
                  <c:v>19.638890916556832</c:v>
                </c:pt>
                <c:pt idx="850">
                  <c:v>19.82489547551533</c:v>
                </c:pt>
                <c:pt idx="851">
                  <c:v>19.794302055726256</c:v>
                </c:pt>
                <c:pt idx="852">
                  <c:v>20.413124601463746</c:v>
                </c:pt>
                <c:pt idx="853">
                  <c:v>19.925070701919029</c:v>
                </c:pt>
                <c:pt idx="854">
                  <c:v>20.08180160647089</c:v>
                </c:pt>
                <c:pt idx="855">
                  <c:v>20.056718543812078</c:v>
                </c:pt>
                <c:pt idx="856">
                  <c:v>20.39243062470743</c:v>
                </c:pt>
                <c:pt idx="857">
                  <c:v>20.587370542053137</c:v>
                </c:pt>
                <c:pt idx="858">
                  <c:v>20.760601254213263</c:v>
                </c:pt>
                <c:pt idx="859">
                  <c:v>21.057882106542102</c:v>
                </c:pt>
                <c:pt idx="860">
                  <c:v>21.071170891613178</c:v>
                </c:pt>
                <c:pt idx="861">
                  <c:v>21.166451025929177</c:v>
                </c:pt>
                <c:pt idx="862">
                  <c:v>21.35415771804843</c:v>
                </c:pt>
                <c:pt idx="863">
                  <c:v>21.471736139439422</c:v>
                </c:pt>
                <c:pt idx="864">
                  <c:v>21.662855042484935</c:v>
                </c:pt>
                <c:pt idx="865">
                  <c:v>21.614368706777583</c:v>
                </c:pt>
                <c:pt idx="866">
                  <c:v>21.597999337907616</c:v>
                </c:pt>
                <c:pt idx="867">
                  <c:v>21.661110795002873</c:v>
                </c:pt>
                <c:pt idx="868">
                  <c:v>21.722514058043032</c:v>
                </c:pt>
                <c:pt idx="869">
                  <c:v>22.006132972435498</c:v>
                </c:pt>
                <c:pt idx="870">
                  <c:v>21.974952357193036</c:v>
                </c:pt>
                <c:pt idx="871">
                  <c:v>21.927013424907585</c:v>
                </c:pt>
                <c:pt idx="872">
                  <c:v>21.924450215243514</c:v>
                </c:pt>
                <c:pt idx="873">
                  <c:v>22.051453562357985</c:v>
                </c:pt>
                <c:pt idx="874">
                  <c:v>22.159989356066536</c:v>
                </c:pt>
                <c:pt idx="875">
                  <c:v>22.195945434260672</c:v>
                </c:pt>
                <c:pt idx="876">
                  <c:v>21.003127295805339</c:v>
                </c:pt>
                <c:pt idx="877">
                  <c:v>21.116332095060372</c:v>
                </c:pt>
                <c:pt idx="878">
                  <c:v>21.126160141677591</c:v>
                </c:pt>
                <c:pt idx="879">
                  <c:v>21.126469485750526</c:v>
                </c:pt>
                <c:pt idx="880">
                  <c:v>21.471224685601229</c:v>
                </c:pt>
                <c:pt idx="881">
                  <c:v>21.474256053168329</c:v>
                </c:pt>
                <c:pt idx="882">
                  <c:v>21.534381264397968</c:v>
                </c:pt>
                <c:pt idx="883">
                  <c:v>21.564102477063251</c:v>
                </c:pt>
                <c:pt idx="884">
                  <c:v>21.571632144820786</c:v>
                </c:pt>
                <c:pt idx="885">
                  <c:v>21.9999892123374</c:v>
                </c:pt>
                <c:pt idx="886">
                  <c:v>21.688631376842896</c:v>
                </c:pt>
                <c:pt idx="887">
                  <c:v>21.932122628558929</c:v>
                </c:pt>
                <c:pt idx="888">
                  <c:v>22.037480230943178</c:v>
                </c:pt>
                <c:pt idx="889">
                  <c:v>21.903192153670897</c:v>
                </c:pt>
                <c:pt idx="890">
                  <c:v>21.481654147690932</c:v>
                </c:pt>
                <c:pt idx="891">
                  <c:v>21.643263873942491</c:v>
                </c:pt>
                <c:pt idx="892">
                  <c:v>21.452199804762813</c:v>
                </c:pt>
                <c:pt idx="893">
                  <c:v>21.731603452844368</c:v>
                </c:pt>
                <c:pt idx="894">
                  <c:v>22.006671775031769</c:v>
                </c:pt>
                <c:pt idx="895">
                  <c:v>21.996994546876159</c:v>
                </c:pt>
                <c:pt idx="896">
                  <c:v>21.888211356230716</c:v>
                </c:pt>
                <c:pt idx="897">
                  <c:v>20.855405310830783</c:v>
                </c:pt>
                <c:pt idx="898">
                  <c:v>21.293362254965135</c:v>
                </c:pt>
                <c:pt idx="899">
                  <c:v>21.704413578345715</c:v>
                </c:pt>
                <c:pt idx="900">
                  <c:v>21.684427424084745</c:v>
                </c:pt>
                <c:pt idx="901">
                  <c:v>21.610760159660952</c:v>
                </c:pt>
                <c:pt idx="902">
                  <c:v>21.912568200713707</c:v>
                </c:pt>
                <c:pt idx="903">
                  <c:v>22.177850290191778</c:v>
                </c:pt>
                <c:pt idx="904">
                  <c:v>21.788599479026296</c:v>
                </c:pt>
                <c:pt idx="905">
                  <c:v>21.826065306318537</c:v>
                </c:pt>
                <c:pt idx="906">
                  <c:v>21.86387532160667</c:v>
                </c:pt>
                <c:pt idx="907">
                  <c:v>21.365455336342428</c:v>
                </c:pt>
                <c:pt idx="908">
                  <c:v>21.584954265400366</c:v>
                </c:pt>
                <c:pt idx="909">
                  <c:v>22.007731164758535</c:v>
                </c:pt>
                <c:pt idx="910">
                  <c:v>21.961381552028936</c:v>
                </c:pt>
                <c:pt idx="911">
                  <c:v>21.783436320178318</c:v>
                </c:pt>
                <c:pt idx="912">
                  <c:v>21.983355890005019</c:v>
                </c:pt>
                <c:pt idx="913">
                  <c:v>22.129928431520884</c:v>
                </c:pt>
                <c:pt idx="914">
                  <c:v>22.122426763228876</c:v>
                </c:pt>
                <c:pt idx="915">
                  <c:v>22.320555877878398</c:v>
                </c:pt>
                <c:pt idx="916">
                  <c:v>22.258553987640003</c:v>
                </c:pt>
                <c:pt idx="917">
                  <c:v>21.590588237038666</c:v>
                </c:pt>
                <c:pt idx="918">
                  <c:v>21.634810073050321</c:v>
                </c:pt>
                <c:pt idx="919">
                  <c:v>20.870155876678506</c:v>
                </c:pt>
                <c:pt idx="920">
                  <c:v>21.188941367431667</c:v>
                </c:pt>
                <c:pt idx="921">
                  <c:v>21.277576583400734</c:v>
                </c:pt>
                <c:pt idx="922">
                  <c:v>21.558063769354689</c:v>
                </c:pt>
                <c:pt idx="923">
                  <c:v>21.766503827223389</c:v>
                </c:pt>
                <c:pt idx="924">
                  <c:v>21.457517887404052</c:v>
                </c:pt>
                <c:pt idx="925">
                  <c:v>21.660961088180819</c:v>
                </c:pt>
                <c:pt idx="926">
                  <c:v>22.073197370567438</c:v>
                </c:pt>
                <c:pt idx="927">
                  <c:v>22.064665009214661</c:v>
                </c:pt>
                <c:pt idx="928">
                  <c:v>22.329319705818712</c:v>
                </c:pt>
                <c:pt idx="929">
                  <c:v>22.112419061421214</c:v>
                </c:pt>
                <c:pt idx="930">
                  <c:v>22.189701982433828</c:v>
                </c:pt>
                <c:pt idx="931">
                  <c:v>22.444990464271363</c:v>
                </c:pt>
                <c:pt idx="932">
                  <c:v>22.585477298323131</c:v>
                </c:pt>
                <c:pt idx="933">
                  <c:v>22.572557770112617</c:v>
                </c:pt>
                <c:pt idx="934">
                  <c:v>22.979809372178579</c:v>
                </c:pt>
                <c:pt idx="935">
                  <c:v>23.174390557328408</c:v>
                </c:pt>
                <c:pt idx="936">
                  <c:v>23.304984817244243</c:v>
                </c:pt>
                <c:pt idx="937">
                  <c:v>23.51178122043898</c:v>
                </c:pt>
                <c:pt idx="938">
                  <c:v>23.494339980529439</c:v>
                </c:pt>
                <c:pt idx="939">
                  <c:v>23.782082804768983</c:v>
                </c:pt>
                <c:pt idx="940">
                  <c:v>24.108107809361346</c:v>
                </c:pt>
                <c:pt idx="941">
                  <c:v>24.356831111437607</c:v>
                </c:pt>
                <c:pt idx="942">
                  <c:v>22.607338618866887</c:v>
                </c:pt>
                <c:pt idx="943">
                  <c:v>23.914470982488819</c:v>
                </c:pt>
                <c:pt idx="944">
                  <c:v>24.275650357297714</c:v>
                </c:pt>
                <c:pt idx="945">
                  <c:v>24.603588445587459</c:v>
                </c:pt>
                <c:pt idx="946">
                  <c:v>25.24662013983647</c:v>
                </c:pt>
                <c:pt idx="947">
                  <c:v>25.619845237360018</c:v>
                </c:pt>
                <c:pt idx="948">
                  <c:v>26.466380010204556</c:v>
                </c:pt>
                <c:pt idx="949">
                  <c:v>26.900973447615648</c:v>
                </c:pt>
                <c:pt idx="950">
                  <c:v>26.344596587947102</c:v>
                </c:pt>
                <c:pt idx="951">
                  <c:v>26.537699309756345</c:v>
                </c:pt>
                <c:pt idx="952">
                  <c:v>26.637400017318797</c:v>
                </c:pt>
                <c:pt idx="953">
                  <c:v>27.057859978335543</c:v>
                </c:pt>
                <c:pt idx="954">
                  <c:v>27.247568736849637</c:v>
                </c:pt>
                <c:pt idx="955">
                  <c:v>26.990157817755119</c:v>
                </c:pt>
                <c:pt idx="956">
                  <c:v>27.276733950711755</c:v>
                </c:pt>
                <c:pt idx="957">
                  <c:v>27.959206437769154</c:v>
                </c:pt>
                <c:pt idx="958">
                  <c:v>28.095807380790763</c:v>
                </c:pt>
                <c:pt idx="959">
                  <c:v>28.16237733909729</c:v>
                </c:pt>
                <c:pt idx="960">
                  <c:v>28.412414872063906</c:v>
                </c:pt>
                <c:pt idx="961">
                  <c:v>28.560413476989339</c:v>
                </c:pt>
                <c:pt idx="962">
                  <c:v>24.241627802407152</c:v>
                </c:pt>
                <c:pt idx="963">
                  <c:v>25.408833244135099</c:v>
                </c:pt>
                <c:pt idx="964">
                  <c:v>26.411497835850859</c:v>
                </c:pt>
                <c:pt idx="965">
                  <c:v>26.045756995055481</c:v>
                </c:pt>
                <c:pt idx="966">
                  <c:v>26.132420897505224</c:v>
                </c:pt>
                <c:pt idx="967">
                  <c:v>26.320079671620121</c:v>
                </c:pt>
                <c:pt idx="968">
                  <c:v>26.765890893300217</c:v>
                </c:pt>
                <c:pt idx="969">
                  <c:v>26.161381428940828</c:v>
                </c:pt>
                <c:pt idx="970">
                  <c:v>25.168915902414366</c:v>
                </c:pt>
                <c:pt idx="971">
                  <c:v>25.306321324661301</c:v>
                </c:pt>
                <c:pt idx="972">
                  <c:v>25.467709138333568</c:v>
                </c:pt>
                <c:pt idx="973">
                  <c:v>25.649650202442441</c:v>
                </c:pt>
                <c:pt idx="974">
                  <c:v>25.436200946357687</c:v>
                </c:pt>
                <c:pt idx="975">
                  <c:v>25.388837326317084</c:v>
                </c:pt>
                <c:pt idx="976">
                  <c:v>25.545945731028361</c:v>
                </c:pt>
                <c:pt idx="977">
                  <c:v>25.836047921874385</c:v>
                </c:pt>
                <c:pt idx="978">
                  <c:v>25.142820374728537</c:v>
                </c:pt>
                <c:pt idx="979">
                  <c:v>25.648926861532317</c:v>
                </c:pt>
                <c:pt idx="980">
                  <c:v>25.802637363066559</c:v>
                </c:pt>
                <c:pt idx="981">
                  <c:v>25.87393127981202</c:v>
                </c:pt>
                <c:pt idx="982">
                  <c:v>25.722243716903392</c:v>
                </c:pt>
                <c:pt idx="983">
                  <c:v>25.425082886935861</c:v>
                </c:pt>
                <c:pt idx="984">
                  <c:v>25.251843024509775</c:v>
                </c:pt>
                <c:pt idx="985">
                  <c:v>22.753823878709827</c:v>
                </c:pt>
                <c:pt idx="986">
                  <c:v>23.104010427272243</c:v>
                </c:pt>
                <c:pt idx="987">
                  <c:v>23.241396171861012</c:v>
                </c:pt>
                <c:pt idx="988">
                  <c:v>23.023756203083305</c:v>
                </c:pt>
                <c:pt idx="989">
                  <c:v>23.114278290415356</c:v>
                </c:pt>
                <c:pt idx="990">
                  <c:v>23.02522049874592</c:v>
                </c:pt>
                <c:pt idx="991">
                  <c:v>23.085568163812546</c:v>
                </c:pt>
                <c:pt idx="992">
                  <c:v>23.47997946046771</c:v>
                </c:pt>
                <c:pt idx="993">
                  <c:v>22.525506394595581</c:v>
                </c:pt>
                <c:pt idx="994">
                  <c:v>22.903157421129194</c:v>
                </c:pt>
                <c:pt idx="995">
                  <c:v>23.278187633846528</c:v>
                </c:pt>
                <c:pt idx="996">
                  <c:v>23.490749786112637</c:v>
                </c:pt>
                <c:pt idx="997">
                  <c:v>23.514474841454494</c:v>
                </c:pt>
                <c:pt idx="998">
                  <c:v>22.962600850864998</c:v>
                </c:pt>
                <c:pt idx="999">
                  <c:v>23.341963015242225</c:v>
                </c:pt>
                <c:pt idx="1000">
                  <c:v>23.471124593709767</c:v>
                </c:pt>
                <c:pt idx="1001">
                  <c:v>23.372958920149124</c:v>
                </c:pt>
                <c:pt idx="1002">
                  <c:v>23.70395752767724</c:v>
                </c:pt>
                <c:pt idx="1003">
                  <c:v>23.808335286085274</c:v>
                </c:pt>
                <c:pt idx="1004">
                  <c:v>23.583379303238928</c:v>
                </c:pt>
                <c:pt idx="1005">
                  <c:v>23.664353578093582</c:v>
                </c:pt>
                <c:pt idx="1006">
                  <c:v>23.779758486691968</c:v>
                </c:pt>
                <c:pt idx="1007">
                  <c:v>20.483204915232267</c:v>
                </c:pt>
                <c:pt idx="1008">
                  <c:v>20.924859599020344</c:v>
                </c:pt>
                <c:pt idx="1009">
                  <c:v>21.046117526494466</c:v>
                </c:pt>
                <c:pt idx="1010">
                  <c:v>21.049897369602348</c:v>
                </c:pt>
                <c:pt idx="1011">
                  <c:v>21.328286525582005</c:v>
                </c:pt>
                <c:pt idx="1012">
                  <c:v>21.393183764359428</c:v>
                </c:pt>
                <c:pt idx="1013">
                  <c:v>21.791242213489181</c:v>
                </c:pt>
                <c:pt idx="1014">
                  <c:v>21.931331353283031</c:v>
                </c:pt>
                <c:pt idx="1015">
                  <c:v>22.391239539545118</c:v>
                </c:pt>
                <c:pt idx="1016">
                  <c:v>22.842926094441584</c:v>
                </c:pt>
                <c:pt idx="1017">
                  <c:v>23.066566380532301</c:v>
                </c:pt>
                <c:pt idx="1018">
                  <c:v>23.010608422231378</c:v>
                </c:pt>
                <c:pt idx="1019">
                  <c:v>23.291193036137187</c:v>
                </c:pt>
                <c:pt idx="1020">
                  <c:v>23.15048221596868</c:v>
                </c:pt>
                <c:pt idx="1021">
                  <c:v>23.258749818731658</c:v>
                </c:pt>
                <c:pt idx="1022">
                  <c:v>23.047752496599252</c:v>
                </c:pt>
                <c:pt idx="1023">
                  <c:v>23.224843967050592</c:v>
                </c:pt>
                <c:pt idx="1024">
                  <c:v>23.220211281406844</c:v>
                </c:pt>
                <c:pt idx="1025">
                  <c:v>23.336417717046551</c:v>
                </c:pt>
                <c:pt idx="1026">
                  <c:v>17.958177593870186</c:v>
                </c:pt>
                <c:pt idx="1027">
                  <c:v>18.25661937053588</c:v>
                </c:pt>
                <c:pt idx="1028">
                  <c:v>18.630028775500818</c:v>
                </c:pt>
                <c:pt idx="1029">
                  <c:v>18.667046327701122</c:v>
                </c:pt>
                <c:pt idx="1030">
                  <c:v>18.929353195325124</c:v>
                </c:pt>
                <c:pt idx="1031">
                  <c:v>18.959683297717874</c:v>
                </c:pt>
                <c:pt idx="1032">
                  <c:v>19.291400826714547</c:v>
                </c:pt>
                <c:pt idx="1033">
                  <c:v>19.620239911687488</c:v>
                </c:pt>
                <c:pt idx="1034">
                  <c:v>19.880796148361462</c:v>
                </c:pt>
                <c:pt idx="1035">
                  <c:v>20.225236439496747</c:v>
                </c:pt>
                <c:pt idx="1036">
                  <c:v>20.408612468466018</c:v>
                </c:pt>
                <c:pt idx="1037">
                  <c:v>20.819525669664362</c:v>
                </c:pt>
                <c:pt idx="1038">
                  <c:v>21.221869892935661</c:v>
                </c:pt>
                <c:pt idx="1039">
                  <c:v>21.399368481788748</c:v>
                </c:pt>
                <c:pt idx="1040">
                  <c:v>21.50742894657575</c:v>
                </c:pt>
                <c:pt idx="1041">
                  <c:v>21.699865391084053</c:v>
                </c:pt>
                <c:pt idx="1042">
                  <c:v>22.051014712740379</c:v>
                </c:pt>
                <c:pt idx="1043">
                  <c:v>21.691168512453643</c:v>
                </c:pt>
                <c:pt idx="1044">
                  <c:v>21.3496901531147</c:v>
                </c:pt>
                <c:pt idx="1045">
                  <c:v>21.303699231856392</c:v>
                </c:pt>
                <c:pt idx="1046">
                  <c:v>21.074221660127627</c:v>
                </c:pt>
                <c:pt idx="1047">
                  <c:v>20.959027675889899</c:v>
                </c:pt>
                <c:pt idx="1048">
                  <c:v>18.305813735954747</c:v>
                </c:pt>
                <c:pt idx="1049">
                  <c:v>18.531473961667555</c:v>
                </c:pt>
                <c:pt idx="1050">
                  <c:v>18.571247400375984</c:v>
                </c:pt>
                <c:pt idx="1051">
                  <c:v>18.775242211264288</c:v>
                </c:pt>
                <c:pt idx="1052">
                  <c:v>18.781445086422877</c:v>
                </c:pt>
                <c:pt idx="1053">
                  <c:v>18.885524691578574</c:v>
                </c:pt>
                <c:pt idx="1054">
                  <c:v>18.84190018419206</c:v>
                </c:pt>
                <c:pt idx="1055">
                  <c:v>18.548319441913883</c:v>
                </c:pt>
                <c:pt idx="1056">
                  <c:v>18.657731608017734</c:v>
                </c:pt>
                <c:pt idx="1057">
                  <c:v>18.43867561078363</c:v>
                </c:pt>
                <c:pt idx="1058">
                  <c:v>18.462673013675577</c:v>
                </c:pt>
                <c:pt idx="1059">
                  <c:v>18.299717952432481</c:v>
                </c:pt>
                <c:pt idx="1060">
                  <c:v>17.479467947587224</c:v>
                </c:pt>
                <c:pt idx="1061">
                  <c:v>17.515101696393913</c:v>
                </c:pt>
                <c:pt idx="1062">
                  <c:v>17.458886654742198</c:v>
                </c:pt>
                <c:pt idx="1063">
                  <c:v>17.418655638085745</c:v>
                </c:pt>
                <c:pt idx="1064">
                  <c:v>17.428535896666347</c:v>
                </c:pt>
                <c:pt idx="1065">
                  <c:v>17.427735538611564</c:v>
                </c:pt>
                <c:pt idx="1066">
                  <c:v>17.322198423220264</c:v>
                </c:pt>
                <c:pt idx="1067">
                  <c:v>17.269317000257267</c:v>
                </c:pt>
                <c:pt idx="1068">
                  <c:v>17.868056180111736</c:v>
                </c:pt>
                <c:pt idx="1069">
                  <c:v>17.905860180597998</c:v>
                </c:pt>
                <c:pt idx="1070">
                  <c:v>17.853536279476589</c:v>
                </c:pt>
                <c:pt idx="1071">
                  <c:v>17.534902286864138</c:v>
                </c:pt>
                <c:pt idx="1072">
                  <c:v>17.539495148242754</c:v>
                </c:pt>
                <c:pt idx="1073">
                  <c:v>17.247252815399243</c:v>
                </c:pt>
                <c:pt idx="1074">
                  <c:v>17.128874843050987</c:v>
                </c:pt>
                <c:pt idx="1075">
                  <c:v>17.017994776304246</c:v>
                </c:pt>
                <c:pt idx="1076">
                  <c:v>16.818011869883428</c:v>
                </c:pt>
                <c:pt idx="1077">
                  <c:v>16.680719082092637</c:v>
                </c:pt>
                <c:pt idx="1078">
                  <c:v>16.443099210140833</c:v>
                </c:pt>
                <c:pt idx="1079">
                  <c:v>15.496928108782811</c:v>
                </c:pt>
                <c:pt idx="1080">
                  <c:v>15.186583064443971</c:v>
                </c:pt>
                <c:pt idx="1081">
                  <c:v>14.965014621332413</c:v>
                </c:pt>
                <c:pt idx="1082">
                  <c:v>14.784427733368014</c:v>
                </c:pt>
                <c:pt idx="1083">
                  <c:v>14.585654888643674</c:v>
                </c:pt>
                <c:pt idx="1084">
                  <c:v>14.616109646113863</c:v>
                </c:pt>
                <c:pt idx="1085">
                  <c:v>14.671150970391299</c:v>
                </c:pt>
                <c:pt idx="1086">
                  <c:v>14.656976046980388</c:v>
                </c:pt>
                <c:pt idx="1087">
                  <c:v>14.689560901436851</c:v>
                </c:pt>
                <c:pt idx="1088">
                  <c:v>14.685514662484929</c:v>
                </c:pt>
                <c:pt idx="1089">
                  <c:v>14.930220124625928</c:v>
                </c:pt>
                <c:pt idx="1090">
                  <c:v>14.445813387065041</c:v>
                </c:pt>
                <c:pt idx="1091">
                  <c:v>14.057528535155431</c:v>
                </c:pt>
                <c:pt idx="1092">
                  <c:v>14.337115644667776</c:v>
                </c:pt>
                <c:pt idx="1093">
                  <c:v>14.625510637334566</c:v>
                </c:pt>
                <c:pt idx="1094">
                  <c:v>14.870722269777486</c:v>
                </c:pt>
                <c:pt idx="1095">
                  <c:v>15.036538355595786</c:v>
                </c:pt>
                <c:pt idx="1096">
                  <c:v>15.238029111423659</c:v>
                </c:pt>
                <c:pt idx="1097">
                  <c:v>15.263121251011199</c:v>
                </c:pt>
                <c:pt idx="1098">
                  <c:v>15.303087259539595</c:v>
                </c:pt>
                <c:pt idx="1099">
                  <c:v>15.220307701569077</c:v>
                </c:pt>
                <c:pt idx="1100">
                  <c:v>16.240480334579733</c:v>
                </c:pt>
                <c:pt idx="1101">
                  <c:v>16.050256327230144</c:v>
                </c:pt>
                <c:pt idx="1102">
                  <c:v>15.855095751999126</c:v>
                </c:pt>
                <c:pt idx="1103">
                  <c:v>15.777247558537699</c:v>
                </c:pt>
                <c:pt idx="1104">
                  <c:v>15.754559940533163</c:v>
                </c:pt>
                <c:pt idx="1105">
                  <c:v>15.744161964033356</c:v>
                </c:pt>
                <c:pt idx="1106">
                  <c:v>15.67155410915743</c:v>
                </c:pt>
                <c:pt idx="1107">
                  <c:v>15.89024926850135</c:v>
                </c:pt>
                <c:pt idx="1108">
                  <c:v>15.954956664990437</c:v>
                </c:pt>
                <c:pt idx="1109">
                  <c:v>15.211036298730635</c:v>
                </c:pt>
                <c:pt idx="1110">
                  <c:v>15.207164895643215</c:v>
                </c:pt>
                <c:pt idx="1111">
                  <c:v>15.146052406332501</c:v>
                </c:pt>
                <c:pt idx="1112">
                  <c:v>15.032325405494781</c:v>
                </c:pt>
                <c:pt idx="1113">
                  <c:v>14.843165854149843</c:v>
                </c:pt>
                <c:pt idx="1114">
                  <c:v>14.725692282358114</c:v>
                </c:pt>
                <c:pt idx="1115">
                  <c:v>14.597591011467909</c:v>
                </c:pt>
                <c:pt idx="1116">
                  <c:v>14.448866151368318</c:v>
                </c:pt>
                <c:pt idx="1117">
                  <c:v>14.169838898324937</c:v>
                </c:pt>
                <c:pt idx="1118">
                  <c:v>14.097820109925248</c:v>
                </c:pt>
                <c:pt idx="1119">
                  <c:v>13.90565049517323</c:v>
                </c:pt>
                <c:pt idx="1120">
                  <c:v>13.516390994020007</c:v>
                </c:pt>
                <c:pt idx="1121">
                  <c:v>13.190830092118661</c:v>
                </c:pt>
                <c:pt idx="1122">
                  <c:v>13.171231896787468</c:v>
                </c:pt>
                <c:pt idx="1123">
                  <c:v>12.897600438147265</c:v>
                </c:pt>
                <c:pt idx="1124">
                  <c:v>12.85869988356918</c:v>
                </c:pt>
                <c:pt idx="1125">
                  <c:v>12.794840724505862</c:v>
                </c:pt>
                <c:pt idx="1126">
                  <c:v>12.651233221793774</c:v>
                </c:pt>
                <c:pt idx="1127">
                  <c:v>12.640075101550394</c:v>
                </c:pt>
                <c:pt idx="1128">
                  <c:v>12.578409028979888</c:v>
                </c:pt>
                <c:pt idx="1129">
                  <c:v>12.590470389715634</c:v>
                </c:pt>
                <c:pt idx="1130">
                  <c:v>12.45323069685953</c:v>
                </c:pt>
                <c:pt idx="1131">
                  <c:v>12.397594448886259</c:v>
                </c:pt>
                <c:pt idx="1132">
                  <c:v>10.1600706973638</c:v>
                </c:pt>
                <c:pt idx="1133">
                  <c:v>10.453373485853204</c:v>
                </c:pt>
                <c:pt idx="1134">
                  <c:v>10.632006310948313</c:v>
                </c:pt>
                <c:pt idx="1135">
                  <c:v>10.784861725507804</c:v>
                </c:pt>
                <c:pt idx="1136">
                  <c:v>10.899197322819909</c:v>
                </c:pt>
                <c:pt idx="1137">
                  <c:v>11.013282801370771</c:v>
                </c:pt>
                <c:pt idx="1138">
                  <c:v>11.199873764520511</c:v>
                </c:pt>
                <c:pt idx="1139">
                  <c:v>10.995355042615307</c:v>
                </c:pt>
                <c:pt idx="1140">
                  <c:v>10.993924282790921</c:v>
                </c:pt>
                <c:pt idx="1141">
                  <c:v>11.030852583266952</c:v>
                </c:pt>
                <c:pt idx="1142">
                  <c:v>11.092837012890257</c:v>
                </c:pt>
                <c:pt idx="1143">
                  <c:v>11.114843027258811</c:v>
                </c:pt>
                <c:pt idx="1144">
                  <c:v>11.148280142416652</c:v>
                </c:pt>
                <c:pt idx="1145">
                  <c:v>11.295387523284084</c:v>
                </c:pt>
                <c:pt idx="1146">
                  <c:v>11.175299804941726</c:v>
                </c:pt>
                <c:pt idx="1147">
                  <c:v>11.317082549663262</c:v>
                </c:pt>
                <c:pt idx="1148">
                  <c:v>11.245433879488852</c:v>
                </c:pt>
                <c:pt idx="1149">
                  <c:v>11.200078329772539</c:v>
                </c:pt>
                <c:pt idx="1150">
                  <c:v>10.98570104532439</c:v>
                </c:pt>
                <c:pt idx="1151">
                  <c:v>10.944651896332774</c:v>
                </c:pt>
                <c:pt idx="1152">
                  <c:v>10.745621395086127</c:v>
                </c:pt>
                <c:pt idx="1153">
                  <c:v>10.812174650149114</c:v>
                </c:pt>
                <c:pt idx="1154">
                  <c:v>10.701330691169305</c:v>
                </c:pt>
                <c:pt idx="1155">
                  <c:v>10.802561026596294</c:v>
                </c:pt>
                <c:pt idx="1156">
                  <c:v>10.870361123879546</c:v>
                </c:pt>
                <c:pt idx="1157">
                  <c:v>10.929584610627867</c:v>
                </c:pt>
                <c:pt idx="1158">
                  <c:v>10.860406861490086</c:v>
                </c:pt>
                <c:pt idx="1159">
                  <c:v>10.879746764799703</c:v>
                </c:pt>
                <c:pt idx="1160">
                  <c:v>11.088771880549807</c:v>
                </c:pt>
                <c:pt idx="1161">
                  <c:v>11.227960946602145</c:v>
                </c:pt>
                <c:pt idx="1162">
                  <c:v>11.304798136067546</c:v>
                </c:pt>
                <c:pt idx="1163">
                  <c:v>11.868033406654167</c:v>
                </c:pt>
                <c:pt idx="1164">
                  <c:v>11.728436284944834</c:v>
                </c:pt>
                <c:pt idx="1165">
                  <c:v>11.52503023216183</c:v>
                </c:pt>
                <c:pt idx="1166">
                  <c:v>11.640795259439111</c:v>
                </c:pt>
                <c:pt idx="1167">
                  <c:v>11.427903425976691</c:v>
                </c:pt>
                <c:pt idx="1168">
                  <c:v>11.406090246271926</c:v>
                </c:pt>
                <c:pt idx="1169">
                  <c:v>11.280190669457681</c:v>
                </c:pt>
                <c:pt idx="1170">
                  <c:v>11.204644096369389</c:v>
                </c:pt>
                <c:pt idx="1171">
                  <c:v>11.134674806879794</c:v>
                </c:pt>
                <c:pt idx="1172">
                  <c:v>10.827840757353394</c:v>
                </c:pt>
                <c:pt idx="1173">
                  <c:v>10.691650214395214</c:v>
                </c:pt>
                <c:pt idx="1174">
                  <c:v>10.604940106226156</c:v>
                </c:pt>
                <c:pt idx="1175">
                  <c:v>12.871189255300221</c:v>
                </c:pt>
                <c:pt idx="1176">
                  <c:v>12.658576451761707</c:v>
                </c:pt>
                <c:pt idx="1177">
                  <c:v>12.359247625121684</c:v>
                </c:pt>
                <c:pt idx="1178">
                  <c:v>11.914365345140546</c:v>
                </c:pt>
                <c:pt idx="1179">
                  <c:v>11.778634644946241</c:v>
                </c:pt>
                <c:pt idx="1180">
                  <c:v>11.799722548857803</c:v>
                </c:pt>
                <c:pt idx="1181">
                  <c:v>11.8755191274147</c:v>
                </c:pt>
                <c:pt idx="1182">
                  <c:v>11.880588901902605</c:v>
                </c:pt>
                <c:pt idx="1183">
                  <c:v>11.861211844137106</c:v>
                </c:pt>
                <c:pt idx="1184">
                  <c:v>11.930316144408652</c:v>
                </c:pt>
                <c:pt idx="1185">
                  <c:v>11.873106391490392</c:v>
                </c:pt>
                <c:pt idx="1186">
                  <c:v>12.301425273015997</c:v>
                </c:pt>
                <c:pt idx="1187">
                  <c:v>12.181561088109738</c:v>
                </c:pt>
                <c:pt idx="1188">
                  <c:v>12.099988977801804</c:v>
                </c:pt>
                <c:pt idx="1189">
                  <c:v>11.981831418513263</c:v>
                </c:pt>
                <c:pt idx="1190">
                  <c:v>11.773990993078977</c:v>
                </c:pt>
                <c:pt idx="1191">
                  <c:v>11.568974510828308</c:v>
                </c:pt>
                <c:pt idx="1192">
                  <c:v>11.424545494037236</c:v>
                </c:pt>
                <c:pt idx="1193">
                  <c:v>11.343481135123376</c:v>
                </c:pt>
                <c:pt idx="1194">
                  <c:v>11.256193925868789</c:v>
                </c:pt>
                <c:pt idx="1195">
                  <c:v>11.235942537137877</c:v>
                </c:pt>
                <c:pt idx="1196">
                  <c:v>11.378552193385572</c:v>
                </c:pt>
                <c:pt idx="1197">
                  <c:v>16.98574948882078</c:v>
                </c:pt>
                <c:pt idx="1198">
                  <c:v>15.483987914396026</c:v>
                </c:pt>
                <c:pt idx="1199">
                  <c:v>14.247477115269463</c:v>
                </c:pt>
                <c:pt idx="1200">
                  <c:v>13.807114810686869</c:v>
                </c:pt>
                <c:pt idx="1201">
                  <c:v>13.380021071434964</c:v>
                </c:pt>
                <c:pt idx="1202">
                  <c:v>13.136898124415898</c:v>
                </c:pt>
                <c:pt idx="1203">
                  <c:v>13.256556515016438</c:v>
                </c:pt>
                <c:pt idx="1204">
                  <c:v>13.524958241435391</c:v>
                </c:pt>
                <c:pt idx="1205">
                  <c:v>13.544211378984159</c:v>
                </c:pt>
                <c:pt idx="1206">
                  <c:v>13.697453859932452</c:v>
                </c:pt>
                <c:pt idx="1207">
                  <c:v>16.459613054858508</c:v>
                </c:pt>
                <c:pt idx="1208">
                  <c:v>15.687911797343592</c:v>
                </c:pt>
                <c:pt idx="1209">
                  <c:v>14.971068974871862</c:v>
                </c:pt>
                <c:pt idx="1210">
                  <c:v>14.396962628828721</c:v>
                </c:pt>
                <c:pt idx="1211">
                  <c:v>14.258024258647836</c:v>
                </c:pt>
                <c:pt idx="1212">
                  <c:v>13.409388623323487</c:v>
                </c:pt>
                <c:pt idx="1213">
                  <c:v>13.418401829675966</c:v>
                </c:pt>
                <c:pt idx="1214">
                  <c:v>13.378534754393343</c:v>
                </c:pt>
                <c:pt idx="1215">
                  <c:v>13.419695559298642</c:v>
                </c:pt>
                <c:pt idx="1216">
                  <c:v>13.068309465639016</c:v>
                </c:pt>
                <c:pt idx="1217">
                  <c:v>14.203502312647888</c:v>
                </c:pt>
                <c:pt idx="1218">
                  <c:v>16.454855488728988</c:v>
                </c:pt>
                <c:pt idx="1219">
                  <c:v>16.26337086227398</c:v>
                </c:pt>
                <c:pt idx="1220">
                  <c:v>16.211459825751042</c:v>
                </c:pt>
                <c:pt idx="1221">
                  <c:v>16.675110412840716</c:v>
                </c:pt>
                <c:pt idx="1222">
                  <c:v>16.872237902457776</c:v>
                </c:pt>
                <c:pt idx="1223">
                  <c:v>17.013610807701177</c:v>
                </c:pt>
                <c:pt idx="1224">
                  <c:v>16.766440160289864</c:v>
                </c:pt>
                <c:pt idx="1225">
                  <c:v>16.447318791683287</c:v>
                </c:pt>
                <c:pt idx="1226">
                  <c:v>16.26515616461441</c:v>
                </c:pt>
                <c:pt idx="1227">
                  <c:v>16.335017627029924</c:v>
                </c:pt>
                <c:pt idx="1228">
                  <c:v>16.291107278699016</c:v>
                </c:pt>
                <c:pt idx="1229">
                  <c:v>16.782064509707656</c:v>
                </c:pt>
                <c:pt idx="1230">
                  <c:v>16.666090066350677</c:v>
                </c:pt>
                <c:pt idx="1231">
                  <c:v>16.564109374422522</c:v>
                </c:pt>
                <c:pt idx="1232">
                  <c:v>16.616269487657</c:v>
                </c:pt>
                <c:pt idx="1233">
                  <c:v>16.503985575665379</c:v>
                </c:pt>
                <c:pt idx="1234">
                  <c:v>16.318986077404457</c:v>
                </c:pt>
                <c:pt idx="1235">
                  <c:v>16.243785689287488</c:v>
                </c:pt>
                <c:pt idx="1236">
                  <c:v>16.110690943547588</c:v>
                </c:pt>
                <c:pt idx="1237">
                  <c:v>15.868321918011791</c:v>
                </c:pt>
                <c:pt idx="1238">
                  <c:v>15.749979175861554</c:v>
                </c:pt>
                <c:pt idx="1239">
                  <c:v>15.446274921545477</c:v>
                </c:pt>
                <c:pt idx="1240">
                  <c:v>15.617702149466648</c:v>
                </c:pt>
                <c:pt idx="1241">
                  <c:v>17.995258372620277</c:v>
                </c:pt>
                <c:pt idx="1242">
                  <c:v>17.804192519185904</c:v>
                </c:pt>
                <c:pt idx="1243">
                  <c:v>17.67768872312088</c:v>
                </c:pt>
                <c:pt idx="1244">
                  <c:v>17.562109605299543</c:v>
                </c:pt>
                <c:pt idx="1245">
                  <c:v>17.247708932281373</c:v>
                </c:pt>
                <c:pt idx="1246">
                  <c:v>17.037606000873829</c:v>
                </c:pt>
                <c:pt idx="1247">
                  <c:v>17.088708231944889</c:v>
                </c:pt>
                <c:pt idx="1248">
                  <c:v>17.060999250436495</c:v>
                </c:pt>
                <c:pt idx="1249">
                  <c:v>16.883155851035735</c:v>
                </c:pt>
                <c:pt idx="1250">
                  <c:v>16.847534327682915</c:v>
                </c:pt>
                <c:pt idx="1251">
                  <c:v>16.812595623318629</c:v>
                </c:pt>
                <c:pt idx="1252">
                  <c:v>17.185028578115279</c:v>
                </c:pt>
                <c:pt idx="1253">
                  <c:v>17.201366695961827</c:v>
                </c:pt>
                <c:pt idx="1254">
                  <c:v>17.226933472475167</c:v>
                </c:pt>
                <c:pt idx="1255">
                  <c:v>17.160637961571229</c:v>
                </c:pt>
                <c:pt idx="1256">
                  <c:v>17.110674208365001</c:v>
                </c:pt>
                <c:pt idx="1257">
                  <c:v>16.945567654244769</c:v>
                </c:pt>
                <c:pt idx="1258">
                  <c:v>16.850547314137973</c:v>
                </c:pt>
                <c:pt idx="1259">
                  <c:v>16.810230916133847</c:v>
                </c:pt>
                <c:pt idx="1260">
                  <c:v>16.611081098864325</c:v>
                </c:pt>
                <c:pt idx="1261">
                  <c:v>16.596346003886406</c:v>
                </c:pt>
                <c:pt idx="1262">
                  <c:v>19.589657919079553</c:v>
                </c:pt>
                <c:pt idx="1263">
                  <c:v>18.918690640095022</c:v>
                </c:pt>
                <c:pt idx="1264">
                  <c:v>17.494409776238474</c:v>
                </c:pt>
                <c:pt idx="1265">
                  <c:v>17.195939997572605</c:v>
                </c:pt>
                <c:pt idx="1266">
                  <c:v>16.558730335163542</c:v>
                </c:pt>
                <c:pt idx="1267">
                  <c:v>16.330883036705131</c:v>
                </c:pt>
                <c:pt idx="1268">
                  <c:v>15.998923959236908</c:v>
                </c:pt>
                <c:pt idx="1269">
                  <c:v>15.812850053064924</c:v>
                </c:pt>
                <c:pt idx="1270">
                  <c:v>15.391369270163494</c:v>
                </c:pt>
                <c:pt idx="1271">
                  <c:v>15.102974361156441</c:v>
                </c:pt>
                <c:pt idx="1272">
                  <c:v>14.723617351165899</c:v>
                </c:pt>
                <c:pt idx="1273">
                  <c:v>14.606135219632286</c:v>
                </c:pt>
                <c:pt idx="1274">
                  <c:v>14.702821317694305</c:v>
                </c:pt>
                <c:pt idx="1275">
                  <c:v>14.847957906718054</c:v>
                </c:pt>
                <c:pt idx="1276">
                  <c:v>14.658239944593305</c:v>
                </c:pt>
                <c:pt idx="1277">
                  <c:v>14.436369463324015</c:v>
                </c:pt>
                <c:pt idx="1278">
                  <c:v>14.625246039460228</c:v>
                </c:pt>
                <c:pt idx="1279">
                  <c:v>13.333906157492395</c:v>
                </c:pt>
                <c:pt idx="1280">
                  <c:v>13.252500988395335</c:v>
                </c:pt>
                <c:pt idx="1281">
                  <c:v>13.588184098074684</c:v>
                </c:pt>
                <c:pt idx="1282">
                  <c:v>17.480290963315824</c:v>
                </c:pt>
                <c:pt idx="1283">
                  <c:v>15.843957742327314</c:v>
                </c:pt>
                <c:pt idx="1284">
                  <c:v>15.401742070949247</c:v>
                </c:pt>
                <c:pt idx="1285">
                  <c:v>15.917174289644823</c:v>
                </c:pt>
                <c:pt idx="1286">
                  <c:v>16.16796446254353</c:v>
                </c:pt>
                <c:pt idx="1287">
                  <c:v>15.968182284880752</c:v>
                </c:pt>
                <c:pt idx="1288">
                  <c:v>16.853771264403257</c:v>
                </c:pt>
                <c:pt idx="1289">
                  <c:v>15.998135444104317</c:v>
                </c:pt>
                <c:pt idx="1290">
                  <c:v>14.610636604115534</c:v>
                </c:pt>
                <c:pt idx="1291">
                  <c:v>14.222307926260914</c:v>
                </c:pt>
                <c:pt idx="1292">
                  <c:v>12.310233333997164</c:v>
                </c:pt>
                <c:pt idx="1293">
                  <c:v>12.07029602071621</c:v>
                </c:pt>
                <c:pt idx="1294">
                  <c:v>11.711837286093301</c:v>
                </c:pt>
                <c:pt idx="1295">
                  <c:v>11.616345493843328</c:v>
                </c:pt>
                <c:pt idx="1296">
                  <c:v>11.639646997458165</c:v>
                </c:pt>
                <c:pt idx="1297">
                  <c:v>11.533768135360848</c:v>
                </c:pt>
                <c:pt idx="1298">
                  <c:v>11.353788519737929</c:v>
                </c:pt>
                <c:pt idx="1299">
                  <c:v>11.321954977630343</c:v>
                </c:pt>
                <c:pt idx="1300">
                  <c:v>11.654777782350635</c:v>
                </c:pt>
                <c:pt idx="1301">
                  <c:v>11.086296896287372</c:v>
                </c:pt>
                <c:pt idx="1302">
                  <c:v>10.896131816887619</c:v>
                </c:pt>
                <c:pt idx="1303">
                  <c:v>10.831947722804452</c:v>
                </c:pt>
                <c:pt idx="1304">
                  <c:v>15.626108082721306</c:v>
                </c:pt>
                <c:pt idx="1305">
                  <c:v>14.653402937311155</c:v>
                </c:pt>
                <c:pt idx="1306">
                  <c:v>13.671409592907425</c:v>
                </c:pt>
                <c:pt idx="1307">
                  <c:v>12.821772337807783</c:v>
                </c:pt>
                <c:pt idx="1308">
                  <c:v>12.237267040576416</c:v>
                </c:pt>
                <c:pt idx="1309">
                  <c:v>11.774784280584905</c:v>
                </c:pt>
                <c:pt idx="1310">
                  <c:v>11.433709641971287</c:v>
                </c:pt>
                <c:pt idx="1311">
                  <c:v>11.227174789788915</c:v>
                </c:pt>
                <c:pt idx="1312">
                  <c:v>10.975814376672545</c:v>
                </c:pt>
                <c:pt idx="1313">
                  <c:v>10.745204379403503</c:v>
                </c:pt>
                <c:pt idx="1314">
                  <c:v>10.479106875300729</c:v>
                </c:pt>
                <c:pt idx="1315">
                  <c:v>9.4871674218835071</c:v>
                </c:pt>
                <c:pt idx="1316">
                  <c:v>9.3798851303555217</c:v>
                </c:pt>
                <c:pt idx="1317">
                  <c:v>9.1461581116518254</c:v>
                </c:pt>
                <c:pt idx="1318">
                  <c:v>8.7641699879116874</c:v>
                </c:pt>
                <c:pt idx="1319">
                  <c:v>8.7290314054722753</c:v>
                </c:pt>
                <c:pt idx="1320">
                  <c:v>8.6681965089054014</c:v>
                </c:pt>
                <c:pt idx="1321">
                  <c:v>8.7228184968329359</c:v>
                </c:pt>
                <c:pt idx="1322">
                  <c:v>8.5668238544059943</c:v>
                </c:pt>
                <c:pt idx="1323">
                  <c:v>8.3262050945342345</c:v>
                </c:pt>
                <c:pt idx="1324">
                  <c:v>13.303238580091531</c:v>
                </c:pt>
                <c:pt idx="1325">
                  <c:v>12.330926293083078</c:v>
                </c:pt>
                <c:pt idx="1326">
                  <c:v>11.703316200843862</c:v>
                </c:pt>
                <c:pt idx="1327">
                  <c:v>11.033471426989955</c:v>
                </c:pt>
                <c:pt idx="1328">
                  <c:v>10.161547858077878</c:v>
                </c:pt>
                <c:pt idx="1329">
                  <c:v>8.5897661994205627</c:v>
                </c:pt>
                <c:pt idx="1330">
                  <c:v>9.0016973365172763</c:v>
                </c:pt>
                <c:pt idx="1331">
                  <c:v>8.8974219600892948</c:v>
                </c:pt>
                <c:pt idx="1332">
                  <c:v>8.7360833606950354</c:v>
                </c:pt>
                <c:pt idx="1333">
                  <c:v>8.9248645953640366</c:v>
                </c:pt>
                <c:pt idx="1334">
                  <c:v>8.7418217582925344</c:v>
                </c:pt>
                <c:pt idx="1335">
                  <c:v>8.760812621590782</c:v>
                </c:pt>
                <c:pt idx="1336">
                  <c:v>8.4393001580180922</c:v>
                </c:pt>
                <c:pt idx="1337">
                  <c:v>8.7891830573769436</c:v>
                </c:pt>
                <c:pt idx="1338">
                  <c:v>8.7935762375945536</c:v>
                </c:pt>
                <c:pt idx="1339">
                  <c:v>8.4319560578562562</c:v>
                </c:pt>
                <c:pt idx="1340">
                  <c:v>8.4714207915268709</c:v>
                </c:pt>
                <c:pt idx="1341">
                  <c:v>8.2597659130770982</c:v>
                </c:pt>
                <c:pt idx="1342">
                  <c:v>8.1688715479673295</c:v>
                </c:pt>
                <c:pt idx="1343">
                  <c:v>8.0293607516811303</c:v>
                </c:pt>
                <c:pt idx="1344">
                  <c:v>8.8910496285146507</c:v>
                </c:pt>
                <c:pt idx="1345">
                  <c:v>8.7756739721230659</c:v>
                </c:pt>
                <c:pt idx="1346">
                  <c:v>11.812532132844265</c:v>
                </c:pt>
                <c:pt idx="1347">
                  <c:v>9.5092873072068649</c:v>
                </c:pt>
                <c:pt idx="1348">
                  <c:v>9.096519328103394</c:v>
                </c:pt>
                <c:pt idx="1349">
                  <c:v>8.490964514312811</c:v>
                </c:pt>
                <c:pt idx="1350">
                  <c:v>7.9487707900437083</c:v>
                </c:pt>
                <c:pt idx="1351">
                  <c:v>7.7800571788415525</c:v>
                </c:pt>
                <c:pt idx="1352">
                  <c:v>7.4441501775943504</c:v>
                </c:pt>
                <c:pt idx="1353">
                  <c:v>7.1331346498151511</c:v>
                </c:pt>
                <c:pt idx="1354">
                  <c:v>6.9436178787258669</c:v>
                </c:pt>
                <c:pt idx="1355">
                  <c:v>6.6887667262689199</c:v>
                </c:pt>
                <c:pt idx="1356">
                  <c:v>6.4760055226287854</c:v>
                </c:pt>
                <c:pt idx="1357">
                  <c:v>6.1199634890210621</c:v>
                </c:pt>
                <c:pt idx="1358">
                  <c:v>5.4973902231594121</c:v>
                </c:pt>
                <c:pt idx="1359">
                  <c:v>5.6565393162272528</c:v>
                </c:pt>
                <c:pt idx="1360">
                  <c:v>5.7659576985111567</c:v>
                </c:pt>
                <c:pt idx="1361">
                  <c:v>5.7461095361753909</c:v>
                </c:pt>
                <c:pt idx="1362">
                  <c:v>4.9168180273994659</c:v>
                </c:pt>
                <c:pt idx="1363">
                  <c:v>5.0626077608265412</c:v>
                </c:pt>
                <c:pt idx="1364">
                  <c:v>5.302736009283243</c:v>
                </c:pt>
                <c:pt idx="1365">
                  <c:v>5.6744571980006446</c:v>
                </c:pt>
                <c:pt idx="1366">
                  <c:v>7.197429315193121</c:v>
                </c:pt>
                <c:pt idx="1367">
                  <c:v>6.7606141260285693</c:v>
                </c:pt>
                <c:pt idx="1368">
                  <c:v>6.9342273938703247</c:v>
                </c:pt>
                <c:pt idx="1369">
                  <c:v>6.6645383276836032</c:v>
                </c:pt>
                <c:pt idx="1370">
                  <c:v>6.5453207532000235</c:v>
                </c:pt>
                <c:pt idx="1371">
                  <c:v>6.5183530859502232</c:v>
                </c:pt>
                <c:pt idx="1372">
                  <c:v>6.368207262238327</c:v>
                </c:pt>
                <c:pt idx="1373">
                  <c:v>6.2984471451587982</c:v>
                </c:pt>
                <c:pt idx="1374">
                  <c:v>6.1925620091586051</c:v>
                </c:pt>
                <c:pt idx="1375">
                  <c:v>6.2319416737619768</c:v>
                </c:pt>
                <c:pt idx="1376">
                  <c:v>6.2526901381963444</c:v>
                </c:pt>
                <c:pt idx="1377">
                  <c:v>6.361532418180369</c:v>
                </c:pt>
                <c:pt idx="1378">
                  <c:v>6.1686060983529476</c:v>
                </c:pt>
                <c:pt idx="1379">
                  <c:v>6.0843751575542653</c:v>
                </c:pt>
                <c:pt idx="1380">
                  <c:v>5.8586015797345325</c:v>
                </c:pt>
                <c:pt idx="1381">
                  <c:v>5.5401436115356235</c:v>
                </c:pt>
                <c:pt idx="1382">
                  <c:v>5.3509864788141392</c:v>
                </c:pt>
                <c:pt idx="1383">
                  <c:v>5.3302565309289935</c:v>
                </c:pt>
                <c:pt idx="1384">
                  <c:v>5.1315155472990917</c:v>
                </c:pt>
                <c:pt idx="1385">
                  <c:v>5.0466125953078258</c:v>
                </c:pt>
                <c:pt idx="1386">
                  <c:v>4.9831310999955409</c:v>
                </c:pt>
                <c:pt idx="1387">
                  <c:v>7.7279909912281122</c:v>
                </c:pt>
                <c:pt idx="1388">
                  <c:v>6.9191096515837414</c:v>
                </c:pt>
                <c:pt idx="1389">
                  <c:v>6.4396860049417279</c:v>
                </c:pt>
                <c:pt idx="1390">
                  <c:v>6.0401622919967206</c:v>
                </c:pt>
                <c:pt idx="1391">
                  <c:v>6.0639911205902202</c:v>
                </c:pt>
                <c:pt idx="1392">
                  <c:v>5.8303149722737926</c:v>
                </c:pt>
                <c:pt idx="1393">
                  <c:v>5.5926226155953618</c:v>
                </c:pt>
                <c:pt idx="1394">
                  <c:v>5.3876212425781089</c:v>
                </c:pt>
                <c:pt idx="1395">
                  <c:v>5.1313913497782488</c:v>
                </c:pt>
                <c:pt idx="1396">
                  <c:v>5.1528699896067609</c:v>
                </c:pt>
                <c:pt idx="1397">
                  <c:v>5.1033715849615895</c:v>
                </c:pt>
                <c:pt idx="1398">
                  <c:v>5.3565977389458661</c:v>
                </c:pt>
                <c:pt idx="1399">
                  <c:v>5.1977833222860941</c:v>
                </c:pt>
                <c:pt idx="1400">
                  <c:v>5.2482092495772017</c:v>
                </c:pt>
                <c:pt idx="1401">
                  <c:v>5.3527029443899163</c:v>
                </c:pt>
                <c:pt idx="1402">
                  <c:v>5.2113549686250762</c:v>
                </c:pt>
                <c:pt idx="1403">
                  <c:v>5.1905478087879686</c:v>
                </c:pt>
                <c:pt idx="1404">
                  <c:v>5.1059035477238188</c:v>
                </c:pt>
                <c:pt idx="1405">
                  <c:v>5.1741686934768616</c:v>
                </c:pt>
                <c:pt idx="1406">
                  <c:v>5.2165317701919962</c:v>
                </c:pt>
                <c:pt idx="1407">
                  <c:v>5.1550004964118257</c:v>
                </c:pt>
                <c:pt idx="1408">
                  <c:v>5.0911804617122263</c:v>
                </c:pt>
                <c:pt idx="1409">
                  <c:v>7.2722965904111003</c:v>
                </c:pt>
                <c:pt idx="1410">
                  <c:v>7.135878191402635</c:v>
                </c:pt>
                <c:pt idx="1411">
                  <c:v>6.8671946819109655</c:v>
                </c:pt>
                <c:pt idx="1412">
                  <c:v>6.6332641319107779</c:v>
                </c:pt>
                <c:pt idx="1413">
                  <c:v>6.4824487801547654</c:v>
                </c:pt>
                <c:pt idx="1414">
                  <c:v>6.3586122655043962</c:v>
                </c:pt>
                <c:pt idx="1415">
                  <c:v>6.2106206237744468</c:v>
                </c:pt>
                <c:pt idx="1416">
                  <c:v>6.1836779920454408</c:v>
                </c:pt>
                <c:pt idx="1417">
                  <c:v>6.0440301848071201</c:v>
                </c:pt>
                <c:pt idx="1418">
                  <c:v>5.962777828521947</c:v>
                </c:pt>
                <c:pt idx="1419">
                  <c:v>5.9405025619541671</c:v>
                </c:pt>
                <c:pt idx="1420">
                  <c:v>6.1378604315793321</c:v>
                </c:pt>
                <c:pt idx="1421">
                  <c:v>6.0251881710072412</c:v>
                </c:pt>
                <c:pt idx="1422">
                  <c:v>5.876769803976881</c:v>
                </c:pt>
                <c:pt idx="1423">
                  <c:v>5.7904555068856673</c:v>
                </c:pt>
                <c:pt idx="1424">
                  <c:v>5.6799808376175349</c:v>
                </c:pt>
                <c:pt idx="1425">
                  <c:v>5.4937957986038013</c:v>
                </c:pt>
                <c:pt idx="1426">
                  <c:v>5.4329672933515809</c:v>
                </c:pt>
                <c:pt idx="1427">
                  <c:v>5.4167305664686634</c:v>
                </c:pt>
                <c:pt idx="1428">
                  <c:v>5.3727456502983824</c:v>
                </c:pt>
                <c:pt idx="1429">
                  <c:v>5.2282929204427262</c:v>
                </c:pt>
                <c:pt idx="1430">
                  <c:v>5.1404769609648211</c:v>
                </c:pt>
                <c:pt idx="1431">
                  <c:v>5.1809728085961915</c:v>
                </c:pt>
                <c:pt idx="1432">
                  <c:v>8.1410591385649287</c:v>
                </c:pt>
                <c:pt idx="1433">
                  <c:v>7.8592528548162059</c:v>
                </c:pt>
                <c:pt idx="1434">
                  <c:v>7.7083439306029504</c:v>
                </c:pt>
                <c:pt idx="1435">
                  <c:v>7.5743870736625336</c:v>
                </c:pt>
                <c:pt idx="1436">
                  <c:v>7.6621185653506538</c:v>
                </c:pt>
                <c:pt idx="1437">
                  <c:v>7.7239099156038993</c:v>
                </c:pt>
                <c:pt idx="1438">
                  <c:v>7.7120049040143632</c:v>
                </c:pt>
                <c:pt idx="1439">
                  <c:v>7.6866949303303187</c:v>
                </c:pt>
                <c:pt idx="1440">
                  <c:v>7.5791587768638138</c:v>
                </c:pt>
                <c:pt idx="1441">
                  <c:v>7.6076408029348563</c:v>
                </c:pt>
                <c:pt idx="1442">
                  <c:v>8.6350746884349103</c:v>
                </c:pt>
                <c:pt idx="1443">
                  <c:v>8.6015150570391974</c:v>
                </c:pt>
                <c:pt idx="1444">
                  <c:v>8.5952603103303602</c:v>
                </c:pt>
                <c:pt idx="1445">
                  <c:v>8.4391836464892194</c:v>
                </c:pt>
                <c:pt idx="1446">
                  <c:v>8.266017544472259</c:v>
                </c:pt>
                <c:pt idx="1447">
                  <c:v>8.2557371838832214</c:v>
                </c:pt>
                <c:pt idx="1448">
                  <c:v>8.3066825465419463</c:v>
                </c:pt>
                <c:pt idx="1449">
                  <c:v>8.3925632366926628</c:v>
                </c:pt>
                <c:pt idx="1450">
                  <c:v>8.3398717760950589</c:v>
                </c:pt>
                <c:pt idx="1451">
                  <c:v>8.4771942443159585</c:v>
                </c:pt>
                <c:pt idx="1452">
                  <c:v>8.9540223348072434</c:v>
                </c:pt>
                <c:pt idx="1453">
                  <c:v>10.685312016871624</c:v>
                </c:pt>
                <c:pt idx="1454">
                  <c:v>10.47888987393465</c:v>
                </c:pt>
                <c:pt idx="1455">
                  <c:v>10.474100464053983</c:v>
                </c:pt>
                <c:pt idx="1456">
                  <c:v>10.271407983575482</c:v>
                </c:pt>
                <c:pt idx="1457">
                  <c:v>10.168402049423831</c:v>
                </c:pt>
                <c:pt idx="1458">
                  <c:v>10.350469309789426</c:v>
                </c:pt>
                <c:pt idx="1459">
                  <c:v>10.348924088935672</c:v>
                </c:pt>
                <c:pt idx="1460">
                  <c:v>10.511470492695263</c:v>
                </c:pt>
                <c:pt idx="1461">
                  <c:v>10.537119236297318</c:v>
                </c:pt>
                <c:pt idx="1462">
                  <c:v>10.527533355865675</c:v>
                </c:pt>
                <c:pt idx="1463">
                  <c:v>10.616019793366704</c:v>
                </c:pt>
                <c:pt idx="1464">
                  <c:v>11.339537520776593</c:v>
                </c:pt>
                <c:pt idx="1465">
                  <c:v>11.408342253115453</c:v>
                </c:pt>
                <c:pt idx="1466">
                  <c:v>11.539896418236292</c:v>
                </c:pt>
                <c:pt idx="1467">
                  <c:v>11.619229177861873</c:v>
                </c:pt>
                <c:pt idx="1468">
                  <c:v>11.641201052200163</c:v>
                </c:pt>
                <c:pt idx="1469">
                  <c:v>11.835903263092248</c:v>
                </c:pt>
                <c:pt idx="1470">
                  <c:v>11.850856264478766</c:v>
                </c:pt>
                <c:pt idx="1471">
                  <c:v>11.904181076111783</c:v>
                </c:pt>
                <c:pt idx="1472">
                  <c:v>12.350197517547825</c:v>
                </c:pt>
                <c:pt idx="1473">
                  <c:v>12.244340179132752</c:v>
                </c:pt>
                <c:pt idx="1474">
                  <c:v>12.166769892629375</c:v>
                </c:pt>
                <c:pt idx="1475">
                  <c:v>12.116777170311064</c:v>
                </c:pt>
                <c:pt idx="1476">
                  <c:v>12.120694459430659</c:v>
                </c:pt>
                <c:pt idx="1477">
                  <c:v>12.178587755843779</c:v>
                </c:pt>
                <c:pt idx="1478">
                  <c:v>12.265752386301404</c:v>
                </c:pt>
                <c:pt idx="1479">
                  <c:v>12.268750954780824</c:v>
                </c:pt>
                <c:pt idx="1480">
                  <c:v>12.451971214120039</c:v>
                </c:pt>
                <c:pt idx="1481">
                  <c:v>12.521606679946983</c:v>
                </c:pt>
                <c:pt idx="1482">
                  <c:v>12.535904385851385</c:v>
                </c:pt>
                <c:pt idx="1483">
                  <c:v>12.735858485629523</c:v>
                </c:pt>
                <c:pt idx="1484">
                  <c:v>12.834692108744186</c:v>
                </c:pt>
                <c:pt idx="1485">
                  <c:v>12.966320243578178</c:v>
                </c:pt>
                <c:pt idx="1486">
                  <c:v>14.431993988549628</c:v>
                </c:pt>
                <c:pt idx="1487">
                  <c:v>14.669494293603158</c:v>
                </c:pt>
                <c:pt idx="1488">
                  <c:v>14.773300801550807</c:v>
                </c:pt>
                <c:pt idx="1489">
                  <c:v>15.059285760888431</c:v>
                </c:pt>
                <c:pt idx="1490">
                  <c:v>15.459552171902883</c:v>
                </c:pt>
                <c:pt idx="1491">
                  <c:v>15.834228238654866</c:v>
                </c:pt>
                <c:pt idx="1492">
                  <c:v>15.71941026903044</c:v>
                </c:pt>
                <c:pt idx="1493">
                  <c:v>15.454067349756674</c:v>
                </c:pt>
                <c:pt idx="1494">
                  <c:v>15.298069531781969</c:v>
                </c:pt>
                <c:pt idx="1495">
                  <c:v>15.212847049486559</c:v>
                </c:pt>
                <c:pt idx="1496">
                  <c:v>15.255695112347126</c:v>
                </c:pt>
                <c:pt idx="1497">
                  <c:v>14.154386633110095</c:v>
                </c:pt>
                <c:pt idx="1498">
                  <c:v>13.915044012405239</c:v>
                </c:pt>
                <c:pt idx="1499">
                  <c:v>14.014054910414295</c:v>
                </c:pt>
                <c:pt idx="1500">
                  <c:v>13.919798728281805</c:v>
                </c:pt>
                <c:pt idx="1501">
                  <c:v>13.957676331387558</c:v>
                </c:pt>
                <c:pt idx="1502">
                  <c:v>14.217493076101949</c:v>
                </c:pt>
                <c:pt idx="1503">
                  <c:v>14.332013200309216</c:v>
                </c:pt>
                <c:pt idx="1504">
                  <c:v>14.424076319740145</c:v>
                </c:pt>
                <c:pt idx="1505">
                  <c:v>14.39908469166105</c:v>
                </c:pt>
                <c:pt idx="1506">
                  <c:v>14.34186707496338</c:v>
                </c:pt>
                <c:pt idx="1507">
                  <c:v>14.201136152746065</c:v>
                </c:pt>
                <c:pt idx="1508">
                  <c:v>13.999262905492818</c:v>
                </c:pt>
                <c:pt idx="1509">
                  <c:v>13.90985259588134</c:v>
                </c:pt>
                <c:pt idx="1510">
                  <c:v>13.701351249794747</c:v>
                </c:pt>
                <c:pt idx="1511">
                  <c:v>13.851206358009465</c:v>
                </c:pt>
                <c:pt idx="1512">
                  <c:v>13.982166512724257</c:v>
                </c:pt>
                <c:pt idx="1513">
                  <c:v>14.188788392672443</c:v>
                </c:pt>
                <c:pt idx="1514">
                  <c:v>14.404762966276648</c:v>
                </c:pt>
                <c:pt idx="1515">
                  <c:v>14.339054402465699</c:v>
                </c:pt>
                <c:pt idx="1516">
                  <c:v>14.487834052299668</c:v>
                </c:pt>
                <c:pt idx="1517">
                  <c:v>15.394955549583793</c:v>
                </c:pt>
                <c:pt idx="1518">
                  <c:v>13.602243659021248</c:v>
                </c:pt>
                <c:pt idx="1519">
                  <c:v>14.073180499312038</c:v>
                </c:pt>
                <c:pt idx="1520">
                  <c:v>14.132830542290725</c:v>
                </c:pt>
                <c:pt idx="1521">
                  <c:v>14.084095190891174</c:v>
                </c:pt>
                <c:pt idx="1522">
                  <c:v>14.174790026961709</c:v>
                </c:pt>
                <c:pt idx="1523">
                  <c:v>14.20757779463165</c:v>
                </c:pt>
                <c:pt idx="1524">
                  <c:v>14.375312125432551</c:v>
                </c:pt>
                <c:pt idx="1525">
                  <c:v>14.562787582007495</c:v>
                </c:pt>
                <c:pt idx="1526">
                  <c:v>15.076864607996541</c:v>
                </c:pt>
                <c:pt idx="1527">
                  <c:v>15.232830218809877</c:v>
                </c:pt>
                <c:pt idx="1528">
                  <c:v>15.46181912729379</c:v>
                </c:pt>
                <c:pt idx="1529">
                  <c:v>18.173859256062507</c:v>
                </c:pt>
                <c:pt idx="1530">
                  <c:v>17.464651911447049</c:v>
                </c:pt>
                <c:pt idx="1531">
                  <c:v>16.881743730676078</c:v>
                </c:pt>
                <c:pt idx="1532">
                  <c:v>17.154622851211641</c:v>
                </c:pt>
                <c:pt idx="1533">
                  <c:v>17.832443040275525</c:v>
                </c:pt>
                <c:pt idx="1534">
                  <c:v>17.578250124055209</c:v>
                </c:pt>
                <c:pt idx="1535">
                  <c:v>17.98208710721206</c:v>
                </c:pt>
                <c:pt idx="1536">
                  <c:v>18.030239326756238</c:v>
                </c:pt>
                <c:pt idx="1537">
                  <c:v>18.805315120335727</c:v>
                </c:pt>
                <c:pt idx="1538">
                  <c:v>19.252111596458995</c:v>
                </c:pt>
                <c:pt idx="1539">
                  <c:v>20.619105375884232</c:v>
                </c:pt>
                <c:pt idx="1540">
                  <c:v>17.382970935005243</c:v>
                </c:pt>
                <c:pt idx="1541">
                  <c:v>18.834767673184871</c:v>
                </c:pt>
                <c:pt idx="1542">
                  <c:v>19.01673462222654</c:v>
                </c:pt>
                <c:pt idx="1543">
                  <c:v>20.352936151643448</c:v>
                </c:pt>
                <c:pt idx="1544">
                  <c:v>20.344713013896353</c:v>
                </c:pt>
                <c:pt idx="1545">
                  <c:v>22.514804549445039</c:v>
                </c:pt>
                <c:pt idx="1546">
                  <c:v>22.578757081543959</c:v>
                </c:pt>
                <c:pt idx="1547">
                  <c:v>22.275992576311481</c:v>
                </c:pt>
                <c:pt idx="1548">
                  <c:v>22.119858407986335</c:v>
                </c:pt>
                <c:pt idx="1549">
                  <c:v>21.888516761749464</c:v>
                </c:pt>
                <c:pt idx="1550">
                  <c:v>21.694408397940521</c:v>
                </c:pt>
                <c:pt idx="1551">
                  <c:v>13.014336024647093</c:v>
                </c:pt>
                <c:pt idx="1552">
                  <c:v>14.556708462484236</c:v>
                </c:pt>
                <c:pt idx="1553">
                  <c:v>15.548588782153253</c:v>
                </c:pt>
                <c:pt idx="1554">
                  <c:v>17.881187250315204</c:v>
                </c:pt>
                <c:pt idx="1555">
                  <c:v>18.500571459111008</c:v>
                </c:pt>
                <c:pt idx="1556">
                  <c:v>18.756730439444617</c:v>
                </c:pt>
                <c:pt idx="1557">
                  <c:v>18.971241550363544</c:v>
                </c:pt>
                <c:pt idx="1558">
                  <c:v>19.102599148185369</c:v>
                </c:pt>
                <c:pt idx="1559">
                  <c:v>19.222818428810584</c:v>
                </c:pt>
                <c:pt idx="1560">
                  <c:v>8.7957058375826698</c:v>
                </c:pt>
                <c:pt idx="1561">
                  <c:v>9.9122814052599519</c:v>
                </c:pt>
                <c:pt idx="1562">
                  <c:v>10.987967639252568</c:v>
                </c:pt>
                <c:pt idx="1563">
                  <c:v>12.335014823729889</c:v>
                </c:pt>
                <c:pt idx="1564">
                  <c:v>13.144218448122224</c:v>
                </c:pt>
                <c:pt idx="1565">
                  <c:v>13.960424631791668</c:v>
                </c:pt>
                <c:pt idx="1566">
                  <c:v>14.54505026214752</c:v>
                </c:pt>
                <c:pt idx="1567">
                  <c:v>15.175247957129137</c:v>
                </c:pt>
                <c:pt idx="1568">
                  <c:v>15.673920362371192</c:v>
                </c:pt>
                <c:pt idx="1569">
                  <c:v>16.198335878209484</c:v>
                </c:pt>
                <c:pt idx="1570">
                  <c:v>16.678521131962277</c:v>
                </c:pt>
                <c:pt idx="1571">
                  <c:v>16.182278139359731</c:v>
                </c:pt>
                <c:pt idx="1572">
                  <c:v>16.839683818543637</c:v>
                </c:pt>
                <c:pt idx="1573">
                  <c:v>17.299507702330025</c:v>
                </c:pt>
                <c:pt idx="1574">
                  <c:v>17.888200851486381</c:v>
                </c:pt>
                <c:pt idx="1575">
                  <c:v>17.655536254302497</c:v>
                </c:pt>
                <c:pt idx="1576">
                  <c:v>17.42049035608331</c:v>
                </c:pt>
                <c:pt idx="1577">
                  <c:v>17.515643815791432</c:v>
                </c:pt>
                <c:pt idx="1578">
                  <c:v>17.380184299322359</c:v>
                </c:pt>
                <c:pt idx="1579">
                  <c:v>17.523144850858518</c:v>
                </c:pt>
                <c:pt idx="1580">
                  <c:v>12.317163448968637</c:v>
                </c:pt>
                <c:pt idx="1581">
                  <c:v>13.577240633365161</c:v>
                </c:pt>
                <c:pt idx="1582">
                  <c:v>14.346518273236748</c:v>
                </c:pt>
                <c:pt idx="1583">
                  <c:v>14.956846009950711</c:v>
                </c:pt>
                <c:pt idx="1584">
                  <c:v>15.533376016102554</c:v>
                </c:pt>
                <c:pt idx="1585">
                  <c:v>15.649064529190809</c:v>
                </c:pt>
                <c:pt idx="1586">
                  <c:v>15.574718494715432</c:v>
                </c:pt>
                <c:pt idx="1587">
                  <c:v>15.809159205758862</c:v>
                </c:pt>
                <c:pt idx="1588">
                  <c:v>16.263740274157527</c:v>
                </c:pt>
                <c:pt idx="1589">
                  <c:v>16.555508409749404</c:v>
                </c:pt>
                <c:pt idx="1590">
                  <c:v>16.800456448523644</c:v>
                </c:pt>
                <c:pt idx="1591">
                  <c:v>17.049067594184105</c:v>
                </c:pt>
                <c:pt idx="1592">
                  <c:v>17.086940599636684</c:v>
                </c:pt>
                <c:pt idx="1593">
                  <c:v>16.588435894475477</c:v>
                </c:pt>
                <c:pt idx="1594">
                  <c:v>16.927891276546326</c:v>
                </c:pt>
                <c:pt idx="1595">
                  <c:v>17.232595054045426</c:v>
                </c:pt>
                <c:pt idx="1596">
                  <c:v>18.226454518658272</c:v>
                </c:pt>
                <c:pt idx="1597">
                  <c:v>18.378328748479564</c:v>
                </c:pt>
                <c:pt idx="1598">
                  <c:v>18.511557465613969</c:v>
                </c:pt>
                <c:pt idx="1599">
                  <c:v>18.386372547471797</c:v>
                </c:pt>
                <c:pt idx="1600">
                  <c:v>18.518235643734393</c:v>
                </c:pt>
                <c:pt idx="1601">
                  <c:v>18.599884676315558</c:v>
                </c:pt>
                <c:pt idx="1602">
                  <c:v>18.994055591567282</c:v>
                </c:pt>
                <c:pt idx="1603">
                  <c:v>13.336046408978582</c:v>
                </c:pt>
                <c:pt idx="1604">
                  <c:v>14.77556938713</c:v>
                </c:pt>
                <c:pt idx="1605">
                  <c:v>15.909575931946733</c:v>
                </c:pt>
                <c:pt idx="1606">
                  <c:v>16.325662465319844</c:v>
                </c:pt>
                <c:pt idx="1607">
                  <c:v>16.780546714246242</c:v>
                </c:pt>
                <c:pt idx="1608">
                  <c:v>17.156599595416989</c:v>
                </c:pt>
                <c:pt idx="1609">
                  <c:v>17.507803592423187</c:v>
                </c:pt>
                <c:pt idx="1610">
                  <c:v>18.040619123504406</c:v>
                </c:pt>
                <c:pt idx="1611">
                  <c:v>18.301467065196633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4EB-42CD-AD23-1403467BE27D}"/>
            </c:ext>
          </c:extLst>
        </c:ser>
        <c:ser>
          <c:idx val="5"/>
          <c:order val="3"/>
          <c:tx>
            <c:strRef>
              <c:f>'M1'!$X$6</c:f>
              <c:strCache>
                <c:ptCount val="1"/>
                <c:pt idx="0">
                  <c:v>10%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'M1'!$X$7:$X$1621</c:f>
              <c:numCache>
                <c:formatCode>0.00</c:formatCode>
                <c:ptCount val="16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4EB-42CD-AD23-1403467BE27D}"/>
            </c:ext>
          </c:extLst>
        </c:ser>
        <c:ser>
          <c:idx val="6"/>
          <c:order val="4"/>
          <c:tx>
            <c:strRef>
              <c:f>'M1'!$Y$6</c:f>
              <c:strCache>
                <c:ptCount val="1"/>
                <c:pt idx="0">
                  <c:v>90%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'M1'!$Y$7:$Y$1621</c:f>
              <c:numCache>
                <c:formatCode>0.00</c:formatCode>
                <c:ptCount val="16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C4EB-42CD-AD23-1403467BE2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13658000"/>
        <c:axId val="1613658328"/>
      </c:lineChart>
      <c:dateAx>
        <c:axId val="1613658000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3658328"/>
        <c:crosses val="autoZero"/>
        <c:auto val="1"/>
        <c:lblOffset val="100"/>
        <c:baseTimeUnit val="days"/>
      </c:dateAx>
      <c:valAx>
        <c:axId val="1613658328"/>
        <c:scaling>
          <c:orientation val="minMax"/>
          <c:max val="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3658000"/>
        <c:crosses val="autoZero"/>
        <c:crossBetween val="between"/>
      </c:valAx>
      <c:valAx>
        <c:axId val="2134953792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952808"/>
        <c:crosses val="max"/>
        <c:crossBetween val="between"/>
      </c:valAx>
      <c:catAx>
        <c:axId val="2134952808"/>
        <c:scaling>
          <c:orientation val="minMax"/>
        </c:scaling>
        <c:delete val="1"/>
        <c:axPos val="b"/>
        <c:majorTickMark val="out"/>
        <c:minorTickMark val="none"/>
        <c:tickLblPos val="nextTo"/>
        <c:crossAx val="213495379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egendEntry>
        <c:idx val="5"/>
        <c:delete val="1"/>
      </c:legendEntry>
      <c:legendEntry>
        <c:idx val="6"/>
        <c:delete val="1"/>
      </c:legendEntry>
      <c:layout>
        <c:manualLayout>
          <c:xMode val="edge"/>
          <c:yMode val="edge"/>
          <c:x val="0.48211177170124664"/>
          <c:y val="0.9523129921259843"/>
          <c:w val="0.39457938457347408"/>
          <c:h val="3.518700787401574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6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2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percentStacked"/>
        <c:varyColors val="0"/>
        <c:ser>
          <c:idx val="3"/>
          <c:order val="4"/>
          <c:tx>
            <c:strRef>
              <c:f>'M1'!$Z$6</c:f>
              <c:strCache>
                <c:ptCount val="1"/>
                <c:pt idx="0">
                  <c:v>bullish</c:v>
                </c:pt>
              </c:strCache>
            </c:strRef>
          </c:tx>
          <c:spPr>
            <a:solidFill>
              <a:srgbClr val="CCFF99"/>
            </a:solidFill>
            <a:ln>
              <a:noFill/>
            </a:ln>
            <a:effectLst/>
          </c:spPr>
          <c:val>
            <c:numRef>
              <c:f>'M1'!$Z$506:$Z$1621</c:f>
              <c:numCache>
                <c:formatCode>General</c:formatCode>
                <c:ptCount val="11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  <c:pt idx="271">
                  <c:v>1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1</c:v>
                </c:pt>
                <c:pt idx="305">
                  <c:v>1</c:v>
                </c:pt>
                <c:pt idx="306">
                  <c:v>1</c:v>
                </c:pt>
                <c:pt idx="307">
                  <c:v>1</c:v>
                </c:pt>
                <c:pt idx="308">
                  <c:v>1</c:v>
                </c:pt>
                <c:pt idx="309">
                  <c:v>1</c:v>
                </c:pt>
                <c:pt idx="310">
                  <c:v>1</c:v>
                </c:pt>
                <c:pt idx="311">
                  <c:v>1</c:v>
                </c:pt>
                <c:pt idx="312">
                  <c:v>1</c:v>
                </c:pt>
                <c:pt idx="313">
                  <c:v>1</c:v>
                </c:pt>
                <c:pt idx="314">
                  <c:v>1</c:v>
                </c:pt>
                <c:pt idx="315">
                  <c:v>1</c:v>
                </c:pt>
                <c:pt idx="316">
                  <c:v>1</c:v>
                </c:pt>
                <c:pt idx="317">
                  <c:v>1</c:v>
                </c:pt>
                <c:pt idx="318">
                  <c:v>1</c:v>
                </c:pt>
                <c:pt idx="319">
                  <c:v>1</c:v>
                </c:pt>
                <c:pt idx="320">
                  <c:v>1</c:v>
                </c:pt>
                <c:pt idx="321">
                  <c:v>1</c:v>
                </c:pt>
                <c:pt idx="322">
                  <c:v>1</c:v>
                </c:pt>
                <c:pt idx="323">
                  <c:v>1</c:v>
                </c:pt>
                <c:pt idx="324">
                  <c:v>1</c:v>
                </c:pt>
                <c:pt idx="325">
                  <c:v>1</c:v>
                </c:pt>
                <c:pt idx="326">
                  <c:v>1</c:v>
                </c:pt>
                <c:pt idx="327">
                  <c:v>1</c:v>
                </c:pt>
                <c:pt idx="328">
                  <c:v>1</c:v>
                </c:pt>
                <c:pt idx="329">
                  <c:v>1</c:v>
                </c:pt>
                <c:pt idx="330">
                  <c:v>1</c:v>
                </c:pt>
                <c:pt idx="331">
                  <c:v>1</c:v>
                </c:pt>
                <c:pt idx="332">
                  <c:v>1</c:v>
                </c:pt>
                <c:pt idx="333">
                  <c:v>1</c:v>
                </c:pt>
                <c:pt idx="334">
                  <c:v>1</c:v>
                </c:pt>
                <c:pt idx="335">
                  <c:v>1</c:v>
                </c:pt>
                <c:pt idx="336">
                  <c:v>1</c:v>
                </c:pt>
                <c:pt idx="337">
                  <c:v>1</c:v>
                </c:pt>
                <c:pt idx="338">
                  <c:v>1</c:v>
                </c:pt>
                <c:pt idx="339">
                  <c:v>1</c:v>
                </c:pt>
                <c:pt idx="340">
                  <c:v>1</c:v>
                </c:pt>
                <c:pt idx="341">
                  <c:v>1</c:v>
                </c:pt>
                <c:pt idx="342">
                  <c:v>1</c:v>
                </c:pt>
                <c:pt idx="343">
                  <c:v>1</c:v>
                </c:pt>
                <c:pt idx="344">
                  <c:v>1</c:v>
                </c:pt>
                <c:pt idx="345">
                  <c:v>1</c:v>
                </c:pt>
                <c:pt idx="346">
                  <c:v>1</c:v>
                </c:pt>
                <c:pt idx="347">
                  <c:v>1</c:v>
                </c:pt>
                <c:pt idx="348">
                  <c:v>1</c:v>
                </c:pt>
                <c:pt idx="349">
                  <c:v>1</c:v>
                </c:pt>
                <c:pt idx="350">
                  <c:v>1</c:v>
                </c:pt>
                <c:pt idx="351">
                  <c:v>1</c:v>
                </c:pt>
                <c:pt idx="352">
                  <c:v>1</c:v>
                </c:pt>
                <c:pt idx="353">
                  <c:v>1</c:v>
                </c:pt>
                <c:pt idx="354">
                  <c:v>1</c:v>
                </c:pt>
                <c:pt idx="355">
                  <c:v>1</c:v>
                </c:pt>
                <c:pt idx="356">
                  <c:v>1</c:v>
                </c:pt>
                <c:pt idx="357">
                  <c:v>1</c:v>
                </c:pt>
                <c:pt idx="358">
                  <c:v>1</c:v>
                </c:pt>
                <c:pt idx="359">
                  <c:v>1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1</c:v>
                </c:pt>
                <c:pt idx="378">
                  <c:v>1</c:v>
                </c:pt>
                <c:pt idx="379">
                  <c:v>1</c:v>
                </c:pt>
                <c:pt idx="380">
                  <c:v>1</c:v>
                </c:pt>
                <c:pt idx="381">
                  <c:v>1</c:v>
                </c:pt>
                <c:pt idx="382">
                  <c:v>1</c:v>
                </c:pt>
                <c:pt idx="383">
                  <c:v>1</c:v>
                </c:pt>
                <c:pt idx="384">
                  <c:v>1</c:v>
                </c:pt>
                <c:pt idx="385">
                  <c:v>1</c:v>
                </c:pt>
                <c:pt idx="386">
                  <c:v>1</c:v>
                </c:pt>
                <c:pt idx="387">
                  <c:v>1</c:v>
                </c:pt>
                <c:pt idx="388">
                  <c:v>1</c:v>
                </c:pt>
                <c:pt idx="389">
                  <c:v>1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1</c:v>
                </c:pt>
                <c:pt idx="403">
                  <c:v>1</c:v>
                </c:pt>
                <c:pt idx="404">
                  <c:v>1</c:v>
                </c:pt>
                <c:pt idx="405">
                  <c:v>1</c:v>
                </c:pt>
                <c:pt idx="406">
                  <c:v>1</c:v>
                </c:pt>
                <c:pt idx="407">
                  <c:v>1</c:v>
                </c:pt>
                <c:pt idx="408">
                  <c:v>1</c:v>
                </c:pt>
                <c:pt idx="409">
                  <c:v>1</c:v>
                </c:pt>
                <c:pt idx="410">
                  <c:v>1</c:v>
                </c:pt>
                <c:pt idx="411">
                  <c:v>1</c:v>
                </c:pt>
                <c:pt idx="412">
                  <c:v>1</c:v>
                </c:pt>
                <c:pt idx="413">
                  <c:v>1</c:v>
                </c:pt>
                <c:pt idx="414">
                  <c:v>1</c:v>
                </c:pt>
                <c:pt idx="415">
                  <c:v>1</c:v>
                </c:pt>
                <c:pt idx="416">
                  <c:v>1</c:v>
                </c:pt>
                <c:pt idx="417">
                  <c:v>1</c:v>
                </c:pt>
                <c:pt idx="418">
                  <c:v>1</c:v>
                </c:pt>
                <c:pt idx="419">
                  <c:v>1</c:v>
                </c:pt>
                <c:pt idx="420">
                  <c:v>1</c:v>
                </c:pt>
                <c:pt idx="421">
                  <c:v>1</c:v>
                </c:pt>
                <c:pt idx="422">
                  <c:v>1</c:v>
                </c:pt>
                <c:pt idx="423">
                  <c:v>1</c:v>
                </c:pt>
                <c:pt idx="424">
                  <c:v>1</c:v>
                </c:pt>
                <c:pt idx="425">
                  <c:v>1</c:v>
                </c:pt>
                <c:pt idx="426">
                  <c:v>1</c:v>
                </c:pt>
                <c:pt idx="427">
                  <c:v>1</c:v>
                </c:pt>
                <c:pt idx="428">
                  <c:v>1</c:v>
                </c:pt>
                <c:pt idx="429">
                  <c:v>1</c:v>
                </c:pt>
                <c:pt idx="430">
                  <c:v>1</c:v>
                </c:pt>
                <c:pt idx="431">
                  <c:v>1</c:v>
                </c:pt>
                <c:pt idx="432">
                  <c:v>1</c:v>
                </c:pt>
                <c:pt idx="433">
                  <c:v>1</c:v>
                </c:pt>
                <c:pt idx="434">
                  <c:v>1</c:v>
                </c:pt>
                <c:pt idx="435">
                  <c:v>1</c:v>
                </c:pt>
                <c:pt idx="436">
                  <c:v>1</c:v>
                </c:pt>
                <c:pt idx="437">
                  <c:v>1</c:v>
                </c:pt>
                <c:pt idx="438">
                  <c:v>1</c:v>
                </c:pt>
                <c:pt idx="439">
                  <c:v>1</c:v>
                </c:pt>
                <c:pt idx="440">
                  <c:v>1</c:v>
                </c:pt>
                <c:pt idx="441">
                  <c:v>1</c:v>
                </c:pt>
                <c:pt idx="442">
                  <c:v>1</c:v>
                </c:pt>
                <c:pt idx="443">
                  <c:v>1</c:v>
                </c:pt>
                <c:pt idx="444">
                  <c:v>1</c:v>
                </c:pt>
                <c:pt idx="445">
                  <c:v>1</c:v>
                </c:pt>
                <c:pt idx="446">
                  <c:v>1</c:v>
                </c:pt>
                <c:pt idx="447">
                  <c:v>1</c:v>
                </c:pt>
                <c:pt idx="448">
                  <c:v>1</c:v>
                </c:pt>
                <c:pt idx="449">
                  <c:v>1</c:v>
                </c:pt>
                <c:pt idx="450">
                  <c:v>1</c:v>
                </c:pt>
                <c:pt idx="451">
                  <c:v>1</c:v>
                </c:pt>
                <c:pt idx="452">
                  <c:v>1</c:v>
                </c:pt>
                <c:pt idx="453">
                  <c:v>1</c:v>
                </c:pt>
                <c:pt idx="454">
                  <c:v>1</c:v>
                </c:pt>
                <c:pt idx="455">
                  <c:v>1</c:v>
                </c:pt>
                <c:pt idx="456">
                  <c:v>1</c:v>
                </c:pt>
                <c:pt idx="457">
                  <c:v>1</c:v>
                </c:pt>
                <c:pt idx="458">
                  <c:v>1</c:v>
                </c:pt>
                <c:pt idx="459">
                  <c:v>1</c:v>
                </c:pt>
                <c:pt idx="460">
                  <c:v>1</c:v>
                </c:pt>
                <c:pt idx="461">
                  <c:v>1</c:v>
                </c:pt>
                <c:pt idx="462">
                  <c:v>1</c:v>
                </c:pt>
                <c:pt idx="463">
                  <c:v>1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1</c:v>
                </c:pt>
                <c:pt idx="498">
                  <c:v>1</c:v>
                </c:pt>
                <c:pt idx="499">
                  <c:v>1</c:v>
                </c:pt>
                <c:pt idx="500">
                  <c:v>1</c:v>
                </c:pt>
                <c:pt idx="501">
                  <c:v>1</c:v>
                </c:pt>
                <c:pt idx="502">
                  <c:v>1</c:v>
                </c:pt>
                <c:pt idx="503">
                  <c:v>1</c:v>
                </c:pt>
                <c:pt idx="504">
                  <c:v>1</c:v>
                </c:pt>
                <c:pt idx="505">
                  <c:v>1</c:v>
                </c:pt>
                <c:pt idx="506">
                  <c:v>1</c:v>
                </c:pt>
                <c:pt idx="507">
                  <c:v>1</c:v>
                </c:pt>
                <c:pt idx="508">
                  <c:v>1</c:v>
                </c:pt>
                <c:pt idx="509">
                  <c:v>1</c:v>
                </c:pt>
                <c:pt idx="510">
                  <c:v>1</c:v>
                </c:pt>
                <c:pt idx="511">
                  <c:v>1</c:v>
                </c:pt>
                <c:pt idx="512">
                  <c:v>1</c:v>
                </c:pt>
                <c:pt idx="513">
                  <c:v>1</c:v>
                </c:pt>
                <c:pt idx="514">
                  <c:v>1</c:v>
                </c:pt>
                <c:pt idx="515">
                  <c:v>1</c:v>
                </c:pt>
                <c:pt idx="516">
                  <c:v>1</c:v>
                </c:pt>
                <c:pt idx="517">
                  <c:v>1</c:v>
                </c:pt>
                <c:pt idx="518">
                  <c:v>1</c:v>
                </c:pt>
                <c:pt idx="519">
                  <c:v>1</c:v>
                </c:pt>
                <c:pt idx="520">
                  <c:v>1</c:v>
                </c:pt>
                <c:pt idx="521">
                  <c:v>1</c:v>
                </c:pt>
                <c:pt idx="522">
                  <c:v>1</c:v>
                </c:pt>
                <c:pt idx="523">
                  <c:v>1</c:v>
                </c:pt>
                <c:pt idx="524">
                  <c:v>1</c:v>
                </c:pt>
                <c:pt idx="525">
                  <c:v>1</c:v>
                </c:pt>
                <c:pt idx="526">
                  <c:v>1</c:v>
                </c:pt>
                <c:pt idx="527">
                  <c:v>1</c:v>
                </c:pt>
                <c:pt idx="528">
                  <c:v>1</c:v>
                </c:pt>
                <c:pt idx="529">
                  <c:v>1</c:v>
                </c:pt>
                <c:pt idx="530">
                  <c:v>1</c:v>
                </c:pt>
                <c:pt idx="531">
                  <c:v>1</c:v>
                </c:pt>
                <c:pt idx="532">
                  <c:v>1</c:v>
                </c:pt>
                <c:pt idx="533">
                  <c:v>1</c:v>
                </c:pt>
                <c:pt idx="534">
                  <c:v>1</c:v>
                </c:pt>
                <c:pt idx="535">
                  <c:v>1</c:v>
                </c:pt>
                <c:pt idx="536">
                  <c:v>1</c:v>
                </c:pt>
                <c:pt idx="537">
                  <c:v>1</c:v>
                </c:pt>
                <c:pt idx="538">
                  <c:v>1</c:v>
                </c:pt>
                <c:pt idx="539">
                  <c:v>1</c:v>
                </c:pt>
                <c:pt idx="540">
                  <c:v>1</c:v>
                </c:pt>
                <c:pt idx="541">
                  <c:v>1</c:v>
                </c:pt>
                <c:pt idx="542">
                  <c:v>1</c:v>
                </c:pt>
                <c:pt idx="543">
                  <c:v>1</c:v>
                </c:pt>
                <c:pt idx="544">
                  <c:v>1</c:v>
                </c:pt>
                <c:pt idx="545">
                  <c:v>1</c:v>
                </c:pt>
                <c:pt idx="546">
                  <c:v>1</c:v>
                </c:pt>
                <c:pt idx="547">
                  <c:v>1</c:v>
                </c:pt>
                <c:pt idx="548">
                  <c:v>1</c:v>
                </c:pt>
                <c:pt idx="549">
                  <c:v>1</c:v>
                </c:pt>
                <c:pt idx="550">
                  <c:v>1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1</c:v>
                </c:pt>
                <c:pt idx="597">
                  <c:v>1</c:v>
                </c:pt>
                <c:pt idx="598">
                  <c:v>1</c:v>
                </c:pt>
                <c:pt idx="599">
                  <c:v>1</c:v>
                </c:pt>
                <c:pt idx="600">
                  <c:v>1</c:v>
                </c:pt>
                <c:pt idx="601">
                  <c:v>1</c:v>
                </c:pt>
                <c:pt idx="602">
                  <c:v>1</c:v>
                </c:pt>
                <c:pt idx="603">
                  <c:v>1</c:v>
                </c:pt>
                <c:pt idx="604">
                  <c:v>1</c:v>
                </c:pt>
                <c:pt idx="605">
                  <c:v>1</c:v>
                </c:pt>
                <c:pt idx="606">
                  <c:v>1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1</c:v>
                </c:pt>
                <c:pt idx="630">
                  <c:v>1</c:v>
                </c:pt>
                <c:pt idx="631">
                  <c:v>1</c:v>
                </c:pt>
                <c:pt idx="632">
                  <c:v>1</c:v>
                </c:pt>
                <c:pt idx="633">
                  <c:v>1</c:v>
                </c:pt>
                <c:pt idx="634">
                  <c:v>1</c:v>
                </c:pt>
                <c:pt idx="635">
                  <c:v>1</c:v>
                </c:pt>
                <c:pt idx="636">
                  <c:v>1</c:v>
                </c:pt>
                <c:pt idx="637">
                  <c:v>1</c:v>
                </c:pt>
                <c:pt idx="638">
                  <c:v>1</c:v>
                </c:pt>
                <c:pt idx="639">
                  <c:v>1</c:v>
                </c:pt>
                <c:pt idx="640">
                  <c:v>1</c:v>
                </c:pt>
                <c:pt idx="641">
                  <c:v>1</c:v>
                </c:pt>
                <c:pt idx="642">
                  <c:v>1</c:v>
                </c:pt>
                <c:pt idx="643">
                  <c:v>1</c:v>
                </c:pt>
                <c:pt idx="644">
                  <c:v>1</c:v>
                </c:pt>
                <c:pt idx="645">
                  <c:v>1</c:v>
                </c:pt>
                <c:pt idx="646">
                  <c:v>1</c:v>
                </c:pt>
                <c:pt idx="647">
                  <c:v>1</c:v>
                </c:pt>
                <c:pt idx="648">
                  <c:v>1</c:v>
                </c:pt>
                <c:pt idx="649">
                  <c:v>1</c:v>
                </c:pt>
                <c:pt idx="650">
                  <c:v>1</c:v>
                </c:pt>
                <c:pt idx="651">
                  <c:v>1</c:v>
                </c:pt>
                <c:pt idx="652">
                  <c:v>1</c:v>
                </c:pt>
                <c:pt idx="653">
                  <c:v>1</c:v>
                </c:pt>
                <c:pt idx="654">
                  <c:v>1</c:v>
                </c:pt>
                <c:pt idx="655">
                  <c:v>1</c:v>
                </c:pt>
                <c:pt idx="656">
                  <c:v>1</c:v>
                </c:pt>
                <c:pt idx="657">
                  <c:v>1</c:v>
                </c:pt>
                <c:pt idx="658">
                  <c:v>1</c:v>
                </c:pt>
                <c:pt idx="659">
                  <c:v>1</c:v>
                </c:pt>
                <c:pt idx="660">
                  <c:v>1</c:v>
                </c:pt>
                <c:pt idx="661">
                  <c:v>1</c:v>
                </c:pt>
                <c:pt idx="662">
                  <c:v>1</c:v>
                </c:pt>
                <c:pt idx="663">
                  <c:v>1</c:v>
                </c:pt>
                <c:pt idx="664">
                  <c:v>1</c:v>
                </c:pt>
                <c:pt idx="665">
                  <c:v>1</c:v>
                </c:pt>
                <c:pt idx="666">
                  <c:v>1</c:v>
                </c:pt>
                <c:pt idx="667">
                  <c:v>1</c:v>
                </c:pt>
                <c:pt idx="668">
                  <c:v>1</c:v>
                </c:pt>
                <c:pt idx="669">
                  <c:v>1</c:v>
                </c:pt>
                <c:pt idx="670">
                  <c:v>1</c:v>
                </c:pt>
                <c:pt idx="671">
                  <c:v>1</c:v>
                </c:pt>
                <c:pt idx="672">
                  <c:v>1</c:v>
                </c:pt>
                <c:pt idx="673">
                  <c:v>1</c:v>
                </c:pt>
                <c:pt idx="674">
                  <c:v>1</c:v>
                </c:pt>
                <c:pt idx="675">
                  <c:v>1</c:v>
                </c:pt>
                <c:pt idx="676">
                  <c:v>1</c:v>
                </c:pt>
                <c:pt idx="677">
                  <c:v>1</c:v>
                </c:pt>
                <c:pt idx="678">
                  <c:v>1</c:v>
                </c:pt>
                <c:pt idx="679">
                  <c:v>1</c:v>
                </c:pt>
                <c:pt idx="680">
                  <c:v>1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1</c:v>
                </c:pt>
                <c:pt idx="834">
                  <c:v>1</c:v>
                </c:pt>
                <c:pt idx="835">
                  <c:v>1</c:v>
                </c:pt>
                <c:pt idx="836">
                  <c:v>1</c:v>
                </c:pt>
                <c:pt idx="837">
                  <c:v>1</c:v>
                </c:pt>
                <c:pt idx="838">
                  <c:v>1</c:v>
                </c:pt>
                <c:pt idx="839">
                  <c:v>1</c:v>
                </c:pt>
                <c:pt idx="840">
                  <c:v>1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1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1</c:v>
                </c:pt>
                <c:pt idx="866">
                  <c:v>1</c:v>
                </c:pt>
                <c:pt idx="867">
                  <c:v>1</c:v>
                </c:pt>
                <c:pt idx="868">
                  <c:v>1</c:v>
                </c:pt>
                <c:pt idx="869">
                  <c:v>1</c:v>
                </c:pt>
                <c:pt idx="870">
                  <c:v>1</c:v>
                </c:pt>
                <c:pt idx="871">
                  <c:v>1</c:v>
                </c:pt>
                <c:pt idx="872">
                  <c:v>1</c:v>
                </c:pt>
                <c:pt idx="873">
                  <c:v>1</c:v>
                </c:pt>
                <c:pt idx="874">
                  <c:v>1</c:v>
                </c:pt>
                <c:pt idx="875">
                  <c:v>1</c:v>
                </c:pt>
                <c:pt idx="876">
                  <c:v>1</c:v>
                </c:pt>
                <c:pt idx="877">
                  <c:v>1</c:v>
                </c:pt>
                <c:pt idx="878">
                  <c:v>1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1</c:v>
                </c:pt>
                <c:pt idx="905">
                  <c:v>1</c:v>
                </c:pt>
                <c:pt idx="906">
                  <c:v>1</c:v>
                </c:pt>
                <c:pt idx="907">
                  <c:v>1</c:v>
                </c:pt>
                <c:pt idx="908">
                  <c:v>1</c:v>
                </c:pt>
                <c:pt idx="909">
                  <c:v>1</c:v>
                </c:pt>
                <c:pt idx="910">
                  <c:v>1</c:v>
                </c:pt>
                <c:pt idx="911">
                  <c:v>1</c:v>
                </c:pt>
                <c:pt idx="912">
                  <c:v>1</c:v>
                </c:pt>
                <c:pt idx="913">
                  <c:v>1</c:v>
                </c:pt>
                <c:pt idx="914">
                  <c:v>1</c:v>
                </c:pt>
                <c:pt idx="915">
                  <c:v>1</c:v>
                </c:pt>
                <c:pt idx="916">
                  <c:v>1</c:v>
                </c:pt>
                <c:pt idx="917">
                  <c:v>1</c:v>
                </c:pt>
                <c:pt idx="918">
                  <c:v>1</c:v>
                </c:pt>
                <c:pt idx="919">
                  <c:v>1</c:v>
                </c:pt>
                <c:pt idx="920">
                  <c:v>1</c:v>
                </c:pt>
                <c:pt idx="921">
                  <c:v>1</c:v>
                </c:pt>
                <c:pt idx="922">
                  <c:v>1</c:v>
                </c:pt>
                <c:pt idx="923">
                  <c:v>1</c:v>
                </c:pt>
                <c:pt idx="924">
                  <c:v>1</c:v>
                </c:pt>
                <c:pt idx="925">
                  <c:v>1</c:v>
                </c:pt>
                <c:pt idx="926">
                  <c:v>1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1</c:v>
                </c:pt>
                <c:pt idx="933">
                  <c:v>1</c:v>
                </c:pt>
                <c:pt idx="934">
                  <c:v>1</c:v>
                </c:pt>
                <c:pt idx="935">
                  <c:v>1</c:v>
                </c:pt>
                <c:pt idx="936">
                  <c:v>1</c:v>
                </c:pt>
                <c:pt idx="937">
                  <c:v>1</c:v>
                </c:pt>
                <c:pt idx="938">
                  <c:v>1</c:v>
                </c:pt>
                <c:pt idx="939">
                  <c:v>1</c:v>
                </c:pt>
                <c:pt idx="940">
                  <c:v>1</c:v>
                </c:pt>
                <c:pt idx="941">
                  <c:v>1</c:v>
                </c:pt>
                <c:pt idx="942">
                  <c:v>1</c:v>
                </c:pt>
                <c:pt idx="943">
                  <c:v>1</c:v>
                </c:pt>
                <c:pt idx="944">
                  <c:v>1</c:v>
                </c:pt>
                <c:pt idx="945">
                  <c:v>1</c:v>
                </c:pt>
                <c:pt idx="946">
                  <c:v>1</c:v>
                </c:pt>
                <c:pt idx="947">
                  <c:v>1</c:v>
                </c:pt>
                <c:pt idx="948">
                  <c:v>1</c:v>
                </c:pt>
                <c:pt idx="949">
                  <c:v>1</c:v>
                </c:pt>
                <c:pt idx="950">
                  <c:v>1</c:v>
                </c:pt>
                <c:pt idx="951">
                  <c:v>1</c:v>
                </c:pt>
                <c:pt idx="952">
                  <c:v>1</c:v>
                </c:pt>
                <c:pt idx="953">
                  <c:v>1</c:v>
                </c:pt>
                <c:pt idx="954">
                  <c:v>1</c:v>
                </c:pt>
                <c:pt idx="955">
                  <c:v>1</c:v>
                </c:pt>
                <c:pt idx="956">
                  <c:v>1</c:v>
                </c:pt>
                <c:pt idx="957">
                  <c:v>1</c:v>
                </c:pt>
                <c:pt idx="958">
                  <c:v>1</c:v>
                </c:pt>
                <c:pt idx="959">
                  <c:v>1</c:v>
                </c:pt>
                <c:pt idx="960">
                  <c:v>1</c:v>
                </c:pt>
                <c:pt idx="961">
                  <c:v>1</c:v>
                </c:pt>
                <c:pt idx="962">
                  <c:v>1</c:v>
                </c:pt>
                <c:pt idx="963">
                  <c:v>1</c:v>
                </c:pt>
                <c:pt idx="964">
                  <c:v>1</c:v>
                </c:pt>
                <c:pt idx="965">
                  <c:v>1</c:v>
                </c:pt>
                <c:pt idx="966">
                  <c:v>1</c:v>
                </c:pt>
                <c:pt idx="967">
                  <c:v>1</c:v>
                </c:pt>
                <c:pt idx="968">
                  <c:v>1</c:v>
                </c:pt>
                <c:pt idx="969">
                  <c:v>1</c:v>
                </c:pt>
                <c:pt idx="970">
                  <c:v>1</c:v>
                </c:pt>
                <c:pt idx="971">
                  <c:v>1</c:v>
                </c:pt>
                <c:pt idx="972">
                  <c:v>1</c:v>
                </c:pt>
                <c:pt idx="973">
                  <c:v>1</c:v>
                </c:pt>
                <c:pt idx="974">
                  <c:v>1</c:v>
                </c:pt>
                <c:pt idx="975">
                  <c:v>1</c:v>
                </c:pt>
                <c:pt idx="976">
                  <c:v>1</c:v>
                </c:pt>
                <c:pt idx="977">
                  <c:v>1</c:v>
                </c:pt>
                <c:pt idx="978">
                  <c:v>1</c:v>
                </c:pt>
                <c:pt idx="979">
                  <c:v>1</c:v>
                </c:pt>
                <c:pt idx="980">
                  <c:v>1</c:v>
                </c:pt>
                <c:pt idx="981">
                  <c:v>1</c:v>
                </c:pt>
                <c:pt idx="982">
                  <c:v>1</c:v>
                </c:pt>
                <c:pt idx="983">
                  <c:v>1</c:v>
                </c:pt>
                <c:pt idx="984">
                  <c:v>1</c:v>
                </c:pt>
                <c:pt idx="985">
                  <c:v>1</c:v>
                </c:pt>
                <c:pt idx="986">
                  <c:v>1</c:v>
                </c:pt>
                <c:pt idx="987">
                  <c:v>1</c:v>
                </c:pt>
                <c:pt idx="988">
                  <c:v>1</c:v>
                </c:pt>
                <c:pt idx="989">
                  <c:v>1</c:v>
                </c:pt>
                <c:pt idx="990">
                  <c:v>1</c:v>
                </c:pt>
                <c:pt idx="991">
                  <c:v>1</c:v>
                </c:pt>
                <c:pt idx="992">
                  <c:v>1</c:v>
                </c:pt>
                <c:pt idx="993">
                  <c:v>1</c:v>
                </c:pt>
                <c:pt idx="994">
                  <c:v>1</c:v>
                </c:pt>
                <c:pt idx="995">
                  <c:v>1</c:v>
                </c:pt>
                <c:pt idx="996">
                  <c:v>1</c:v>
                </c:pt>
                <c:pt idx="997">
                  <c:v>1</c:v>
                </c:pt>
                <c:pt idx="998">
                  <c:v>1</c:v>
                </c:pt>
                <c:pt idx="999">
                  <c:v>1</c:v>
                </c:pt>
                <c:pt idx="1000">
                  <c:v>1</c:v>
                </c:pt>
                <c:pt idx="1001">
                  <c:v>1</c:v>
                </c:pt>
                <c:pt idx="1002">
                  <c:v>1</c:v>
                </c:pt>
                <c:pt idx="1003">
                  <c:v>1</c:v>
                </c:pt>
                <c:pt idx="1004">
                  <c:v>1</c:v>
                </c:pt>
                <c:pt idx="1005">
                  <c:v>1</c:v>
                </c:pt>
                <c:pt idx="1006">
                  <c:v>1</c:v>
                </c:pt>
                <c:pt idx="1007">
                  <c:v>1</c:v>
                </c:pt>
                <c:pt idx="1008">
                  <c:v>1</c:v>
                </c:pt>
                <c:pt idx="1009">
                  <c:v>1</c:v>
                </c:pt>
                <c:pt idx="1010">
                  <c:v>1</c:v>
                </c:pt>
                <c:pt idx="1011">
                  <c:v>1</c:v>
                </c:pt>
                <c:pt idx="1012">
                  <c:v>1</c:v>
                </c:pt>
                <c:pt idx="1013">
                  <c:v>1</c:v>
                </c:pt>
                <c:pt idx="1014">
                  <c:v>1</c:v>
                </c:pt>
                <c:pt idx="1015">
                  <c:v>1</c:v>
                </c:pt>
                <c:pt idx="1016">
                  <c:v>1</c:v>
                </c:pt>
                <c:pt idx="1017">
                  <c:v>1</c:v>
                </c:pt>
                <c:pt idx="1018">
                  <c:v>1</c:v>
                </c:pt>
                <c:pt idx="1019">
                  <c:v>1</c:v>
                </c:pt>
                <c:pt idx="1020">
                  <c:v>1</c:v>
                </c:pt>
                <c:pt idx="1021">
                  <c:v>1</c:v>
                </c:pt>
                <c:pt idx="1022">
                  <c:v>1</c:v>
                </c:pt>
                <c:pt idx="1023">
                  <c:v>1</c:v>
                </c:pt>
                <c:pt idx="1024">
                  <c:v>1</c:v>
                </c:pt>
                <c:pt idx="1025">
                  <c:v>1</c:v>
                </c:pt>
                <c:pt idx="1026">
                  <c:v>1</c:v>
                </c:pt>
                <c:pt idx="1027">
                  <c:v>1</c:v>
                </c:pt>
                <c:pt idx="1028">
                  <c:v>1</c:v>
                </c:pt>
                <c:pt idx="1029">
                  <c:v>1</c:v>
                </c:pt>
                <c:pt idx="1030">
                  <c:v>1</c:v>
                </c:pt>
                <c:pt idx="1031">
                  <c:v>1</c:v>
                </c:pt>
                <c:pt idx="1032">
                  <c:v>1</c:v>
                </c:pt>
                <c:pt idx="1033">
                  <c:v>1</c:v>
                </c:pt>
                <c:pt idx="1034">
                  <c:v>1</c:v>
                </c:pt>
                <c:pt idx="1035">
                  <c:v>1</c:v>
                </c:pt>
                <c:pt idx="1036">
                  <c:v>1</c:v>
                </c:pt>
                <c:pt idx="1037">
                  <c:v>1</c:v>
                </c:pt>
                <c:pt idx="1038">
                  <c:v>1</c:v>
                </c:pt>
                <c:pt idx="1039">
                  <c:v>1</c:v>
                </c:pt>
                <c:pt idx="1040">
                  <c:v>1</c:v>
                </c:pt>
                <c:pt idx="1041">
                  <c:v>1</c:v>
                </c:pt>
                <c:pt idx="1042">
                  <c:v>1</c:v>
                </c:pt>
                <c:pt idx="1043">
                  <c:v>1</c:v>
                </c:pt>
                <c:pt idx="1044">
                  <c:v>1</c:v>
                </c:pt>
                <c:pt idx="1045">
                  <c:v>1</c:v>
                </c:pt>
                <c:pt idx="1046">
                  <c:v>1</c:v>
                </c:pt>
                <c:pt idx="1047">
                  <c:v>1</c:v>
                </c:pt>
                <c:pt idx="1048">
                  <c:v>1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1</c:v>
                </c:pt>
                <c:pt idx="1053">
                  <c:v>1</c:v>
                </c:pt>
                <c:pt idx="1054">
                  <c:v>1</c:v>
                </c:pt>
                <c:pt idx="1055">
                  <c:v>1</c:v>
                </c:pt>
                <c:pt idx="1056">
                  <c:v>1</c:v>
                </c:pt>
                <c:pt idx="1057">
                  <c:v>1</c:v>
                </c:pt>
                <c:pt idx="1058">
                  <c:v>1</c:v>
                </c:pt>
                <c:pt idx="1059">
                  <c:v>1</c:v>
                </c:pt>
                <c:pt idx="1060">
                  <c:v>1</c:v>
                </c:pt>
                <c:pt idx="1061">
                  <c:v>1</c:v>
                </c:pt>
                <c:pt idx="1062">
                  <c:v>1</c:v>
                </c:pt>
                <c:pt idx="1063">
                  <c:v>1</c:v>
                </c:pt>
                <c:pt idx="1064">
                  <c:v>1</c:v>
                </c:pt>
                <c:pt idx="1065">
                  <c:v>1</c:v>
                </c:pt>
                <c:pt idx="1066">
                  <c:v>1</c:v>
                </c:pt>
                <c:pt idx="1067">
                  <c:v>1</c:v>
                </c:pt>
                <c:pt idx="1068">
                  <c:v>1</c:v>
                </c:pt>
                <c:pt idx="1069">
                  <c:v>1</c:v>
                </c:pt>
                <c:pt idx="1070">
                  <c:v>1</c:v>
                </c:pt>
                <c:pt idx="1071">
                  <c:v>1</c:v>
                </c:pt>
                <c:pt idx="1072">
                  <c:v>1</c:v>
                </c:pt>
                <c:pt idx="1073">
                  <c:v>1</c:v>
                </c:pt>
                <c:pt idx="1074">
                  <c:v>1</c:v>
                </c:pt>
                <c:pt idx="1075">
                  <c:v>1</c:v>
                </c:pt>
                <c:pt idx="1076">
                  <c:v>1</c:v>
                </c:pt>
                <c:pt idx="1077">
                  <c:v>1</c:v>
                </c:pt>
                <c:pt idx="1078">
                  <c:v>1</c:v>
                </c:pt>
                <c:pt idx="1079">
                  <c:v>1</c:v>
                </c:pt>
                <c:pt idx="1080">
                  <c:v>1</c:v>
                </c:pt>
                <c:pt idx="1081">
                  <c:v>1</c:v>
                </c:pt>
                <c:pt idx="1082">
                  <c:v>1</c:v>
                </c:pt>
                <c:pt idx="1083">
                  <c:v>1</c:v>
                </c:pt>
                <c:pt idx="1084">
                  <c:v>1</c:v>
                </c:pt>
                <c:pt idx="1085">
                  <c:v>1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1</c:v>
                </c:pt>
                <c:pt idx="1097">
                  <c:v>1</c:v>
                </c:pt>
                <c:pt idx="1098">
                  <c:v>1</c:v>
                </c:pt>
                <c:pt idx="1099">
                  <c:v>1</c:v>
                </c:pt>
                <c:pt idx="1100">
                  <c:v>1</c:v>
                </c:pt>
                <c:pt idx="1101">
                  <c:v>1</c:v>
                </c:pt>
                <c:pt idx="1102">
                  <c:v>1</c:v>
                </c:pt>
                <c:pt idx="1103">
                  <c:v>0</c:v>
                </c:pt>
                <c:pt idx="1104">
                  <c:v>1</c:v>
                </c:pt>
                <c:pt idx="1105">
                  <c:v>1</c:v>
                </c:pt>
                <c:pt idx="1106">
                  <c:v>1</c:v>
                </c:pt>
                <c:pt idx="1107">
                  <c:v>1</c:v>
                </c:pt>
                <c:pt idx="1108">
                  <c:v>1</c:v>
                </c:pt>
                <c:pt idx="1109">
                  <c:v>1</c:v>
                </c:pt>
                <c:pt idx="1110">
                  <c:v>1</c:v>
                </c:pt>
                <c:pt idx="1111">
                  <c:v>1</c:v>
                </c:pt>
                <c:pt idx="11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B70-4882-BA62-C3009603626D}"/>
            </c:ext>
          </c:extLst>
        </c:ser>
        <c:ser>
          <c:idx val="4"/>
          <c:order val="5"/>
          <c:tx>
            <c:strRef>
              <c:f>'M1'!$AA$6</c:f>
              <c:strCache>
                <c:ptCount val="1"/>
                <c:pt idx="0">
                  <c:v>bearish</c:v>
                </c:pt>
              </c:strCache>
            </c:strRef>
          </c:tx>
          <c:spPr>
            <a:solidFill>
              <a:srgbClr val="FF7C80"/>
            </a:solidFill>
            <a:ln>
              <a:noFill/>
            </a:ln>
            <a:effectLst/>
          </c:spPr>
          <c:val>
            <c:numRef>
              <c:f>'M1'!$AA$506:$AA$1621</c:f>
              <c:numCache>
                <c:formatCode>General</c:formatCode>
                <c:ptCount val="1116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1</c:v>
                </c:pt>
                <c:pt idx="273">
                  <c:v>1</c:v>
                </c:pt>
                <c:pt idx="274">
                  <c:v>1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1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  <c:pt idx="298">
                  <c:v>1</c:v>
                </c:pt>
                <c:pt idx="299">
                  <c:v>1</c:v>
                </c:pt>
                <c:pt idx="300">
                  <c:v>1</c:v>
                </c:pt>
                <c:pt idx="301">
                  <c:v>1</c:v>
                </c:pt>
                <c:pt idx="302">
                  <c:v>1</c:v>
                </c:pt>
                <c:pt idx="303">
                  <c:v>1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1</c:v>
                </c:pt>
                <c:pt idx="361">
                  <c:v>1</c:v>
                </c:pt>
                <c:pt idx="362">
                  <c:v>1</c:v>
                </c:pt>
                <c:pt idx="363">
                  <c:v>1</c:v>
                </c:pt>
                <c:pt idx="364">
                  <c:v>1</c:v>
                </c:pt>
                <c:pt idx="365">
                  <c:v>1</c:v>
                </c:pt>
                <c:pt idx="366">
                  <c:v>1</c:v>
                </c:pt>
                <c:pt idx="367">
                  <c:v>1</c:v>
                </c:pt>
                <c:pt idx="368">
                  <c:v>1</c:v>
                </c:pt>
                <c:pt idx="369">
                  <c:v>1</c:v>
                </c:pt>
                <c:pt idx="370">
                  <c:v>1</c:v>
                </c:pt>
                <c:pt idx="371">
                  <c:v>1</c:v>
                </c:pt>
                <c:pt idx="372">
                  <c:v>1</c:v>
                </c:pt>
                <c:pt idx="373">
                  <c:v>1</c:v>
                </c:pt>
                <c:pt idx="374">
                  <c:v>1</c:v>
                </c:pt>
                <c:pt idx="375">
                  <c:v>1</c:v>
                </c:pt>
                <c:pt idx="376">
                  <c:v>1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1</c:v>
                </c:pt>
                <c:pt idx="391">
                  <c:v>1</c:v>
                </c:pt>
                <c:pt idx="392">
                  <c:v>1</c:v>
                </c:pt>
                <c:pt idx="393">
                  <c:v>1</c:v>
                </c:pt>
                <c:pt idx="394">
                  <c:v>1</c:v>
                </c:pt>
                <c:pt idx="395">
                  <c:v>1</c:v>
                </c:pt>
                <c:pt idx="396">
                  <c:v>1</c:v>
                </c:pt>
                <c:pt idx="397">
                  <c:v>1</c:v>
                </c:pt>
                <c:pt idx="398">
                  <c:v>1</c:v>
                </c:pt>
                <c:pt idx="399">
                  <c:v>1</c:v>
                </c:pt>
                <c:pt idx="400">
                  <c:v>1</c:v>
                </c:pt>
                <c:pt idx="401">
                  <c:v>1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1</c:v>
                </c:pt>
                <c:pt idx="465">
                  <c:v>1</c:v>
                </c:pt>
                <c:pt idx="466">
                  <c:v>1</c:v>
                </c:pt>
                <c:pt idx="467">
                  <c:v>1</c:v>
                </c:pt>
                <c:pt idx="468">
                  <c:v>1</c:v>
                </c:pt>
                <c:pt idx="469">
                  <c:v>1</c:v>
                </c:pt>
                <c:pt idx="470">
                  <c:v>1</c:v>
                </c:pt>
                <c:pt idx="471">
                  <c:v>1</c:v>
                </c:pt>
                <c:pt idx="472">
                  <c:v>1</c:v>
                </c:pt>
                <c:pt idx="473">
                  <c:v>1</c:v>
                </c:pt>
                <c:pt idx="474">
                  <c:v>1</c:v>
                </c:pt>
                <c:pt idx="475">
                  <c:v>1</c:v>
                </c:pt>
                <c:pt idx="476">
                  <c:v>1</c:v>
                </c:pt>
                <c:pt idx="477">
                  <c:v>1</c:v>
                </c:pt>
                <c:pt idx="478">
                  <c:v>1</c:v>
                </c:pt>
                <c:pt idx="479">
                  <c:v>1</c:v>
                </c:pt>
                <c:pt idx="480">
                  <c:v>1</c:v>
                </c:pt>
                <c:pt idx="481">
                  <c:v>1</c:v>
                </c:pt>
                <c:pt idx="482">
                  <c:v>1</c:v>
                </c:pt>
                <c:pt idx="483">
                  <c:v>1</c:v>
                </c:pt>
                <c:pt idx="484">
                  <c:v>1</c:v>
                </c:pt>
                <c:pt idx="485">
                  <c:v>1</c:v>
                </c:pt>
                <c:pt idx="486">
                  <c:v>1</c:v>
                </c:pt>
                <c:pt idx="487">
                  <c:v>1</c:v>
                </c:pt>
                <c:pt idx="488">
                  <c:v>1</c:v>
                </c:pt>
                <c:pt idx="489">
                  <c:v>1</c:v>
                </c:pt>
                <c:pt idx="490">
                  <c:v>1</c:v>
                </c:pt>
                <c:pt idx="491">
                  <c:v>1</c:v>
                </c:pt>
                <c:pt idx="492">
                  <c:v>1</c:v>
                </c:pt>
                <c:pt idx="493">
                  <c:v>1</c:v>
                </c:pt>
                <c:pt idx="494">
                  <c:v>1</c:v>
                </c:pt>
                <c:pt idx="495">
                  <c:v>1</c:v>
                </c:pt>
                <c:pt idx="496">
                  <c:v>1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1</c:v>
                </c:pt>
                <c:pt idx="552">
                  <c:v>1</c:v>
                </c:pt>
                <c:pt idx="553">
                  <c:v>1</c:v>
                </c:pt>
                <c:pt idx="554">
                  <c:v>1</c:v>
                </c:pt>
                <c:pt idx="555">
                  <c:v>1</c:v>
                </c:pt>
                <c:pt idx="556">
                  <c:v>1</c:v>
                </c:pt>
                <c:pt idx="557">
                  <c:v>1</c:v>
                </c:pt>
                <c:pt idx="558">
                  <c:v>1</c:v>
                </c:pt>
                <c:pt idx="559">
                  <c:v>1</c:v>
                </c:pt>
                <c:pt idx="560">
                  <c:v>1</c:v>
                </c:pt>
                <c:pt idx="561">
                  <c:v>1</c:v>
                </c:pt>
                <c:pt idx="562">
                  <c:v>1</c:v>
                </c:pt>
                <c:pt idx="563">
                  <c:v>1</c:v>
                </c:pt>
                <c:pt idx="564">
                  <c:v>1</c:v>
                </c:pt>
                <c:pt idx="565">
                  <c:v>1</c:v>
                </c:pt>
                <c:pt idx="566">
                  <c:v>1</c:v>
                </c:pt>
                <c:pt idx="567">
                  <c:v>1</c:v>
                </c:pt>
                <c:pt idx="568">
                  <c:v>1</c:v>
                </c:pt>
                <c:pt idx="569">
                  <c:v>1</c:v>
                </c:pt>
                <c:pt idx="570">
                  <c:v>1</c:v>
                </c:pt>
                <c:pt idx="571">
                  <c:v>1</c:v>
                </c:pt>
                <c:pt idx="572">
                  <c:v>1</c:v>
                </c:pt>
                <c:pt idx="573">
                  <c:v>1</c:v>
                </c:pt>
                <c:pt idx="574">
                  <c:v>1</c:v>
                </c:pt>
                <c:pt idx="575">
                  <c:v>1</c:v>
                </c:pt>
                <c:pt idx="576">
                  <c:v>1</c:v>
                </c:pt>
                <c:pt idx="577">
                  <c:v>1</c:v>
                </c:pt>
                <c:pt idx="578">
                  <c:v>1</c:v>
                </c:pt>
                <c:pt idx="579">
                  <c:v>1</c:v>
                </c:pt>
                <c:pt idx="580">
                  <c:v>1</c:v>
                </c:pt>
                <c:pt idx="581">
                  <c:v>1</c:v>
                </c:pt>
                <c:pt idx="582">
                  <c:v>1</c:v>
                </c:pt>
                <c:pt idx="583">
                  <c:v>1</c:v>
                </c:pt>
                <c:pt idx="584">
                  <c:v>1</c:v>
                </c:pt>
                <c:pt idx="585">
                  <c:v>1</c:v>
                </c:pt>
                <c:pt idx="586">
                  <c:v>1</c:v>
                </c:pt>
                <c:pt idx="587">
                  <c:v>1</c:v>
                </c:pt>
                <c:pt idx="588">
                  <c:v>1</c:v>
                </c:pt>
                <c:pt idx="589">
                  <c:v>1</c:v>
                </c:pt>
                <c:pt idx="590">
                  <c:v>1</c:v>
                </c:pt>
                <c:pt idx="591">
                  <c:v>1</c:v>
                </c:pt>
                <c:pt idx="592">
                  <c:v>1</c:v>
                </c:pt>
                <c:pt idx="593">
                  <c:v>1</c:v>
                </c:pt>
                <c:pt idx="594">
                  <c:v>1</c:v>
                </c:pt>
                <c:pt idx="595">
                  <c:v>1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1</c:v>
                </c:pt>
                <c:pt idx="608">
                  <c:v>1</c:v>
                </c:pt>
                <c:pt idx="609">
                  <c:v>1</c:v>
                </c:pt>
                <c:pt idx="610">
                  <c:v>1</c:v>
                </c:pt>
                <c:pt idx="611">
                  <c:v>1</c:v>
                </c:pt>
                <c:pt idx="612">
                  <c:v>1</c:v>
                </c:pt>
                <c:pt idx="613">
                  <c:v>1</c:v>
                </c:pt>
                <c:pt idx="614">
                  <c:v>1</c:v>
                </c:pt>
                <c:pt idx="615">
                  <c:v>1</c:v>
                </c:pt>
                <c:pt idx="616">
                  <c:v>1</c:v>
                </c:pt>
                <c:pt idx="617">
                  <c:v>1</c:v>
                </c:pt>
                <c:pt idx="618">
                  <c:v>1</c:v>
                </c:pt>
                <c:pt idx="619">
                  <c:v>1</c:v>
                </c:pt>
                <c:pt idx="620">
                  <c:v>1</c:v>
                </c:pt>
                <c:pt idx="621">
                  <c:v>1</c:v>
                </c:pt>
                <c:pt idx="622">
                  <c:v>1</c:v>
                </c:pt>
                <c:pt idx="623">
                  <c:v>1</c:v>
                </c:pt>
                <c:pt idx="624">
                  <c:v>1</c:v>
                </c:pt>
                <c:pt idx="625">
                  <c:v>1</c:v>
                </c:pt>
                <c:pt idx="626">
                  <c:v>1</c:v>
                </c:pt>
                <c:pt idx="627">
                  <c:v>1</c:v>
                </c:pt>
                <c:pt idx="628">
                  <c:v>1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1</c:v>
                </c:pt>
                <c:pt idx="682">
                  <c:v>1</c:v>
                </c:pt>
                <c:pt idx="683">
                  <c:v>1</c:v>
                </c:pt>
                <c:pt idx="684">
                  <c:v>1</c:v>
                </c:pt>
                <c:pt idx="685">
                  <c:v>1</c:v>
                </c:pt>
                <c:pt idx="686">
                  <c:v>1</c:v>
                </c:pt>
                <c:pt idx="687">
                  <c:v>1</c:v>
                </c:pt>
                <c:pt idx="688">
                  <c:v>1</c:v>
                </c:pt>
                <c:pt idx="689">
                  <c:v>1</c:v>
                </c:pt>
                <c:pt idx="690">
                  <c:v>1</c:v>
                </c:pt>
                <c:pt idx="691">
                  <c:v>1</c:v>
                </c:pt>
                <c:pt idx="692">
                  <c:v>1</c:v>
                </c:pt>
                <c:pt idx="693">
                  <c:v>1</c:v>
                </c:pt>
                <c:pt idx="694">
                  <c:v>1</c:v>
                </c:pt>
                <c:pt idx="695">
                  <c:v>1</c:v>
                </c:pt>
                <c:pt idx="696">
                  <c:v>1</c:v>
                </c:pt>
                <c:pt idx="697">
                  <c:v>1</c:v>
                </c:pt>
                <c:pt idx="698">
                  <c:v>1</c:v>
                </c:pt>
                <c:pt idx="699">
                  <c:v>1</c:v>
                </c:pt>
                <c:pt idx="700">
                  <c:v>1</c:v>
                </c:pt>
                <c:pt idx="701">
                  <c:v>1</c:v>
                </c:pt>
                <c:pt idx="702">
                  <c:v>1</c:v>
                </c:pt>
                <c:pt idx="703">
                  <c:v>1</c:v>
                </c:pt>
                <c:pt idx="704">
                  <c:v>1</c:v>
                </c:pt>
                <c:pt idx="705">
                  <c:v>1</c:v>
                </c:pt>
                <c:pt idx="706">
                  <c:v>1</c:v>
                </c:pt>
                <c:pt idx="707">
                  <c:v>1</c:v>
                </c:pt>
                <c:pt idx="708">
                  <c:v>1</c:v>
                </c:pt>
                <c:pt idx="709">
                  <c:v>1</c:v>
                </c:pt>
                <c:pt idx="710">
                  <c:v>1</c:v>
                </c:pt>
                <c:pt idx="711">
                  <c:v>1</c:v>
                </c:pt>
                <c:pt idx="712">
                  <c:v>1</c:v>
                </c:pt>
                <c:pt idx="713">
                  <c:v>1</c:v>
                </c:pt>
                <c:pt idx="714">
                  <c:v>1</c:v>
                </c:pt>
                <c:pt idx="715">
                  <c:v>1</c:v>
                </c:pt>
                <c:pt idx="716">
                  <c:v>1</c:v>
                </c:pt>
                <c:pt idx="717">
                  <c:v>1</c:v>
                </c:pt>
                <c:pt idx="718">
                  <c:v>1</c:v>
                </c:pt>
                <c:pt idx="719">
                  <c:v>1</c:v>
                </c:pt>
                <c:pt idx="720">
                  <c:v>1</c:v>
                </c:pt>
                <c:pt idx="721">
                  <c:v>1</c:v>
                </c:pt>
                <c:pt idx="722">
                  <c:v>1</c:v>
                </c:pt>
                <c:pt idx="723">
                  <c:v>1</c:v>
                </c:pt>
                <c:pt idx="724">
                  <c:v>1</c:v>
                </c:pt>
                <c:pt idx="725">
                  <c:v>1</c:v>
                </c:pt>
                <c:pt idx="726">
                  <c:v>1</c:v>
                </c:pt>
                <c:pt idx="727">
                  <c:v>1</c:v>
                </c:pt>
                <c:pt idx="728">
                  <c:v>1</c:v>
                </c:pt>
                <c:pt idx="729">
                  <c:v>1</c:v>
                </c:pt>
                <c:pt idx="730">
                  <c:v>1</c:v>
                </c:pt>
                <c:pt idx="731">
                  <c:v>1</c:v>
                </c:pt>
                <c:pt idx="732">
                  <c:v>1</c:v>
                </c:pt>
                <c:pt idx="733">
                  <c:v>1</c:v>
                </c:pt>
                <c:pt idx="734">
                  <c:v>1</c:v>
                </c:pt>
                <c:pt idx="735">
                  <c:v>1</c:v>
                </c:pt>
                <c:pt idx="736">
                  <c:v>1</c:v>
                </c:pt>
                <c:pt idx="737">
                  <c:v>1</c:v>
                </c:pt>
                <c:pt idx="738">
                  <c:v>1</c:v>
                </c:pt>
                <c:pt idx="739">
                  <c:v>1</c:v>
                </c:pt>
                <c:pt idx="740">
                  <c:v>1</c:v>
                </c:pt>
                <c:pt idx="741">
                  <c:v>1</c:v>
                </c:pt>
                <c:pt idx="742">
                  <c:v>1</c:v>
                </c:pt>
                <c:pt idx="743">
                  <c:v>1</c:v>
                </c:pt>
                <c:pt idx="744">
                  <c:v>1</c:v>
                </c:pt>
                <c:pt idx="745">
                  <c:v>1</c:v>
                </c:pt>
                <c:pt idx="746">
                  <c:v>1</c:v>
                </c:pt>
                <c:pt idx="747">
                  <c:v>1</c:v>
                </c:pt>
                <c:pt idx="748">
                  <c:v>1</c:v>
                </c:pt>
                <c:pt idx="749">
                  <c:v>1</c:v>
                </c:pt>
                <c:pt idx="750">
                  <c:v>1</c:v>
                </c:pt>
                <c:pt idx="751">
                  <c:v>1</c:v>
                </c:pt>
                <c:pt idx="752">
                  <c:v>1</c:v>
                </c:pt>
                <c:pt idx="753">
                  <c:v>1</c:v>
                </c:pt>
                <c:pt idx="754">
                  <c:v>1</c:v>
                </c:pt>
                <c:pt idx="755">
                  <c:v>1</c:v>
                </c:pt>
                <c:pt idx="756">
                  <c:v>1</c:v>
                </c:pt>
                <c:pt idx="757">
                  <c:v>1</c:v>
                </c:pt>
                <c:pt idx="758">
                  <c:v>1</c:v>
                </c:pt>
                <c:pt idx="759">
                  <c:v>1</c:v>
                </c:pt>
                <c:pt idx="760">
                  <c:v>1</c:v>
                </c:pt>
                <c:pt idx="761">
                  <c:v>1</c:v>
                </c:pt>
                <c:pt idx="762">
                  <c:v>1</c:v>
                </c:pt>
                <c:pt idx="763">
                  <c:v>1</c:v>
                </c:pt>
                <c:pt idx="764">
                  <c:v>1</c:v>
                </c:pt>
                <c:pt idx="765">
                  <c:v>1</c:v>
                </c:pt>
                <c:pt idx="766">
                  <c:v>1</c:v>
                </c:pt>
                <c:pt idx="767">
                  <c:v>1</c:v>
                </c:pt>
                <c:pt idx="768">
                  <c:v>1</c:v>
                </c:pt>
                <c:pt idx="769">
                  <c:v>1</c:v>
                </c:pt>
                <c:pt idx="770">
                  <c:v>1</c:v>
                </c:pt>
                <c:pt idx="771">
                  <c:v>1</c:v>
                </c:pt>
                <c:pt idx="772">
                  <c:v>1</c:v>
                </c:pt>
                <c:pt idx="773">
                  <c:v>1</c:v>
                </c:pt>
                <c:pt idx="774">
                  <c:v>1</c:v>
                </c:pt>
                <c:pt idx="775">
                  <c:v>1</c:v>
                </c:pt>
                <c:pt idx="776">
                  <c:v>1</c:v>
                </c:pt>
                <c:pt idx="777">
                  <c:v>1</c:v>
                </c:pt>
                <c:pt idx="778">
                  <c:v>1</c:v>
                </c:pt>
                <c:pt idx="779">
                  <c:v>1</c:v>
                </c:pt>
                <c:pt idx="780">
                  <c:v>1</c:v>
                </c:pt>
                <c:pt idx="781">
                  <c:v>1</c:v>
                </c:pt>
                <c:pt idx="782">
                  <c:v>1</c:v>
                </c:pt>
                <c:pt idx="783">
                  <c:v>1</c:v>
                </c:pt>
                <c:pt idx="784">
                  <c:v>1</c:v>
                </c:pt>
                <c:pt idx="785">
                  <c:v>1</c:v>
                </c:pt>
                <c:pt idx="786">
                  <c:v>1</c:v>
                </c:pt>
                <c:pt idx="787">
                  <c:v>1</c:v>
                </c:pt>
                <c:pt idx="788">
                  <c:v>1</c:v>
                </c:pt>
                <c:pt idx="789">
                  <c:v>1</c:v>
                </c:pt>
                <c:pt idx="790">
                  <c:v>1</c:v>
                </c:pt>
                <c:pt idx="791">
                  <c:v>1</c:v>
                </c:pt>
                <c:pt idx="792">
                  <c:v>1</c:v>
                </c:pt>
                <c:pt idx="793">
                  <c:v>1</c:v>
                </c:pt>
                <c:pt idx="794">
                  <c:v>1</c:v>
                </c:pt>
                <c:pt idx="795">
                  <c:v>1</c:v>
                </c:pt>
                <c:pt idx="796">
                  <c:v>1</c:v>
                </c:pt>
                <c:pt idx="797">
                  <c:v>1</c:v>
                </c:pt>
                <c:pt idx="798">
                  <c:v>1</c:v>
                </c:pt>
                <c:pt idx="799">
                  <c:v>1</c:v>
                </c:pt>
                <c:pt idx="800">
                  <c:v>1</c:v>
                </c:pt>
                <c:pt idx="801">
                  <c:v>1</c:v>
                </c:pt>
                <c:pt idx="802">
                  <c:v>1</c:v>
                </c:pt>
                <c:pt idx="803">
                  <c:v>1</c:v>
                </c:pt>
                <c:pt idx="804">
                  <c:v>1</c:v>
                </c:pt>
                <c:pt idx="805">
                  <c:v>1</c:v>
                </c:pt>
                <c:pt idx="806">
                  <c:v>1</c:v>
                </c:pt>
                <c:pt idx="807">
                  <c:v>1</c:v>
                </c:pt>
                <c:pt idx="808">
                  <c:v>1</c:v>
                </c:pt>
                <c:pt idx="809">
                  <c:v>1</c:v>
                </c:pt>
                <c:pt idx="810">
                  <c:v>1</c:v>
                </c:pt>
                <c:pt idx="811">
                  <c:v>1</c:v>
                </c:pt>
                <c:pt idx="812">
                  <c:v>1</c:v>
                </c:pt>
                <c:pt idx="813">
                  <c:v>1</c:v>
                </c:pt>
                <c:pt idx="814">
                  <c:v>1</c:v>
                </c:pt>
                <c:pt idx="815">
                  <c:v>1</c:v>
                </c:pt>
                <c:pt idx="816">
                  <c:v>1</c:v>
                </c:pt>
                <c:pt idx="817">
                  <c:v>1</c:v>
                </c:pt>
                <c:pt idx="818">
                  <c:v>1</c:v>
                </c:pt>
                <c:pt idx="819">
                  <c:v>1</c:v>
                </c:pt>
                <c:pt idx="820">
                  <c:v>1</c:v>
                </c:pt>
                <c:pt idx="821">
                  <c:v>1</c:v>
                </c:pt>
                <c:pt idx="822">
                  <c:v>1</c:v>
                </c:pt>
                <c:pt idx="823">
                  <c:v>1</c:v>
                </c:pt>
                <c:pt idx="824">
                  <c:v>1</c:v>
                </c:pt>
                <c:pt idx="825">
                  <c:v>1</c:v>
                </c:pt>
                <c:pt idx="826">
                  <c:v>1</c:v>
                </c:pt>
                <c:pt idx="827">
                  <c:v>1</c:v>
                </c:pt>
                <c:pt idx="828">
                  <c:v>1</c:v>
                </c:pt>
                <c:pt idx="829">
                  <c:v>1</c:v>
                </c:pt>
                <c:pt idx="830">
                  <c:v>1</c:v>
                </c:pt>
                <c:pt idx="831">
                  <c:v>1</c:v>
                </c:pt>
                <c:pt idx="832">
                  <c:v>1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1</c:v>
                </c:pt>
                <c:pt idx="842">
                  <c:v>1</c:v>
                </c:pt>
                <c:pt idx="843">
                  <c:v>1</c:v>
                </c:pt>
                <c:pt idx="844">
                  <c:v>1</c:v>
                </c:pt>
                <c:pt idx="845">
                  <c:v>1</c:v>
                </c:pt>
                <c:pt idx="846">
                  <c:v>0</c:v>
                </c:pt>
                <c:pt idx="847">
                  <c:v>1</c:v>
                </c:pt>
                <c:pt idx="848">
                  <c:v>1</c:v>
                </c:pt>
                <c:pt idx="849">
                  <c:v>1</c:v>
                </c:pt>
                <c:pt idx="850">
                  <c:v>1</c:v>
                </c:pt>
                <c:pt idx="851">
                  <c:v>1</c:v>
                </c:pt>
                <c:pt idx="852">
                  <c:v>1</c:v>
                </c:pt>
                <c:pt idx="853">
                  <c:v>1</c:v>
                </c:pt>
                <c:pt idx="854">
                  <c:v>1</c:v>
                </c:pt>
                <c:pt idx="855">
                  <c:v>1</c:v>
                </c:pt>
                <c:pt idx="856">
                  <c:v>1</c:v>
                </c:pt>
                <c:pt idx="857">
                  <c:v>1</c:v>
                </c:pt>
                <c:pt idx="858">
                  <c:v>1</c:v>
                </c:pt>
                <c:pt idx="859">
                  <c:v>1</c:v>
                </c:pt>
                <c:pt idx="860">
                  <c:v>1</c:v>
                </c:pt>
                <c:pt idx="861">
                  <c:v>1</c:v>
                </c:pt>
                <c:pt idx="862">
                  <c:v>1</c:v>
                </c:pt>
                <c:pt idx="863">
                  <c:v>1</c:v>
                </c:pt>
                <c:pt idx="864">
                  <c:v>1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1</c:v>
                </c:pt>
                <c:pt idx="880">
                  <c:v>1</c:v>
                </c:pt>
                <c:pt idx="881">
                  <c:v>1</c:v>
                </c:pt>
                <c:pt idx="882">
                  <c:v>1</c:v>
                </c:pt>
                <c:pt idx="883">
                  <c:v>1</c:v>
                </c:pt>
                <c:pt idx="884">
                  <c:v>1</c:v>
                </c:pt>
                <c:pt idx="885">
                  <c:v>1</c:v>
                </c:pt>
                <c:pt idx="886">
                  <c:v>1</c:v>
                </c:pt>
                <c:pt idx="887">
                  <c:v>1</c:v>
                </c:pt>
                <c:pt idx="888">
                  <c:v>1</c:v>
                </c:pt>
                <c:pt idx="889">
                  <c:v>1</c:v>
                </c:pt>
                <c:pt idx="890">
                  <c:v>1</c:v>
                </c:pt>
                <c:pt idx="891">
                  <c:v>1</c:v>
                </c:pt>
                <c:pt idx="892">
                  <c:v>1</c:v>
                </c:pt>
                <c:pt idx="893">
                  <c:v>1</c:v>
                </c:pt>
                <c:pt idx="894">
                  <c:v>1</c:v>
                </c:pt>
                <c:pt idx="895">
                  <c:v>1</c:v>
                </c:pt>
                <c:pt idx="896">
                  <c:v>1</c:v>
                </c:pt>
                <c:pt idx="897">
                  <c:v>1</c:v>
                </c:pt>
                <c:pt idx="898">
                  <c:v>1</c:v>
                </c:pt>
                <c:pt idx="899">
                  <c:v>1</c:v>
                </c:pt>
                <c:pt idx="900">
                  <c:v>1</c:v>
                </c:pt>
                <c:pt idx="901">
                  <c:v>1</c:v>
                </c:pt>
                <c:pt idx="902">
                  <c:v>1</c:v>
                </c:pt>
                <c:pt idx="903">
                  <c:v>1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1</c:v>
                </c:pt>
                <c:pt idx="928">
                  <c:v>1</c:v>
                </c:pt>
                <c:pt idx="929">
                  <c:v>1</c:v>
                </c:pt>
                <c:pt idx="930">
                  <c:v>1</c:v>
                </c:pt>
                <c:pt idx="931">
                  <c:v>1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1</c:v>
                </c:pt>
                <c:pt idx="1050">
                  <c:v>1</c:v>
                </c:pt>
                <c:pt idx="1051">
                  <c:v>1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1</c:v>
                </c:pt>
                <c:pt idx="1087">
                  <c:v>1</c:v>
                </c:pt>
                <c:pt idx="1088">
                  <c:v>1</c:v>
                </c:pt>
                <c:pt idx="1089">
                  <c:v>1</c:v>
                </c:pt>
                <c:pt idx="1090">
                  <c:v>1</c:v>
                </c:pt>
                <c:pt idx="1091">
                  <c:v>1</c:v>
                </c:pt>
                <c:pt idx="1092">
                  <c:v>1</c:v>
                </c:pt>
                <c:pt idx="1093">
                  <c:v>1</c:v>
                </c:pt>
                <c:pt idx="1094">
                  <c:v>1</c:v>
                </c:pt>
                <c:pt idx="1095">
                  <c:v>1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1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B70-4882-BA62-C300960362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4952808"/>
        <c:axId val="2134953792"/>
      </c:areaChart>
      <c:barChart>
        <c:barDir val="col"/>
        <c:grouping val="clustered"/>
        <c:varyColors val="0"/>
        <c:ser>
          <c:idx val="2"/>
          <c:order val="1"/>
          <c:tx>
            <c:strRef>
              <c:f>'M1'!$U$6</c:f>
              <c:strCache>
                <c:ptCount val="1"/>
                <c:pt idx="0">
                  <c:v>FVG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val>
            <c:numRef>
              <c:f>'M1'!$U$7:$U$1621</c:f>
              <c:numCache>
                <c:formatCode>0.00</c:formatCode>
                <c:ptCount val="16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0.31869631127445364</c:v>
                </c:pt>
                <c:pt idx="500">
                  <c:v>-4.9441687680835011E-2</c:v>
                </c:pt>
                <c:pt idx="501">
                  <c:v>-0.14824841144591439</c:v>
                </c:pt>
                <c:pt idx="502">
                  <c:v>-0.13282909987816849</c:v>
                </c:pt>
                <c:pt idx="503">
                  <c:v>-8.2742068472857033E-2</c:v>
                </c:pt>
                <c:pt idx="504">
                  <c:v>0.2694821950620736</c:v>
                </c:pt>
                <c:pt idx="505">
                  <c:v>0.13920416283903592</c:v>
                </c:pt>
                <c:pt idx="506">
                  <c:v>-3.2436105239997293E-2</c:v>
                </c:pt>
                <c:pt idx="507">
                  <c:v>-0.26011339520048238</c:v>
                </c:pt>
                <c:pt idx="508">
                  <c:v>-0.49300945842716648</c:v>
                </c:pt>
                <c:pt idx="509">
                  <c:v>-0.49663678105138032</c:v>
                </c:pt>
                <c:pt idx="510">
                  <c:v>-0.58854478683138534</c:v>
                </c:pt>
                <c:pt idx="511">
                  <c:v>-0.73248175828961171</c:v>
                </c:pt>
                <c:pt idx="512">
                  <c:v>-0.87903413190703006</c:v>
                </c:pt>
                <c:pt idx="513">
                  <c:v>-1.08227862694834</c:v>
                </c:pt>
                <c:pt idx="514">
                  <c:v>0.28328790278722371</c:v>
                </c:pt>
                <c:pt idx="515">
                  <c:v>0.6349890495367625</c:v>
                </c:pt>
                <c:pt idx="516">
                  <c:v>0.26034327802024126</c:v>
                </c:pt>
                <c:pt idx="517">
                  <c:v>0.13430618491384161</c:v>
                </c:pt>
                <c:pt idx="518">
                  <c:v>0.23915795638344184</c:v>
                </c:pt>
                <c:pt idx="519">
                  <c:v>-0.14729644293610078</c:v>
                </c:pt>
                <c:pt idx="520">
                  <c:v>-0.37923479240563474</c:v>
                </c:pt>
                <c:pt idx="521">
                  <c:v>-0.63921996366738476</c:v>
                </c:pt>
                <c:pt idx="522">
                  <c:v>-0.57706860020710105</c:v>
                </c:pt>
                <c:pt idx="523">
                  <c:v>-0.46340774265305518</c:v>
                </c:pt>
                <c:pt idx="524">
                  <c:v>-5.0646749658615819E-2</c:v>
                </c:pt>
                <c:pt idx="525">
                  <c:v>-0.54856850056946138</c:v>
                </c:pt>
                <c:pt idx="526">
                  <c:v>-0.63261443799765771</c:v>
                </c:pt>
                <c:pt idx="527">
                  <c:v>-0.79570221949501341</c:v>
                </c:pt>
                <c:pt idx="528">
                  <c:v>-0.9394784503411524</c:v>
                </c:pt>
                <c:pt idx="529">
                  <c:v>-1.1511813157741211</c:v>
                </c:pt>
                <c:pt idx="530">
                  <c:v>-0.88148106970310258</c:v>
                </c:pt>
                <c:pt idx="531">
                  <c:v>-0.56142951129326324</c:v>
                </c:pt>
                <c:pt idx="532">
                  <c:v>-0.42591203937416311</c:v>
                </c:pt>
                <c:pt idx="533">
                  <c:v>-0.28738360823051456</c:v>
                </c:pt>
                <c:pt idx="534">
                  <c:v>-0.60432304921132185</c:v>
                </c:pt>
                <c:pt idx="535">
                  <c:v>-0.70067700751787254</c:v>
                </c:pt>
                <c:pt idx="536">
                  <c:v>-0.92713850034687462</c:v>
                </c:pt>
                <c:pt idx="537">
                  <c:v>-0.8923861327281426</c:v>
                </c:pt>
                <c:pt idx="538">
                  <c:v>-0.98308006659462288</c:v>
                </c:pt>
                <c:pt idx="539">
                  <c:v>-0.85426171993076983</c:v>
                </c:pt>
                <c:pt idx="540">
                  <c:v>-0.47523634455329078</c:v>
                </c:pt>
                <c:pt idx="541">
                  <c:v>-0.1111818462502443</c:v>
                </c:pt>
                <c:pt idx="542">
                  <c:v>3.0363891311813163E-4</c:v>
                </c:pt>
                <c:pt idx="543">
                  <c:v>0.16299478955030855</c:v>
                </c:pt>
                <c:pt idx="544">
                  <c:v>0.39375828597683782</c:v>
                </c:pt>
                <c:pt idx="545">
                  <c:v>0.43516550566178647</c:v>
                </c:pt>
                <c:pt idx="546">
                  <c:v>0.40257725521960652</c:v>
                </c:pt>
                <c:pt idx="547">
                  <c:v>2.6115371271300702E-2</c:v>
                </c:pt>
                <c:pt idx="548">
                  <c:v>0.26305759667490691</c:v>
                </c:pt>
                <c:pt idx="549">
                  <c:v>0.19679480030496732</c:v>
                </c:pt>
                <c:pt idx="550">
                  <c:v>0.35746066662978948</c:v>
                </c:pt>
                <c:pt idx="551">
                  <c:v>0.30115604298654874</c:v>
                </c:pt>
                <c:pt idx="552">
                  <c:v>0.15487716524725959</c:v>
                </c:pt>
                <c:pt idx="553">
                  <c:v>0.30836522062200455</c:v>
                </c:pt>
                <c:pt idx="554">
                  <c:v>0.43743811482150496</c:v>
                </c:pt>
                <c:pt idx="555">
                  <c:v>0.51732355012033926</c:v>
                </c:pt>
                <c:pt idx="556">
                  <c:v>0.2514389561275433</c:v>
                </c:pt>
                <c:pt idx="557">
                  <c:v>0.3612476781415902</c:v>
                </c:pt>
                <c:pt idx="558">
                  <c:v>0.20638479799197829</c:v>
                </c:pt>
                <c:pt idx="559">
                  <c:v>0.24106965775234473</c:v>
                </c:pt>
                <c:pt idx="560">
                  <c:v>0.20850327346989461</c:v>
                </c:pt>
                <c:pt idx="561">
                  <c:v>0.21832416234722885</c:v>
                </c:pt>
                <c:pt idx="562">
                  <c:v>0.15362721639136534</c:v>
                </c:pt>
                <c:pt idx="563">
                  <c:v>4.4302451934496057E-2</c:v>
                </c:pt>
                <c:pt idx="564">
                  <c:v>0.14638578004108943</c:v>
                </c:pt>
                <c:pt idx="565">
                  <c:v>5.1715293140542712E-2</c:v>
                </c:pt>
                <c:pt idx="566">
                  <c:v>-0.13852990380798363</c:v>
                </c:pt>
                <c:pt idx="567">
                  <c:v>-0.33342621310654996</c:v>
                </c:pt>
                <c:pt idx="568">
                  <c:v>-0.35691939948326756</c:v>
                </c:pt>
                <c:pt idx="569">
                  <c:v>-0.32125412738457237</c:v>
                </c:pt>
                <c:pt idx="570">
                  <c:v>-0.30858282514744489</c:v>
                </c:pt>
                <c:pt idx="571">
                  <c:v>-0.28957666005239135</c:v>
                </c:pt>
                <c:pt idx="572">
                  <c:v>-0.26206549547844737</c:v>
                </c:pt>
                <c:pt idx="573">
                  <c:v>-0.14759945987708273</c:v>
                </c:pt>
                <c:pt idx="574">
                  <c:v>-0.10353108945468201</c:v>
                </c:pt>
                <c:pt idx="575">
                  <c:v>-0.14432476223632745</c:v>
                </c:pt>
                <c:pt idx="576">
                  <c:v>-0.29229252874835437</c:v>
                </c:pt>
                <c:pt idx="577">
                  <c:v>-0.3754523370524796</c:v>
                </c:pt>
                <c:pt idx="578">
                  <c:v>-0.25829645162681253</c:v>
                </c:pt>
                <c:pt idx="579">
                  <c:v>0.76333697329231009</c:v>
                </c:pt>
                <c:pt idx="580">
                  <c:v>0.53127258080769268</c:v>
                </c:pt>
                <c:pt idx="581">
                  <c:v>0.38625619154120561</c:v>
                </c:pt>
                <c:pt idx="582">
                  <c:v>0.41084474611757749</c:v>
                </c:pt>
                <c:pt idx="583">
                  <c:v>0.4660590737774164</c:v>
                </c:pt>
                <c:pt idx="584">
                  <c:v>0.45083809462950997</c:v>
                </c:pt>
                <c:pt idx="585">
                  <c:v>0.32215431973122816</c:v>
                </c:pt>
                <c:pt idx="586">
                  <c:v>0.12557928734153234</c:v>
                </c:pt>
                <c:pt idx="587">
                  <c:v>3.1341887178875392E-2</c:v>
                </c:pt>
                <c:pt idx="588">
                  <c:v>-0.43881221489020283</c:v>
                </c:pt>
                <c:pt idx="589">
                  <c:v>-0.47281726962863102</c:v>
                </c:pt>
                <c:pt idx="590">
                  <c:v>-0.48281673934951602</c:v>
                </c:pt>
                <c:pt idx="591">
                  <c:v>-0.59260443283785458</c:v>
                </c:pt>
                <c:pt idx="592">
                  <c:v>-0.57013862576836338</c:v>
                </c:pt>
                <c:pt idx="593">
                  <c:v>-0.46296329817674048</c:v>
                </c:pt>
                <c:pt idx="594">
                  <c:v>-0.53751809949945772</c:v>
                </c:pt>
                <c:pt idx="595">
                  <c:v>-0.45933504072972431</c:v>
                </c:pt>
                <c:pt idx="596">
                  <c:v>-0.56489668178797803</c:v>
                </c:pt>
                <c:pt idx="597">
                  <c:v>0.5284154150375544</c:v>
                </c:pt>
                <c:pt idx="598">
                  <c:v>0.23574702227548447</c:v>
                </c:pt>
                <c:pt idx="599">
                  <c:v>0.18543359718061783</c:v>
                </c:pt>
                <c:pt idx="600">
                  <c:v>0.19202597746846881</c:v>
                </c:pt>
                <c:pt idx="601">
                  <c:v>0.11903585138652678</c:v>
                </c:pt>
                <c:pt idx="602">
                  <c:v>0.20849725202907382</c:v>
                </c:pt>
                <c:pt idx="603">
                  <c:v>0.1537478623649754</c:v>
                </c:pt>
                <c:pt idx="604">
                  <c:v>0.101088344413828</c:v>
                </c:pt>
                <c:pt idx="605">
                  <c:v>0.11629400792793099</c:v>
                </c:pt>
                <c:pt idx="606">
                  <c:v>6.0425875942110241E-2</c:v>
                </c:pt>
                <c:pt idx="607">
                  <c:v>-4.7309649236187079E-2</c:v>
                </c:pt>
                <c:pt idx="608">
                  <c:v>-8.7007085819881091E-2</c:v>
                </c:pt>
                <c:pt idx="609">
                  <c:v>-0.2507482851121452</c:v>
                </c:pt>
                <c:pt idx="610">
                  <c:v>-0.34434867851294426</c:v>
                </c:pt>
                <c:pt idx="611">
                  <c:v>-0.37245084492495734</c:v>
                </c:pt>
                <c:pt idx="612">
                  <c:v>-0.45022231540777735</c:v>
                </c:pt>
                <c:pt idx="613">
                  <c:v>-0.48487808832028412</c:v>
                </c:pt>
                <c:pt idx="614">
                  <c:v>-0.63031948303574592</c:v>
                </c:pt>
                <c:pt idx="615">
                  <c:v>-0.51650924603348214</c:v>
                </c:pt>
                <c:pt idx="616">
                  <c:v>-0.51389591644826327</c:v>
                </c:pt>
                <c:pt idx="617">
                  <c:v>-0.43134962183846548</c:v>
                </c:pt>
                <c:pt idx="618">
                  <c:v>-0.47864018685446375</c:v>
                </c:pt>
                <c:pt idx="619">
                  <c:v>-0.38170809754204954</c:v>
                </c:pt>
                <c:pt idx="620">
                  <c:v>0.61069638150097105</c:v>
                </c:pt>
                <c:pt idx="621">
                  <c:v>0.52019910869348085</c:v>
                </c:pt>
                <c:pt idx="622">
                  <c:v>0.44900151795944898</c:v>
                </c:pt>
                <c:pt idx="623">
                  <c:v>0.38913508580086109</c:v>
                </c:pt>
                <c:pt idx="624">
                  <c:v>0.32154314052185762</c:v>
                </c:pt>
                <c:pt idx="625">
                  <c:v>0.1360926045738102</c:v>
                </c:pt>
                <c:pt idx="626">
                  <c:v>0.17924641346588444</c:v>
                </c:pt>
                <c:pt idx="627">
                  <c:v>0.15153565552077147</c:v>
                </c:pt>
                <c:pt idx="628">
                  <c:v>9.1140712684970371E-2</c:v>
                </c:pt>
                <c:pt idx="629">
                  <c:v>-6.0420341822217116E-2</c:v>
                </c:pt>
                <c:pt idx="630">
                  <c:v>7.7393147757393033E-3</c:v>
                </c:pt>
                <c:pt idx="631">
                  <c:v>-9.2708680591662374E-2</c:v>
                </c:pt>
                <c:pt idx="632">
                  <c:v>-0.15745372625836673</c:v>
                </c:pt>
                <c:pt idx="633">
                  <c:v>-0.23383223542615483</c:v>
                </c:pt>
                <c:pt idx="634">
                  <c:v>-0.24288643662619203</c:v>
                </c:pt>
                <c:pt idx="635">
                  <c:v>-0.20917836223407749</c:v>
                </c:pt>
                <c:pt idx="636">
                  <c:v>-0.2389855831477945</c:v>
                </c:pt>
                <c:pt idx="637">
                  <c:v>-0.31368355370390222</c:v>
                </c:pt>
                <c:pt idx="638">
                  <c:v>-0.50552291717847009</c:v>
                </c:pt>
                <c:pt idx="639">
                  <c:v>-0.57124104201890002</c:v>
                </c:pt>
                <c:pt idx="640">
                  <c:v>-0.53324110446650086</c:v>
                </c:pt>
                <c:pt idx="641">
                  <c:v>-0.44875942661619528</c:v>
                </c:pt>
                <c:pt idx="642">
                  <c:v>5.1537058329110874E-2</c:v>
                </c:pt>
                <c:pt idx="643">
                  <c:v>0.19745394199702537</c:v>
                </c:pt>
                <c:pt idx="644">
                  <c:v>0.24136146142073217</c:v>
                </c:pt>
                <c:pt idx="645">
                  <c:v>0.13525504922848575</c:v>
                </c:pt>
                <c:pt idx="646">
                  <c:v>0.17454908148944026</c:v>
                </c:pt>
                <c:pt idx="647">
                  <c:v>0.15042911879756804</c:v>
                </c:pt>
                <c:pt idx="648">
                  <c:v>6.7038814926509094E-2</c:v>
                </c:pt>
                <c:pt idx="649">
                  <c:v>-6.3351771077539976E-3</c:v>
                </c:pt>
                <c:pt idx="650">
                  <c:v>-0.17080393236219138</c:v>
                </c:pt>
                <c:pt idx="651">
                  <c:v>-0.25247270655823095</c:v>
                </c:pt>
                <c:pt idx="652">
                  <c:v>-0.31599287734596726</c:v>
                </c:pt>
                <c:pt idx="653">
                  <c:v>-0.31655229414944053</c:v>
                </c:pt>
                <c:pt idx="654">
                  <c:v>-0.32611581642841536</c:v>
                </c:pt>
                <c:pt idx="655">
                  <c:v>-0.47394938205808734</c:v>
                </c:pt>
                <c:pt idx="656">
                  <c:v>-0.43110651490952212</c:v>
                </c:pt>
                <c:pt idx="657">
                  <c:v>-0.35856200012340589</c:v>
                </c:pt>
                <c:pt idx="658">
                  <c:v>-0.4088026948143394</c:v>
                </c:pt>
                <c:pt idx="659">
                  <c:v>-0.58149324019841497</c:v>
                </c:pt>
                <c:pt idx="660">
                  <c:v>-0.45521247920518981</c:v>
                </c:pt>
                <c:pt idx="661">
                  <c:v>-0.42251109543074405</c:v>
                </c:pt>
                <c:pt idx="662">
                  <c:v>-0.34600346720278374</c:v>
                </c:pt>
                <c:pt idx="663">
                  <c:v>-0.90960964715634973</c:v>
                </c:pt>
                <c:pt idx="664">
                  <c:v>-0.85856889645455226</c:v>
                </c:pt>
                <c:pt idx="665">
                  <c:v>-0.77518589658005455</c:v>
                </c:pt>
                <c:pt idx="666">
                  <c:v>-0.65666787165502483</c:v>
                </c:pt>
                <c:pt idx="667">
                  <c:v>-0.79765772648392519</c:v>
                </c:pt>
                <c:pt idx="668">
                  <c:v>-0.68386051817908888</c:v>
                </c:pt>
                <c:pt idx="669">
                  <c:v>-0.76192065411085541</c:v>
                </c:pt>
                <c:pt idx="670">
                  <c:v>-0.74784760946500362</c:v>
                </c:pt>
                <c:pt idx="671">
                  <c:v>-0.78545010284541039</c:v>
                </c:pt>
                <c:pt idx="672">
                  <c:v>-0.66543627538571171</c:v>
                </c:pt>
                <c:pt idx="673">
                  <c:v>-0.48598542386312071</c:v>
                </c:pt>
                <c:pt idx="674">
                  <c:v>-0.51592074812193256</c:v>
                </c:pt>
                <c:pt idx="675">
                  <c:v>-0.43882975783449574</c:v>
                </c:pt>
                <c:pt idx="676">
                  <c:v>-0.36180153901225864</c:v>
                </c:pt>
                <c:pt idx="677">
                  <c:v>-0.43394302517170436</c:v>
                </c:pt>
                <c:pt idx="678">
                  <c:v>-0.36999117741675475</c:v>
                </c:pt>
                <c:pt idx="679">
                  <c:v>-0.46688497806143636</c:v>
                </c:pt>
                <c:pt idx="680">
                  <c:v>-0.43199208897066976</c:v>
                </c:pt>
                <c:pt idx="681">
                  <c:v>-0.45768977131363037</c:v>
                </c:pt>
                <c:pt idx="682">
                  <c:v>-0.3182614544929942</c:v>
                </c:pt>
                <c:pt idx="683">
                  <c:v>-0.39437086891056</c:v>
                </c:pt>
                <c:pt idx="684">
                  <c:v>-0.33244199550194103</c:v>
                </c:pt>
                <c:pt idx="685">
                  <c:v>-0.37454518178475366</c:v>
                </c:pt>
                <c:pt idx="686">
                  <c:v>-0.62919003793569028</c:v>
                </c:pt>
                <c:pt idx="687">
                  <c:v>-0.53834122939272977</c:v>
                </c:pt>
                <c:pt idx="688">
                  <c:v>-0.59271002277372242</c:v>
                </c:pt>
                <c:pt idx="689">
                  <c:v>-0.49888233576832769</c:v>
                </c:pt>
                <c:pt idx="690">
                  <c:v>-0.46431786431798672</c:v>
                </c:pt>
                <c:pt idx="691">
                  <c:v>-0.38896751516742517</c:v>
                </c:pt>
                <c:pt idx="692">
                  <c:v>-0.46010873469576308</c:v>
                </c:pt>
                <c:pt idx="693">
                  <c:v>-0.37879350313027904</c:v>
                </c:pt>
                <c:pt idx="694">
                  <c:v>-0.25367025985724212</c:v>
                </c:pt>
                <c:pt idx="695">
                  <c:v>-0.36341405671505211</c:v>
                </c:pt>
                <c:pt idx="696">
                  <c:v>-0.23570584761071253</c:v>
                </c:pt>
                <c:pt idx="697">
                  <c:v>0.2956074468575054</c:v>
                </c:pt>
                <c:pt idx="698">
                  <c:v>0.26410832546571067</c:v>
                </c:pt>
                <c:pt idx="699">
                  <c:v>0.44336873837745899</c:v>
                </c:pt>
                <c:pt idx="700">
                  <c:v>0.38433435409788413</c:v>
                </c:pt>
                <c:pt idx="701">
                  <c:v>0.41776770628689153</c:v>
                </c:pt>
                <c:pt idx="702">
                  <c:v>0.10065060606284565</c:v>
                </c:pt>
                <c:pt idx="703">
                  <c:v>0.11187220615269527</c:v>
                </c:pt>
                <c:pt idx="704">
                  <c:v>2.4559325272749344E-2</c:v>
                </c:pt>
                <c:pt idx="705">
                  <c:v>-7.4792432772993966E-2</c:v>
                </c:pt>
                <c:pt idx="706">
                  <c:v>6.2188398530078959E-2</c:v>
                </c:pt>
                <c:pt idx="707">
                  <c:v>-0.32759907353352358</c:v>
                </c:pt>
                <c:pt idx="708">
                  <c:v>-0.40429752447317474</c:v>
                </c:pt>
                <c:pt idx="709">
                  <c:v>-0.38842602816274602</c:v>
                </c:pt>
                <c:pt idx="710">
                  <c:v>-0.36316023967410227</c:v>
                </c:pt>
                <c:pt idx="711">
                  <c:v>-0.39864171186860797</c:v>
                </c:pt>
                <c:pt idx="712">
                  <c:v>-0.46133109853550608</c:v>
                </c:pt>
                <c:pt idx="713">
                  <c:v>-0.40180281606581686</c:v>
                </c:pt>
                <c:pt idx="714">
                  <c:v>-0.32903727917131043</c:v>
                </c:pt>
                <c:pt idx="715">
                  <c:v>-0.14375973432696043</c:v>
                </c:pt>
                <c:pt idx="716">
                  <c:v>-0.16867910740486319</c:v>
                </c:pt>
                <c:pt idx="717">
                  <c:v>-1.260291329475427E-2</c:v>
                </c:pt>
                <c:pt idx="718">
                  <c:v>4.649081109311648E-2</c:v>
                </c:pt>
                <c:pt idx="719">
                  <c:v>-0.14343105570327597</c:v>
                </c:pt>
                <c:pt idx="720">
                  <c:v>-0.13058094263351261</c:v>
                </c:pt>
                <c:pt idx="721">
                  <c:v>0.13530117265894048</c:v>
                </c:pt>
                <c:pt idx="722">
                  <c:v>0.13777137579002008</c:v>
                </c:pt>
                <c:pt idx="723">
                  <c:v>0.2255199949118164</c:v>
                </c:pt>
                <c:pt idx="724">
                  <c:v>5.2758834905670571E-2</c:v>
                </c:pt>
                <c:pt idx="725">
                  <c:v>0.28133850942398669</c:v>
                </c:pt>
                <c:pt idx="726">
                  <c:v>0.35961647601584446</c:v>
                </c:pt>
                <c:pt idx="727">
                  <c:v>0.40915053406856711</c:v>
                </c:pt>
                <c:pt idx="728">
                  <c:v>0.16362725741626793</c:v>
                </c:pt>
                <c:pt idx="729">
                  <c:v>-0.48746720187238757</c:v>
                </c:pt>
                <c:pt idx="730">
                  <c:v>-0.48789839061187301</c:v>
                </c:pt>
                <c:pt idx="731">
                  <c:v>-0.34992010072853202</c:v>
                </c:pt>
                <c:pt idx="732">
                  <c:v>-0.69665632665356658</c:v>
                </c:pt>
                <c:pt idx="733">
                  <c:v>-0.76896984616194308</c:v>
                </c:pt>
                <c:pt idx="734">
                  <c:v>-0.7154387855447405</c:v>
                </c:pt>
                <c:pt idx="735">
                  <c:v>-0.78833770902181</c:v>
                </c:pt>
                <c:pt idx="736">
                  <c:v>-0.83406508037818983</c:v>
                </c:pt>
                <c:pt idx="737">
                  <c:v>-0.88039198833929955</c:v>
                </c:pt>
                <c:pt idx="738">
                  <c:v>-0.61716056950804576</c:v>
                </c:pt>
                <c:pt idx="739">
                  <c:v>-0.35472156767463536</c:v>
                </c:pt>
                <c:pt idx="740">
                  <c:v>-0.34144469777457509</c:v>
                </c:pt>
                <c:pt idx="741">
                  <c:v>-0.16465932212334822</c:v>
                </c:pt>
                <c:pt idx="742">
                  <c:v>-0.41408016331663799</c:v>
                </c:pt>
                <c:pt idx="743">
                  <c:v>-0.58040645498771815</c:v>
                </c:pt>
                <c:pt idx="744">
                  <c:v>-0.52240456284259362</c:v>
                </c:pt>
                <c:pt idx="745">
                  <c:v>-0.68393677574583189</c:v>
                </c:pt>
                <c:pt idx="746">
                  <c:v>-0.95758305266150578</c:v>
                </c:pt>
                <c:pt idx="747">
                  <c:v>-0.8322601181379452</c:v>
                </c:pt>
                <c:pt idx="748">
                  <c:v>-0.37015512449854393</c:v>
                </c:pt>
                <c:pt idx="749">
                  <c:v>-0.38799044668164173</c:v>
                </c:pt>
                <c:pt idx="750">
                  <c:v>-0.39331218696719517</c:v>
                </c:pt>
                <c:pt idx="751">
                  <c:v>-1.6010445405957865</c:v>
                </c:pt>
                <c:pt idx="752">
                  <c:v>-1.5855320395111339</c:v>
                </c:pt>
                <c:pt idx="753">
                  <c:v>-1.3872844457772422</c:v>
                </c:pt>
                <c:pt idx="754">
                  <c:v>-1.0286859649251954</c:v>
                </c:pt>
                <c:pt idx="755">
                  <c:v>-0.89672767896065508</c:v>
                </c:pt>
                <c:pt idx="756">
                  <c:v>-0.50772967068508645</c:v>
                </c:pt>
                <c:pt idx="757">
                  <c:v>-0.39122192752306573</c:v>
                </c:pt>
                <c:pt idx="758">
                  <c:v>-0.49657284467285367</c:v>
                </c:pt>
                <c:pt idx="759">
                  <c:v>-1.4770870331009656E-2</c:v>
                </c:pt>
                <c:pt idx="760">
                  <c:v>-0.17750357341458667</c:v>
                </c:pt>
                <c:pt idx="761">
                  <c:v>5.2698494553931496E-2</c:v>
                </c:pt>
                <c:pt idx="762">
                  <c:v>0.65194456938940504</c:v>
                </c:pt>
                <c:pt idx="763">
                  <c:v>0.80247948189173002</c:v>
                </c:pt>
                <c:pt idx="764">
                  <c:v>0.65587327249587934</c:v>
                </c:pt>
                <c:pt idx="765">
                  <c:v>0.76686810437390984</c:v>
                </c:pt>
                <c:pt idx="766">
                  <c:v>0.89651575497329694</c:v>
                </c:pt>
                <c:pt idx="767">
                  <c:v>1.059785526115222</c:v>
                </c:pt>
                <c:pt idx="768">
                  <c:v>0.671069216424516</c:v>
                </c:pt>
                <c:pt idx="769">
                  <c:v>0.62510102351986863</c:v>
                </c:pt>
                <c:pt idx="770">
                  <c:v>0.69927403141654088</c:v>
                </c:pt>
                <c:pt idx="771">
                  <c:v>0.72318430454080396</c:v>
                </c:pt>
                <c:pt idx="772">
                  <c:v>0.67448711226953673</c:v>
                </c:pt>
                <c:pt idx="773">
                  <c:v>0.78981811381609424</c:v>
                </c:pt>
                <c:pt idx="774">
                  <c:v>0.72701695282263235</c:v>
                </c:pt>
                <c:pt idx="775">
                  <c:v>0.50928534850625629</c:v>
                </c:pt>
                <c:pt idx="776">
                  <c:v>0.36896411115096583</c:v>
                </c:pt>
                <c:pt idx="777">
                  <c:v>0.34474997960375053</c:v>
                </c:pt>
                <c:pt idx="778">
                  <c:v>-8.0316161979351985E-2</c:v>
                </c:pt>
                <c:pt idx="779">
                  <c:v>0.17608443643792226</c:v>
                </c:pt>
                <c:pt idx="780">
                  <c:v>0.11514896602975044</c:v>
                </c:pt>
                <c:pt idx="781">
                  <c:v>0.38536925112064579</c:v>
                </c:pt>
                <c:pt idx="782">
                  <c:v>0.39461951300877729</c:v>
                </c:pt>
                <c:pt idx="783">
                  <c:v>0.45603844681283168</c:v>
                </c:pt>
                <c:pt idx="784">
                  <c:v>0.17168423485384132</c:v>
                </c:pt>
                <c:pt idx="785">
                  <c:v>7.057037438121383E-2</c:v>
                </c:pt>
                <c:pt idx="786">
                  <c:v>1.4814704175771631E-2</c:v>
                </c:pt>
                <c:pt idx="787">
                  <c:v>8.7583327144804046E-2</c:v>
                </c:pt>
                <c:pt idx="788">
                  <c:v>4.8391278817249084E-2</c:v>
                </c:pt>
                <c:pt idx="789">
                  <c:v>0.3352703087454767</c:v>
                </c:pt>
                <c:pt idx="790">
                  <c:v>0.33129407404728378</c:v>
                </c:pt>
                <c:pt idx="791">
                  <c:v>-9.6589904121084535E-2</c:v>
                </c:pt>
                <c:pt idx="792">
                  <c:v>0.11230208785534057</c:v>
                </c:pt>
                <c:pt idx="793">
                  <c:v>8.6123608485459413E-2</c:v>
                </c:pt>
                <c:pt idx="794">
                  <c:v>0.35454520298691455</c:v>
                </c:pt>
                <c:pt idx="795">
                  <c:v>-8.7240980594101125E-2</c:v>
                </c:pt>
                <c:pt idx="796">
                  <c:v>-0.23225923050156988</c:v>
                </c:pt>
                <c:pt idx="797">
                  <c:v>-0.13208534780846098</c:v>
                </c:pt>
                <c:pt idx="798">
                  <c:v>-0.19100217226857069</c:v>
                </c:pt>
                <c:pt idx="799">
                  <c:v>-0.21808911242359563</c:v>
                </c:pt>
                <c:pt idx="800">
                  <c:v>-0.39170783015928057</c:v>
                </c:pt>
                <c:pt idx="801">
                  <c:v>-0.23252135609417063</c:v>
                </c:pt>
                <c:pt idx="802">
                  <c:v>-4.863165833270261E-2</c:v>
                </c:pt>
                <c:pt idx="803">
                  <c:v>-0.6094319624250778</c:v>
                </c:pt>
                <c:pt idx="804">
                  <c:v>-1.0439889179173505</c:v>
                </c:pt>
                <c:pt idx="805">
                  <c:v>-1.0626564637116016</c:v>
                </c:pt>
                <c:pt idx="806">
                  <c:v>-0.68789153792482538</c:v>
                </c:pt>
                <c:pt idx="807">
                  <c:v>-0.6563822336426095</c:v>
                </c:pt>
                <c:pt idx="808">
                  <c:v>-0.96184432837888789</c:v>
                </c:pt>
                <c:pt idx="809">
                  <c:v>0.19541951729671725</c:v>
                </c:pt>
                <c:pt idx="810">
                  <c:v>4.6328851021369744E-2</c:v>
                </c:pt>
                <c:pt idx="811">
                  <c:v>1.0609231269154149</c:v>
                </c:pt>
                <c:pt idx="812">
                  <c:v>-0.5834988978313651</c:v>
                </c:pt>
                <c:pt idx="813">
                  <c:v>-0.69855940351794121</c:v>
                </c:pt>
                <c:pt idx="814">
                  <c:v>-0.4528388574553584</c:v>
                </c:pt>
                <c:pt idx="815">
                  <c:v>-0.64954669193542225</c:v>
                </c:pt>
                <c:pt idx="816">
                  <c:v>-0.77294448255968629</c:v>
                </c:pt>
                <c:pt idx="817">
                  <c:v>-0.86468391329298955</c:v>
                </c:pt>
                <c:pt idx="818">
                  <c:v>-1.0811124988938836</c:v>
                </c:pt>
                <c:pt idx="819">
                  <c:v>-1.5258709572092233</c:v>
                </c:pt>
                <c:pt idx="820">
                  <c:v>-1.3076768268660015</c:v>
                </c:pt>
                <c:pt idx="821">
                  <c:v>-0.56101673539353858</c:v>
                </c:pt>
                <c:pt idx="822">
                  <c:v>-0.69832966718348033</c:v>
                </c:pt>
                <c:pt idx="823">
                  <c:v>-0.49321393278079489</c:v>
                </c:pt>
                <c:pt idx="824">
                  <c:v>-0.55453889076765728</c:v>
                </c:pt>
                <c:pt idx="825">
                  <c:v>-0.47244544175766812</c:v>
                </c:pt>
                <c:pt idx="826">
                  <c:v>-0.49181908800064777</c:v>
                </c:pt>
                <c:pt idx="827">
                  <c:v>-0.21795946679793265</c:v>
                </c:pt>
                <c:pt idx="828">
                  <c:v>0.17624826282720318</c:v>
                </c:pt>
                <c:pt idx="829">
                  <c:v>0.37504533784273947</c:v>
                </c:pt>
                <c:pt idx="830">
                  <c:v>0.12682016539775842</c:v>
                </c:pt>
                <c:pt idx="831">
                  <c:v>0.23034933582223094</c:v>
                </c:pt>
                <c:pt idx="832">
                  <c:v>0.35065499771920039</c:v>
                </c:pt>
                <c:pt idx="833">
                  <c:v>-0.88477040592860212</c:v>
                </c:pt>
                <c:pt idx="834">
                  <c:v>-0.64706881955111872</c:v>
                </c:pt>
                <c:pt idx="835">
                  <c:v>-0.31476580516366498</c:v>
                </c:pt>
                <c:pt idx="836">
                  <c:v>-0.30113108777161812</c:v>
                </c:pt>
                <c:pt idx="837">
                  <c:v>-0.45091120292110598</c:v>
                </c:pt>
                <c:pt idx="838">
                  <c:v>-0.3574112484254251</c:v>
                </c:pt>
                <c:pt idx="839">
                  <c:v>-0.4614244604834391</c:v>
                </c:pt>
                <c:pt idx="840">
                  <c:v>-0.28518834773913815</c:v>
                </c:pt>
                <c:pt idx="841">
                  <c:v>-0.35532257691153335</c:v>
                </c:pt>
                <c:pt idx="842">
                  <c:v>-0.30904574710737021</c:v>
                </c:pt>
                <c:pt idx="843">
                  <c:v>-9.2210675595519209E-2</c:v>
                </c:pt>
                <c:pt idx="844">
                  <c:v>-6.8627278303618922E-2</c:v>
                </c:pt>
                <c:pt idx="845">
                  <c:v>-0.15291298740539849</c:v>
                </c:pt>
                <c:pt idx="846">
                  <c:v>-6.8081508867932072E-2</c:v>
                </c:pt>
                <c:pt idx="847">
                  <c:v>-3.3769323858013012E-2</c:v>
                </c:pt>
                <c:pt idx="848">
                  <c:v>4.1344971758896509E-2</c:v>
                </c:pt>
                <c:pt idx="849">
                  <c:v>3.3920647405856652E-2</c:v>
                </c:pt>
                <c:pt idx="850">
                  <c:v>-1.7188692825160556E-2</c:v>
                </c:pt>
                <c:pt idx="851">
                  <c:v>-7.4326027407400019E-2</c:v>
                </c:pt>
                <c:pt idx="852">
                  <c:v>7.8824843054988492E-2</c:v>
                </c:pt>
                <c:pt idx="853">
                  <c:v>4.1147898789451576E-2</c:v>
                </c:pt>
                <c:pt idx="854">
                  <c:v>0.26998515637630871</c:v>
                </c:pt>
                <c:pt idx="855">
                  <c:v>0.2426788447345174</c:v>
                </c:pt>
                <c:pt idx="856">
                  <c:v>0.1603100622473721</c:v>
                </c:pt>
                <c:pt idx="857">
                  <c:v>0.13310072934111661</c:v>
                </c:pt>
                <c:pt idx="858">
                  <c:v>0.20742564139407582</c:v>
                </c:pt>
                <c:pt idx="859">
                  <c:v>0.27778664470498793</c:v>
                </c:pt>
                <c:pt idx="860">
                  <c:v>0.25239511820904159</c:v>
                </c:pt>
                <c:pt idx="861">
                  <c:v>0.12006954364446742</c:v>
                </c:pt>
                <c:pt idx="862">
                  <c:v>3.7550685921666549E-2</c:v>
                </c:pt>
                <c:pt idx="863">
                  <c:v>5.0449432838205244E-2</c:v>
                </c:pt>
                <c:pt idx="864">
                  <c:v>0.20599627621644467</c:v>
                </c:pt>
                <c:pt idx="865">
                  <c:v>-0.1485752993774434</c:v>
                </c:pt>
                <c:pt idx="866">
                  <c:v>-5.9884688214864479E-2</c:v>
                </c:pt>
                <c:pt idx="867">
                  <c:v>-0.15298024423913636</c:v>
                </c:pt>
                <c:pt idx="868">
                  <c:v>-0.42798807902947544</c:v>
                </c:pt>
                <c:pt idx="869">
                  <c:v>-0.17323741474465981</c:v>
                </c:pt>
                <c:pt idx="870">
                  <c:v>-0.18184833368989706</c:v>
                </c:pt>
                <c:pt idx="871">
                  <c:v>0.18274140206859557</c:v>
                </c:pt>
                <c:pt idx="872">
                  <c:v>0.1558985273968474</c:v>
                </c:pt>
                <c:pt idx="873">
                  <c:v>-0.17997004913894132</c:v>
                </c:pt>
                <c:pt idx="874">
                  <c:v>-0.26447135547717382</c:v>
                </c:pt>
                <c:pt idx="875">
                  <c:v>-1.8957425023638397E-2</c:v>
                </c:pt>
                <c:pt idx="876">
                  <c:v>-0.1968672786508483</c:v>
                </c:pt>
                <c:pt idx="877">
                  <c:v>-0.23138367959623629</c:v>
                </c:pt>
                <c:pt idx="878">
                  <c:v>-7.5616730762253503E-3</c:v>
                </c:pt>
                <c:pt idx="879">
                  <c:v>6.6868446376198376E-2</c:v>
                </c:pt>
                <c:pt idx="880">
                  <c:v>6.8624960568555826E-2</c:v>
                </c:pt>
                <c:pt idx="881">
                  <c:v>0.11975104322646257</c:v>
                </c:pt>
                <c:pt idx="882">
                  <c:v>0.23633981320818442</c:v>
                </c:pt>
                <c:pt idx="883">
                  <c:v>3.5379720157097783E-2</c:v>
                </c:pt>
                <c:pt idx="884">
                  <c:v>-0.24153740025910775</c:v>
                </c:pt>
                <c:pt idx="885">
                  <c:v>-8.5452900796574305E-2</c:v>
                </c:pt>
                <c:pt idx="886">
                  <c:v>0.10708382736098221</c:v>
                </c:pt>
                <c:pt idx="887">
                  <c:v>2.4768083794243889E-2</c:v>
                </c:pt>
                <c:pt idx="888">
                  <c:v>0.29392424026302932</c:v>
                </c:pt>
                <c:pt idx="889">
                  <c:v>0.32623149343815894</c:v>
                </c:pt>
                <c:pt idx="890">
                  <c:v>8.8684181282109975E-2</c:v>
                </c:pt>
                <c:pt idx="891">
                  <c:v>0.11171313270520367</c:v>
                </c:pt>
                <c:pt idx="892">
                  <c:v>6.0034675141533267E-2</c:v>
                </c:pt>
                <c:pt idx="893">
                  <c:v>0.24934881876028814</c:v>
                </c:pt>
                <c:pt idx="894">
                  <c:v>9.7908384162592732E-2</c:v>
                </c:pt>
                <c:pt idx="895">
                  <c:v>0.1256521110507649</c:v>
                </c:pt>
                <c:pt idx="896">
                  <c:v>0.11218336847552113</c:v>
                </c:pt>
                <c:pt idx="897">
                  <c:v>-0.52711230623954575</c:v>
                </c:pt>
                <c:pt idx="898">
                  <c:v>-0.36168600809891949</c:v>
                </c:pt>
                <c:pt idx="899">
                  <c:v>-0.15658074144393574</c:v>
                </c:pt>
                <c:pt idx="900">
                  <c:v>-0.26821136293045766</c:v>
                </c:pt>
                <c:pt idx="901">
                  <c:v>-0.25053627759804664</c:v>
                </c:pt>
                <c:pt idx="902">
                  <c:v>-0.2892911826750233</c:v>
                </c:pt>
                <c:pt idx="903">
                  <c:v>-0.16399826189234323</c:v>
                </c:pt>
                <c:pt idx="904">
                  <c:v>-0.27231150547927951</c:v>
                </c:pt>
                <c:pt idx="905">
                  <c:v>4.1629137022177076E-2</c:v>
                </c:pt>
                <c:pt idx="906">
                  <c:v>-8.417493522715902E-2</c:v>
                </c:pt>
                <c:pt idx="907">
                  <c:v>-0.2015847074941326</c:v>
                </c:pt>
                <c:pt idx="908">
                  <c:v>-1.4050826661509808E-2</c:v>
                </c:pt>
                <c:pt idx="909">
                  <c:v>4.6079984364362225E-2</c:v>
                </c:pt>
                <c:pt idx="910">
                  <c:v>1.5671973390975591E-2</c:v>
                </c:pt>
                <c:pt idx="911">
                  <c:v>6.8220518511837636E-2</c:v>
                </c:pt>
                <c:pt idx="912">
                  <c:v>8.5139283383212083E-2</c:v>
                </c:pt>
                <c:pt idx="913">
                  <c:v>0.12520612316597646</c:v>
                </c:pt>
                <c:pt idx="914">
                  <c:v>8.7241918520864381E-2</c:v>
                </c:pt>
                <c:pt idx="915">
                  <c:v>0.21745927725678804</c:v>
                </c:pt>
                <c:pt idx="916">
                  <c:v>0.30049628762972946</c:v>
                </c:pt>
                <c:pt idx="917">
                  <c:v>-0.11685118803243411</c:v>
                </c:pt>
                <c:pt idx="918">
                  <c:v>-0.11959015091037162</c:v>
                </c:pt>
                <c:pt idx="919">
                  <c:v>-0.41168654694160889</c:v>
                </c:pt>
                <c:pt idx="920">
                  <c:v>-0.24622078977440642</c:v>
                </c:pt>
                <c:pt idx="921">
                  <c:v>-0.36638792245729124</c:v>
                </c:pt>
                <c:pt idx="922">
                  <c:v>-0.34055718477263452</c:v>
                </c:pt>
                <c:pt idx="923">
                  <c:v>-0.28571169606457003</c:v>
                </c:pt>
                <c:pt idx="924">
                  <c:v>-0.43806726205116164</c:v>
                </c:pt>
                <c:pt idx="925">
                  <c:v>-0.38538192338077248</c:v>
                </c:pt>
                <c:pt idx="926">
                  <c:v>-0.25067857098482094</c:v>
                </c:pt>
                <c:pt idx="927">
                  <c:v>-0.57468582948093561</c:v>
                </c:pt>
                <c:pt idx="928">
                  <c:v>-0.54056677035317224</c:v>
                </c:pt>
                <c:pt idx="929">
                  <c:v>-0.53840696007806055</c:v>
                </c:pt>
                <c:pt idx="930">
                  <c:v>-0.64939252133143333</c:v>
                </c:pt>
                <c:pt idx="931">
                  <c:v>-0.66348953882966133</c:v>
                </c:pt>
                <c:pt idx="932">
                  <c:v>-0.58708763340425607</c:v>
                </c:pt>
                <c:pt idx="933">
                  <c:v>-0.69493463951570456</c:v>
                </c:pt>
                <c:pt idx="934">
                  <c:v>-0.48120353072889266</c:v>
                </c:pt>
                <c:pt idx="935">
                  <c:v>-0.51974023538942915</c:v>
                </c:pt>
                <c:pt idx="936">
                  <c:v>-0.53681615701886543</c:v>
                </c:pt>
                <c:pt idx="937">
                  <c:v>-0.61993027945347512</c:v>
                </c:pt>
                <c:pt idx="938">
                  <c:v>-0.57888627854640395</c:v>
                </c:pt>
                <c:pt idx="939">
                  <c:v>-0.64668653681467569</c:v>
                </c:pt>
                <c:pt idx="940">
                  <c:v>-0.57058274681517496</c:v>
                </c:pt>
                <c:pt idx="941">
                  <c:v>-0.27873079817147772</c:v>
                </c:pt>
                <c:pt idx="942">
                  <c:v>-1.3664998393893857</c:v>
                </c:pt>
                <c:pt idx="943">
                  <c:v>-0.85063849257381241</c:v>
                </c:pt>
                <c:pt idx="944">
                  <c:v>-0.76406831793183372</c:v>
                </c:pt>
                <c:pt idx="945">
                  <c:v>-0.74913625661679184</c:v>
                </c:pt>
                <c:pt idx="946">
                  <c:v>-0.61487174027411617</c:v>
                </c:pt>
                <c:pt idx="947">
                  <c:v>-0.86626018397816162</c:v>
                </c:pt>
                <c:pt idx="948">
                  <c:v>-0.26994019063189123</c:v>
                </c:pt>
                <c:pt idx="949">
                  <c:v>0.45621208988431627</c:v>
                </c:pt>
                <c:pt idx="950">
                  <c:v>0.44200178711401694</c:v>
                </c:pt>
                <c:pt idx="951">
                  <c:v>0.4558243738612977</c:v>
                </c:pt>
                <c:pt idx="952">
                  <c:v>2.8498193382107573E-2</c:v>
                </c:pt>
                <c:pt idx="953">
                  <c:v>0.4640647953281678</c:v>
                </c:pt>
                <c:pt idx="954">
                  <c:v>0.17423197933155921</c:v>
                </c:pt>
                <c:pt idx="955">
                  <c:v>-4.5349725297101795E-2</c:v>
                </c:pt>
                <c:pt idx="956">
                  <c:v>2.5672040209241853E-2</c:v>
                </c:pt>
                <c:pt idx="957">
                  <c:v>0.11669765800547127</c:v>
                </c:pt>
                <c:pt idx="958">
                  <c:v>0.1690836834393501</c:v>
                </c:pt>
                <c:pt idx="959">
                  <c:v>0.52358517337384125</c:v>
                </c:pt>
                <c:pt idx="960">
                  <c:v>0.83102021958217964</c:v>
                </c:pt>
                <c:pt idx="961">
                  <c:v>0.93360600324702414</c:v>
                </c:pt>
                <c:pt idx="962">
                  <c:v>-0.78955037198495193</c:v>
                </c:pt>
                <c:pt idx="963">
                  <c:v>-0.25744577944767033</c:v>
                </c:pt>
                <c:pt idx="964">
                  <c:v>0.17921513139386214</c:v>
                </c:pt>
                <c:pt idx="965">
                  <c:v>-8.4594188499273582E-2</c:v>
                </c:pt>
                <c:pt idx="966">
                  <c:v>-0.19399212999465743</c:v>
                </c:pt>
                <c:pt idx="967">
                  <c:v>0.10762062862545152</c:v>
                </c:pt>
                <c:pt idx="968">
                  <c:v>0.39411872995556974</c:v>
                </c:pt>
                <c:pt idx="969">
                  <c:v>0.36574120180052239</c:v>
                </c:pt>
                <c:pt idx="970">
                  <c:v>0.14782422077327451</c:v>
                </c:pt>
                <c:pt idx="971">
                  <c:v>-9.1951928645897851E-2</c:v>
                </c:pt>
                <c:pt idx="972">
                  <c:v>-3.1554818411867247E-2</c:v>
                </c:pt>
                <c:pt idx="973">
                  <c:v>0.13071609596088685</c:v>
                </c:pt>
                <c:pt idx="974">
                  <c:v>0.17706565102355309</c:v>
                </c:pt>
                <c:pt idx="975">
                  <c:v>0.12892014114599415</c:v>
                </c:pt>
                <c:pt idx="976">
                  <c:v>-8.9690173634301873E-2</c:v>
                </c:pt>
                <c:pt idx="977">
                  <c:v>0.25511793448118647</c:v>
                </c:pt>
                <c:pt idx="978">
                  <c:v>0.15013378971748681</c:v>
                </c:pt>
                <c:pt idx="979">
                  <c:v>0.45899089137050142</c:v>
                </c:pt>
                <c:pt idx="980">
                  <c:v>0.63529070789229181</c:v>
                </c:pt>
                <c:pt idx="981">
                  <c:v>0.84282664547774555</c:v>
                </c:pt>
                <c:pt idx="982">
                  <c:v>0.68265210865155401</c:v>
                </c:pt>
                <c:pt idx="983">
                  <c:v>0.8011351249115487</c:v>
                </c:pt>
                <c:pt idx="984">
                  <c:v>0.5821309453074206</c:v>
                </c:pt>
                <c:pt idx="985">
                  <c:v>-7.3196174079810383E-2</c:v>
                </c:pt>
                <c:pt idx="986">
                  <c:v>-0.15781786412848997</c:v>
                </c:pt>
                <c:pt idx="987">
                  <c:v>4.6184272624295142E-2</c:v>
                </c:pt>
                <c:pt idx="988">
                  <c:v>-5.965803015513671E-2</c:v>
                </c:pt>
                <c:pt idx="989">
                  <c:v>-0.1989446892519785</c:v>
                </c:pt>
                <c:pt idx="990">
                  <c:v>-0.23205964185007377</c:v>
                </c:pt>
                <c:pt idx="991">
                  <c:v>-0.1756582124864543</c:v>
                </c:pt>
                <c:pt idx="992">
                  <c:v>-0.56665513974847881</c:v>
                </c:pt>
                <c:pt idx="993">
                  <c:v>-1.0804765873869573</c:v>
                </c:pt>
                <c:pt idx="994">
                  <c:v>-0.8596801005877146</c:v>
                </c:pt>
                <c:pt idx="995">
                  <c:v>-0.84741361639394353</c:v>
                </c:pt>
                <c:pt idx="996">
                  <c:v>-0.53286969849714927</c:v>
                </c:pt>
                <c:pt idx="997">
                  <c:v>5.8796355903439901E-2</c:v>
                </c:pt>
                <c:pt idx="998">
                  <c:v>-0.20120018346268576</c:v>
                </c:pt>
                <c:pt idx="999">
                  <c:v>-0.11356313766417991</c:v>
                </c:pt>
                <c:pt idx="1000">
                  <c:v>-0.13474448206612155</c:v>
                </c:pt>
                <c:pt idx="1001">
                  <c:v>-0.20477995528354254</c:v>
                </c:pt>
                <c:pt idx="1002">
                  <c:v>5.499384752470915E-4</c:v>
                </c:pt>
                <c:pt idx="1003">
                  <c:v>-0.16069095331288685</c:v>
                </c:pt>
                <c:pt idx="1004">
                  <c:v>3.2970018328096762E-2</c:v>
                </c:pt>
                <c:pt idx="1005">
                  <c:v>-4.5371797469206943E-2</c:v>
                </c:pt>
                <c:pt idx="1006">
                  <c:v>-2.3263520169522156E-2</c:v>
                </c:pt>
                <c:pt idx="1007">
                  <c:v>-1.3189944997119052</c:v>
                </c:pt>
                <c:pt idx="1008">
                  <c:v>-0.94491779922731256</c:v>
                </c:pt>
                <c:pt idx="1009">
                  <c:v>-0.70851559560253285</c:v>
                </c:pt>
                <c:pt idx="1010">
                  <c:v>-0.49590073885284192</c:v>
                </c:pt>
                <c:pt idx="1011">
                  <c:v>-0.38728645256380112</c:v>
                </c:pt>
                <c:pt idx="1012">
                  <c:v>-0.39486391307352109</c:v>
                </c:pt>
                <c:pt idx="1013">
                  <c:v>-0.36752501528779219</c:v>
                </c:pt>
                <c:pt idx="1014">
                  <c:v>-0.40940555539359413</c:v>
                </c:pt>
                <c:pt idx="1015">
                  <c:v>-0.33937385151188026</c:v>
                </c:pt>
                <c:pt idx="1016">
                  <c:v>-0.30865197817645962</c:v>
                </c:pt>
                <c:pt idx="1017">
                  <c:v>-0.2366959676106104</c:v>
                </c:pt>
                <c:pt idx="1018">
                  <c:v>4.8315692626562656E-2</c:v>
                </c:pt>
                <c:pt idx="1019">
                  <c:v>-3.3604932224738926E-3</c:v>
                </c:pt>
                <c:pt idx="1020">
                  <c:v>-0.17770800262051023</c:v>
                </c:pt>
                <c:pt idx="1021">
                  <c:v>-0.23103040328202229</c:v>
                </c:pt>
                <c:pt idx="1022">
                  <c:v>-9.4914487144828197E-2</c:v>
                </c:pt>
                <c:pt idx="1023">
                  <c:v>0.26649251807734908</c:v>
                </c:pt>
                <c:pt idx="1024">
                  <c:v>0.4292484690916008</c:v>
                </c:pt>
                <c:pt idx="1025">
                  <c:v>0.73663367853321782</c:v>
                </c:pt>
                <c:pt idx="1026">
                  <c:v>-1.324340295432948</c:v>
                </c:pt>
                <c:pt idx="1027">
                  <c:v>-1.1395109962084278</c:v>
                </c:pt>
                <c:pt idx="1028">
                  <c:v>-1.2194516164994376</c:v>
                </c:pt>
                <c:pt idx="1029">
                  <c:v>-0.74624176110476781</c:v>
                </c:pt>
                <c:pt idx="1030">
                  <c:v>-0.8310703498384302</c:v>
                </c:pt>
                <c:pt idx="1031">
                  <c:v>-0.69295827658249132</c:v>
                </c:pt>
                <c:pt idx="1032">
                  <c:v>-0.55627304502992558</c:v>
                </c:pt>
                <c:pt idx="1033">
                  <c:v>-0.62644534188696355</c:v>
                </c:pt>
                <c:pt idx="1034">
                  <c:v>-0.34020092548466069</c:v>
                </c:pt>
                <c:pt idx="1035">
                  <c:v>-0.32346640126275394</c:v>
                </c:pt>
                <c:pt idx="1036">
                  <c:v>-0.25887698562074341</c:v>
                </c:pt>
                <c:pt idx="1037">
                  <c:v>-0.44142184842962712</c:v>
                </c:pt>
                <c:pt idx="1038">
                  <c:v>-0.16597128033910458</c:v>
                </c:pt>
                <c:pt idx="1039">
                  <c:v>0.17972159726434861</c:v>
                </c:pt>
                <c:pt idx="1040">
                  <c:v>0.20790974714101146</c:v>
                </c:pt>
                <c:pt idx="1041">
                  <c:v>0.14933046181962675</c:v>
                </c:pt>
                <c:pt idx="1042">
                  <c:v>0.5899619519586583</c:v>
                </c:pt>
                <c:pt idx="1043">
                  <c:v>0.5954625962375294</c:v>
                </c:pt>
                <c:pt idx="1044">
                  <c:v>0.59107308846227569</c:v>
                </c:pt>
                <c:pt idx="1045">
                  <c:v>0.56393864557845519</c:v>
                </c:pt>
                <c:pt idx="1046">
                  <c:v>0.62141447441156239</c:v>
                </c:pt>
                <c:pt idx="1047">
                  <c:v>0.69479211793336493</c:v>
                </c:pt>
                <c:pt idx="1048">
                  <c:v>-8.4547890505500378E-2</c:v>
                </c:pt>
                <c:pt idx="1049">
                  <c:v>-1.9143805315569473E-2</c:v>
                </c:pt>
                <c:pt idx="1050">
                  <c:v>7.2077974270061462E-2</c:v>
                </c:pt>
                <c:pt idx="1051">
                  <c:v>0.22582536521051089</c:v>
                </c:pt>
                <c:pt idx="1052">
                  <c:v>0.23089885891159612</c:v>
                </c:pt>
                <c:pt idx="1053">
                  <c:v>0.49362481455887841</c:v>
                </c:pt>
                <c:pt idx="1054">
                  <c:v>0.54131437778948688</c:v>
                </c:pt>
                <c:pt idx="1055">
                  <c:v>0.51442237124046541</c:v>
                </c:pt>
                <c:pt idx="1056">
                  <c:v>0.46333211140838704</c:v>
                </c:pt>
                <c:pt idx="1057">
                  <c:v>0.46619128932764764</c:v>
                </c:pt>
                <c:pt idx="1058">
                  <c:v>0.34554190289362574</c:v>
                </c:pt>
                <c:pt idx="1059">
                  <c:v>0.51472057467829724</c:v>
                </c:pt>
                <c:pt idx="1060">
                  <c:v>0.11399240961372037</c:v>
                </c:pt>
                <c:pt idx="1061">
                  <c:v>-1.3809690916099182E-2</c:v>
                </c:pt>
                <c:pt idx="1062">
                  <c:v>0.17622203000790226</c:v>
                </c:pt>
                <c:pt idx="1063">
                  <c:v>0.25345876439178361</c:v>
                </c:pt>
                <c:pt idx="1064">
                  <c:v>0.34805615604700657</c:v>
                </c:pt>
                <c:pt idx="1065">
                  <c:v>0.30429194227803724</c:v>
                </c:pt>
                <c:pt idx="1066">
                  <c:v>5.9877235938669671E-2</c:v>
                </c:pt>
                <c:pt idx="1067">
                  <c:v>-3.4097310955216731E-2</c:v>
                </c:pt>
                <c:pt idx="1068">
                  <c:v>0.34734314506413488</c:v>
                </c:pt>
                <c:pt idx="1069">
                  <c:v>0.31778783539165101</c:v>
                </c:pt>
                <c:pt idx="1070">
                  <c:v>0.35692772970891085</c:v>
                </c:pt>
                <c:pt idx="1071">
                  <c:v>0.33850092674387255</c:v>
                </c:pt>
                <c:pt idx="1072">
                  <c:v>0.32305573123837283</c:v>
                </c:pt>
                <c:pt idx="1073">
                  <c:v>0.25074616763466806</c:v>
                </c:pt>
                <c:pt idx="1074">
                  <c:v>0.23238625397330881</c:v>
                </c:pt>
                <c:pt idx="1075">
                  <c:v>0.31828403885665724</c:v>
                </c:pt>
                <c:pt idx="1076">
                  <c:v>0.39006251867439201</c:v>
                </c:pt>
                <c:pt idx="1077">
                  <c:v>0.36745377653002453</c:v>
                </c:pt>
                <c:pt idx="1078">
                  <c:v>0.384715800952524</c:v>
                </c:pt>
                <c:pt idx="1079">
                  <c:v>0.12202422793409484</c:v>
                </c:pt>
                <c:pt idx="1080">
                  <c:v>2.1161948454953006E-3</c:v>
                </c:pt>
                <c:pt idx="1081">
                  <c:v>-0.13808748782811664</c:v>
                </c:pt>
                <c:pt idx="1082">
                  <c:v>7.1739657988483252E-3</c:v>
                </c:pt>
                <c:pt idx="1083">
                  <c:v>-3.9676189633156778E-2</c:v>
                </c:pt>
                <c:pt idx="1084">
                  <c:v>4.5604863111827765E-2</c:v>
                </c:pt>
                <c:pt idx="1085">
                  <c:v>1.2873611017871767E-4</c:v>
                </c:pt>
                <c:pt idx="1086">
                  <c:v>-0.18849226072787184</c:v>
                </c:pt>
                <c:pt idx="1087">
                  <c:v>-8.8511626284839551E-3</c:v>
                </c:pt>
                <c:pt idx="1088">
                  <c:v>4.9685463343676517E-2</c:v>
                </c:pt>
                <c:pt idx="1089">
                  <c:v>0.23155119896337384</c:v>
                </c:pt>
                <c:pt idx="1090">
                  <c:v>0.17188151424705866</c:v>
                </c:pt>
                <c:pt idx="1091">
                  <c:v>-0.16841260439428574</c:v>
                </c:pt>
                <c:pt idx="1092">
                  <c:v>-0.24735109962525259</c:v>
                </c:pt>
                <c:pt idx="1093">
                  <c:v>-0.65922506959703231</c:v>
                </c:pt>
                <c:pt idx="1094">
                  <c:v>-0.37781625560211163</c:v>
                </c:pt>
                <c:pt idx="1095">
                  <c:v>-0.53722146118581682</c:v>
                </c:pt>
                <c:pt idx="1096">
                  <c:v>-0.17687662588651909</c:v>
                </c:pt>
                <c:pt idx="1097">
                  <c:v>-0.23737915443788982</c:v>
                </c:pt>
                <c:pt idx="1098">
                  <c:v>-0.17991921366527275</c:v>
                </c:pt>
                <c:pt idx="1099">
                  <c:v>2.8098764860055025E-2</c:v>
                </c:pt>
                <c:pt idx="1100">
                  <c:v>0.38740037324341947</c:v>
                </c:pt>
                <c:pt idx="1101">
                  <c:v>0.22447246292773659</c:v>
                </c:pt>
                <c:pt idx="1102">
                  <c:v>0.35534468042441025</c:v>
                </c:pt>
                <c:pt idx="1103">
                  <c:v>0.33415127111005738</c:v>
                </c:pt>
                <c:pt idx="1104">
                  <c:v>0.36178063581639575</c:v>
                </c:pt>
                <c:pt idx="1105">
                  <c:v>0.28095936541028665</c:v>
                </c:pt>
                <c:pt idx="1106">
                  <c:v>0.28245887808991998</c:v>
                </c:pt>
                <c:pt idx="1107">
                  <c:v>0.31504801924907522</c:v>
                </c:pt>
                <c:pt idx="1108">
                  <c:v>0.36240193733786996</c:v>
                </c:pt>
                <c:pt idx="1109">
                  <c:v>0.22177609755394845</c:v>
                </c:pt>
                <c:pt idx="1110">
                  <c:v>0.13882540069399374</c:v>
                </c:pt>
                <c:pt idx="1111">
                  <c:v>6.8976174154355308E-2</c:v>
                </c:pt>
                <c:pt idx="1112">
                  <c:v>9.220362040341068E-2</c:v>
                </c:pt>
                <c:pt idx="1113">
                  <c:v>8.0745816960908989E-2</c:v>
                </c:pt>
                <c:pt idx="1114">
                  <c:v>5.8640193015777609E-3</c:v>
                </c:pt>
                <c:pt idx="1115">
                  <c:v>-6.2638047465805036E-2</c:v>
                </c:pt>
                <c:pt idx="1116">
                  <c:v>7.9873487233417251E-3</c:v>
                </c:pt>
                <c:pt idx="1117">
                  <c:v>-1.2971693261895734E-2</c:v>
                </c:pt>
                <c:pt idx="1118">
                  <c:v>-3.7767969068072116E-2</c:v>
                </c:pt>
                <c:pt idx="1119">
                  <c:v>-0.10603365191510949</c:v>
                </c:pt>
                <c:pt idx="1120">
                  <c:v>-9.8419755444548063E-2</c:v>
                </c:pt>
                <c:pt idx="1121">
                  <c:v>-6.0040640724734917E-2</c:v>
                </c:pt>
                <c:pt idx="1122">
                  <c:v>-7.3766205480266134E-2</c:v>
                </c:pt>
                <c:pt idx="1123">
                  <c:v>-9.8328149465103376E-2</c:v>
                </c:pt>
                <c:pt idx="1124">
                  <c:v>-9.3002248384496333E-2</c:v>
                </c:pt>
                <c:pt idx="1125">
                  <c:v>-9.4568996983029674E-2</c:v>
                </c:pt>
                <c:pt idx="1126">
                  <c:v>-5.2034384163340164E-2</c:v>
                </c:pt>
                <c:pt idx="1127">
                  <c:v>-3.4387781644500404E-2</c:v>
                </c:pt>
                <c:pt idx="1128">
                  <c:v>-0.12599510455469543</c:v>
                </c:pt>
                <c:pt idx="1129">
                  <c:v>-5.5459481039415115E-2</c:v>
                </c:pt>
                <c:pt idx="1130">
                  <c:v>7.2297100252399105E-2</c:v>
                </c:pt>
                <c:pt idx="1131">
                  <c:v>0.114274321462835</c:v>
                </c:pt>
                <c:pt idx="1132">
                  <c:v>-0.40449666862022626</c:v>
                </c:pt>
                <c:pt idx="1133">
                  <c:v>-0.48892420553222182</c:v>
                </c:pt>
                <c:pt idx="1134">
                  <c:v>-0.36766344242043081</c:v>
                </c:pt>
                <c:pt idx="1135">
                  <c:v>-0.21863296193827386</c:v>
                </c:pt>
                <c:pt idx="1136">
                  <c:v>-0.26991403756384402</c:v>
                </c:pt>
                <c:pt idx="1137">
                  <c:v>-0.29322266542153885</c:v>
                </c:pt>
                <c:pt idx="1138">
                  <c:v>-0.12171519872572456</c:v>
                </c:pt>
                <c:pt idx="1139">
                  <c:v>-0.15178130046157379</c:v>
                </c:pt>
                <c:pt idx="1140">
                  <c:v>-0.19748370831676998</c:v>
                </c:pt>
                <c:pt idx="1141">
                  <c:v>-0.16879100975982264</c:v>
                </c:pt>
                <c:pt idx="1142">
                  <c:v>-0.1998016400623428</c:v>
                </c:pt>
                <c:pt idx="1143">
                  <c:v>-8.5318778235798254E-2</c:v>
                </c:pt>
                <c:pt idx="1144">
                  <c:v>2.9880077272995464E-2</c:v>
                </c:pt>
                <c:pt idx="1145">
                  <c:v>0.12478247275163157</c:v>
                </c:pt>
                <c:pt idx="1146">
                  <c:v>5.7066345195137202E-2</c:v>
                </c:pt>
                <c:pt idx="1147">
                  <c:v>0.11482733558502134</c:v>
                </c:pt>
                <c:pt idx="1148">
                  <c:v>0.16204074705783267</c:v>
                </c:pt>
                <c:pt idx="1149">
                  <c:v>0.19032460224527159</c:v>
                </c:pt>
                <c:pt idx="1150">
                  <c:v>0.18551980119812472</c:v>
                </c:pt>
                <c:pt idx="1151">
                  <c:v>3.7714814568621469E-2</c:v>
                </c:pt>
                <c:pt idx="1152">
                  <c:v>-4.8839728469899368E-2</c:v>
                </c:pt>
                <c:pt idx="1153">
                  <c:v>-9.3013287368155506E-3</c:v>
                </c:pt>
                <c:pt idx="1154">
                  <c:v>-4.350764584505562E-2</c:v>
                </c:pt>
                <c:pt idx="1155">
                  <c:v>-6.6788918947734199E-2</c:v>
                </c:pt>
                <c:pt idx="1156">
                  <c:v>-0.17036076442849124</c:v>
                </c:pt>
                <c:pt idx="1157">
                  <c:v>-0.27208506688284739</c:v>
                </c:pt>
                <c:pt idx="1158">
                  <c:v>-0.25942894242953152</c:v>
                </c:pt>
                <c:pt idx="1159">
                  <c:v>-0.31651738392636486</c:v>
                </c:pt>
                <c:pt idx="1160">
                  <c:v>-0.44443175051143657</c:v>
                </c:pt>
                <c:pt idx="1161">
                  <c:v>-0.43616298859665159</c:v>
                </c:pt>
                <c:pt idx="1162">
                  <c:v>-0.34720950732339606</c:v>
                </c:pt>
                <c:pt idx="1163">
                  <c:v>2.4571557955976653E-2</c:v>
                </c:pt>
                <c:pt idx="1164">
                  <c:v>7.1054935900632277E-2</c:v>
                </c:pt>
                <c:pt idx="1165">
                  <c:v>7.4109175478039635E-2</c:v>
                </c:pt>
                <c:pt idx="1166">
                  <c:v>8.2149235983519198E-2</c:v>
                </c:pt>
                <c:pt idx="1167">
                  <c:v>0.1512149363064299</c:v>
                </c:pt>
                <c:pt idx="1168">
                  <c:v>4.4691708139324327E-2</c:v>
                </c:pt>
                <c:pt idx="1169">
                  <c:v>0.1339590534314159</c:v>
                </c:pt>
                <c:pt idx="1170">
                  <c:v>0.12569902012082212</c:v>
                </c:pt>
                <c:pt idx="1171">
                  <c:v>0.12012760852445159</c:v>
                </c:pt>
                <c:pt idx="1172">
                  <c:v>8.5869827284791755E-2</c:v>
                </c:pt>
                <c:pt idx="1173">
                  <c:v>6.2212904440098526E-2</c:v>
                </c:pt>
                <c:pt idx="1174">
                  <c:v>-0.15420201508417164</c:v>
                </c:pt>
                <c:pt idx="1175">
                  <c:v>4.453131495856355E-2</c:v>
                </c:pt>
                <c:pt idx="1176">
                  <c:v>6.1920276643115502E-2</c:v>
                </c:pt>
                <c:pt idx="1177">
                  <c:v>9.5740582744339608E-2</c:v>
                </c:pt>
                <c:pt idx="1178">
                  <c:v>9.6307531380206868E-2</c:v>
                </c:pt>
                <c:pt idx="1179">
                  <c:v>-5.3014099256709635E-3</c:v>
                </c:pt>
                <c:pt idx="1180">
                  <c:v>-0.10981645397997197</c:v>
                </c:pt>
                <c:pt idx="1181">
                  <c:v>-8.6334347960825175E-2</c:v>
                </c:pt>
                <c:pt idx="1182">
                  <c:v>1.4108457012725228E-2</c:v>
                </c:pt>
                <c:pt idx="1183">
                  <c:v>-6.1141662381105411E-2</c:v>
                </c:pt>
                <c:pt idx="1184">
                  <c:v>6.272394264028347E-2</c:v>
                </c:pt>
                <c:pt idx="1185">
                  <c:v>4.4633314585659667E-2</c:v>
                </c:pt>
                <c:pt idx="1186">
                  <c:v>0.16605074235708916</c:v>
                </c:pt>
                <c:pt idx="1187">
                  <c:v>0.16999055851347422</c:v>
                </c:pt>
                <c:pt idx="1188">
                  <c:v>8.3599766255408881E-2</c:v>
                </c:pt>
                <c:pt idx="1189">
                  <c:v>2.9463247807037352E-2</c:v>
                </c:pt>
                <c:pt idx="1190">
                  <c:v>6.0116798745694533E-2</c:v>
                </c:pt>
                <c:pt idx="1191">
                  <c:v>8.838350875769807E-2</c:v>
                </c:pt>
                <c:pt idx="1192">
                  <c:v>0.10545183276397974</c:v>
                </c:pt>
                <c:pt idx="1193">
                  <c:v>0.12961615158904904</c:v>
                </c:pt>
                <c:pt idx="1194">
                  <c:v>8.6212177259975098E-2</c:v>
                </c:pt>
                <c:pt idx="1195">
                  <c:v>4.5427961556316898E-3</c:v>
                </c:pt>
                <c:pt idx="1196">
                  <c:v>-0.30863752630771057</c:v>
                </c:pt>
                <c:pt idx="1197">
                  <c:v>0.87864587500455305</c:v>
                </c:pt>
                <c:pt idx="1198">
                  <c:v>0.55925004258229227</c:v>
                </c:pt>
                <c:pt idx="1199">
                  <c:v>0.35190845142561467</c:v>
                </c:pt>
                <c:pt idx="1200">
                  <c:v>0.22246504415842006</c:v>
                </c:pt>
                <c:pt idx="1201">
                  <c:v>0.12256039278530129</c:v>
                </c:pt>
                <c:pt idx="1202">
                  <c:v>9.5892139818826161E-2</c:v>
                </c:pt>
                <c:pt idx="1203">
                  <c:v>-0.24702855790857525</c:v>
                </c:pt>
                <c:pt idx="1204">
                  <c:v>-0.18779234585829629</c:v>
                </c:pt>
                <c:pt idx="1205">
                  <c:v>-0.20262485832158461</c:v>
                </c:pt>
                <c:pt idx="1206">
                  <c:v>-0.21599801423933784</c:v>
                </c:pt>
                <c:pt idx="1207">
                  <c:v>0.21227590518785849</c:v>
                </c:pt>
                <c:pt idx="1208">
                  <c:v>0.39268230389876552</c:v>
                </c:pt>
                <c:pt idx="1209">
                  <c:v>0.42869307526027384</c:v>
                </c:pt>
                <c:pt idx="1210">
                  <c:v>0.34579443434567914</c:v>
                </c:pt>
                <c:pt idx="1211">
                  <c:v>0.23653520254578031</c:v>
                </c:pt>
                <c:pt idx="1212">
                  <c:v>0.14798411685758894</c:v>
                </c:pt>
                <c:pt idx="1213">
                  <c:v>0.13258268290227937</c:v>
                </c:pt>
                <c:pt idx="1214">
                  <c:v>0.19434693519620905</c:v>
                </c:pt>
                <c:pt idx="1215">
                  <c:v>0.18552803338730217</c:v>
                </c:pt>
                <c:pt idx="1216">
                  <c:v>0.13197070059907989</c:v>
                </c:pt>
                <c:pt idx="1217">
                  <c:v>-0.44980922554627634</c:v>
                </c:pt>
                <c:pt idx="1218">
                  <c:v>-4.4099564995408375E-2</c:v>
                </c:pt>
                <c:pt idx="1219">
                  <c:v>5.7424693753797787E-2</c:v>
                </c:pt>
                <c:pt idx="1220">
                  <c:v>4.6114991775372274E-2</c:v>
                </c:pt>
                <c:pt idx="1221">
                  <c:v>0.19160412914476627</c:v>
                </c:pt>
                <c:pt idx="1222">
                  <c:v>0.28517656547365322</c:v>
                </c:pt>
                <c:pt idx="1223">
                  <c:v>0.29217645620708199</c:v>
                </c:pt>
                <c:pt idx="1224">
                  <c:v>0.25201767552098836</c:v>
                </c:pt>
                <c:pt idx="1225">
                  <c:v>0.12842743531629364</c:v>
                </c:pt>
                <c:pt idx="1226">
                  <c:v>3.2059389883711577E-2</c:v>
                </c:pt>
                <c:pt idx="1227">
                  <c:v>6.7866173980707239E-2</c:v>
                </c:pt>
                <c:pt idx="1228">
                  <c:v>5.3727786049675201E-2</c:v>
                </c:pt>
                <c:pt idx="1229">
                  <c:v>0.16713556131517615</c:v>
                </c:pt>
                <c:pt idx="1230">
                  <c:v>0.15216849615745945</c:v>
                </c:pt>
                <c:pt idx="1231">
                  <c:v>0.14361821982006776</c:v>
                </c:pt>
                <c:pt idx="1232">
                  <c:v>0.23163307802347199</c:v>
                </c:pt>
                <c:pt idx="1233">
                  <c:v>0.21092654852610548</c:v>
                </c:pt>
                <c:pt idx="1234">
                  <c:v>0.20612652232852979</c:v>
                </c:pt>
                <c:pt idx="1235">
                  <c:v>0.13847835290391275</c:v>
                </c:pt>
                <c:pt idx="1236">
                  <c:v>0.19365662717988036</c:v>
                </c:pt>
                <c:pt idx="1237">
                  <c:v>0.31091796475771688</c:v>
                </c:pt>
                <c:pt idx="1238">
                  <c:v>0.39931142224796767</c:v>
                </c:pt>
                <c:pt idx="1239">
                  <c:v>0.33547881111846334</c:v>
                </c:pt>
                <c:pt idx="1240">
                  <c:v>-0.12093516185451539</c:v>
                </c:pt>
                <c:pt idx="1241">
                  <c:v>0.47212629878601825</c:v>
                </c:pt>
                <c:pt idx="1242">
                  <c:v>0.35866421234554302</c:v>
                </c:pt>
                <c:pt idx="1243">
                  <c:v>0.25555644923505461</c:v>
                </c:pt>
                <c:pt idx="1244">
                  <c:v>0.33547013997540187</c:v>
                </c:pt>
                <c:pt idx="1245">
                  <c:v>0.28863244796915832</c:v>
                </c:pt>
                <c:pt idx="1246">
                  <c:v>0.27297204947050435</c:v>
                </c:pt>
                <c:pt idx="1247">
                  <c:v>0.31020250150065359</c:v>
                </c:pt>
                <c:pt idx="1248">
                  <c:v>0.37201103538308017</c:v>
                </c:pt>
                <c:pt idx="1249">
                  <c:v>0.34775008897014215</c:v>
                </c:pt>
                <c:pt idx="1250">
                  <c:v>0.28877705519096453</c:v>
                </c:pt>
                <c:pt idx="1251">
                  <c:v>0.26985988741130101</c:v>
                </c:pt>
                <c:pt idx="1252">
                  <c:v>0.48946358682961133</c:v>
                </c:pt>
                <c:pt idx="1253">
                  <c:v>0.48168075879436989</c:v>
                </c:pt>
                <c:pt idx="1254">
                  <c:v>0.4201741250437363</c:v>
                </c:pt>
                <c:pt idx="1255">
                  <c:v>0.39525104403620753</c:v>
                </c:pt>
                <c:pt idx="1256">
                  <c:v>0.27877201633355442</c:v>
                </c:pt>
                <c:pt idx="1257">
                  <c:v>0.17816005936516879</c:v>
                </c:pt>
                <c:pt idx="1258">
                  <c:v>0.24462424389985168</c:v>
                </c:pt>
                <c:pt idx="1259">
                  <c:v>0.19659590089922707</c:v>
                </c:pt>
                <c:pt idx="1260">
                  <c:v>0.22161086746744896</c:v>
                </c:pt>
                <c:pt idx="1261">
                  <c:v>3.8808902153517677E-2</c:v>
                </c:pt>
                <c:pt idx="1262">
                  <c:v>1.0560411186820298</c:v>
                </c:pt>
                <c:pt idx="1263">
                  <c:v>0.86592994857466354</c:v>
                </c:pt>
                <c:pt idx="1264">
                  <c:v>0.41054082489277566</c:v>
                </c:pt>
                <c:pt idx="1265">
                  <c:v>0.44674819137527294</c:v>
                </c:pt>
                <c:pt idx="1266">
                  <c:v>0.32903220141258405</c:v>
                </c:pt>
                <c:pt idx="1267">
                  <c:v>0.3304502027614491</c:v>
                </c:pt>
                <c:pt idx="1268">
                  <c:v>0.32989426665771371</c:v>
                </c:pt>
                <c:pt idx="1269">
                  <c:v>0.41278461905586022</c:v>
                </c:pt>
                <c:pt idx="1270">
                  <c:v>7.1183038329781387E-2</c:v>
                </c:pt>
                <c:pt idx="1271">
                  <c:v>0.26299912828097777</c:v>
                </c:pt>
                <c:pt idx="1272">
                  <c:v>0.11483721639781688</c:v>
                </c:pt>
                <c:pt idx="1273">
                  <c:v>-9.7451760702551515E-2</c:v>
                </c:pt>
                <c:pt idx="1274">
                  <c:v>-0.21676436789771042</c:v>
                </c:pt>
                <c:pt idx="1275">
                  <c:v>-0.18443103396394525</c:v>
                </c:pt>
                <c:pt idx="1276">
                  <c:v>-1.199392375453244E-2</c:v>
                </c:pt>
                <c:pt idx="1277">
                  <c:v>0.29407909225062956</c:v>
                </c:pt>
                <c:pt idx="1278">
                  <c:v>0.49496239320097285</c:v>
                </c:pt>
                <c:pt idx="1279">
                  <c:v>-5.1445399087041155E-3</c:v>
                </c:pt>
                <c:pt idx="1280">
                  <c:v>0.12410067117521406</c:v>
                </c:pt>
                <c:pt idx="1281">
                  <c:v>0.32320964372785366</c:v>
                </c:pt>
                <c:pt idx="1282">
                  <c:v>1.6794372846019474</c:v>
                </c:pt>
                <c:pt idx="1283">
                  <c:v>0.7954611924604178</c:v>
                </c:pt>
                <c:pt idx="1284">
                  <c:v>0.88547227548545837</c:v>
                </c:pt>
                <c:pt idx="1285">
                  <c:v>1.1966797546496362</c:v>
                </c:pt>
                <c:pt idx="1286">
                  <c:v>1.2805692261722075</c:v>
                </c:pt>
                <c:pt idx="1287">
                  <c:v>1.1404674864550388</c:v>
                </c:pt>
                <c:pt idx="1288">
                  <c:v>1.5625341925401162</c:v>
                </c:pt>
                <c:pt idx="1289">
                  <c:v>1.2160833333163972</c:v>
                </c:pt>
                <c:pt idx="1290">
                  <c:v>0.99411684119888977</c:v>
                </c:pt>
                <c:pt idx="1291">
                  <c:v>0.90642339594347221</c:v>
                </c:pt>
                <c:pt idx="1292">
                  <c:v>0.20321423515237391</c:v>
                </c:pt>
                <c:pt idx="1293">
                  <c:v>0.18587879568164922</c:v>
                </c:pt>
                <c:pt idx="1294">
                  <c:v>0.19152117889573428</c:v>
                </c:pt>
                <c:pt idx="1295">
                  <c:v>6.8977310804821057E-2</c:v>
                </c:pt>
                <c:pt idx="1296">
                  <c:v>0.21021400892591613</c:v>
                </c:pt>
                <c:pt idx="1297">
                  <c:v>0.17739636910110068</c:v>
                </c:pt>
                <c:pt idx="1298">
                  <c:v>9.6705619262246634E-2</c:v>
                </c:pt>
                <c:pt idx="1299">
                  <c:v>5.82381573767905E-2</c:v>
                </c:pt>
                <c:pt idx="1300">
                  <c:v>8.5290714546040869E-2</c:v>
                </c:pt>
                <c:pt idx="1301">
                  <c:v>0.127681474170104</c:v>
                </c:pt>
                <c:pt idx="1302">
                  <c:v>0.20946912609746171</c:v>
                </c:pt>
                <c:pt idx="1303">
                  <c:v>0.19314199612315175</c:v>
                </c:pt>
                <c:pt idx="1304">
                  <c:v>2.4123924005078692</c:v>
                </c:pt>
                <c:pt idx="1305">
                  <c:v>1.9323702552300612</c:v>
                </c:pt>
                <c:pt idx="1306">
                  <c:v>1.5361918890882398</c:v>
                </c:pt>
                <c:pt idx="1307">
                  <c:v>1.2389679007325347</c:v>
                </c:pt>
                <c:pt idx="1308">
                  <c:v>1.0182180994182966</c:v>
                </c:pt>
                <c:pt idx="1309">
                  <c:v>0.99204709638991218</c:v>
                </c:pt>
                <c:pt idx="1310">
                  <c:v>0.87306540542872613</c:v>
                </c:pt>
                <c:pt idx="1311">
                  <c:v>0.70817632617937676</c:v>
                </c:pt>
                <c:pt idx="1312">
                  <c:v>0.52289692621776451</c:v>
                </c:pt>
                <c:pt idx="1313">
                  <c:v>0.42330810176070011</c:v>
                </c:pt>
                <c:pt idx="1314">
                  <c:v>0.12123324392132129</c:v>
                </c:pt>
                <c:pt idx="1315">
                  <c:v>-0.32625476492798033</c:v>
                </c:pt>
                <c:pt idx="1316">
                  <c:v>-0.44312822116672956</c:v>
                </c:pt>
                <c:pt idx="1317">
                  <c:v>-0.52569695360485258</c:v>
                </c:pt>
                <c:pt idx="1318">
                  <c:v>-0.60553727860297513</c:v>
                </c:pt>
                <c:pt idx="1319">
                  <c:v>-0.44929628482684025</c:v>
                </c:pt>
                <c:pt idx="1320">
                  <c:v>-0.44749660319047346</c:v>
                </c:pt>
                <c:pt idx="1321">
                  <c:v>-0.44169144835417096</c:v>
                </c:pt>
                <c:pt idx="1322">
                  <c:v>-0.40880805341215587</c:v>
                </c:pt>
                <c:pt idx="1323">
                  <c:v>-0.49604967493422647</c:v>
                </c:pt>
                <c:pt idx="1324">
                  <c:v>1.5408268260825839</c:v>
                </c:pt>
                <c:pt idx="1325">
                  <c:v>1.0081826136080314</c:v>
                </c:pt>
                <c:pt idx="1326">
                  <c:v>0.84993779489381693</c:v>
                </c:pt>
                <c:pt idx="1327">
                  <c:v>0.59078729589326673</c:v>
                </c:pt>
                <c:pt idx="1328">
                  <c:v>0.30960249218071745</c:v>
                </c:pt>
                <c:pt idx="1329">
                  <c:v>-0.32572396412649351</c:v>
                </c:pt>
                <c:pt idx="1330">
                  <c:v>-0.30560553136291868</c:v>
                </c:pt>
                <c:pt idx="1331">
                  <c:v>-0.49821313666515921</c:v>
                </c:pt>
                <c:pt idx="1332">
                  <c:v>-0.53342387074285713</c:v>
                </c:pt>
                <c:pt idx="1333">
                  <c:v>-0.43208457319683991</c:v>
                </c:pt>
                <c:pt idx="1334">
                  <c:v>-0.26893961515998899</c:v>
                </c:pt>
                <c:pt idx="1335">
                  <c:v>-0.14364577016129365</c:v>
                </c:pt>
                <c:pt idx="1336">
                  <c:v>-0.17947606780331649</c:v>
                </c:pt>
                <c:pt idx="1337">
                  <c:v>-0.15513456861968233</c:v>
                </c:pt>
                <c:pt idx="1338">
                  <c:v>-4.7923181432042217E-2</c:v>
                </c:pt>
                <c:pt idx="1339">
                  <c:v>-4.3782700216454806E-3</c:v>
                </c:pt>
                <c:pt idx="1340">
                  <c:v>-1.3078598609894909E-2</c:v>
                </c:pt>
                <c:pt idx="1341">
                  <c:v>-2.6546144196843979E-2</c:v>
                </c:pt>
                <c:pt idx="1342">
                  <c:v>7.9649972872906094E-3</c:v>
                </c:pt>
                <c:pt idx="1343">
                  <c:v>0.10260792084223791</c:v>
                </c:pt>
                <c:pt idx="1344">
                  <c:v>0.54394936602102617</c:v>
                </c:pt>
                <c:pt idx="1345">
                  <c:v>0.49356910005543364</c:v>
                </c:pt>
                <c:pt idx="1346">
                  <c:v>1.6277994415914838</c:v>
                </c:pt>
                <c:pt idx="1347">
                  <c:v>0.71852089133797037</c:v>
                </c:pt>
                <c:pt idx="1348">
                  <c:v>0.5616901266797647</c:v>
                </c:pt>
                <c:pt idx="1349">
                  <c:v>0.19206355471111558</c:v>
                </c:pt>
                <c:pt idx="1350">
                  <c:v>-5.373535239471261E-3</c:v>
                </c:pt>
                <c:pt idx="1351">
                  <c:v>-5.5698030437463908E-2</c:v>
                </c:pt>
                <c:pt idx="1352">
                  <c:v>-0.18104330801140622</c:v>
                </c:pt>
                <c:pt idx="1353">
                  <c:v>-0.13388155430527626</c:v>
                </c:pt>
                <c:pt idx="1354">
                  <c:v>-0.11284672486610114</c:v>
                </c:pt>
                <c:pt idx="1355">
                  <c:v>-0.29304503880270194</c:v>
                </c:pt>
                <c:pt idx="1356">
                  <c:v>-0.38985813076303044</c:v>
                </c:pt>
                <c:pt idx="1357">
                  <c:v>-0.36218679675880283</c:v>
                </c:pt>
                <c:pt idx="1358">
                  <c:v>-0.44979466757774222</c:v>
                </c:pt>
                <c:pt idx="1359">
                  <c:v>-0.35031286013529073</c:v>
                </c:pt>
                <c:pt idx="1360">
                  <c:v>-0.24253752004037832</c:v>
                </c:pt>
                <c:pt idx="1361">
                  <c:v>-0.13885127854002643</c:v>
                </c:pt>
                <c:pt idx="1362">
                  <c:v>-0.45916513274721016</c:v>
                </c:pt>
                <c:pt idx="1363">
                  <c:v>-0.4690461945331974</c:v>
                </c:pt>
                <c:pt idx="1364">
                  <c:v>-0.33202654396995435</c:v>
                </c:pt>
                <c:pt idx="1365">
                  <c:v>-0.27708843191681876</c:v>
                </c:pt>
                <c:pt idx="1366">
                  <c:v>0.33347088979951267</c:v>
                </c:pt>
                <c:pt idx="1367">
                  <c:v>0.22549471085740058</c:v>
                </c:pt>
                <c:pt idx="1368">
                  <c:v>0.29585631787507793</c:v>
                </c:pt>
                <c:pt idx="1369">
                  <c:v>0.17644806576764838</c:v>
                </c:pt>
                <c:pt idx="1370">
                  <c:v>0.10769903715857887</c:v>
                </c:pt>
                <c:pt idx="1371">
                  <c:v>0.10193230225152883</c:v>
                </c:pt>
                <c:pt idx="1372">
                  <c:v>9.5029946948660404E-2</c:v>
                </c:pt>
                <c:pt idx="1373">
                  <c:v>0.20027817856043439</c:v>
                </c:pt>
                <c:pt idx="1374">
                  <c:v>0.22615628929896436</c:v>
                </c:pt>
                <c:pt idx="1375">
                  <c:v>0.18438320786129592</c:v>
                </c:pt>
                <c:pt idx="1376">
                  <c:v>0.20031871608732854</c:v>
                </c:pt>
                <c:pt idx="1377">
                  <c:v>0.32013678693620884</c:v>
                </c:pt>
                <c:pt idx="1378">
                  <c:v>0.35288177181898894</c:v>
                </c:pt>
                <c:pt idx="1379">
                  <c:v>0.36548195281640306</c:v>
                </c:pt>
                <c:pt idx="1380">
                  <c:v>0.48688042092050798</c:v>
                </c:pt>
                <c:pt idx="1381">
                  <c:v>0.36333893161432007</c:v>
                </c:pt>
                <c:pt idx="1382">
                  <c:v>2.4102068356046891E-2</c:v>
                </c:pt>
                <c:pt idx="1383">
                  <c:v>0.21484970750446486</c:v>
                </c:pt>
                <c:pt idx="1384">
                  <c:v>0.27751096463033909</c:v>
                </c:pt>
                <c:pt idx="1385">
                  <c:v>0.29832631099973028</c:v>
                </c:pt>
                <c:pt idx="1386">
                  <c:v>1.6184738844878588E-2</c:v>
                </c:pt>
                <c:pt idx="1387">
                  <c:v>0.85559559910890548</c:v>
                </c:pt>
                <c:pt idx="1388">
                  <c:v>0.3882100117627334</c:v>
                </c:pt>
                <c:pt idx="1389">
                  <c:v>0.11259688569747839</c:v>
                </c:pt>
                <c:pt idx="1390">
                  <c:v>-1.6093965536993382E-2</c:v>
                </c:pt>
                <c:pt idx="1391">
                  <c:v>-0.10070856501312941</c:v>
                </c:pt>
                <c:pt idx="1392">
                  <c:v>-3.3122623298718734E-2</c:v>
                </c:pt>
                <c:pt idx="1393">
                  <c:v>2.7721581305925058E-2</c:v>
                </c:pt>
                <c:pt idx="1394">
                  <c:v>-2.6054917662751365E-2</c:v>
                </c:pt>
                <c:pt idx="1395">
                  <c:v>-0.14363767724982002</c:v>
                </c:pt>
                <c:pt idx="1396">
                  <c:v>-0.21394604503412862</c:v>
                </c:pt>
                <c:pt idx="1397">
                  <c:v>-0.28909472251918777</c:v>
                </c:pt>
                <c:pt idx="1398">
                  <c:v>-0.14822834593211343</c:v>
                </c:pt>
                <c:pt idx="1399">
                  <c:v>-0.17081722751764272</c:v>
                </c:pt>
                <c:pt idx="1400">
                  <c:v>-0.21947111242103201</c:v>
                </c:pt>
                <c:pt idx="1401">
                  <c:v>-0.23370252758624743</c:v>
                </c:pt>
                <c:pt idx="1402">
                  <c:v>-0.23347457366696456</c:v>
                </c:pt>
                <c:pt idx="1403">
                  <c:v>-0.32480008199045729</c:v>
                </c:pt>
                <c:pt idx="1404">
                  <c:v>-0.29652476119119275</c:v>
                </c:pt>
                <c:pt idx="1405">
                  <c:v>-0.16682636488551439</c:v>
                </c:pt>
                <c:pt idx="1406">
                  <c:v>-0.11478065235267887</c:v>
                </c:pt>
                <c:pt idx="1407">
                  <c:v>-0.3238233476522403</c:v>
                </c:pt>
                <c:pt idx="1408">
                  <c:v>-0.42162344731539925</c:v>
                </c:pt>
                <c:pt idx="1409">
                  <c:v>0.19237739144171018</c:v>
                </c:pt>
                <c:pt idx="1410">
                  <c:v>0.13350639328603453</c:v>
                </c:pt>
                <c:pt idx="1411">
                  <c:v>4.1881625039505543E-2</c:v>
                </c:pt>
                <c:pt idx="1412">
                  <c:v>-3.4094246480116386E-2</c:v>
                </c:pt>
                <c:pt idx="1413">
                  <c:v>-7.7916042115276474E-2</c:v>
                </c:pt>
                <c:pt idx="1414">
                  <c:v>-5.8198100488414672E-2</c:v>
                </c:pt>
                <c:pt idx="1415">
                  <c:v>-4.632095123308666E-2</c:v>
                </c:pt>
                <c:pt idx="1416">
                  <c:v>2.076451790767142E-2</c:v>
                </c:pt>
                <c:pt idx="1417">
                  <c:v>8.1723457397167687E-2</c:v>
                </c:pt>
                <c:pt idx="1418">
                  <c:v>6.733783824538575E-2</c:v>
                </c:pt>
                <c:pt idx="1419">
                  <c:v>2.5168276694368164E-2</c:v>
                </c:pt>
                <c:pt idx="1420">
                  <c:v>0.11437267891202785</c:v>
                </c:pt>
                <c:pt idx="1421">
                  <c:v>7.2230412705176938E-2</c:v>
                </c:pt>
                <c:pt idx="1422">
                  <c:v>0.13327340945239441</c:v>
                </c:pt>
                <c:pt idx="1423">
                  <c:v>9.5935087177407619E-2</c:v>
                </c:pt>
                <c:pt idx="1424">
                  <c:v>5.8197057682156661E-2</c:v>
                </c:pt>
                <c:pt idx="1425">
                  <c:v>-2.4861867754290223E-2</c:v>
                </c:pt>
                <c:pt idx="1426">
                  <c:v>-4.5541330924369516E-2</c:v>
                </c:pt>
                <c:pt idx="1427">
                  <c:v>7.0452890548393654E-3</c:v>
                </c:pt>
                <c:pt idx="1428">
                  <c:v>-4.5706606779307268E-2</c:v>
                </c:pt>
                <c:pt idx="1429">
                  <c:v>-0.13280858096897674</c:v>
                </c:pt>
                <c:pt idx="1430">
                  <c:v>-0.16313389727279182</c:v>
                </c:pt>
                <c:pt idx="1431">
                  <c:v>-0.35013975731471214</c:v>
                </c:pt>
                <c:pt idx="1432">
                  <c:v>0.13265212344103594</c:v>
                </c:pt>
                <c:pt idx="1433">
                  <c:v>-7.0065406633825544E-2</c:v>
                </c:pt>
                <c:pt idx="1434">
                  <c:v>-9.5518366219616513E-2</c:v>
                </c:pt>
                <c:pt idx="1435">
                  <c:v>-0.27903307173011527</c:v>
                </c:pt>
                <c:pt idx="1436">
                  <c:v>-0.25499244555180556</c:v>
                </c:pt>
                <c:pt idx="1437">
                  <c:v>-0.15460912451113473</c:v>
                </c:pt>
                <c:pt idx="1438">
                  <c:v>-0.11375775136014632</c:v>
                </c:pt>
                <c:pt idx="1439">
                  <c:v>-5.89288523654935E-2</c:v>
                </c:pt>
                <c:pt idx="1440">
                  <c:v>-0.1175943772690311</c:v>
                </c:pt>
                <c:pt idx="1441">
                  <c:v>-0.28482977128256998</c:v>
                </c:pt>
                <c:pt idx="1442">
                  <c:v>-9.1298983849082249E-2</c:v>
                </c:pt>
                <c:pt idx="1443">
                  <c:v>-0.18896739138220592</c:v>
                </c:pt>
                <c:pt idx="1444">
                  <c:v>-0.14109261609365648</c:v>
                </c:pt>
                <c:pt idx="1445">
                  <c:v>-0.1259582627729452</c:v>
                </c:pt>
                <c:pt idx="1446">
                  <c:v>-3.6044838405974833E-2</c:v>
                </c:pt>
                <c:pt idx="1447">
                  <c:v>-0.21886013397667092</c:v>
                </c:pt>
                <c:pt idx="1448">
                  <c:v>-0.33021473229006959</c:v>
                </c:pt>
                <c:pt idx="1449">
                  <c:v>-0.37837078464183738</c:v>
                </c:pt>
                <c:pt idx="1450">
                  <c:v>-0.32004428584815225</c:v>
                </c:pt>
                <c:pt idx="1451">
                  <c:v>-0.8562151084620786</c:v>
                </c:pt>
                <c:pt idx="1452">
                  <c:v>-0.76250277982320513</c:v>
                </c:pt>
                <c:pt idx="1453">
                  <c:v>-0.38421593987307351</c:v>
                </c:pt>
                <c:pt idx="1454">
                  <c:v>-0.38599041102032783</c:v>
                </c:pt>
                <c:pt idx="1455">
                  <c:v>-0.54381724146893284</c:v>
                </c:pt>
                <c:pt idx="1456">
                  <c:v>-0.57862028544979049</c:v>
                </c:pt>
                <c:pt idx="1457">
                  <c:v>-0.48936226811813843</c:v>
                </c:pt>
                <c:pt idx="1458">
                  <c:v>-0.33763337364577922</c:v>
                </c:pt>
                <c:pt idx="1459">
                  <c:v>-0.31861722465454412</c:v>
                </c:pt>
                <c:pt idx="1460">
                  <c:v>-0.22444997521909443</c:v>
                </c:pt>
                <c:pt idx="1461">
                  <c:v>-0.21276430417389935</c:v>
                </c:pt>
                <c:pt idx="1462">
                  <c:v>-0.26720158303389874</c:v>
                </c:pt>
                <c:pt idx="1463">
                  <c:v>-0.29366836150637154</c:v>
                </c:pt>
                <c:pt idx="1464">
                  <c:v>-0.23180402494622723</c:v>
                </c:pt>
                <c:pt idx="1465">
                  <c:v>-0.16499135016615643</c:v>
                </c:pt>
                <c:pt idx="1466">
                  <c:v>-0.22328195567637116</c:v>
                </c:pt>
                <c:pt idx="1467">
                  <c:v>-0.21526526608362817</c:v>
                </c:pt>
                <c:pt idx="1468">
                  <c:v>-0.26591322914481436</c:v>
                </c:pt>
                <c:pt idx="1469">
                  <c:v>-0.30308544990174463</c:v>
                </c:pt>
                <c:pt idx="1470">
                  <c:v>-0.20225291109450233</c:v>
                </c:pt>
                <c:pt idx="1471">
                  <c:v>-0.1988822150733548</c:v>
                </c:pt>
                <c:pt idx="1472">
                  <c:v>-0.27207984667917223</c:v>
                </c:pt>
                <c:pt idx="1473">
                  <c:v>-0.27825135996284905</c:v>
                </c:pt>
                <c:pt idx="1474">
                  <c:v>-0.55987265318512258</c:v>
                </c:pt>
                <c:pt idx="1475">
                  <c:v>-0.54479430969636355</c:v>
                </c:pt>
                <c:pt idx="1476">
                  <c:v>-0.50476750548430194</c:v>
                </c:pt>
                <c:pt idx="1477">
                  <c:v>-0.59621636121561661</c:v>
                </c:pt>
                <c:pt idx="1478">
                  <c:v>-0.54675982286783675</c:v>
                </c:pt>
                <c:pt idx="1479">
                  <c:v>-0.65368275028144973</c:v>
                </c:pt>
                <c:pt idx="1480">
                  <c:v>-0.66021333503432478</c:v>
                </c:pt>
                <c:pt idx="1481">
                  <c:v>-0.60372500073416568</c:v>
                </c:pt>
                <c:pt idx="1482">
                  <c:v>-0.62190786447019408</c:v>
                </c:pt>
                <c:pt idx="1483">
                  <c:v>-0.50632318885776861</c:v>
                </c:pt>
                <c:pt idx="1484">
                  <c:v>-0.55550661258653633</c:v>
                </c:pt>
                <c:pt idx="1485">
                  <c:v>-0.62162180508468079</c:v>
                </c:pt>
                <c:pt idx="1486">
                  <c:v>-0.32525209736387262</c:v>
                </c:pt>
                <c:pt idx="1487">
                  <c:v>-0.321712358050535</c:v>
                </c:pt>
                <c:pt idx="1488">
                  <c:v>-0.33815752851382852</c:v>
                </c:pt>
                <c:pt idx="1489">
                  <c:v>-0.25423675597536244</c:v>
                </c:pt>
                <c:pt idx="1490">
                  <c:v>-0.26313250461474347</c:v>
                </c:pt>
                <c:pt idx="1491">
                  <c:v>-0.20660320154012779</c:v>
                </c:pt>
                <c:pt idx="1492">
                  <c:v>-8.6097165559596123E-2</c:v>
                </c:pt>
                <c:pt idx="1493">
                  <c:v>-0.12029085545054885</c:v>
                </c:pt>
                <c:pt idx="1494">
                  <c:v>-8.8842949102892366E-2</c:v>
                </c:pt>
                <c:pt idx="1495">
                  <c:v>-3.6040088373765267E-2</c:v>
                </c:pt>
                <c:pt idx="1496">
                  <c:v>1.7065817573149955E-2</c:v>
                </c:pt>
                <c:pt idx="1497">
                  <c:v>-0.15195206913884562</c:v>
                </c:pt>
                <c:pt idx="1498">
                  <c:v>-0.21416516521409767</c:v>
                </c:pt>
                <c:pt idx="1499">
                  <c:v>-0.24745133361598626</c:v>
                </c:pt>
                <c:pt idx="1500">
                  <c:v>-0.42989946732777629</c:v>
                </c:pt>
                <c:pt idx="1501">
                  <c:v>-0.26312212062474916</c:v>
                </c:pt>
                <c:pt idx="1502">
                  <c:v>-0.1778616783867506</c:v>
                </c:pt>
                <c:pt idx="1503">
                  <c:v>-0.19498577027352759</c:v>
                </c:pt>
                <c:pt idx="1504">
                  <c:v>-0.18493472982700609</c:v>
                </c:pt>
                <c:pt idx="1505">
                  <c:v>-0.16207279435939648</c:v>
                </c:pt>
                <c:pt idx="1506">
                  <c:v>-0.24379786027355488</c:v>
                </c:pt>
                <c:pt idx="1507">
                  <c:v>-0.35357064617088585</c:v>
                </c:pt>
                <c:pt idx="1508">
                  <c:v>-0.25587356740490574</c:v>
                </c:pt>
                <c:pt idx="1509">
                  <c:v>-0.19768654541253183</c:v>
                </c:pt>
                <c:pt idx="1510">
                  <c:v>-6.3658117979911166E-2</c:v>
                </c:pt>
                <c:pt idx="1511">
                  <c:v>1.1424659000395465E-2</c:v>
                </c:pt>
                <c:pt idx="1512">
                  <c:v>-0.12930164724910753</c:v>
                </c:pt>
                <c:pt idx="1513">
                  <c:v>-0.16938803362245647</c:v>
                </c:pt>
                <c:pt idx="1514">
                  <c:v>-0.11448476219492276</c:v>
                </c:pt>
                <c:pt idx="1515">
                  <c:v>-0.1234260780817884</c:v>
                </c:pt>
                <c:pt idx="1516">
                  <c:v>-0.24609205837293868</c:v>
                </c:pt>
                <c:pt idx="1517">
                  <c:v>-0.17716975769132048</c:v>
                </c:pt>
                <c:pt idx="1518">
                  <c:v>-0.61167297505965523</c:v>
                </c:pt>
                <c:pt idx="1519">
                  <c:v>-0.46595342005014739</c:v>
                </c:pt>
                <c:pt idx="1520">
                  <c:v>-0.22181671232165168</c:v>
                </c:pt>
                <c:pt idx="1521">
                  <c:v>-0.37749670385819822</c:v>
                </c:pt>
                <c:pt idx="1522">
                  <c:v>-0.26338191213530715</c:v>
                </c:pt>
                <c:pt idx="1523">
                  <c:v>-0.27939231005817633</c:v>
                </c:pt>
                <c:pt idx="1524">
                  <c:v>-0.31555495539734313</c:v>
                </c:pt>
                <c:pt idx="1525">
                  <c:v>-0.49625752321322447</c:v>
                </c:pt>
                <c:pt idx="1526">
                  <c:v>-0.46476078540042853</c:v>
                </c:pt>
                <c:pt idx="1527">
                  <c:v>-0.59462105556217848</c:v>
                </c:pt>
                <c:pt idx="1528">
                  <c:v>-0.68695710868664728</c:v>
                </c:pt>
                <c:pt idx="1529">
                  <c:v>0.32597095157984546</c:v>
                </c:pt>
                <c:pt idx="1530">
                  <c:v>0.24533930145651706</c:v>
                </c:pt>
                <c:pt idx="1531">
                  <c:v>9.7003596495855771E-2</c:v>
                </c:pt>
                <c:pt idx="1532">
                  <c:v>-6.1494950344546773E-2</c:v>
                </c:pt>
                <c:pt idx="1533">
                  <c:v>-9.4834403803052414E-2</c:v>
                </c:pt>
                <c:pt idx="1534">
                  <c:v>-0.11574167907443922</c:v>
                </c:pt>
                <c:pt idx="1535">
                  <c:v>-2.7281117262023979E-2</c:v>
                </c:pt>
                <c:pt idx="1536">
                  <c:v>-0.39560950172809983</c:v>
                </c:pt>
                <c:pt idx="1537">
                  <c:v>-6.1609125596899794E-2</c:v>
                </c:pt>
                <c:pt idx="1538">
                  <c:v>2.0675597476036423E-2</c:v>
                </c:pt>
                <c:pt idx="1539">
                  <c:v>0.36106561288986105</c:v>
                </c:pt>
                <c:pt idx="1540">
                  <c:v>-0.66715920064931122</c:v>
                </c:pt>
                <c:pt idx="1541">
                  <c:v>0.19828361401562278</c:v>
                </c:pt>
                <c:pt idx="1542">
                  <c:v>0.35031167100693716</c:v>
                </c:pt>
                <c:pt idx="1543">
                  <c:v>0.25133123882382336</c:v>
                </c:pt>
                <c:pt idx="1544">
                  <c:v>4.4154418682480046E-2</c:v>
                </c:pt>
                <c:pt idx="1545">
                  <c:v>9.8187336458575469E-2</c:v>
                </c:pt>
                <c:pt idx="1546">
                  <c:v>-0.79903449981474584</c:v>
                </c:pt>
                <c:pt idx="1547">
                  <c:v>0.21328308084570047</c:v>
                </c:pt>
                <c:pt idx="1548">
                  <c:v>0.20471105957806923</c:v>
                </c:pt>
                <c:pt idx="1549">
                  <c:v>0.39243496651680143</c:v>
                </c:pt>
                <c:pt idx="1550">
                  <c:v>0.59109744377844642</c:v>
                </c:pt>
                <c:pt idx="1551">
                  <c:v>-1.680237650072143</c:v>
                </c:pt>
                <c:pt idx="1552">
                  <c:v>-1.2809987659909394</c:v>
                </c:pt>
                <c:pt idx="1553">
                  <c:v>-0.98618263964281572</c:v>
                </c:pt>
                <c:pt idx="1554">
                  <c:v>-0.72502123100487292</c:v>
                </c:pt>
                <c:pt idx="1555">
                  <c:v>-0.28229753529510493</c:v>
                </c:pt>
                <c:pt idx="1556">
                  <c:v>-7.66796725524721E-2</c:v>
                </c:pt>
                <c:pt idx="1557">
                  <c:v>-6.2823271534968805E-2</c:v>
                </c:pt>
                <c:pt idx="1558">
                  <c:v>-0.27526388812816793</c:v>
                </c:pt>
                <c:pt idx="1559">
                  <c:v>-1.8968288074764805E-2</c:v>
                </c:pt>
                <c:pt idx="1560">
                  <c:v>-1.9724830399639566</c:v>
                </c:pt>
                <c:pt idx="1561">
                  <c:v>-1.7303701512607799</c:v>
                </c:pt>
                <c:pt idx="1562">
                  <c:v>-1.3961986167486735</c:v>
                </c:pt>
                <c:pt idx="1563">
                  <c:v>-1.1377768011990259</c:v>
                </c:pt>
                <c:pt idx="1564">
                  <c:v>-0.99820922148251034</c:v>
                </c:pt>
                <c:pt idx="1565">
                  <c:v>-1.1614133505320932</c:v>
                </c:pt>
                <c:pt idx="1566">
                  <c:v>-0.79368649738773422</c:v>
                </c:pt>
                <c:pt idx="1567">
                  <c:v>-0.54966540399093522</c:v>
                </c:pt>
                <c:pt idx="1568">
                  <c:v>-0.20256239379588736</c:v>
                </c:pt>
                <c:pt idx="1569">
                  <c:v>-0.13354584764623301</c:v>
                </c:pt>
                <c:pt idx="1570">
                  <c:v>0.18152139387315858</c:v>
                </c:pt>
                <c:pt idx="1571">
                  <c:v>3.7670788397140775E-2</c:v>
                </c:pt>
                <c:pt idx="1572">
                  <c:v>0.21282719424030239</c:v>
                </c:pt>
                <c:pt idx="1573">
                  <c:v>0.15655971823142223</c:v>
                </c:pt>
                <c:pt idx="1574">
                  <c:v>0.43333110624471116</c:v>
                </c:pt>
                <c:pt idx="1575">
                  <c:v>0.49454009484645856</c:v>
                </c:pt>
                <c:pt idx="1576">
                  <c:v>0.38507371257811629</c:v>
                </c:pt>
                <c:pt idx="1577">
                  <c:v>0.37617106811432555</c:v>
                </c:pt>
                <c:pt idx="1578">
                  <c:v>0.42890855752856538</c:v>
                </c:pt>
                <c:pt idx="1579">
                  <c:v>0.49990175334774078</c:v>
                </c:pt>
                <c:pt idx="1580">
                  <c:v>-0.67556257640213468</c:v>
                </c:pt>
                <c:pt idx="1581">
                  <c:v>-0.36482528893374111</c:v>
                </c:pt>
                <c:pt idx="1582">
                  <c:v>-0.13524288444687238</c:v>
                </c:pt>
                <c:pt idx="1583">
                  <c:v>-8.3019121416729513E-2</c:v>
                </c:pt>
                <c:pt idx="1584">
                  <c:v>-4.3829691323841735E-2</c:v>
                </c:pt>
                <c:pt idx="1585">
                  <c:v>2.1831262238288351E-2</c:v>
                </c:pt>
                <c:pt idx="1586">
                  <c:v>-0.14034794414055141</c:v>
                </c:pt>
                <c:pt idx="1587">
                  <c:v>-0.22319291290482335</c:v>
                </c:pt>
                <c:pt idx="1588">
                  <c:v>-0.2188061573621356</c:v>
                </c:pt>
                <c:pt idx="1589">
                  <c:v>-0.21552916134048994</c:v>
                </c:pt>
                <c:pt idx="1590">
                  <c:v>-6.5624169360702922E-2</c:v>
                </c:pt>
                <c:pt idx="1591">
                  <c:v>3.7777881980609163E-2</c:v>
                </c:pt>
                <c:pt idx="1592">
                  <c:v>-1.3245621668458885E-2</c:v>
                </c:pt>
                <c:pt idx="1593">
                  <c:v>-7.6646790670669818E-2</c:v>
                </c:pt>
                <c:pt idx="1594">
                  <c:v>8.6389136263063104E-2</c:v>
                </c:pt>
                <c:pt idx="1595">
                  <c:v>3.5479559475595224E-3</c:v>
                </c:pt>
                <c:pt idx="1596">
                  <c:v>0.14491049783303511</c:v>
                </c:pt>
                <c:pt idx="1597">
                  <c:v>0.13733782254633065</c:v>
                </c:pt>
                <c:pt idx="1598">
                  <c:v>0.20346190618321969</c:v>
                </c:pt>
                <c:pt idx="1599">
                  <c:v>0.11434647973217849</c:v>
                </c:pt>
                <c:pt idx="1600">
                  <c:v>0.18636833259053853</c:v>
                </c:pt>
                <c:pt idx="1601">
                  <c:v>0.1340614768881172</c:v>
                </c:pt>
                <c:pt idx="1602">
                  <c:v>0.17632110562952619</c:v>
                </c:pt>
                <c:pt idx="1603">
                  <c:v>-0.99507677570200814</c:v>
                </c:pt>
                <c:pt idx="1604">
                  <c:v>-0.80848718193440772</c:v>
                </c:pt>
                <c:pt idx="1605">
                  <c:v>-0.48275230156982463</c:v>
                </c:pt>
                <c:pt idx="1606">
                  <c:v>-0.34057864887595624</c:v>
                </c:pt>
                <c:pt idx="1607">
                  <c:v>-0.23606112423251102</c:v>
                </c:pt>
                <c:pt idx="1608">
                  <c:v>-0.28686382307188607</c:v>
                </c:pt>
                <c:pt idx="1609">
                  <c:v>-0.1878212323604509</c:v>
                </c:pt>
                <c:pt idx="1610">
                  <c:v>-0.1089167837368854</c:v>
                </c:pt>
                <c:pt idx="1611">
                  <c:v>-0.1592858824839698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B70-4882-BA62-C300960362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13658000"/>
        <c:axId val="1613658328"/>
      </c:barChart>
      <c:lineChart>
        <c:grouping val="standard"/>
        <c:varyColors val="0"/>
        <c:ser>
          <c:idx val="0"/>
          <c:order val="0"/>
          <c:tx>
            <c:strRef>
              <c:f>'M1'!$E$6</c:f>
              <c:strCache>
                <c:ptCount val="1"/>
                <c:pt idx="0">
                  <c:v>TTF_M1_CLOSE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'M1'!$D$506:$D$2132</c:f>
              <c:numCache>
                <c:formatCode>m/d/yyyy</c:formatCode>
                <c:ptCount val="1627"/>
                <c:pt idx="0">
                  <c:v>42713</c:v>
                </c:pt>
                <c:pt idx="1">
                  <c:v>42716</c:v>
                </c:pt>
                <c:pt idx="2">
                  <c:v>42717</c:v>
                </c:pt>
                <c:pt idx="3">
                  <c:v>42718</c:v>
                </c:pt>
                <c:pt idx="4">
                  <c:v>42719</c:v>
                </c:pt>
                <c:pt idx="5">
                  <c:v>42720</c:v>
                </c:pt>
                <c:pt idx="6">
                  <c:v>42723</c:v>
                </c:pt>
                <c:pt idx="7">
                  <c:v>42724</c:v>
                </c:pt>
                <c:pt idx="8">
                  <c:v>42725</c:v>
                </c:pt>
                <c:pt idx="9">
                  <c:v>42726</c:v>
                </c:pt>
                <c:pt idx="10">
                  <c:v>42727</c:v>
                </c:pt>
                <c:pt idx="11">
                  <c:v>42731</c:v>
                </c:pt>
                <c:pt idx="12">
                  <c:v>42732</c:v>
                </c:pt>
                <c:pt idx="13">
                  <c:v>42733</c:v>
                </c:pt>
                <c:pt idx="14">
                  <c:v>42734</c:v>
                </c:pt>
                <c:pt idx="15">
                  <c:v>42737</c:v>
                </c:pt>
                <c:pt idx="16">
                  <c:v>42738</c:v>
                </c:pt>
                <c:pt idx="17">
                  <c:v>42739</c:v>
                </c:pt>
                <c:pt idx="18">
                  <c:v>42740</c:v>
                </c:pt>
                <c:pt idx="19">
                  <c:v>42741</c:v>
                </c:pt>
                <c:pt idx="20">
                  <c:v>42744</c:v>
                </c:pt>
                <c:pt idx="21">
                  <c:v>42745</c:v>
                </c:pt>
                <c:pt idx="22">
                  <c:v>42746</c:v>
                </c:pt>
                <c:pt idx="23">
                  <c:v>42747</c:v>
                </c:pt>
                <c:pt idx="24">
                  <c:v>42748</c:v>
                </c:pt>
                <c:pt idx="25">
                  <c:v>42751</c:v>
                </c:pt>
                <c:pt idx="26">
                  <c:v>42752</c:v>
                </c:pt>
                <c:pt idx="27">
                  <c:v>42753</c:v>
                </c:pt>
                <c:pt idx="28">
                  <c:v>42754</c:v>
                </c:pt>
                <c:pt idx="29">
                  <c:v>42755</c:v>
                </c:pt>
                <c:pt idx="30">
                  <c:v>42758</c:v>
                </c:pt>
                <c:pt idx="31">
                  <c:v>42759</c:v>
                </c:pt>
                <c:pt idx="32">
                  <c:v>42760</c:v>
                </c:pt>
                <c:pt idx="33">
                  <c:v>42761</c:v>
                </c:pt>
                <c:pt idx="34">
                  <c:v>42762</c:v>
                </c:pt>
                <c:pt idx="35">
                  <c:v>42765</c:v>
                </c:pt>
                <c:pt idx="36">
                  <c:v>42766</c:v>
                </c:pt>
                <c:pt idx="37">
                  <c:v>42767</c:v>
                </c:pt>
                <c:pt idx="38">
                  <c:v>42768</c:v>
                </c:pt>
                <c:pt idx="39">
                  <c:v>42769</c:v>
                </c:pt>
                <c:pt idx="40">
                  <c:v>42772</c:v>
                </c:pt>
                <c:pt idx="41">
                  <c:v>42773</c:v>
                </c:pt>
                <c:pt idx="42">
                  <c:v>42774</c:v>
                </c:pt>
                <c:pt idx="43">
                  <c:v>42775</c:v>
                </c:pt>
                <c:pt idx="44">
                  <c:v>42776</c:v>
                </c:pt>
                <c:pt idx="45">
                  <c:v>42779</c:v>
                </c:pt>
                <c:pt idx="46">
                  <c:v>42780</c:v>
                </c:pt>
                <c:pt idx="47">
                  <c:v>42781</c:v>
                </c:pt>
                <c:pt idx="48">
                  <c:v>42782</c:v>
                </c:pt>
                <c:pt idx="49">
                  <c:v>42783</c:v>
                </c:pt>
                <c:pt idx="50">
                  <c:v>42786</c:v>
                </c:pt>
                <c:pt idx="51">
                  <c:v>42787</c:v>
                </c:pt>
                <c:pt idx="52">
                  <c:v>42788</c:v>
                </c:pt>
                <c:pt idx="53">
                  <c:v>42789</c:v>
                </c:pt>
                <c:pt idx="54">
                  <c:v>42790</c:v>
                </c:pt>
                <c:pt idx="55">
                  <c:v>42793</c:v>
                </c:pt>
                <c:pt idx="56">
                  <c:v>42794</c:v>
                </c:pt>
                <c:pt idx="57">
                  <c:v>42795</c:v>
                </c:pt>
                <c:pt idx="58">
                  <c:v>42796</c:v>
                </c:pt>
                <c:pt idx="59">
                  <c:v>42797</c:v>
                </c:pt>
                <c:pt idx="60">
                  <c:v>42800</c:v>
                </c:pt>
                <c:pt idx="61">
                  <c:v>42801</c:v>
                </c:pt>
                <c:pt idx="62">
                  <c:v>42802</c:v>
                </c:pt>
                <c:pt idx="63">
                  <c:v>42803</c:v>
                </c:pt>
                <c:pt idx="64">
                  <c:v>42804</c:v>
                </c:pt>
                <c:pt idx="65">
                  <c:v>42807</c:v>
                </c:pt>
                <c:pt idx="66">
                  <c:v>42808</c:v>
                </c:pt>
                <c:pt idx="67">
                  <c:v>42809</c:v>
                </c:pt>
                <c:pt idx="68">
                  <c:v>42810</c:v>
                </c:pt>
                <c:pt idx="69">
                  <c:v>42811</c:v>
                </c:pt>
                <c:pt idx="70">
                  <c:v>42814</c:v>
                </c:pt>
                <c:pt idx="71">
                  <c:v>42815</c:v>
                </c:pt>
                <c:pt idx="72">
                  <c:v>42816</c:v>
                </c:pt>
                <c:pt idx="73">
                  <c:v>42817</c:v>
                </c:pt>
                <c:pt idx="74">
                  <c:v>42818</c:v>
                </c:pt>
                <c:pt idx="75">
                  <c:v>42821</c:v>
                </c:pt>
                <c:pt idx="76">
                  <c:v>42822</c:v>
                </c:pt>
                <c:pt idx="77">
                  <c:v>42823</c:v>
                </c:pt>
                <c:pt idx="78">
                  <c:v>42824</c:v>
                </c:pt>
                <c:pt idx="79">
                  <c:v>42825</c:v>
                </c:pt>
                <c:pt idx="80">
                  <c:v>42828</c:v>
                </c:pt>
                <c:pt idx="81">
                  <c:v>42829</c:v>
                </c:pt>
                <c:pt idx="82">
                  <c:v>42830</c:v>
                </c:pt>
                <c:pt idx="83">
                  <c:v>42831</c:v>
                </c:pt>
                <c:pt idx="84">
                  <c:v>42832</c:v>
                </c:pt>
                <c:pt idx="85">
                  <c:v>42835</c:v>
                </c:pt>
                <c:pt idx="86">
                  <c:v>42836</c:v>
                </c:pt>
                <c:pt idx="87">
                  <c:v>42837</c:v>
                </c:pt>
                <c:pt idx="88">
                  <c:v>42838</c:v>
                </c:pt>
                <c:pt idx="89">
                  <c:v>42843</c:v>
                </c:pt>
                <c:pt idx="90">
                  <c:v>42844</c:v>
                </c:pt>
                <c:pt idx="91">
                  <c:v>42845</c:v>
                </c:pt>
                <c:pt idx="92">
                  <c:v>42846</c:v>
                </c:pt>
                <c:pt idx="93">
                  <c:v>42849</c:v>
                </c:pt>
                <c:pt idx="94">
                  <c:v>42850</c:v>
                </c:pt>
                <c:pt idx="95">
                  <c:v>42851</c:v>
                </c:pt>
                <c:pt idx="96">
                  <c:v>42852</c:v>
                </c:pt>
                <c:pt idx="97">
                  <c:v>42853</c:v>
                </c:pt>
                <c:pt idx="98">
                  <c:v>42856</c:v>
                </c:pt>
                <c:pt idx="99">
                  <c:v>42857</c:v>
                </c:pt>
                <c:pt idx="100">
                  <c:v>42858</c:v>
                </c:pt>
                <c:pt idx="101">
                  <c:v>42859</c:v>
                </c:pt>
                <c:pt idx="102">
                  <c:v>42860</c:v>
                </c:pt>
                <c:pt idx="103">
                  <c:v>42863</c:v>
                </c:pt>
                <c:pt idx="104">
                  <c:v>42864</c:v>
                </c:pt>
                <c:pt idx="105">
                  <c:v>42865</c:v>
                </c:pt>
                <c:pt idx="106">
                  <c:v>42866</c:v>
                </c:pt>
                <c:pt idx="107">
                  <c:v>42867</c:v>
                </c:pt>
                <c:pt idx="108">
                  <c:v>42870</c:v>
                </c:pt>
                <c:pt idx="109">
                  <c:v>42871</c:v>
                </c:pt>
                <c:pt idx="110">
                  <c:v>42872</c:v>
                </c:pt>
                <c:pt idx="111">
                  <c:v>42873</c:v>
                </c:pt>
                <c:pt idx="112">
                  <c:v>42874</c:v>
                </c:pt>
                <c:pt idx="113">
                  <c:v>42877</c:v>
                </c:pt>
                <c:pt idx="114">
                  <c:v>42878</c:v>
                </c:pt>
                <c:pt idx="115">
                  <c:v>42879</c:v>
                </c:pt>
                <c:pt idx="116">
                  <c:v>42880</c:v>
                </c:pt>
                <c:pt idx="117">
                  <c:v>42881</c:v>
                </c:pt>
                <c:pt idx="118">
                  <c:v>42884</c:v>
                </c:pt>
                <c:pt idx="119">
                  <c:v>42885</c:v>
                </c:pt>
                <c:pt idx="120">
                  <c:v>42886</c:v>
                </c:pt>
                <c:pt idx="121">
                  <c:v>42887</c:v>
                </c:pt>
                <c:pt idx="122">
                  <c:v>42888</c:v>
                </c:pt>
                <c:pt idx="123">
                  <c:v>42891</c:v>
                </c:pt>
                <c:pt idx="124">
                  <c:v>42892</c:v>
                </c:pt>
                <c:pt idx="125">
                  <c:v>42893</c:v>
                </c:pt>
                <c:pt idx="126">
                  <c:v>42894</c:v>
                </c:pt>
                <c:pt idx="127">
                  <c:v>42895</c:v>
                </c:pt>
                <c:pt idx="128">
                  <c:v>42898</c:v>
                </c:pt>
                <c:pt idx="129">
                  <c:v>42899</c:v>
                </c:pt>
                <c:pt idx="130">
                  <c:v>42900</c:v>
                </c:pt>
                <c:pt idx="131">
                  <c:v>42901</c:v>
                </c:pt>
                <c:pt idx="132">
                  <c:v>42902</c:v>
                </c:pt>
                <c:pt idx="133">
                  <c:v>42905</c:v>
                </c:pt>
                <c:pt idx="134">
                  <c:v>42906</c:v>
                </c:pt>
                <c:pt idx="135">
                  <c:v>42907</c:v>
                </c:pt>
                <c:pt idx="136">
                  <c:v>42908</c:v>
                </c:pt>
                <c:pt idx="137">
                  <c:v>42909</c:v>
                </c:pt>
                <c:pt idx="138">
                  <c:v>42912</c:v>
                </c:pt>
                <c:pt idx="139">
                  <c:v>42913</c:v>
                </c:pt>
                <c:pt idx="140">
                  <c:v>42914</c:v>
                </c:pt>
                <c:pt idx="141">
                  <c:v>42915</c:v>
                </c:pt>
                <c:pt idx="142">
                  <c:v>42916</c:v>
                </c:pt>
                <c:pt idx="143">
                  <c:v>42919</c:v>
                </c:pt>
                <c:pt idx="144">
                  <c:v>42920</c:v>
                </c:pt>
                <c:pt idx="145">
                  <c:v>42921</c:v>
                </c:pt>
                <c:pt idx="146">
                  <c:v>42922</c:v>
                </c:pt>
                <c:pt idx="147">
                  <c:v>42923</c:v>
                </c:pt>
                <c:pt idx="148">
                  <c:v>42926</c:v>
                </c:pt>
                <c:pt idx="149">
                  <c:v>42927</c:v>
                </c:pt>
                <c:pt idx="150">
                  <c:v>42928</c:v>
                </c:pt>
                <c:pt idx="151">
                  <c:v>42929</c:v>
                </c:pt>
                <c:pt idx="152">
                  <c:v>42930</c:v>
                </c:pt>
                <c:pt idx="153">
                  <c:v>42933</c:v>
                </c:pt>
                <c:pt idx="154">
                  <c:v>42934</c:v>
                </c:pt>
                <c:pt idx="155">
                  <c:v>42935</c:v>
                </c:pt>
                <c:pt idx="156">
                  <c:v>42936</c:v>
                </c:pt>
                <c:pt idx="157">
                  <c:v>42937</c:v>
                </c:pt>
                <c:pt idx="158">
                  <c:v>42940</c:v>
                </c:pt>
                <c:pt idx="159">
                  <c:v>42941</c:v>
                </c:pt>
                <c:pt idx="160">
                  <c:v>42942</c:v>
                </c:pt>
                <c:pt idx="161">
                  <c:v>42943</c:v>
                </c:pt>
                <c:pt idx="162">
                  <c:v>42944</c:v>
                </c:pt>
                <c:pt idx="163">
                  <c:v>42947</c:v>
                </c:pt>
                <c:pt idx="164">
                  <c:v>42948</c:v>
                </c:pt>
                <c:pt idx="165">
                  <c:v>42949</c:v>
                </c:pt>
                <c:pt idx="166">
                  <c:v>42950</c:v>
                </c:pt>
                <c:pt idx="167">
                  <c:v>42951</c:v>
                </c:pt>
                <c:pt idx="168">
                  <c:v>42954</c:v>
                </c:pt>
                <c:pt idx="169">
                  <c:v>42955</c:v>
                </c:pt>
                <c:pt idx="170">
                  <c:v>42956</c:v>
                </c:pt>
                <c:pt idx="171">
                  <c:v>42957</c:v>
                </c:pt>
                <c:pt idx="172">
                  <c:v>42958</c:v>
                </c:pt>
                <c:pt idx="173">
                  <c:v>42961</c:v>
                </c:pt>
                <c:pt idx="174">
                  <c:v>42962</c:v>
                </c:pt>
                <c:pt idx="175">
                  <c:v>42963</c:v>
                </c:pt>
                <c:pt idx="176">
                  <c:v>42964</c:v>
                </c:pt>
                <c:pt idx="177">
                  <c:v>42965</c:v>
                </c:pt>
                <c:pt idx="178">
                  <c:v>42968</c:v>
                </c:pt>
                <c:pt idx="179">
                  <c:v>42969</c:v>
                </c:pt>
                <c:pt idx="180">
                  <c:v>42970</c:v>
                </c:pt>
                <c:pt idx="181">
                  <c:v>42971</c:v>
                </c:pt>
                <c:pt idx="182">
                  <c:v>42972</c:v>
                </c:pt>
                <c:pt idx="183">
                  <c:v>42975</c:v>
                </c:pt>
                <c:pt idx="184">
                  <c:v>42976</c:v>
                </c:pt>
                <c:pt idx="185">
                  <c:v>42977</c:v>
                </c:pt>
                <c:pt idx="186">
                  <c:v>42978</c:v>
                </c:pt>
                <c:pt idx="187">
                  <c:v>42979</c:v>
                </c:pt>
                <c:pt idx="188">
                  <c:v>42982</c:v>
                </c:pt>
                <c:pt idx="189">
                  <c:v>42983</c:v>
                </c:pt>
                <c:pt idx="190">
                  <c:v>42984</c:v>
                </c:pt>
                <c:pt idx="191">
                  <c:v>42985</c:v>
                </c:pt>
                <c:pt idx="192">
                  <c:v>42986</c:v>
                </c:pt>
                <c:pt idx="193">
                  <c:v>42989</c:v>
                </c:pt>
                <c:pt idx="194">
                  <c:v>42990</c:v>
                </c:pt>
                <c:pt idx="195">
                  <c:v>42991</c:v>
                </c:pt>
                <c:pt idx="196">
                  <c:v>42992</c:v>
                </c:pt>
                <c:pt idx="197">
                  <c:v>42993</c:v>
                </c:pt>
                <c:pt idx="198">
                  <c:v>42996</c:v>
                </c:pt>
                <c:pt idx="199">
                  <c:v>42997</c:v>
                </c:pt>
                <c:pt idx="200">
                  <c:v>42998</c:v>
                </c:pt>
                <c:pt idx="201">
                  <c:v>42999</c:v>
                </c:pt>
                <c:pt idx="202">
                  <c:v>43000</c:v>
                </c:pt>
                <c:pt idx="203">
                  <c:v>43003</c:v>
                </c:pt>
                <c:pt idx="204">
                  <c:v>43004</c:v>
                </c:pt>
                <c:pt idx="205">
                  <c:v>43005</c:v>
                </c:pt>
                <c:pt idx="206">
                  <c:v>43006</c:v>
                </c:pt>
                <c:pt idx="207">
                  <c:v>43007</c:v>
                </c:pt>
                <c:pt idx="208">
                  <c:v>43010</c:v>
                </c:pt>
                <c:pt idx="209">
                  <c:v>43011</c:v>
                </c:pt>
                <c:pt idx="210">
                  <c:v>43012</c:v>
                </c:pt>
                <c:pt idx="211">
                  <c:v>43013</c:v>
                </c:pt>
                <c:pt idx="212">
                  <c:v>43014</c:v>
                </c:pt>
                <c:pt idx="213">
                  <c:v>43017</c:v>
                </c:pt>
                <c:pt idx="214">
                  <c:v>43018</c:v>
                </c:pt>
                <c:pt idx="215">
                  <c:v>43019</c:v>
                </c:pt>
                <c:pt idx="216">
                  <c:v>43020</c:v>
                </c:pt>
                <c:pt idx="217">
                  <c:v>43021</c:v>
                </c:pt>
                <c:pt idx="218">
                  <c:v>43024</c:v>
                </c:pt>
                <c:pt idx="219">
                  <c:v>43025</c:v>
                </c:pt>
                <c:pt idx="220">
                  <c:v>43026</c:v>
                </c:pt>
                <c:pt idx="221">
                  <c:v>43027</c:v>
                </c:pt>
                <c:pt idx="222">
                  <c:v>43028</c:v>
                </c:pt>
                <c:pt idx="223">
                  <c:v>43031</c:v>
                </c:pt>
                <c:pt idx="224">
                  <c:v>43032</c:v>
                </c:pt>
                <c:pt idx="225">
                  <c:v>43033</c:v>
                </c:pt>
                <c:pt idx="226">
                  <c:v>43034</c:v>
                </c:pt>
                <c:pt idx="227">
                  <c:v>43035</c:v>
                </c:pt>
                <c:pt idx="228">
                  <c:v>43038</c:v>
                </c:pt>
                <c:pt idx="229">
                  <c:v>43039</c:v>
                </c:pt>
                <c:pt idx="230">
                  <c:v>43040</c:v>
                </c:pt>
                <c:pt idx="231">
                  <c:v>43041</c:v>
                </c:pt>
                <c:pt idx="232">
                  <c:v>43042</c:v>
                </c:pt>
                <c:pt idx="233">
                  <c:v>43045</c:v>
                </c:pt>
                <c:pt idx="234">
                  <c:v>43046</c:v>
                </c:pt>
                <c:pt idx="235">
                  <c:v>43047</c:v>
                </c:pt>
                <c:pt idx="236">
                  <c:v>43048</c:v>
                </c:pt>
                <c:pt idx="237">
                  <c:v>43049</c:v>
                </c:pt>
                <c:pt idx="238">
                  <c:v>43052</c:v>
                </c:pt>
                <c:pt idx="239">
                  <c:v>43053</c:v>
                </c:pt>
                <c:pt idx="240">
                  <c:v>43054</c:v>
                </c:pt>
                <c:pt idx="241">
                  <c:v>43055</c:v>
                </c:pt>
                <c:pt idx="242">
                  <c:v>43056</c:v>
                </c:pt>
                <c:pt idx="243">
                  <c:v>43059</c:v>
                </c:pt>
                <c:pt idx="244">
                  <c:v>43060</c:v>
                </c:pt>
                <c:pt idx="245">
                  <c:v>43061</c:v>
                </c:pt>
                <c:pt idx="246">
                  <c:v>43062</c:v>
                </c:pt>
                <c:pt idx="247">
                  <c:v>43063</c:v>
                </c:pt>
                <c:pt idx="248">
                  <c:v>43066</c:v>
                </c:pt>
                <c:pt idx="249">
                  <c:v>43067</c:v>
                </c:pt>
                <c:pt idx="250">
                  <c:v>43068</c:v>
                </c:pt>
                <c:pt idx="251">
                  <c:v>43069</c:v>
                </c:pt>
                <c:pt idx="252">
                  <c:v>43070</c:v>
                </c:pt>
                <c:pt idx="253">
                  <c:v>43073</c:v>
                </c:pt>
                <c:pt idx="254">
                  <c:v>43074</c:v>
                </c:pt>
                <c:pt idx="255">
                  <c:v>43075</c:v>
                </c:pt>
                <c:pt idx="256">
                  <c:v>43076</c:v>
                </c:pt>
                <c:pt idx="257">
                  <c:v>43077</c:v>
                </c:pt>
                <c:pt idx="258">
                  <c:v>43080</c:v>
                </c:pt>
                <c:pt idx="259">
                  <c:v>43081</c:v>
                </c:pt>
                <c:pt idx="260">
                  <c:v>43082</c:v>
                </c:pt>
                <c:pt idx="261">
                  <c:v>43083</c:v>
                </c:pt>
                <c:pt idx="262">
                  <c:v>43084</c:v>
                </c:pt>
                <c:pt idx="263">
                  <c:v>43087</c:v>
                </c:pt>
                <c:pt idx="264">
                  <c:v>43088</c:v>
                </c:pt>
                <c:pt idx="265">
                  <c:v>43089</c:v>
                </c:pt>
                <c:pt idx="266">
                  <c:v>43090</c:v>
                </c:pt>
                <c:pt idx="267">
                  <c:v>43091</c:v>
                </c:pt>
                <c:pt idx="268">
                  <c:v>43096</c:v>
                </c:pt>
                <c:pt idx="269">
                  <c:v>43097</c:v>
                </c:pt>
                <c:pt idx="270">
                  <c:v>43098</c:v>
                </c:pt>
                <c:pt idx="271">
                  <c:v>43102</c:v>
                </c:pt>
                <c:pt idx="272">
                  <c:v>43103</c:v>
                </c:pt>
                <c:pt idx="273">
                  <c:v>43104</c:v>
                </c:pt>
                <c:pt idx="274">
                  <c:v>43105</c:v>
                </c:pt>
                <c:pt idx="275">
                  <c:v>43108</c:v>
                </c:pt>
                <c:pt idx="276">
                  <c:v>43109</c:v>
                </c:pt>
                <c:pt idx="277">
                  <c:v>43110</c:v>
                </c:pt>
                <c:pt idx="278">
                  <c:v>43111</c:v>
                </c:pt>
                <c:pt idx="279">
                  <c:v>43112</c:v>
                </c:pt>
                <c:pt idx="280">
                  <c:v>43115</c:v>
                </c:pt>
                <c:pt idx="281">
                  <c:v>43116</c:v>
                </c:pt>
                <c:pt idx="282">
                  <c:v>43117</c:v>
                </c:pt>
                <c:pt idx="283">
                  <c:v>43118</c:v>
                </c:pt>
                <c:pt idx="284">
                  <c:v>43119</c:v>
                </c:pt>
                <c:pt idx="285">
                  <c:v>43122</c:v>
                </c:pt>
                <c:pt idx="286">
                  <c:v>43123</c:v>
                </c:pt>
                <c:pt idx="287">
                  <c:v>43124</c:v>
                </c:pt>
                <c:pt idx="288">
                  <c:v>43125</c:v>
                </c:pt>
                <c:pt idx="289">
                  <c:v>43126</c:v>
                </c:pt>
                <c:pt idx="290">
                  <c:v>43129</c:v>
                </c:pt>
                <c:pt idx="291">
                  <c:v>43130</c:v>
                </c:pt>
                <c:pt idx="292">
                  <c:v>43131</c:v>
                </c:pt>
                <c:pt idx="293">
                  <c:v>43132</c:v>
                </c:pt>
                <c:pt idx="294">
                  <c:v>43133</c:v>
                </c:pt>
                <c:pt idx="295">
                  <c:v>43136</c:v>
                </c:pt>
                <c:pt idx="296">
                  <c:v>43137</c:v>
                </c:pt>
                <c:pt idx="297">
                  <c:v>43138</c:v>
                </c:pt>
                <c:pt idx="298">
                  <c:v>43139</c:v>
                </c:pt>
                <c:pt idx="299">
                  <c:v>43140</c:v>
                </c:pt>
                <c:pt idx="300">
                  <c:v>43143</c:v>
                </c:pt>
                <c:pt idx="301">
                  <c:v>43144</c:v>
                </c:pt>
                <c:pt idx="302">
                  <c:v>43145</c:v>
                </c:pt>
                <c:pt idx="303">
                  <c:v>43146</c:v>
                </c:pt>
                <c:pt idx="304">
                  <c:v>43147</c:v>
                </c:pt>
                <c:pt idx="305">
                  <c:v>43150</c:v>
                </c:pt>
                <c:pt idx="306">
                  <c:v>43151</c:v>
                </c:pt>
                <c:pt idx="307">
                  <c:v>43152</c:v>
                </c:pt>
                <c:pt idx="308">
                  <c:v>43153</c:v>
                </c:pt>
                <c:pt idx="309">
                  <c:v>43154</c:v>
                </c:pt>
                <c:pt idx="310">
                  <c:v>43157</c:v>
                </c:pt>
                <c:pt idx="311">
                  <c:v>43158</c:v>
                </c:pt>
                <c:pt idx="312">
                  <c:v>43159</c:v>
                </c:pt>
                <c:pt idx="313">
                  <c:v>43160</c:v>
                </c:pt>
                <c:pt idx="314">
                  <c:v>43161</c:v>
                </c:pt>
                <c:pt idx="315">
                  <c:v>43164</c:v>
                </c:pt>
                <c:pt idx="316">
                  <c:v>43165</c:v>
                </c:pt>
                <c:pt idx="317">
                  <c:v>43166</c:v>
                </c:pt>
                <c:pt idx="318">
                  <c:v>43167</c:v>
                </c:pt>
                <c:pt idx="319">
                  <c:v>43168</c:v>
                </c:pt>
                <c:pt idx="320">
                  <c:v>43171</c:v>
                </c:pt>
                <c:pt idx="321">
                  <c:v>43172</c:v>
                </c:pt>
                <c:pt idx="322">
                  <c:v>43173</c:v>
                </c:pt>
                <c:pt idx="323">
                  <c:v>43174</c:v>
                </c:pt>
                <c:pt idx="324">
                  <c:v>43175</c:v>
                </c:pt>
                <c:pt idx="325">
                  <c:v>43178</c:v>
                </c:pt>
                <c:pt idx="326">
                  <c:v>43179</c:v>
                </c:pt>
                <c:pt idx="327">
                  <c:v>43180</c:v>
                </c:pt>
                <c:pt idx="328">
                  <c:v>43181</c:v>
                </c:pt>
                <c:pt idx="329">
                  <c:v>43182</c:v>
                </c:pt>
                <c:pt idx="330">
                  <c:v>43185</c:v>
                </c:pt>
                <c:pt idx="331">
                  <c:v>43186</c:v>
                </c:pt>
                <c:pt idx="332">
                  <c:v>43187</c:v>
                </c:pt>
                <c:pt idx="333">
                  <c:v>43188</c:v>
                </c:pt>
                <c:pt idx="334">
                  <c:v>43193</c:v>
                </c:pt>
                <c:pt idx="335">
                  <c:v>43194</c:v>
                </c:pt>
                <c:pt idx="336">
                  <c:v>43195</c:v>
                </c:pt>
                <c:pt idx="337">
                  <c:v>43196</c:v>
                </c:pt>
                <c:pt idx="338">
                  <c:v>43199</c:v>
                </c:pt>
                <c:pt idx="339">
                  <c:v>43200</c:v>
                </c:pt>
                <c:pt idx="340">
                  <c:v>43201</c:v>
                </c:pt>
                <c:pt idx="341">
                  <c:v>43202</c:v>
                </c:pt>
                <c:pt idx="342">
                  <c:v>43203</c:v>
                </c:pt>
                <c:pt idx="343">
                  <c:v>43206</c:v>
                </c:pt>
                <c:pt idx="344">
                  <c:v>43207</c:v>
                </c:pt>
                <c:pt idx="345">
                  <c:v>43208</c:v>
                </c:pt>
                <c:pt idx="346">
                  <c:v>43209</c:v>
                </c:pt>
                <c:pt idx="347">
                  <c:v>43210</c:v>
                </c:pt>
                <c:pt idx="348">
                  <c:v>43213</c:v>
                </c:pt>
                <c:pt idx="349">
                  <c:v>43214</c:v>
                </c:pt>
                <c:pt idx="350">
                  <c:v>43215</c:v>
                </c:pt>
                <c:pt idx="351">
                  <c:v>43216</c:v>
                </c:pt>
                <c:pt idx="352">
                  <c:v>43217</c:v>
                </c:pt>
                <c:pt idx="353">
                  <c:v>43220</c:v>
                </c:pt>
                <c:pt idx="354">
                  <c:v>43221</c:v>
                </c:pt>
                <c:pt idx="355">
                  <c:v>43222</c:v>
                </c:pt>
                <c:pt idx="356">
                  <c:v>43223</c:v>
                </c:pt>
                <c:pt idx="357">
                  <c:v>43224</c:v>
                </c:pt>
                <c:pt idx="358">
                  <c:v>43227</c:v>
                </c:pt>
                <c:pt idx="359">
                  <c:v>43228</c:v>
                </c:pt>
                <c:pt idx="360">
                  <c:v>43229</c:v>
                </c:pt>
                <c:pt idx="361">
                  <c:v>43230</c:v>
                </c:pt>
                <c:pt idx="362">
                  <c:v>43231</c:v>
                </c:pt>
                <c:pt idx="363">
                  <c:v>43234</c:v>
                </c:pt>
                <c:pt idx="364">
                  <c:v>43235</c:v>
                </c:pt>
                <c:pt idx="365">
                  <c:v>43236</c:v>
                </c:pt>
                <c:pt idx="366">
                  <c:v>43237</c:v>
                </c:pt>
                <c:pt idx="367">
                  <c:v>43238</c:v>
                </c:pt>
                <c:pt idx="368">
                  <c:v>43241</c:v>
                </c:pt>
                <c:pt idx="369">
                  <c:v>43242</c:v>
                </c:pt>
                <c:pt idx="370">
                  <c:v>43243</c:v>
                </c:pt>
                <c:pt idx="371">
                  <c:v>43244</c:v>
                </c:pt>
                <c:pt idx="372">
                  <c:v>43245</c:v>
                </c:pt>
                <c:pt idx="373">
                  <c:v>43248</c:v>
                </c:pt>
                <c:pt idx="374">
                  <c:v>43249</c:v>
                </c:pt>
                <c:pt idx="375">
                  <c:v>43250</c:v>
                </c:pt>
                <c:pt idx="376">
                  <c:v>43251</c:v>
                </c:pt>
                <c:pt idx="377">
                  <c:v>43252</c:v>
                </c:pt>
                <c:pt idx="378">
                  <c:v>43255</c:v>
                </c:pt>
                <c:pt idx="379">
                  <c:v>43256</c:v>
                </c:pt>
                <c:pt idx="380">
                  <c:v>43257</c:v>
                </c:pt>
                <c:pt idx="381">
                  <c:v>43258</c:v>
                </c:pt>
                <c:pt idx="382">
                  <c:v>43259</c:v>
                </c:pt>
                <c:pt idx="383">
                  <c:v>43262</c:v>
                </c:pt>
                <c:pt idx="384">
                  <c:v>43263</c:v>
                </c:pt>
                <c:pt idx="385">
                  <c:v>43264</c:v>
                </c:pt>
                <c:pt idx="386">
                  <c:v>43265</c:v>
                </c:pt>
                <c:pt idx="387">
                  <c:v>43266</c:v>
                </c:pt>
                <c:pt idx="388">
                  <c:v>43269</c:v>
                </c:pt>
                <c:pt idx="389">
                  <c:v>43270</c:v>
                </c:pt>
                <c:pt idx="390">
                  <c:v>43271</c:v>
                </c:pt>
                <c:pt idx="391">
                  <c:v>43272</c:v>
                </c:pt>
                <c:pt idx="392">
                  <c:v>43273</c:v>
                </c:pt>
                <c:pt idx="393">
                  <c:v>43276</c:v>
                </c:pt>
                <c:pt idx="394">
                  <c:v>43277</c:v>
                </c:pt>
                <c:pt idx="395">
                  <c:v>43278</c:v>
                </c:pt>
                <c:pt idx="396">
                  <c:v>43279</c:v>
                </c:pt>
                <c:pt idx="397">
                  <c:v>43280</c:v>
                </c:pt>
                <c:pt idx="398">
                  <c:v>43283</c:v>
                </c:pt>
                <c:pt idx="399">
                  <c:v>43284</c:v>
                </c:pt>
                <c:pt idx="400">
                  <c:v>43285</c:v>
                </c:pt>
                <c:pt idx="401">
                  <c:v>43286</c:v>
                </c:pt>
                <c:pt idx="402">
                  <c:v>43287</c:v>
                </c:pt>
                <c:pt idx="403">
                  <c:v>43290</c:v>
                </c:pt>
                <c:pt idx="404">
                  <c:v>43291</c:v>
                </c:pt>
                <c:pt idx="405">
                  <c:v>43292</c:v>
                </c:pt>
                <c:pt idx="406">
                  <c:v>43293</c:v>
                </c:pt>
                <c:pt idx="407">
                  <c:v>43294</c:v>
                </c:pt>
                <c:pt idx="408">
                  <c:v>43297</c:v>
                </c:pt>
                <c:pt idx="409">
                  <c:v>43298</c:v>
                </c:pt>
                <c:pt idx="410">
                  <c:v>43299</c:v>
                </c:pt>
                <c:pt idx="411">
                  <c:v>43300</c:v>
                </c:pt>
                <c:pt idx="412">
                  <c:v>43301</c:v>
                </c:pt>
                <c:pt idx="413">
                  <c:v>43304</c:v>
                </c:pt>
                <c:pt idx="414">
                  <c:v>43305</c:v>
                </c:pt>
                <c:pt idx="415">
                  <c:v>43306</c:v>
                </c:pt>
                <c:pt idx="416">
                  <c:v>43307</c:v>
                </c:pt>
                <c:pt idx="417">
                  <c:v>43308</c:v>
                </c:pt>
                <c:pt idx="418">
                  <c:v>43311</c:v>
                </c:pt>
                <c:pt idx="419">
                  <c:v>43312</c:v>
                </c:pt>
                <c:pt idx="420">
                  <c:v>43313</c:v>
                </c:pt>
                <c:pt idx="421">
                  <c:v>43314</c:v>
                </c:pt>
                <c:pt idx="422">
                  <c:v>43315</c:v>
                </c:pt>
                <c:pt idx="423">
                  <c:v>43318</c:v>
                </c:pt>
                <c:pt idx="424">
                  <c:v>43319</c:v>
                </c:pt>
                <c:pt idx="425">
                  <c:v>43320</c:v>
                </c:pt>
                <c:pt idx="426">
                  <c:v>43321</c:v>
                </c:pt>
                <c:pt idx="427">
                  <c:v>43322</c:v>
                </c:pt>
                <c:pt idx="428">
                  <c:v>43325</c:v>
                </c:pt>
                <c:pt idx="429">
                  <c:v>43326</c:v>
                </c:pt>
                <c:pt idx="430">
                  <c:v>43327</c:v>
                </c:pt>
                <c:pt idx="431">
                  <c:v>43328</c:v>
                </c:pt>
                <c:pt idx="432">
                  <c:v>43329</c:v>
                </c:pt>
                <c:pt idx="433">
                  <c:v>43332</c:v>
                </c:pt>
                <c:pt idx="434">
                  <c:v>43333</c:v>
                </c:pt>
                <c:pt idx="435">
                  <c:v>43334</c:v>
                </c:pt>
                <c:pt idx="436">
                  <c:v>43335</c:v>
                </c:pt>
                <c:pt idx="437">
                  <c:v>43336</c:v>
                </c:pt>
                <c:pt idx="438">
                  <c:v>43339</c:v>
                </c:pt>
                <c:pt idx="439">
                  <c:v>43340</c:v>
                </c:pt>
                <c:pt idx="440">
                  <c:v>43341</c:v>
                </c:pt>
                <c:pt idx="441">
                  <c:v>43342</c:v>
                </c:pt>
                <c:pt idx="442">
                  <c:v>43343</c:v>
                </c:pt>
                <c:pt idx="443">
                  <c:v>43346</c:v>
                </c:pt>
                <c:pt idx="444">
                  <c:v>43347</c:v>
                </c:pt>
                <c:pt idx="445">
                  <c:v>43348</c:v>
                </c:pt>
                <c:pt idx="446">
                  <c:v>43349</c:v>
                </c:pt>
                <c:pt idx="447">
                  <c:v>43350</c:v>
                </c:pt>
                <c:pt idx="448">
                  <c:v>43353</c:v>
                </c:pt>
                <c:pt idx="449">
                  <c:v>43354</c:v>
                </c:pt>
                <c:pt idx="450">
                  <c:v>43355</c:v>
                </c:pt>
                <c:pt idx="451">
                  <c:v>43356</c:v>
                </c:pt>
                <c:pt idx="452">
                  <c:v>43357</c:v>
                </c:pt>
                <c:pt idx="453">
                  <c:v>43360</c:v>
                </c:pt>
                <c:pt idx="454">
                  <c:v>43361</c:v>
                </c:pt>
                <c:pt idx="455">
                  <c:v>43362</c:v>
                </c:pt>
                <c:pt idx="456">
                  <c:v>43363</c:v>
                </c:pt>
                <c:pt idx="457">
                  <c:v>43364</c:v>
                </c:pt>
                <c:pt idx="458">
                  <c:v>43367</c:v>
                </c:pt>
                <c:pt idx="459">
                  <c:v>43368</c:v>
                </c:pt>
                <c:pt idx="460">
                  <c:v>43369</c:v>
                </c:pt>
                <c:pt idx="461">
                  <c:v>43370</c:v>
                </c:pt>
                <c:pt idx="462">
                  <c:v>43371</c:v>
                </c:pt>
                <c:pt idx="463">
                  <c:v>43374</c:v>
                </c:pt>
                <c:pt idx="464">
                  <c:v>43375</c:v>
                </c:pt>
                <c:pt idx="465">
                  <c:v>43376</c:v>
                </c:pt>
                <c:pt idx="466">
                  <c:v>43377</c:v>
                </c:pt>
                <c:pt idx="467">
                  <c:v>43378</c:v>
                </c:pt>
                <c:pt idx="468">
                  <c:v>43381</c:v>
                </c:pt>
                <c:pt idx="469">
                  <c:v>43382</c:v>
                </c:pt>
                <c:pt idx="470">
                  <c:v>43383</c:v>
                </c:pt>
                <c:pt idx="471">
                  <c:v>43384</c:v>
                </c:pt>
                <c:pt idx="472">
                  <c:v>43385</c:v>
                </c:pt>
                <c:pt idx="473">
                  <c:v>43388</c:v>
                </c:pt>
                <c:pt idx="474">
                  <c:v>43389</c:v>
                </c:pt>
                <c:pt idx="475">
                  <c:v>43390</c:v>
                </c:pt>
                <c:pt idx="476">
                  <c:v>43391</c:v>
                </c:pt>
                <c:pt idx="477">
                  <c:v>43392</c:v>
                </c:pt>
                <c:pt idx="478">
                  <c:v>43395</c:v>
                </c:pt>
                <c:pt idx="479">
                  <c:v>43396</c:v>
                </c:pt>
                <c:pt idx="480">
                  <c:v>43397</c:v>
                </c:pt>
                <c:pt idx="481">
                  <c:v>43398</c:v>
                </c:pt>
                <c:pt idx="482">
                  <c:v>43399</c:v>
                </c:pt>
                <c:pt idx="483">
                  <c:v>43402</c:v>
                </c:pt>
                <c:pt idx="484">
                  <c:v>43403</c:v>
                </c:pt>
                <c:pt idx="485">
                  <c:v>43404</c:v>
                </c:pt>
                <c:pt idx="486">
                  <c:v>43405</c:v>
                </c:pt>
                <c:pt idx="487">
                  <c:v>43406</c:v>
                </c:pt>
                <c:pt idx="488">
                  <c:v>43409</c:v>
                </c:pt>
                <c:pt idx="489">
                  <c:v>43410</c:v>
                </c:pt>
                <c:pt idx="490">
                  <c:v>43411</c:v>
                </c:pt>
                <c:pt idx="491">
                  <c:v>43412</c:v>
                </c:pt>
                <c:pt idx="492">
                  <c:v>43413</c:v>
                </c:pt>
                <c:pt idx="493">
                  <c:v>43416</c:v>
                </c:pt>
                <c:pt idx="494">
                  <c:v>43417</c:v>
                </c:pt>
                <c:pt idx="495">
                  <c:v>43418</c:v>
                </c:pt>
                <c:pt idx="496">
                  <c:v>43419</c:v>
                </c:pt>
                <c:pt idx="497">
                  <c:v>43420</c:v>
                </c:pt>
                <c:pt idx="498">
                  <c:v>43423</c:v>
                </c:pt>
                <c:pt idx="499">
                  <c:v>43424</c:v>
                </c:pt>
                <c:pt idx="500">
                  <c:v>43425</c:v>
                </c:pt>
                <c:pt idx="501">
                  <c:v>43426</c:v>
                </c:pt>
                <c:pt idx="502">
                  <c:v>43427</c:v>
                </c:pt>
                <c:pt idx="503">
                  <c:v>43430</c:v>
                </c:pt>
                <c:pt idx="504">
                  <c:v>43431</c:v>
                </c:pt>
                <c:pt idx="505">
                  <c:v>43432</c:v>
                </c:pt>
                <c:pt idx="506">
                  <c:v>43433</c:v>
                </c:pt>
                <c:pt idx="507">
                  <c:v>43434</c:v>
                </c:pt>
                <c:pt idx="508">
                  <c:v>43437</c:v>
                </c:pt>
                <c:pt idx="509">
                  <c:v>43438</c:v>
                </c:pt>
                <c:pt idx="510">
                  <c:v>43439</c:v>
                </c:pt>
                <c:pt idx="511">
                  <c:v>43440</c:v>
                </c:pt>
                <c:pt idx="512">
                  <c:v>43441</c:v>
                </c:pt>
                <c:pt idx="513">
                  <c:v>43444</c:v>
                </c:pt>
                <c:pt idx="514">
                  <c:v>43445</c:v>
                </c:pt>
                <c:pt idx="515">
                  <c:v>43446</c:v>
                </c:pt>
                <c:pt idx="516">
                  <c:v>43447</c:v>
                </c:pt>
                <c:pt idx="517">
                  <c:v>43448</c:v>
                </c:pt>
                <c:pt idx="518">
                  <c:v>43451</c:v>
                </c:pt>
                <c:pt idx="519">
                  <c:v>43452</c:v>
                </c:pt>
                <c:pt idx="520">
                  <c:v>43453</c:v>
                </c:pt>
                <c:pt idx="521">
                  <c:v>43454</c:v>
                </c:pt>
                <c:pt idx="522">
                  <c:v>43455</c:v>
                </c:pt>
                <c:pt idx="523">
                  <c:v>43458</c:v>
                </c:pt>
                <c:pt idx="524">
                  <c:v>43461</c:v>
                </c:pt>
                <c:pt idx="525">
                  <c:v>43462</c:v>
                </c:pt>
                <c:pt idx="526">
                  <c:v>43465</c:v>
                </c:pt>
                <c:pt idx="527">
                  <c:v>43467</c:v>
                </c:pt>
                <c:pt idx="528">
                  <c:v>43468</c:v>
                </c:pt>
                <c:pt idx="529">
                  <c:v>43469</c:v>
                </c:pt>
                <c:pt idx="530">
                  <c:v>43472</c:v>
                </c:pt>
                <c:pt idx="531">
                  <c:v>43473</c:v>
                </c:pt>
                <c:pt idx="532">
                  <c:v>43474</c:v>
                </c:pt>
                <c:pt idx="533">
                  <c:v>43475</c:v>
                </c:pt>
                <c:pt idx="534">
                  <c:v>43476</c:v>
                </c:pt>
                <c:pt idx="535">
                  <c:v>43479</c:v>
                </c:pt>
                <c:pt idx="536">
                  <c:v>43480</c:v>
                </c:pt>
                <c:pt idx="537">
                  <c:v>43481</c:v>
                </c:pt>
                <c:pt idx="538">
                  <c:v>43482</c:v>
                </c:pt>
                <c:pt idx="539">
                  <c:v>43483</c:v>
                </c:pt>
                <c:pt idx="540">
                  <c:v>43486</c:v>
                </c:pt>
                <c:pt idx="541">
                  <c:v>43487</c:v>
                </c:pt>
                <c:pt idx="542">
                  <c:v>43488</c:v>
                </c:pt>
                <c:pt idx="543">
                  <c:v>43489</c:v>
                </c:pt>
                <c:pt idx="544">
                  <c:v>43490</c:v>
                </c:pt>
                <c:pt idx="545">
                  <c:v>43493</c:v>
                </c:pt>
                <c:pt idx="546">
                  <c:v>43494</c:v>
                </c:pt>
                <c:pt idx="547">
                  <c:v>43495</c:v>
                </c:pt>
                <c:pt idx="548">
                  <c:v>43496</c:v>
                </c:pt>
                <c:pt idx="549">
                  <c:v>43497</c:v>
                </c:pt>
                <c:pt idx="550">
                  <c:v>43500</c:v>
                </c:pt>
                <c:pt idx="551">
                  <c:v>43501</c:v>
                </c:pt>
                <c:pt idx="552">
                  <c:v>43502</c:v>
                </c:pt>
                <c:pt idx="553">
                  <c:v>43503</c:v>
                </c:pt>
                <c:pt idx="554">
                  <c:v>43504</c:v>
                </c:pt>
                <c:pt idx="555">
                  <c:v>43507</c:v>
                </c:pt>
                <c:pt idx="556">
                  <c:v>43508</c:v>
                </c:pt>
                <c:pt idx="557">
                  <c:v>43509</c:v>
                </c:pt>
                <c:pt idx="558">
                  <c:v>43510</c:v>
                </c:pt>
                <c:pt idx="559">
                  <c:v>43511</c:v>
                </c:pt>
                <c:pt idx="560">
                  <c:v>43514</c:v>
                </c:pt>
                <c:pt idx="561">
                  <c:v>43515</c:v>
                </c:pt>
                <c:pt idx="562">
                  <c:v>43516</c:v>
                </c:pt>
                <c:pt idx="563">
                  <c:v>43517</c:v>
                </c:pt>
                <c:pt idx="564">
                  <c:v>43518</c:v>
                </c:pt>
                <c:pt idx="565">
                  <c:v>43521</c:v>
                </c:pt>
                <c:pt idx="566">
                  <c:v>43522</c:v>
                </c:pt>
                <c:pt idx="567">
                  <c:v>43523</c:v>
                </c:pt>
                <c:pt idx="568">
                  <c:v>43524</c:v>
                </c:pt>
                <c:pt idx="569">
                  <c:v>43525</c:v>
                </c:pt>
                <c:pt idx="570">
                  <c:v>43528</c:v>
                </c:pt>
                <c:pt idx="571">
                  <c:v>43529</c:v>
                </c:pt>
                <c:pt idx="572">
                  <c:v>43530</c:v>
                </c:pt>
                <c:pt idx="573">
                  <c:v>43531</c:v>
                </c:pt>
                <c:pt idx="574">
                  <c:v>43532</c:v>
                </c:pt>
                <c:pt idx="575">
                  <c:v>43535</c:v>
                </c:pt>
                <c:pt idx="576">
                  <c:v>43536</c:v>
                </c:pt>
                <c:pt idx="577">
                  <c:v>43537</c:v>
                </c:pt>
                <c:pt idx="578">
                  <c:v>43538</c:v>
                </c:pt>
                <c:pt idx="579">
                  <c:v>43539</c:v>
                </c:pt>
                <c:pt idx="580">
                  <c:v>43542</c:v>
                </c:pt>
                <c:pt idx="581">
                  <c:v>43543</c:v>
                </c:pt>
                <c:pt idx="582">
                  <c:v>43544</c:v>
                </c:pt>
                <c:pt idx="583">
                  <c:v>43545</c:v>
                </c:pt>
                <c:pt idx="584">
                  <c:v>43546</c:v>
                </c:pt>
                <c:pt idx="585">
                  <c:v>43549</c:v>
                </c:pt>
                <c:pt idx="586">
                  <c:v>43550</c:v>
                </c:pt>
                <c:pt idx="587">
                  <c:v>43551</c:v>
                </c:pt>
                <c:pt idx="588">
                  <c:v>43552</c:v>
                </c:pt>
                <c:pt idx="589">
                  <c:v>43553</c:v>
                </c:pt>
                <c:pt idx="590">
                  <c:v>43556</c:v>
                </c:pt>
                <c:pt idx="591">
                  <c:v>43557</c:v>
                </c:pt>
                <c:pt idx="592">
                  <c:v>43558</c:v>
                </c:pt>
                <c:pt idx="593">
                  <c:v>43559</c:v>
                </c:pt>
                <c:pt idx="594">
                  <c:v>43560</c:v>
                </c:pt>
                <c:pt idx="595">
                  <c:v>43563</c:v>
                </c:pt>
                <c:pt idx="596">
                  <c:v>43564</c:v>
                </c:pt>
                <c:pt idx="597">
                  <c:v>43565</c:v>
                </c:pt>
                <c:pt idx="598">
                  <c:v>43566</c:v>
                </c:pt>
                <c:pt idx="599">
                  <c:v>43567</c:v>
                </c:pt>
                <c:pt idx="600">
                  <c:v>43570</c:v>
                </c:pt>
                <c:pt idx="601">
                  <c:v>43571</c:v>
                </c:pt>
                <c:pt idx="602">
                  <c:v>43572</c:v>
                </c:pt>
                <c:pt idx="603">
                  <c:v>43573</c:v>
                </c:pt>
                <c:pt idx="604">
                  <c:v>43578</c:v>
                </c:pt>
                <c:pt idx="605">
                  <c:v>43579</c:v>
                </c:pt>
                <c:pt idx="606">
                  <c:v>43580</c:v>
                </c:pt>
                <c:pt idx="607">
                  <c:v>43581</c:v>
                </c:pt>
                <c:pt idx="608">
                  <c:v>43584</c:v>
                </c:pt>
                <c:pt idx="609">
                  <c:v>43585</c:v>
                </c:pt>
                <c:pt idx="610">
                  <c:v>43586</c:v>
                </c:pt>
                <c:pt idx="611">
                  <c:v>43587</c:v>
                </c:pt>
                <c:pt idx="612">
                  <c:v>43588</c:v>
                </c:pt>
                <c:pt idx="613">
                  <c:v>43591</c:v>
                </c:pt>
                <c:pt idx="614">
                  <c:v>43592</c:v>
                </c:pt>
                <c:pt idx="615">
                  <c:v>43593</c:v>
                </c:pt>
                <c:pt idx="616">
                  <c:v>43594</c:v>
                </c:pt>
                <c:pt idx="617">
                  <c:v>43595</c:v>
                </c:pt>
                <c:pt idx="618">
                  <c:v>43598</c:v>
                </c:pt>
                <c:pt idx="619">
                  <c:v>43599</c:v>
                </c:pt>
                <c:pt idx="620">
                  <c:v>43600</c:v>
                </c:pt>
                <c:pt idx="621">
                  <c:v>43601</c:v>
                </c:pt>
                <c:pt idx="622">
                  <c:v>43602</c:v>
                </c:pt>
                <c:pt idx="623">
                  <c:v>43605</c:v>
                </c:pt>
                <c:pt idx="624">
                  <c:v>43606</c:v>
                </c:pt>
                <c:pt idx="625">
                  <c:v>43607</c:v>
                </c:pt>
                <c:pt idx="626">
                  <c:v>43608</c:v>
                </c:pt>
                <c:pt idx="627">
                  <c:v>43609</c:v>
                </c:pt>
                <c:pt idx="628">
                  <c:v>43612</c:v>
                </c:pt>
                <c:pt idx="629">
                  <c:v>43613</c:v>
                </c:pt>
                <c:pt idx="630">
                  <c:v>43614</c:v>
                </c:pt>
                <c:pt idx="631">
                  <c:v>43615</c:v>
                </c:pt>
                <c:pt idx="632">
                  <c:v>43616</c:v>
                </c:pt>
                <c:pt idx="633">
                  <c:v>43619</c:v>
                </c:pt>
                <c:pt idx="634">
                  <c:v>43620</c:v>
                </c:pt>
                <c:pt idx="635">
                  <c:v>43621</c:v>
                </c:pt>
                <c:pt idx="636">
                  <c:v>43622</c:v>
                </c:pt>
                <c:pt idx="637">
                  <c:v>43623</c:v>
                </c:pt>
                <c:pt idx="638">
                  <c:v>43626</c:v>
                </c:pt>
                <c:pt idx="639">
                  <c:v>43627</c:v>
                </c:pt>
                <c:pt idx="640">
                  <c:v>43628</c:v>
                </c:pt>
                <c:pt idx="641">
                  <c:v>43629</c:v>
                </c:pt>
                <c:pt idx="642">
                  <c:v>43630</c:v>
                </c:pt>
                <c:pt idx="643">
                  <c:v>43633</c:v>
                </c:pt>
                <c:pt idx="644">
                  <c:v>43634</c:v>
                </c:pt>
                <c:pt idx="645">
                  <c:v>43635</c:v>
                </c:pt>
                <c:pt idx="646">
                  <c:v>43636</c:v>
                </c:pt>
                <c:pt idx="647">
                  <c:v>43637</c:v>
                </c:pt>
                <c:pt idx="648">
                  <c:v>43640</c:v>
                </c:pt>
                <c:pt idx="649">
                  <c:v>43641</c:v>
                </c:pt>
                <c:pt idx="650">
                  <c:v>43642</c:v>
                </c:pt>
                <c:pt idx="651">
                  <c:v>43643</c:v>
                </c:pt>
                <c:pt idx="652">
                  <c:v>43644</c:v>
                </c:pt>
                <c:pt idx="653">
                  <c:v>43647</c:v>
                </c:pt>
                <c:pt idx="654">
                  <c:v>43648</c:v>
                </c:pt>
                <c:pt idx="655">
                  <c:v>43649</c:v>
                </c:pt>
                <c:pt idx="656">
                  <c:v>43650</c:v>
                </c:pt>
                <c:pt idx="657">
                  <c:v>43651</c:v>
                </c:pt>
                <c:pt idx="658">
                  <c:v>43654</c:v>
                </c:pt>
                <c:pt idx="659">
                  <c:v>43655</c:v>
                </c:pt>
                <c:pt idx="660">
                  <c:v>43656</c:v>
                </c:pt>
                <c:pt idx="661">
                  <c:v>43657</c:v>
                </c:pt>
                <c:pt idx="662">
                  <c:v>43658</c:v>
                </c:pt>
                <c:pt idx="663">
                  <c:v>43661</c:v>
                </c:pt>
                <c:pt idx="664">
                  <c:v>43662</c:v>
                </c:pt>
                <c:pt idx="665">
                  <c:v>43663</c:v>
                </c:pt>
                <c:pt idx="666">
                  <c:v>43664</c:v>
                </c:pt>
                <c:pt idx="667">
                  <c:v>43665</c:v>
                </c:pt>
                <c:pt idx="668">
                  <c:v>43668</c:v>
                </c:pt>
                <c:pt idx="669">
                  <c:v>43669</c:v>
                </c:pt>
                <c:pt idx="670">
                  <c:v>43670</c:v>
                </c:pt>
                <c:pt idx="671">
                  <c:v>43671</c:v>
                </c:pt>
                <c:pt idx="672">
                  <c:v>43672</c:v>
                </c:pt>
                <c:pt idx="673">
                  <c:v>43675</c:v>
                </c:pt>
                <c:pt idx="674">
                  <c:v>43676</c:v>
                </c:pt>
                <c:pt idx="675">
                  <c:v>43677</c:v>
                </c:pt>
                <c:pt idx="676">
                  <c:v>43678</c:v>
                </c:pt>
                <c:pt idx="677">
                  <c:v>43679</c:v>
                </c:pt>
                <c:pt idx="678">
                  <c:v>43682</c:v>
                </c:pt>
                <c:pt idx="679">
                  <c:v>43683</c:v>
                </c:pt>
                <c:pt idx="680">
                  <c:v>43684</c:v>
                </c:pt>
                <c:pt idx="681">
                  <c:v>43685</c:v>
                </c:pt>
                <c:pt idx="682">
                  <c:v>43686</c:v>
                </c:pt>
                <c:pt idx="683">
                  <c:v>43689</c:v>
                </c:pt>
                <c:pt idx="684">
                  <c:v>43690</c:v>
                </c:pt>
                <c:pt idx="685">
                  <c:v>43691</c:v>
                </c:pt>
                <c:pt idx="686">
                  <c:v>43692</c:v>
                </c:pt>
                <c:pt idx="687">
                  <c:v>43693</c:v>
                </c:pt>
                <c:pt idx="688">
                  <c:v>43696</c:v>
                </c:pt>
                <c:pt idx="689">
                  <c:v>43697</c:v>
                </c:pt>
                <c:pt idx="690">
                  <c:v>43698</c:v>
                </c:pt>
                <c:pt idx="691">
                  <c:v>43699</c:v>
                </c:pt>
                <c:pt idx="692">
                  <c:v>43700</c:v>
                </c:pt>
                <c:pt idx="693">
                  <c:v>43703</c:v>
                </c:pt>
                <c:pt idx="694">
                  <c:v>43704</c:v>
                </c:pt>
                <c:pt idx="695">
                  <c:v>43705</c:v>
                </c:pt>
                <c:pt idx="696">
                  <c:v>43706</c:v>
                </c:pt>
                <c:pt idx="697">
                  <c:v>43707</c:v>
                </c:pt>
                <c:pt idx="698">
                  <c:v>43710</c:v>
                </c:pt>
                <c:pt idx="699">
                  <c:v>43711</c:v>
                </c:pt>
                <c:pt idx="700">
                  <c:v>43712</c:v>
                </c:pt>
                <c:pt idx="701">
                  <c:v>43713</c:v>
                </c:pt>
                <c:pt idx="702">
                  <c:v>43714</c:v>
                </c:pt>
                <c:pt idx="703">
                  <c:v>43717</c:v>
                </c:pt>
                <c:pt idx="704">
                  <c:v>43718</c:v>
                </c:pt>
                <c:pt idx="705">
                  <c:v>43719</c:v>
                </c:pt>
                <c:pt idx="706">
                  <c:v>43720</c:v>
                </c:pt>
                <c:pt idx="707">
                  <c:v>43721</c:v>
                </c:pt>
                <c:pt idx="708">
                  <c:v>43724</c:v>
                </c:pt>
                <c:pt idx="709">
                  <c:v>43725</c:v>
                </c:pt>
                <c:pt idx="710">
                  <c:v>43726</c:v>
                </c:pt>
                <c:pt idx="711">
                  <c:v>43727</c:v>
                </c:pt>
                <c:pt idx="712">
                  <c:v>43728</c:v>
                </c:pt>
                <c:pt idx="713">
                  <c:v>43731</c:v>
                </c:pt>
                <c:pt idx="714">
                  <c:v>43732</c:v>
                </c:pt>
                <c:pt idx="715">
                  <c:v>43733</c:v>
                </c:pt>
                <c:pt idx="716">
                  <c:v>43734</c:v>
                </c:pt>
                <c:pt idx="717">
                  <c:v>43735</c:v>
                </c:pt>
                <c:pt idx="718">
                  <c:v>43738</c:v>
                </c:pt>
                <c:pt idx="719">
                  <c:v>43739</c:v>
                </c:pt>
                <c:pt idx="720">
                  <c:v>43740</c:v>
                </c:pt>
                <c:pt idx="721">
                  <c:v>43741</c:v>
                </c:pt>
                <c:pt idx="722">
                  <c:v>43742</c:v>
                </c:pt>
                <c:pt idx="723">
                  <c:v>43745</c:v>
                </c:pt>
                <c:pt idx="724">
                  <c:v>43746</c:v>
                </c:pt>
                <c:pt idx="725">
                  <c:v>43747</c:v>
                </c:pt>
                <c:pt idx="726">
                  <c:v>43748</c:v>
                </c:pt>
                <c:pt idx="727">
                  <c:v>43749</c:v>
                </c:pt>
                <c:pt idx="728">
                  <c:v>43752</c:v>
                </c:pt>
                <c:pt idx="729">
                  <c:v>43753</c:v>
                </c:pt>
                <c:pt idx="730">
                  <c:v>43754</c:v>
                </c:pt>
                <c:pt idx="731">
                  <c:v>43755</c:v>
                </c:pt>
                <c:pt idx="732">
                  <c:v>43756</c:v>
                </c:pt>
                <c:pt idx="733">
                  <c:v>43759</c:v>
                </c:pt>
                <c:pt idx="734">
                  <c:v>43760</c:v>
                </c:pt>
                <c:pt idx="735">
                  <c:v>43761</c:v>
                </c:pt>
                <c:pt idx="736">
                  <c:v>43762</c:v>
                </c:pt>
                <c:pt idx="737">
                  <c:v>43763</c:v>
                </c:pt>
                <c:pt idx="738">
                  <c:v>43766</c:v>
                </c:pt>
                <c:pt idx="739">
                  <c:v>43767</c:v>
                </c:pt>
                <c:pt idx="740">
                  <c:v>43768</c:v>
                </c:pt>
                <c:pt idx="741">
                  <c:v>43769</c:v>
                </c:pt>
                <c:pt idx="742">
                  <c:v>43770</c:v>
                </c:pt>
                <c:pt idx="743">
                  <c:v>43773</c:v>
                </c:pt>
                <c:pt idx="744">
                  <c:v>43774</c:v>
                </c:pt>
                <c:pt idx="745">
                  <c:v>43775</c:v>
                </c:pt>
                <c:pt idx="746">
                  <c:v>43776</c:v>
                </c:pt>
                <c:pt idx="747">
                  <c:v>43777</c:v>
                </c:pt>
                <c:pt idx="748">
                  <c:v>43780</c:v>
                </c:pt>
                <c:pt idx="749">
                  <c:v>43781</c:v>
                </c:pt>
                <c:pt idx="750">
                  <c:v>43782</c:v>
                </c:pt>
                <c:pt idx="751">
                  <c:v>43783</c:v>
                </c:pt>
                <c:pt idx="752">
                  <c:v>43784</c:v>
                </c:pt>
                <c:pt idx="753">
                  <c:v>43787</c:v>
                </c:pt>
                <c:pt idx="754">
                  <c:v>43788</c:v>
                </c:pt>
                <c:pt idx="755">
                  <c:v>43789</c:v>
                </c:pt>
                <c:pt idx="756">
                  <c:v>43790</c:v>
                </c:pt>
                <c:pt idx="757">
                  <c:v>43791</c:v>
                </c:pt>
                <c:pt idx="758">
                  <c:v>43794</c:v>
                </c:pt>
                <c:pt idx="759">
                  <c:v>43795</c:v>
                </c:pt>
                <c:pt idx="760">
                  <c:v>43796</c:v>
                </c:pt>
                <c:pt idx="761">
                  <c:v>43797</c:v>
                </c:pt>
                <c:pt idx="762">
                  <c:v>43798</c:v>
                </c:pt>
                <c:pt idx="763">
                  <c:v>43801</c:v>
                </c:pt>
                <c:pt idx="764">
                  <c:v>43802</c:v>
                </c:pt>
                <c:pt idx="765">
                  <c:v>43803</c:v>
                </c:pt>
                <c:pt idx="766">
                  <c:v>43804</c:v>
                </c:pt>
                <c:pt idx="767">
                  <c:v>43805</c:v>
                </c:pt>
                <c:pt idx="768">
                  <c:v>43808</c:v>
                </c:pt>
                <c:pt idx="769">
                  <c:v>43809</c:v>
                </c:pt>
                <c:pt idx="770">
                  <c:v>43810</c:v>
                </c:pt>
                <c:pt idx="771">
                  <c:v>43811</c:v>
                </c:pt>
                <c:pt idx="772">
                  <c:v>43812</c:v>
                </c:pt>
                <c:pt idx="773">
                  <c:v>43815</c:v>
                </c:pt>
                <c:pt idx="774">
                  <c:v>43816</c:v>
                </c:pt>
                <c:pt idx="775">
                  <c:v>43817</c:v>
                </c:pt>
                <c:pt idx="776">
                  <c:v>43818</c:v>
                </c:pt>
                <c:pt idx="777">
                  <c:v>43819</c:v>
                </c:pt>
                <c:pt idx="778">
                  <c:v>43822</c:v>
                </c:pt>
                <c:pt idx="779">
                  <c:v>43823</c:v>
                </c:pt>
                <c:pt idx="780">
                  <c:v>43826</c:v>
                </c:pt>
                <c:pt idx="781">
                  <c:v>43829</c:v>
                </c:pt>
                <c:pt idx="782">
                  <c:v>43830</c:v>
                </c:pt>
                <c:pt idx="783">
                  <c:v>43832</c:v>
                </c:pt>
                <c:pt idx="784">
                  <c:v>43833</c:v>
                </c:pt>
                <c:pt idx="785">
                  <c:v>43836</c:v>
                </c:pt>
                <c:pt idx="786">
                  <c:v>43837</c:v>
                </c:pt>
                <c:pt idx="787">
                  <c:v>43838</c:v>
                </c:pt>
                <c:pt idx="788">
                  <c:v>43839</c:v>
                </c:pt>
                <c:pt idx="789">
                  <c:v>43840</c:v>
                </c:pt>
                <c:pt idx="790">
                  <c:v>43843</c:v>
                </c:pt>
                <c:pt idx="791">
                  <c:v>43844</c:v>
                </c:pt>
                <c:pt idx="792">
                  <c:v>43845</c:v>
                </c:pt>
                <c:pt idx="793">
                  <c:v>43846</c:v>
                </c:pt>
                <c:pt idx="794">
                  <c:v>43847</c:v>
                </c:pt>
                <c:pt idx="795">
                  <c:v>43850</c:v>
                </c:pt>
                <c:pt idx="796">
                  <c:v>43851</c:v>
                </c:pt>
                <c:pt idx="797">
                  <c:v>43852</c:v>
                </c:pt>
                <c:pt idx="798">
                  <c:v>43853</c:v>
                </c:pt>
                <c:pt idx="799">
                  <c:v>43854</c:v>
                </c:pt>
                <c:pt idx="800">
                  <c:v>43857</c:v>
                </c:pt>
                <c:pt idx="801">
                  <c:v>43858</c:v>
                </c:pt>
                <c:pt idx="802">
                  <c:v>43859</c:v>
                </c:pt>
                <c:pt idx="803">
                  <c:v>43860</c:v>
                </c:pt>
                <c:pt idx="804">
                  <c:v>43861</c:v>
                </c:pt>
                <c:pt idx="805">
                  <c:v>43864</c:v>
                </c:pt>
                <c:pt idx="806">
                  <c:v>43865</c:v>
                </c:pt>
                <c:pt idx="807">
                  <c:v>43866</c:v>
                </c:pt>
                <c:pt idx="808">
                  <c:v>43867</c:v>
                </c:pt>
                <c:pt idx="809">
                  <c:v>43868</c:v>
                </c:pt>
                <c:pt idx="810">
                  <c:v>43871</c:v>
                </c:pt>
                <c:pt idx="811">
                  <c:v>43872</c:v>
                </c:pt>
                <c:pt idx="812">
                  <c:v>43873</c:v>
                </c:pt>
                <c:pt idx="813">
                  <c:v>43874</c:v>
                </c:pt>
                <c:pt idx="814">
                  <c:v>43875</c:v>
                </c:pt>
                <c:pt idx="815">
                  <c:v>43878</c:v>
                </c:pt>
                <c:pt idx="816">
                  <c:v>43879</c:v>
                </c:pt>
                <c:pt idx="817">
                  <c:v>43880</c:v>
                </c:pt>
                <c:pt idx="818">
                  <c:v>43881</c:v>
                </c:pt>
                <c:pt idx="819">
                  <c:v>43882</c:v>
                </c:pt>
                <c:pt idx="820">
                  <c:v>43885</c:v>
                </c:pt>
                <c:pt idx="821">
                  <c:v>43886</c:v>
                </c:pt>
                <c:pt idx="822">
                  <c:v>43887</c:v>
                </c:pt>
                <c:pt idx="823">
                  <c:v>43888</c:v>
                </c:pt>
                <c:pt idx="824">
                  <c:v>43889</c:v>
                </c:pt>
                <c:pt idx="825">
                  <c:v>43892</c:v>
                </c:pt>
                <c:pt idx="826">
                  <c:v>43893</c:v>
                </c:pt>
                <c:pt idx="827">
                  <c:v>43894</c:v>
                </c:pt>
                <c:pt idx="828">
                  <c:v>43895</c:v>
                </c:pt>
                <c:pt idx="829">
                  <c:v>43896</c:v>
                </c:pt>
                <c:pt idx="830">
                  <c:v>43899</c:v>
                </c:pt>
                <c:pt idx="831">
                  <c:v>43900</c:v>
                </c:pt>
                <c:pt idx="832">
                  <c:v>43901</c:v>
                </c:pt>
                <c:pt idx="833">
                  <c:v>43902</c:v>
                </c:pt>
                <c:pt idx="834">
                  <c:v>43903</c:v>
                </c:pt>
                <c:pt idx="835">
                  <c:v>43906</c:v>
                </c:pt>
                <c:pt idx="836">
                  <c:v>43907</c:v>
                </c:pt>
                <c:pt idx="837">
                  <c:v>43908</c:v>
                </c:pt>
                <c:pt idx="838">
                  <c:v>43909</c:v>
                </c:pt>
                <c:pt idx="839">
                  <c:v>43910</c:v>
                </c:pt>
                <c:pt idx="840">
                  <c:v>43913</c:v>
                </c:pt>
                <c:pt idx="841">
                  <c:v>43914</c:v>
                </c:pt>
                <c:pt idx="842">
                  <c:v>43915</c:v>
                </c:pt>
                <c:pt idx="843">
                  <c:v>43916</c:v>
                </c:pt>
                <c:pt idx="844">
                  <c:v>43917</c:v>
                </c:pt>
                <c:pt idx="845">
                  <c:v>43920</c:v>
                </c:pt>
                <c:pt idx="846">
                  <c:v>43921</c:v>
                </c:pt>
                <c:pt idx="847">
                  <c:v>43922</c:v>
                </c:pt>
                <c:pt idx="848">
                  <c:v>43923</c:v>
                </c:pt>
                <c:pt idx="849">
                  <c:v>43924</c:v>
                </c:pt>
                <c:pt idx="850">
                  <c:v>43927</c:v>
                </c:pt>
                <c:pt idx="851">
                  <c:v>43928</c:v>
                </c:pt>
                <c:pt idx="852">
                  <c:v>43929</c:v>
                </c:pt>
                <c:pt idx="853">
                  <c:v>43930</c:v>
                </c:pt>
                <c:pt idx="854">
                  <c:v>43935</c:v>
                </c:pt>
                <c:pt idx="855">
                  <c:v>43936</c:v>
                </c:pt>
                <c:pt idx="856">
                  <c:v>43937</c:v>
                </c:pt>
                <c:pt idx="857">
                  <c:v>43938</c:v>
                </c:pt>
                <c:pt idx="858">
                  <c:v>43941</c:v>
                </c:pt>
                <c:pt idx="859">
                  <c:v>43942</c:v>
                </c:pt>
                <c:pt idx="860">
                  <c:v>43943</c:v>
                </c:pt>
                <c:pt idx="861">
                  <c:v>43944</c:v>
                </c:pt>
                <c:pt idx="862">
                  <c:v>43945</c:v>
                </c:pt>
                <c:pt idx="863">
                  <c:v>43948</c:v>
                </c:pt>
                <c:pt idx="864">
                  <c:v>43949</c:v>
                </c:pt>
                <c:pt idx="865">
                  <c:v>43950</c:v>
                </c:pt>
                <c:pt idx="866">
                  <c:v>43951</c:v>
                </c:pt>
                <c:pt idx="867">
                  <c:v>43952</c:v>
                </c:pt>
                <c:pt idx="868">
                  <c:v>43955</c:v>
                </c:pt>
                <c:pt idx="869">
                  <c:v>43956</c:v>
                </c:pt>
                <c:pt idx="870">
                  <c:v>43957</c:v>
                </c:pt>
                <c:pt idx="871">
                  <c:v>43958</c:v>
                </c:pt>
                <c:pt idx="872">
                  <c:v>43959</c:v>
                </c:pt>
                <c:pt idx="873">
                  <c:v>43962</c:v>
                </c:pt>
                <c:pt idx="874">
                  <c:v>43963</c:v>
                </c:pt>
                <c:pt idx="875">
                  <c:v>43964</c:v>
                </c:pt>
                <c:pt idx="876">
                  <c:v>43965</c:v>
                </c:pt>
                <c:pt idx="877">
                  <c:v>43966</c:v>
                </c:pt>
                <c:pt idx="878">
                  <c:v>43969</c:v>
                </c:pt>
                <c:pt idx="879">
                  <c:v>43970</c:v>
                </c:pt>
                <c:pt idx="880">
                  <c:v>43971</c:v>
                </c:pt>
                <c:pt idx="881">
                  <c:v>43972</c:v>
                </c:pt>
                <c:pt idx="882">
                  <c:v>43973</c:v>
                </c:pt>
                <c:pt idx="883">
                  <c:v>43976</c:v>
                </c:pt>
                <c:pt idx="884">
                  <c:v>43977</c:v>
                </c:pt>
                <c:pt idx="885">
                  <c:v>43978</c:v>
                </c:pt>
                <c:pt idx="886">
                  <c:v>43979</c:v>
                </c:pt>
                <c:pt idx="887">
                  <c:v>43980</c:v>
                </c:pt>
                <c:pt idx="888">
                  <c:v>43983</c:v>
                </c:pt>
                <c:pt idx="889">
                  <c:v>43984</c:v>
                </c:pt>
                <c:pt idx="890">
                  <c:v>43985</c:v>
                </c:pt>
                <c:pt idx="891">
                  <c:v>43986</c:v>
                </c:pt>
                <c:pt idx="892">
                  <c:v>43987</c:v>
                </c:pt>
                <c:pt idx="893">
                  <c:v>43990</c:v>
                </c:pt>
                <c:pt idx="894">
                  <c:v>43991</c:v>
                </c:pt>
                <c:pt idx="895">
                  <c:v>43992</c:v>
                </c:pt>
                <c:pt idx="896">
                  <c:v>43993</c:v>
                </c:pt>
                <c:pt idx="897">
                  <c:v>43994</c:v>
                </c:pt>
                <c:pt idx="898">
                  <c:v>43997</c:v>
                </c:pt>
                <c:pt idx="899">
                  <c:v>43998</c:v>
                </c:pt>
                <c:pt idx="900">
                  <c:v>43999</c:v>
                </c:pt>
                <c:pt idx="901">
                  <c:v>44000</c:v>
                </c:pt>
                <c:pt idx="902">
                  <c:v>44001</c:v>
                </c:pt>
                <c:pt idx="903">
                  <c:v>44004</c:v>
                </c:pt>
                <c:pt idx="904">
                  <c:v>44005</c:v>
                </c:pt>
                <c:pt idx="905">
                  <c:v>44006</c:v>
                </c:pt>
                <c:pt idx="906">
                  <c:v>44007</c:v>
                </c:pt>
                <c:pt idx="907">
                  <c:v>44008</c:v>
                </c:pt>
                <c:pt idx="908">
                  <c:v>44011</c:v>
                </c:pt>
                <c:pt idx="909">
                  <c:v>44012</c:v>
                </c:pt>
                <c:pt idx="910">
                  <c:v>44013</c:v>
                </c:pt>
                <c:pt idx="911">
                  <c:v>44014</c:v>
                </c:pt>
                <c:pt idx="912">
                  <c:v>44015</c:v>
                </c:pt>
                <c:pt idx="913">
                  <c:v>44018</c:v>
                </c:pt>
                <c:pt idx="914">
                  <c:v>44019</c:v>
                </c:pt>
                <c:pt idx="915">
                  <c:v>44020</c:v>
                </c:pt>
                <c:pt idx="916">
                  <c:v>44021</c:v>
                </c:pt>
                <c:pt idx="917">
                  <c:v>44022</c:v>
                </c:pt>
                <c:pt idx="918">
                  <c:v>44025</c:v>
                </c:pt>
                <c:pt idx="919">
                  <c:v>44026</c:v>
                </c:pt>
                <c:pt idx="920">
                  <c:v>44027</c:v>
                </c:pt>
                <c:pt idx="921">
                  <c:v>44028</c:v>
                </c:pt>
                <c:pt idx="922">
                  <c:v>44029</c:v>
                </c:pt>
                <c:pt idx="923">
                  <c:v>44032</c:v>
                </c:pt>
                <c:pt idx="924">
                  <c:v>44033</c:v>
                </c:pt>
                <c:pt idx="925">
                  <c:v>44034</c:v>
                </c:pt>
                <c:pt idx="926">
                  <c:v>44035</c:v>
                </c:pt>
                <c:pt idx="927">
                  <c:v>44036</c:v>
                </c:pt>
                <c:pt idx="928">
                  <c:v>44039</c:v>
                </c:pt>
                <c:pt idx="929">
                  <c:v>44040</c:v>
                </c:pt>
                <c:pt idx="930">
                  <c:v>44041</c:v>
                </c:pt>
                <c:pt idx="931">
                  <c:v>44042</c:v>
                </c:pt>
                <c:pt idx="932">
                  <c:v>44043</c:v>
                </c:pt>
                <c:pt idx="933">
                  <c:v>44046</c:v>
                </c:pt>
                <c:pt idx="934">
                  <c:v>44047</c:v>
                </c:pt>
                <c:pt idx="935">
                  <c:v>44048</c:v>
                </c:pt>
                <c:pt idx="936">
                  <c:v>44049</c:v>
                </c:pt>
                <c:pt idx="937">
                  <c:v>44050</c:v>
                </c:pt>
                <c:pt idx="938">
                  <c:v>44053</c:v>
                </c:pt>
                <c:pt idx="939">
                  <c:v>44054</c:v>
                </c:pt>
                <c:pt idx="940">
                  <c:v>44055</c:v>
                </c:pt>
                <c:pt idx="941">
                  <c:v>44056</c:v>
                </c:pt>
                <c:pt idx="942">
                  <c:v>44057</c:v>
                </c:pt>
                <c:pt idx="943">
                  <c:v>44060</c:v>
                </c:pt>
                <c:pt idx="944">
                  <c:v>44061</c:v>
                </c:pt>
                <c:pt idx="945">
                  <c:v>44062</c:v>
                </c:pt>
                <c:pt idx="946">
                  <c:v>44063</c:v>
                </c:pt>
                <c:pt idx="947">
                  <c:v>44064</c:v>
                </c:pt>
                <c:pt idx="948">
                  <c:v>44067</c:v>
                </c:pt>
                <c:pt idx="949">
                  <c:v>44068</c:v>
                </c:pt>
                <c:pt idx="950">
                  <c:v>44069</c:v>
                </c:pt>
                <c:pt idx="951">
                  <c:v>44070</c:v>
                </c:pt>
                <c:pt idx="952">
                  <c:v>44071</c:v>
                </c:pt>
                <c:pt idx="953">
                  <c:v>44074</c:v>
                </c:pt>
                <c:pt idx="954">
                  <c:v>44075</c:v>
                </c:pt>
                <c:pt idx="955">
                  <c:v>44076</c:v>
                </c:pt>
                <c:pt idx="956">
                  <c:v>44077</c:v>
                </c:pt>
                <c:pt idx="957">
                  <c:v>44078</c:v>
                </c:pt>
                <c:pt idx="958">
                  <c:v>44081</c:v>
                </c:pt>
                <c:pt idx="959">
                  <c:v>44082</c:v>
                </c:pt>
                <c:pt idx="960">
                  <c:v>44083</c:v>
                </c:pt>
                <c:pt idx="961">
                  <c:v>44084</c:v>
                </c:pt>
                <c:pt idx="962">
                  <c:v>44085</c:v>
                </c:pt>
                <c:pt idx="963">
                  <c:v>44088</c:v>
                </c:pt>
                <c:pt idx="964">
                  <c:v>44089</c:v>
                </c:pt>
                <c:pt idx="965">
                  <c:v>44090</c:v>
                </c:pt>
                <c:pt idx="966">
                  <c:v>44091</c:v>
                </c:pt>
                <c:pt idx="967">
                  <c:v>44092</c:v>
                </c:pt>
                <c:pt idx="968">
                  <c:v>44095</c:v>
                </c:pt>
                <c:pt idx="969">
                  <c:v>44096</c:v>
                </c:pt>
                <c:pt idx="970">
                  <c:v>44097</c:v>
                </c:pt>
                <c:pt idx="971">
                  <c:v>44098</c:v>
                </c:pt>
                <c:pt idx="972">
                  <c:v>44099</c:v>
                </c:pt>
                <c:pt idx="973">
                  <c:v>44102</c:v>
                </c:pt>
                <c:pt idx="974">
                  <c:v>44103</c:v>
                </c:pt>
                <c:pt idx="975">
                  <c:v>44104</c:v>
                </c:pt>
                <c:pt idx="976">
                  <c:v>44105</c:v>
                </c:pt>
                <c:pt idx="977">
                  <c:v>44106</c:v>
                </c:pt>
                <c:pt idx="978">
                  <c:v>44109</c:v>
                </c:pt>
                <c:pt idx="979">
                  <c:v>44110</c:v>
                </c:pt>
                <c:pt idx="980">
                  <c:v>44111</c:v>
                </c:pt>
                <c:pt idx="981">
                  <c:v>44112</c:v>
                </c:pt>
                <c:pt idx="982">
                  <c:v>44113</c:v>
                </c:pt>
                <c:pt idx="983">
                  <c:v>44116</c:v>
                </c:pt>
                <c:pt idx="984">
                  <c:v>44117</c:v>
                </c:pt>
                <c:pt idx="985">
                  <c:v>44118</c:v>
                </c:pt>
                <c:pt idx="986">
                  <c:v>44119</c:v>
                </c:pt>
                <c:pt idx="987">
                  <c:v>44120</c:v>
                </c:pt>
                <c:pt idx="988">
                  <c:v>44123</c:v>
                </c:pt>
                <c:pt idx="989">
                  <c:v>44124</c:v>
                </c:pt>
                <c:pt idx="990">
                  <c:v>44125</c:v>
                </c:pt>
                <c:pt idx="991">
                  <c:v>44126</c:v>
                </c:pt>
                <c:pt idx="992">
                  <c:v>44127</c:v>
                </c:pt>
                <c:pt idx="993">
                  <c:v>44130</c:v>
                </c:pt>
                <c:pt idx="994">
                  <c:v>44131</c:v>
                </c:pt>
                <c:pt idx="995">
                  <c:v>44132</c:v>
                </c:pt>
                <c:pt idx="996">
                  <c:v>44133</c:v>
                </c:pt>
                <c:pt idx="997">
                  <c:v>44134</c:v>
                </c:pt>
                <c:pt idx="998">
                  <c:v>44137</c:v>
                </c:pt>
                <c:pt idx="999">
                  <c:v>44138</c:v>
                </c:pt>
                <c:pt idx="1000">
                  <c:v>44139</c:v>
                </c:pt>
                <c:pt idx="1001">
                  <c:v>44140</c:v>
                </c:pt>
                <c:pt idx="1002">
                  <c:v>44141</c:v>
                </c:pt>
                <c:pt idx="1003">
                  <c:v>44144</c:v>
                </c:pt>
                <c:pt idx="1004">
                  <c:v>44145</c:v>
                </c:pt>
                <c:pt idx="1005">
                  <c:v>44146</c:v>
                </c:pt>
                <c:pt idx="1006">
                  <c:v>44147</c:v>
                </c:pt>
                <c:pt idx="1007">
                  <c:v>44148</c:v>
                </c:pt>
                <c:pt idx="1008">
                  <c:v>44151</c:v>
                </c:pt>
                <c:pt idx="1009">
                  <c:v>44152</c:v>
                </c:pt>
                <c:pt idx="1010">
                  <c:v>44153</c:v>
                </c:pt>
                <c:pt idx="1011">
                  <c:v>44154</c:v>
                </c:pt>
                <c:pt idx="1012">
                  <c:v>44155</c:v>
                </c:pt>
                <c:pt idx="1013">
                  <c:v>44158</c:v>
                </c:pt>
                <c:pt idx="1014">
                  <c:v>44159</c:v>
                </c:pt>
                <c:pt idx="1015">
                  <c:v>44160</c:v>
                </c:pt>
                <c:pt idx="1016">
                  <c:v>44161</c:v>
                </c:pt>
                <c:pt idx="1017">
                  <c:v>44162</c:v>
                </c:pt>
                <c:pt idx="1018">
                  <c:v>44165</c:v>
                </c:pt>
                <c:pt idx="1019">
                  <c:v>44166</c:v>
                </c:pt>
                <c:pt idx="1020">
                  <c:v>44167</c:v>
                </c:pt>
                <c:pt idx="1021">
                  <c:v>44168</c:v>
                </c:pt>
                <c:pt idx="1022">
                  <c:v>44169</c:v>
                </c:pt>
                <c:pt idx="1023">
                  <c:v>44172</c:v>
                </c:pt>
                <c:pt idx="1024">
                  <c:v>44173</c:v>
                </c:pt>
                <c:pt idx="1025">
                  <c:v>44174</c:v>
                </c:pt>
                <c:pt idx="1026">
                  <c:v>44175</c:v>
                </c:pt>
                <c:pt idx="1027">
                  <c:v>44176</c:v>
                </c:pt>
                <c:pt idx="1028">
                  <c:v>44179</c:v>
                </c:pt>
                <c:pt idx="1029">
                  <c:v>44180</c:v>
                </c:pt>
                <c:pt idx="1030">
                  <c:v>44181</c:v>
                </c:pt>
                <c:pt idx="1031">
                  <c:v>44182</c:v>
                </c:pt>
                <c:pt idx="1032">
                  <c:v>44183</c:v>
                </c:pt>
                <c:pt idx="1033">
                  <c:v>44186</c:v>
                </c:pt>
                <c:pt idx="1034">
                  <c:v>44187</c:v>
                </c:pt>
                <c:pt idx="1035">
                  <c:v>44188</c:v>
                </c:pt>
                <c:pt idx="1036">
                  <c:v>44189</c:v>
                </c:pt>
                <c:pt idx="1037">
                  <c:v>44193</c:v>
                </c:pt>
                <c:pt idx="1038">
                  <c:v>44194</c:v>
                </c:pt>
                <c:pt idx="1039">
                  <c:v>44195</c:v>
                </c:pt>
                <c:pt idx="1040">
                  <c:v>44196</c:v>
                </c:pt>
                <c:pt idx="1041">
                  <c:v>44200</c:v>
                </c:pt>
                <c:pt idx="1042">
                  <c:v>44201</c:v>
                </c:pt>
                <c:pt idx="1043">
                  <c:v>44202</c:v>
                </c:pt>
                <c:pt idx="1044">
                  <c:v>44203</c:v>
                </c:pt>
                <c:pt idx="1045">
                  <c:v>44204</c:v>
                </c:pt>
                <c:pt idx="1046">
                  <c:v>44207</c:v>
                </c:pt>
                <c:pt idx="1047">
                  <c:v>44208</c:v>
                </c:pt>
                <c:pt idx="1048">
                  <c:v>44209</c:v>
                </c:pt>
                <c:pt idx="1049">
                  <c:v>44210</c:v>
                </c:pt>
                <c:pt idx="1050">
                  <c:v>44211</c:v>
                </c:pt>
                <c:pt idx="1051">
                  <c:v>44214</c:v>
                </c:pt>
                <c:pt idx="1052">
                  <c:v>44215</c:v>
                </c:pt>
                <c:pt idx="1053">
                  <c:v>44216</c:v>
                </c:pt>
                <c:pt idx="1054">
                  <c:v>44217</c:v>
                </c:pt>
                <c:pt idx="1055">
                  <c:v>44218</c:v>
                </c:pt>
                <c:pt idx="1056">
                  <c:v>44221</c:v>
                </c:pt>
                <c:pt idx="1057">
                  <c:v>44222</c:v>
                </c:pt>
                <c:pt idx="1058">
                  <c:v>44223</c:v>
                </c:pt>
                <c:pt idx="1059">
                  <c:v>44224</c:v>
                </c:pt>
                <c:pt idx="1060">
                  <c:v>44225</c:v>
                </c:pt>
                <c:pt idx="1061">
                  <c:v>44228</c:v>
                </c:pt>
                <c:pt idx="1062">
                  <c:v>44229</c:v>
                </c:pt>
                <c:pt idx="1063">
                  <c:v>44230</c:v>
                </c:pt>
                <c:pt idx="1064">
                  <c:v>44231</c:v>
                </c:pt>
                <c:pt idx="1065">
                  <c:v>44232</c:v>
                </c:pt>
                <c:pt idx="1066">
                  <c:v>44235</c:v>
                </c:pt>
                <c:pt idx="1067">
                  <c:v>44236</c:v>
                </c:pt>
                <c:pt idx="1068">
                  <c:v>44237</c:v>
                </c:pt>
                <c:pt idx="1069">
                  <c:v>44238</c:v>
                </c:pt>
                <c:pt idx="1070">
                  <c:v>44239</c:v>
                </c:pt>
                <c:pt idx="1071">
                  <c:v>44242</c:v>
                </c:pt>
                <c:pt idx="1072">
                  <c:v>44243</c:v>
                </c:pt>
                <c:pt idx="1073">
                  <c:v>44244</c:v>
                </c:pt>
                <c:pt idx="1074">
                  <c:v>44245</c:v>
                </c:pt>
                <c:pt idx="1075">
                  <c:v>44246</c:v>
                </c:pt>
                <c:pt idx="1076">
                  <c:v>44249</c:v>
                </c:pt>
                <c:pt idx="1077">
                  <c:v>44250</c:v>
                </c:pt>
                <c:pt idx="1078">
                  <c:v>44251</c:v>
                </c:pt>
                <c:pt idx="1079">
                  <c:v>44252</c:v>
                </c:pt>
                <c:pt idx="1080">
                  <c:v>44253</c:v>
                </c:pt>
                <c:pt idx="1081">
                  <c:v>44256</c:v>
                </c:pt>
                <c:pt idx="1082">
                  <c:v>44257</c:v>
                </c:pt>
                <c:pt idx="1083">
                  <c:v>44258</c:v>
                </c:pt>
                <c:pt idx="1084">
                  <c:v>44259</c:v>
                </c:pt>
                <c:pt idx="1085">
                  <c:v>44260</c:v>
                </c:pt>
                <c:pt idx="1086">
                  <c:v>44263</c:v>
                </c:pt>
                <c:pt idx="1087">
                  <c:v>44264</c:v>
                </c:pt>
                <c:pt idx="1088">
                  <c:v>44265</c:v>
                </c:pt>
                <c:pt idx="1089">
                  <c:v>44266</c:v>
                </c:pt>
                <c:pt idx="1090">
                  <c:v>44267</c:v>
                </c:pt>
                <c:pt idx="1091">
                  <c:v>44270</c:v>
                </c:pt>
                <c:pt idx="1092">
                  <c:v>44271</c:v>
                </c:pt>
                <c:pt idx="1093">
                  <c:v>44272</c:v>
                </c:pt>
                <c:pt idx="1094">
                  <c:v>44273</c:v>
                </c:pt>
                <c:pt idx="1095">
                  <c:v>44274</c:v>
                </c:pt>
                <c:pt idx="1096">
                  <c:v>44277</c:v>
                </c:pt>
                <c:pt idx="1097">
                  <c:v>44278</c:v>
                </c:pt>
                <c:pt idx="1098">
                  <c:v>44279</c:v>
                </c:pt>
                <c:pt idx="1099">
                  <c:v>44280</c:v>
                </c:pt>
                <c:pt idx="1100">
                  <c:v>44281</c:v>
                </c:pt>
                <c:pt idx="1101">
                  <c:v>44284</c:v>
                </c:pt>
                <c:pt idx="1102">
                  <c:v>44285</c:v>
                </c:pt>
                <c:pt idx="1103">
                  <c:v>44286</c:v>
                </c:pt>
                <c:pt idx="1104">
                  <c:v>44287</c:v>
                </c:pt>
                <c:pt idx="1105">
                  <c:v>44292</c:v>
                </c:pt>
                <c:pt idx="1106">
                  <c:v>44293</c:v>
                </c:pt>
                <c:pt idx="1107">
                  <c:v>44294</c:v>
                </c:pt>
                <c:pt idx="1108">
                  <c:v>44295</c:v>
                </c:pt>
                <c:pt idx="1109">
                  <c:v>44298</c:v>
                </c:pt>
                <c:pt idx="1110">
                  <c:v>44299</c:v>
                </c:pt>
                <c:pt idx="1111">
                  <c:v>44300</c:v>
                </c:pt>
                <c:pt idx="1112">
                  <c:v>44301</c:v>
                </c:pt>
                <c:pt idx="1113">
                  <c:v>44302</c:v>
                </c:pt>
              </c:numCache>
            </c:numRef>
          </c:cat>
          <c:val>
            <c:numRef>
              <c:f>'M1'!$E$506:$E$2132</c:f>
              <c:numCache>
                <c:formatCode>0.00</c:formatCode>
                <c:ptCount val="1627"/>
                <c:pt idx="0">
                  <c:v>16.492000000000001</c:v>
                </c:pt>
                <c:pt idx="1">
                  <c:v>17.100000000000001</c:v>
                </c:pt>
                <c:pt idx="2">
                  <c:v>17.132999999999999</c:v>
                </c:pt>
                <c:pt idx="3">
                  <c:v>17.123999999999999</c:v>
                </c:pt>
                <c:pt idx="4">
                  <c:v>17.170000000000002</c:v>
                </c:pt>
                <c:pt idx="5">
                  <c:v>17.498999999999999</c:v>
                </c:pt>
                <c:pt idx="6">
                  <c:v>17.350000000000001</c:v>
                </c:pt>
                <c:pt idx="7">
                  <c:v>17.498999999999999</c:v>
                </c:pt>
                <c:pt idx="8">
                  <c:v>17.63</c:v>
                </c:pt>
                <c:pt idx="9">
                  <c:v>18.061</c:v>
                </c:pt>
                <c:pt idx="10">
                  <c:v>18.081</c:v>
                </c:pt>
                <c:pt idx="11">
                  <c:v>18.334</c:v>
                </c:pt>
                <c:pt idx="12">
                  <c:v>18.774000000000001</c:v>
                </c:pt>
                <c:pt idx="13">
                  <c:v>18.995999999999999</c:v>
                </c:pt>
                <c:pt idx="14">
                  <c:v>19.541</c:v>
                </c:pt>
                <c:pt idx="15">
                  <c:v>19.202000000000002</c:v>
                </c:pt>
                <c:pt idx="16">
                  <c:v>18.385000000000002</c:v>
                </c:pt>
                <c:pt idx="17">
                  <c:v>18.843</c:v>
                </c:pt>
                <c:pt idx="18">
                  <c:v>18.86</c:v>
                </c:pt>
                <c:pt idx="19">
                  <c:v>18.542999999999999</c:v>
                </c:pt>
                <c:pt idx="20">
                  <c:v>19.137</c:v>
                </c:pt>
                <c:pt idx="21">
                  <c:v>19.806000000000001</c:v>
                </c:pt>
                <c:pt idx="22">
                  <c:v>20.501000000000001</c:v>
                </c:pt>
                <c:pt idx="23">
                  <c:v>20.318999999999999</c:v>
                </c:pt>
                <c:pt idx="24">
                  <c:v>20.007999999999999</c:v>
                </c:pt>
                <c:pt idx="25">
                  <c:v>19.001999999999999</c:v>
                </c:pt>
                <c:pt idx="26">
                  <c:v>19.465</c:v>
                </c:pt>
                <c:pt idx="27">
                  <c:v>19.619</c:v>
                </c:pt>
                <c:pt idx="28">
                  <c:v>19.908999999999999</c:v>
                </c:pt>
                <c:pt idx="29">
                  <c:v>20.492999999999999</c:v>
                </c:pt>
                <c:pt idx="30">
                  <c:v>21.128</c:v>
                </c:pt>
                <c:pt idx="31">
                  <c:v>20.702999999999999</c:v>
                </c:pt>
                <c:pt idx="32">
                  <c:v>20.023</c:v>
                </c:pt>
                <c:pt idx="33">
                  <c:v>19.846</c:v>
                </c:pt>
                <c:pt idx="34">
                  <c:v>19.5</c:v>
                </c:pt>
                <c:pt idx="35">
                  <c:v>20.399999999999999</c:v>
                </c:pt>
                <c:pt idx="36">
                  <c:v>20.748999999999999</c:v>
                </c:pt>
                <c:pt idx="37">
                  <c:v>21.515000000000001</c:v>
                </c:pt>
                <c:pt idx="38">
                  <c:v>21.75</c:v>
                </c:pt>
                <c:pt idx="39">
                  <c:v>22.242999999999999</c:v>
                </c:pt>
                <c:pt idx="40">
                  <c:v>21.942</c:v>
                </c:pt>
                <c:pt idx="41">
                  <c:v>21.27</c:v>
                </c:pt>
                <c:pt idx="42">
                  <c:v>20.291</c:v>
                </c:pt>
                <c:pt idx="43">
                  <c:v>20.187999999999999</c:v>
                </c:pt>
                <c:pt idx="44">
                  <c:v>19.771999999999998</c:v>
                </c:pt>
                <c:pt idx="45">
                  <c:v>19.05</c:v>
                </c:pt>
                <c:pt idx="46">
                  <c:v>18.731000000000002</c:v>
                </c:pt>
                <c:pt idx="47">
                  <c:v>18.850000000000001</c:v>
                </c:pt>
                <c:pt idx="48">
                  <c:v>19.010000000000002</c:v>
                </c:pt>
                <c:pt idx="49">
                  <c:v>18.475999999999999</c:v>
                </c:pt>
                <c:pt idx="50">
                  <c:v>18.568999999999999</c:v>
                </c:pt>
                <c:pt idx="51">
                  <c:v>18.120999999999999</c:v>
                </c:pt>
                <c:pt idx="52">
                  <c:v>18.045999999999999</c:v>
                </c:pt>
                <c:pt idx="53">
                  <c:v>18.302</c:v>
                </c:pt>
                <c:pt idx="54">
                  <c:v>17.797999999999998</c:v>
                </c:pt>
                <c:pt idx="55">
                  <c:v>17.280999999999999</c:v>
                </c:pt>
                <c:pt idx="56">
                  <c:v>16.896000000000001</c:v>
                </c:pt>
                <c:pt idx="57">
                  <c:v>17.111999999999998</c:v>
                </c:pt>
                <c:pt idx="58">
                  <c:v>16.760000000000002</c:v>
                </c:pt>
                <c:pt idx="59">
                  <c:v>16.765999999999998</c:v>
                </c:pt>
                <c:pt idx="60">
                  <c:v>16.614000000000001</c:v>
                </c:pt>
                <c:pt idx="61">
                  <c:v>16.503</c:v>
                </c:pt>
                <c:pt idx="62">
                  <c:v>16.245000000000001</c:v>
                </c:pt>
                <c:pt idx="63">
                  <c:v>16.120999999999999</c:v>
                </c:pt>
                <c:pt idx="64">
                  <c:v>16.149999999999999</c:v>
                </c:pt>
                <c:pt idx="65">
                  <c:v>15.824999999999999</c:v>
                </c:pt>
                <c:pt idx="66">
                  <c:v>15.925000000000001</c:v>
                </c:pt>
                <c:pt idx="67">
                  <c:v>16.094999999999999</c:v>
                </c:pt>
                <c:pt idx="68">
                  <c:v>15.978999999999999</c:v>
                </c:pt>
                <c:pt idx="69">
                  <c:v>15.983000000000001</c:v>
                </c:pt>
                <c:pt idx="70">
                  <c:v>15.775</c:v>
                </c:pt>
                <c:pt idx="71">
                  <c:v>15.635999999999999</c:v>
                </c:pt>
                <c:pt idx="72">
                  <c:v>15.6</c:v>
                </c:pt>
                <c:pt idx="73">
                  <c:v>15.579000000000001</c:v>
                </c:pt>
                <c:pt idx="74">
                  <c:v>15.247</c:v>
                </c:pt>
                <c:pt idx="75">
                  <c:v>14.936999999999999</c:v>
                </c:pt>
                <c:pt idx="76">
                  <c:v>15.074</c:v>
                </c:pt>
                <c:pt idx="77">
                  <c:v>15.576000000000001</c:v>
                </c:pt>
                <c:pt idx="78">
                  <c:v>15.936999999999999</c:v>
                </c:pt>
                <c:pt idx="79">
                  <c:v>15.801</c:v>
                </c:pt>
                <c:pt idx="80">
                  <c:v>15.991</c:v>
                </c:pt>
                <c:pt idx="81">
                  <c:v>16.132999999999999</c:v>
                </c:pt>
                <c:pt idx="82">
                  <c:v>16.222999999999999</c:v>
                </c:pt>
                <c:pt idx="83">
                  <c:v>16.149999999999999</c:v>
                </c:pt>
                <c:pt idx="84">
                  <c:v>15.835000000000001</c:v>
                </c:pt>
                <c:pt idx="85">
                  <c:v>15.513999999999999</c:v>
                </c:pt>
                <c:pt idx="86">
                  <c:v>15.5</c:v>
                </c:pt>
                <c:pt idx="87">
                  <c:v>15.635</c:v>
                </c:pt>
                <c:pt idx="88">
                  <c:v>15.65</c:v>
                </c:pt>
                <c:pt idx="89">
                  <c:v>16.234000000000002</c:v>
                </c:pt>
                <c:pt idx="90">
                  <c:v>16.164000000000001</c:v>
                </c:pt>
                <c:pt idx="91">
                  <c:v>16.042999999999999</c:v>
                </c:pt>
                <c:pt idx="92">
                  <c:v>16.321000000000002</c:v>
                </c:pt>
                <c:pt idx="93">
                  <c:v>16.125</c:v>
                </c:pt>
                <c:pt idx="94">
                  <c:v>15.773999999999999</c:v>
                </c:pt>
                <c:pt idx="95">
                  <c:v>16.062000000000001</c:v>
                </c:pt>
                <c:pt idx="96">
                  <c:v>16.048999999999999</c:v>
                </c:pt>
                <c:pt idx="97">
                  <c:v>16.181999999999999</c:v>
                </c:pt>
                <c:pt idx="98">
                  <c:v>16.175000000000001</c:v>
                </c:pt>
                <c:pt idx="99">
                  <c:v>16.448</c:v>
                </c:pt>
                <c:pt idx="100">
                  <c:v>16.327000000000002</c:v>
                </c:pt>
                <c:pt idx="101">
                  <c:v>15.9</c:v>
                </c:pt>
                <c:pt idx="102">
                  <c:v>15.821999999999999</c:v>
                </c:pt>
                <c:pt idx="103">
                  <c:v>15.457000000000001</c:v>
                </c:pt>
                <c:pt idx="104">
                  <c:v>15.42</c:v>
                </c:pt>
                <c:pt idx="105">
                  <c:v>15.542</c:v>
                </c:pt>
                <c:pt idx="106">
                  <c:v>15.4</c:v>
                </c:pt>
                <c:pt idx="107">
                  <c:v>15.35</c:v>
                </c:pt>
                <c:pt idx="108">
                  <c:v>15.49</c:v>
                </c:pt>
                <c:pt idx="109">
                  <c:v>15.345000000000001</c:v>
                </c:pt>
                <c:pt idx="110">
                  <c:v>15.577999999999999</c:v>
                </c:pt>
                <c:pt idx="111">
                  <c:v>15.722</c:v>
                </c:pt>
                <c:pt idx="112">
                  <c:v>15.5</c:v>
                </c:pt>
                <c:pt idx="113">
                  <c:v>15.500999999999999</c:v>
                </c:pt>
                <c:pt idx="114">
                  <c:v>15.634</c:v>
                </c:pt>
                <c:pt idx="115">
                  <c:v>15.548999999999999</c:v>
                </c:pt>
                <c:pt idx="116">
                  <c:v>15.377000000000001</c:v>
                </c:pt>
                <c:pt idx="117">
                  <c:v>15.35</c:v>
                </c:pt>
                <c:pt idx="118">
                  <c:v>15.425000000000001</c:v>
                </c:pt>
                <c:pt idx="119">
                  <c:v>15.65</c:v>
                </c:pt>
                <c:pt idx="120">
                  <c:v>15.295</c:v>
                </c:pt>
                <c:pt idx="121">
                  <c:v>15.1</c:v>
                </c:pt>
                <c:pt idx="122">
                  <c:v>14.943</c:v>
                </c:pt>
                <c:pt idx="123">
                  <c:v>15.025</c:v>
                </c:pt>
                <c:pt idx="124">
                  <c:v>14.846</c:v>
                </c:pt>
                <c:pt idx="125">
                  <c:v>14.925000000000001</c:v>
                </c:pt>
                <c:pt idx="126">
                  <c:v>15.285</c:v>
                </c:pt>
                <c:pt idx="127">
                  <c:v>15.002000000000001</c:v>
                </c:pt>
                <c:pt idx="128">
                  <c:v>14.794</c:v>
                </c:pt>
                <c:pt idx="129">
                  <c:v>14.670999999999999</c:v>
                </c:pt>
                <c:pt idx="130">
                  <c:v>14.7</c:v>
                </c:pt>
                <c:pt idx="131">
                  <c:v>14.583</c:v>
                </c:pt>
                <c:pt idx="132">
                  <c:v>14.599</c:v>
                </c:pt>
                <c:pt idx="133">
                  <c:v>14.755000000000001</c:v>
                </c:pt>
                <c:pt idx="134">
                  <c:v>14.794</c:v>
                </c:pt>
                <c:pt idx="135">
                  <c:v>14.733000000000001</c:v>
                </c:pt>
                <c:pt idx="136">
                  <c:v>14.619</c:v>
                </c:pt>
                <c:pt idx="137">
                  <c:v>14.625</c:v>
                </c:pt>
                <c:pt idx="138">
                  <c:v>14.798999999999999</c:v>
                </c:pt>
                <c:pt idx="139">
                  <c:v>15.010999999999999</c:v>
                </c:pt>
                <c:pt idx="140">
                  <c:v>15.127000000000001</c:v>
                </c:pt>
                <c:pt idx="141">
                  <c:v>14.975</c:v>
                </c:pt>
                <c:pt idx="142">
                  <c:v>14.84</c:v>
                </c:pt>
                <c:pt idx="143">
                  <c:v>15.124000000000001</c:v>
                </c:pt>
                <c:pt idx="144">
                  <c:v>14.954000000000001</c:v>
                </c:pt>
                <c:pt idx="145">
                  <c:v>14.949</c:v>
                </c:pt>
                <c:pt idx="146">
                  <c:v>15.003</c:v>
                </c:pt>
                <c:pt idx="147">
                  <c:v>14.776</c:v>
                </c:pt>
                <c:pt idx="148">
                  <c:v>14.597</c:v>
                </c:pt>
                <c:pt idx="149">
                  <c:v>14.461</c:v>
                </c:pt>
                <c:pt idx="150">
                  <c:v>14.468999999999999</c:v>
                </c:pt>
                <c:pt idx="151">
                  <c:v>14.6</c:v>
                </c:pt>
                <c:pt idx="152">
                  <c:v>14.635</c:v>
                </c:pt>
                <c:pt idx="153">
                  <c:v>14.871</c:v>
                </c:pt>
                <c:pt idx="154">
                  <c:v>14.74</c:v>
                </c:pt>
                <c:pt idx="155">
                  <c:v>14.775</c:v>
                </c:pt>
                <c:pt idx="156">
                  <c:v>14.948</c:v>
                </c:pt>
                <c:pt idx="157">
                  <c:v>14.884</c:v>
                </c:pt>
                <c:pt idx="158">
                  <c:v>14.723000000000001</c:v>
                </c:pt>
                <c:pt idx="159">
                  <c:v>14.827999999999999</c:v>
                </c:pt>
                <c:pt idx="160">
                  <c:v>15.177</c:v>
                </c:pt>
                <c:pt idx="161">
                  <c:v>15.129</c:v>
                </c:pt>
                <c:pt idx="162">
                  <c:v>14.983000000000001</c:v>
                </c:pt>
                <c:pt idx="163">
                  <c:v>14.965999999999999</c:v>
                </c:pt>
                <c:pt idx="164">
                  <c:v>14.675000000000001</c:v>
                </c:pt>
                <c:pt idx="165">
                  <c:v>14.742000000000001</c:v>
                </c:pt>
                <c:pt idx="166">
                  <c:v>14.79</c:v>
                </c:pt>
                <c:pt idx="167">
                  <c:v>15</c:v>
                </c:pt>
                <c:pt idx="168">
                  <c:v>15.349</c:v>
                </c:pt>
                <c:pt idx="169">
                  <c:v>15.173</c:v>
                </c:pt>
                <c:pt idx="170">
                  <c:v>15.571</c:v>
                </c:pt>
                <c:pt idx="171">
                  <c:v>15.775</c:v>
                </c:pt>
                <c:pt idx="172">
                  <c:v>16.013999999999999</c:v>
                </c:pt>
                <c:pt idx="173">
                  <c:v>15.875</c:v>
                </c:pt>
                <c:pt idx="174">
                  <c:v>15.577</c:v>
                </c:pt>
                <c:pt idx="175">
                  <c:v>16.097999999999999</c:v>
                </c:pt>
                <c:pt idx="176">
                  <c:v>16.198</c:v>
                </c:pt>
                <c:pt idx="177">
                  <c:v>16.097999999999999</c:v>
                </c:pt>
                <c:pt idx="178">
                  <c:v>16.181999999999999</c:v>
                </c:pt>
                <c:pt idx="179">
                  <c:v>16.152999999999999</c:v>
                </c:pt>
                <c:pt idx="180">
                  <c:v>16.36</c:v>
                </c:pt>
                <c:pt idx="181">
                  <c:v>16.347999999999999</c:v>
                </c:pt>
                <c:pt idx="182">
                  <c:v>16.303000000000001</c:v>
                </c:pt>
                <c:pt idx="183">
                  <c:v>16.305</c:v>
                </c:pt>
                <c:pt idx="184">
                  <c:v>16.471</c:v>
                </c:pt>
                <c:pt idx="185">
                  <c:v>16.518999999999998</c:v>
                </c:pt>
                <c:pt idx="186">
                  <c:v>16.451000000000001</c:v>
                </c:pt>
                <c:pt idx="187">
                  <c:v>16.411999999999999</c:v>
                </c:pt>
                <c:pt idx="188">
                  <c:v>16.449000000000002</c:v>
                </c:pt>
                <c:pt idx="189">
                  <c:v>16.847000000000001</c:v>
                </c:pt>
                <c:pt idx="190">
                  <c:v>16.827000000000002</c:v>
                </c:pt>
                <c:pt idx="191">
                  <c:v>16.798999999999999</c:v>
                </c:pt>
                <c:pt idx="192">
                  <c:v>16.786999999999999</c:v>
                </c:pt>
                <c:pt idx="193">
                  <c:v>17.193000000000001</c:v>
                </c:pt>
                <c:pt idx="194">
                  <c:v>17.152000000000001</c:v>
                </c:pt>
                <c:pt idx="195">
                  <c:v>17.292000000000002</c:v>
                </c:pt>
                <c:pt idx="196">
                  <c:v>17.585000000000001</c:v>
                </c:pt>
                <c:pt idx="197">
                  <c:v>17.198</c:v>
                </c:pt>
                <c:pt idx="198">
                  <c:v>17.103000000000002</c:v>
                </c:pt>
                <c:pt idx="199">
                  <c:v>17.126999999999999</c:v>
                </c:pt>
                <c:pt idx="200">
                  <c:v>16.925000000000001</c:v>
                </c:pt>
                <c:pt idx="201">
                  <c:v>16.75</c:v>
                </c:pt>
                <c:pt idx="202">
                  <c:v>16.646999999999998</c:v>
                </c:pt>
                <c:pt idx="203">
                  <c:v>17.405999999999999</c:v>
                </c:pt>
                <c:pt idx="204">
                  <c:v>17.36</c:v>
                </c:pt>
                <c:pt idx="205">
                  <c:v>17.495999999999999</c:v>
                </c:pt>
                <c:pt idx="206">
                  <c:v>17.608000000000001</c:v>
                </c:pt>
                <c:pt idx="207">
                  <c:v>17.382000000000001</c:v>
                </c:pt>
                <c:pt idx="208">
                  <c:v>17.632999999999999</c:v>
                </c:pt>
                <c:pt idx="209">
                  <c:v>17.927</c:v>
                </c:pt>
                <c:pt idx="210">
                  <c:v>17.957999999999998</c:v>
                </c:pt>
                <c:pt idx="211">
                  <c:v>18.079000000000001</c:v>
                </c:pt>
                <c:pt idx="212">
                  <c:v>18.048999999999999</c:v>
                </c:pt>
                <c:pt idx="213">
                  <c:v>18.227</c:v>
                </c:pt>
                <c:pt idx="214">
                  <c:v>18.100000000000001</c:v>
                </c:pt>
                <c:pt idx="215">
                  <c:v>18.038</c:v>
                </c:pt>
                <c:pt idx="216">
                  <c:v>17.872</c:v>
                </c:pt>
                <c:pt idx="217">
                  <c:v>17.940000000000001</c:v>
                </c:pt>
                <c:pt idx="218">
                  <c:v>18.131</c:v>
                </c:pt>
                <c:pt idx="219">
                  <c:v>18.082000000000001</c:v>
                </c:pt>
                <c:pt idx="220">
                  <c:v>18.305</c:v>
                </c:pt>
                <c:pt idx="221">
                  <c:v>18.100000000000001</c:v>
                </c:pt>
                <c:pt idx="222">
                  <c:v>17.768999999999998</c:v>
                </c:pt>
                <c:pt idx="223">
                  <c:v>17.722999999999999</c:v>
                </c:pt>
                <c:pt idx="224">
                  <c:v>17.573</c:v>
                </c:pt>
                <c:pt idx="225">
                  <c:v>17.73</c:v>
                </c:pt>
                <c:pt idx="226">
                  <c:v>17.600000000000001</c:v>
                </c:pt>
                <c:pt idx="227">
                  <c:v>17.62</c:v>
                </c:pt>
                <c:pt idx="228">
                  <c:v>17.611999999999998</c:v>
                </c:pt>
                <c:pt idx="229">
                  <c:v>18.210999999999999</c:v>
                </c:pt>
                <c:pt idx="230">
                  <c:v>18.436</c:v>
                </c:pt>
                <c:pt idx="231">
                  <c:v>18.45</c:v>
                </c:pt>
                <c:pt idx="232">
                  <c:v>18.215</c:v>
                </c:pt>
                <c:pt idx="233">
                  <c:v>18.856000000000002</c:v>
                </c:pt>
                <c:pt idx="234">
                  <c:v>19.22</c:v>
                </c:pt>
                <c:pt idx="235">
                  <c:v>19.251000000000001</c:v>
                </c:pt>
                <c:pt idx="236">
                  <c:v>19.417999999999999</c:v>
                </c:pt>
                <c:pt idx="237">
                  <c:v>19.632999999999999</c:v>
                </c:pt>
                <c:pt idx="238">
                  <c:v>19.835000000000001</c:v>
                </c:pt>
                <c:pt idx="239">
                  <c:v>19.25</c:v>
                </c:pt>
                <c:pt idx="240">
                  <c:v>18.895</c:v>
                </c:pt>
                <c:pt idx="241">
                  <c:v>19.184999999999999</c:v>
                </c:pt>
                <c:pt idx="242">
                  <c:v>18.850000000000001</c:v>
                </c:pt>
                <c:pt idx="243">
                  <c:v>19.388999999999999</c:v>
                </c:pt>
                <c:pt idx="244">
                  <c:v>19.745999999999999</c:v>
                </c:pt>
                <c:pt idx="245">
                  <c:v>19.588000000000001</c:v>
                </c:pt>
                <c:pt idx="246">
                  <c:v>19.943000000000001</c:v>
                </c:pt>
                <c:pt idx="247">
                  <c:v>20.440999999999999</c:v>
                </c:pt>
                <c:pt idx="248">
                  <c:v>20.608000000000001</c:v>
                </c:pt>
                <c:pt idx="249">
                  <c:v>20.236000000000001</c:v>
                </c:pt>
                <c:pt idx="250">
                  <c:v>20.338999999999999</c:v>
                </c:pt>
                <c:pt idx="251">
                  <c:v>20.303999999999998</c:v>
                </c:pt>
                <c:pt idx="252">
                  <c:v>20.852</c:v>
                </c:pt>
                <c:pt idx="253">
                  <c:v>21.303000000000001</c:v>
                </c:pt>
                <c:pt idx="254">
                  <c:v>21.355</c:v>
                </c:pt>
                <c:pt idx="255">
                  <c:v>21.175000000000001</c:v>
                </c:pt>
                <c:pt idx="256">
                  <c:v>21.375</c:v>
                </c:pt>
                <c:pt idx="257">
                  <c:v>20.95</c:v>
                </c:pt>
                <c:pt idx="258">
                  <c:v>20.984999999999999</c:v>
                </c:pt>
                <c:pt idx="259">
                  <c:v>21.763999999999999</c:v>
                </c:pt>
                <c:pt idx="260">
                  <c:v>20.648</c:v>
                </c:pt>
                <c:pt idx="261">
                  <c:v>21.303000000000001</c:v>
                </c:pt>
                <c:pt idx="262">
                  <c:v>21.036000000000001</c:v>
                </c:pt>
                <c:pt idx="263">
                  <c:v>20.475000000000001</c:v>
                </c:pt>
                <c:pt idx="264">
                  <c:v>20.122</c:v>
                </c:pt>
                <c:pt idx="265">
                  <c:v>20.335999999999999</c:v>
                </c:pt>
                <c:pt idx="266">
                  <c:v>20.015999999999998</c:v>
                </c:pt>
                <c:pt idx="267">
                  <c:v>19.675000000000001</c:v>
                </c:pt>
                <c:pt idx="268">
                  <c:v>19.167000000000002</c:v>
                </c:pt>
                <c:pt idx="269">
                  <c:v>19.710999999999999</c:v>
                </c:pt>
                <c:pt idx="270">
                  <c:v>19.625</c:v>
                </c:pt>
                <c:pt idx="271">
                  <c:v>19.428000000000001</c:v>
                </c:pt>
                <c:pt idx="272">
                  <c:v>19.309999999999999</c:v>
                </c:pt>
                <c:pt idx="273">
                  <c:v>19.2</c:v>
                </c:pt>
                <c:pt idx="274">
                  <c:v>18.927</c:v>
                </c:pt>
                <c:pt idx="275">
                  <c:v>19.059000000000001</c:v>
                </c:pt>
                <c:pt idx="276">
                  <c:v>19.446000000000002</c:v>
                </c:pt>
                <c:pt idx="277">
                  <c:v>19.512</c:v>
                </c:pt>
                <c:pt idx="278">
                  <c:v>19.332000000000001</c:v>
                </c:pt>
                <c:pt idx="279">
                  <c:v>19.853999999999999</c:v>
                </c:pt>
                <c:pt idx="280">
                  <c:v>19.175000000000001</c:v>
                </c:pt>
                <c:pt idx="281">
                  <c:v>18.998999999999999</c:v>
                </c:pt>
                <c:pt idx="282">
                  <c:v>18.465</c:v>
                </c:pt>
                <c:pt idx="283">
                  <c:v>18.3</c:v>
                </c:pt>
                <c:pt idx="284">
                  <c:v>18.177</c:v>
                </c:pt>
                <c:pt idx="285">
                  <c:v>18.539000000000001</c:v>
                </c:pt>
                <c:pt idx="286">
                  <c:v>18.234000000000002</c:v>
                </c:pt>
                <c:pt idx="287">
                  <c:v>17.861999999999998</c:v>
                </c:pt>
                <c:pt idx="288">
                  <c:v>17.780999999999999</c:v>
                </c:pt>
                <c:pt idx="289">
                  <c:v>17.853000000000002</c:v>
                </c:pt>
                <c:pt idx="290">
                  <c:v>17.486000000000001</c:v>
                </c:pt>
                <c:pt idx="291">
                  <c:v>17.350999999999999</c:v>
                </c:pt>
                <c:pt idx="292">
                  <c:v>17.95</c:v>
                </c:pt>
                <c:pt idx="293">
                  <c:v>18.25</c:v>
                </c:pt>
                <c:pt idx="294">
                  <c:v>18.184999999999999</c:v>
                </c:pt>
                <c:pt idx="295">
                  <c:v>17.623999999999999</c:v>
                </c:pt>
                <c:pt idx="296">
                  <c:v>17.856999999999999</c:v>
                </c:pt>
                <c:pt idx="297">
                  <c:v>18.262</c:v>
                </c:pt>
                <c:pt idx="298">
                  <c:v>17.898</c:v>
                </c:pt>
                <c:pt idx="299">
                  <c:v>17.901</c:v>
                </c:pt>
                <c:pt idx="300">
                  <c:v>17.954999999999998</c:v>
                </c:pt>
                <c:pt idx="301">
                  <c:v>18.309999999999999</c:v>
                </c:pt>
                <c:pt idx="302">
                  <c:v>18.152999999999999</c:v>
                </c:pt>
                <c:pt idx="303">
                  <c:v>17.774999999999999</c:v>
                </c:pt>
                <c:pt idx="304">
                  <c:v>18.204000000000001</c:v>
                </c:pt>
                <c:pt idx="305">
                  <c:v>19.181000000000001</c:v>
                </c:pt>
                <c:pt idx="306">
                  <c:v>19.888000000000002</c:v>
                </c:pt>
                <c:pt idx="307">
                  <c:v>19.806000000000001</c:v>
                </c:pt>
                <c:pt idx="308">
                  <c:v>19.928000000000001</c:v>
                </c:pt>
                <c:pt idx="309">
                  <c:v>20.71</c:v>
                </c:pt>
                <c:pt idx="310">
                  <c:v>18.602</c:v>
                </c:pt>
                <c:pt idx="311">
                  <c:v>19.184999999999999</c:v>
                </c:pt>
                <c:pt idx="312">
                  <c:v>17.350000000000001</c:v>
                </c:pt>
                <c:pt idx="313">
                  <c:v>17.542000000000002</c:v>
                </c:pt>
                <c:pt idx="314">
                  <c:v>17.925000000000001</c:v>
                </c:pt>
                <c:pt idx="315">
                  <c:v>17.54</c:v>
                </c:pt>
                <c:pt idx="316">
                  <c:v>17.811</c:v>
                </c:pt>
                <c:pt idx="317">
                  <c:v>17.803000000000001</c:v>
                </c:pt>
                <c:pt idx="318">
                  <c:v>18.28</c:v>
                </c:pt>
                <c:pt idx="319">
                  <c:v>18.937000000000001</c:v>
                </c:pt>
                <c:pt idx="320">
                  <c:v>19.824999999999999</c:v>
                </c:pt>
                <c:pt idx="321">
                  <c:v>19.594999999999999</c:v>
                </c:pt>
                <c:pt idx="322">
                  <c:v>18.411000000000001</c:v>
                </c:pt>
                <c:pt idx="323">
                  <c:v>18.920000000000002</c:v>
                </c:pt>
                <c:pt idx="324">
                  <c:v>18.678999999999998</c:v>
                </c:pt>
                <c:pt idx="325">
                  <c:v>18.736999999999998</c:v>
                </c:pt>
                <c:pt idx="326">
                  <c:v>19.163</c:v>
                </c:pt>
                <c:pt idx="327">
                  <c:v>19.375</c:v>
                </c:pt>
                <c:pt idx="328">
                  <c:v>19.018999999999998</c:v>
                </c:pt>
                <c:pt idx="329">
                  <c:v>18.452999999999999</c:v>
                </c:pt>
                <c:pt idx="330">
                  <c:v>17.978999999999999</c:v>
                </c:pt>
                <c:pt idx="331">
                  <c:v>18.492999999999999</c:v>
                </c:pt>
                <c:pt idx="332">
                  <c:v>18.393000000000001</c:v>
                </c:pt>
                <c:pt idx="333">
                  <c:v>18.206</c:v>
                </c:pt>
                <c:pt idx="334">
                  <c:v>18.05</c:v>
                </c:pt>
                <c:pt idx="335">
                  <c:v>18.193000000000001</c:v>
                </c:pt>
                <c:pt idx="336">
                  <c:v>18.155000000000001</c:v>
                </c:pt>
                <c:pt idx="337">
                  <c:v>18.158999999999999</c:v>
                </c:pt>
                <c:pt idx="338">
                  <c:v>18.638999999999999</c:v>
                </c:pt>
                <c:pt idx="339">
                  <c:v>18.855</c:v>
                </c:pt>
                <c:pt idx="340">
                  <c:v>19.295000000000002</c:v>
                </c:pt>
                <c:pt idx="341">
                  <c:v>19.222000000000001</c:v>
                </c:pt>
                <c:pt idx="342">
                  <c:v>19.600000000000001</c:v>
                </c:pt>
                <c:pt idx="343">
                  <c:v>19.440000000000001</c:v>
                </c:pt>
                <c:pt idx="344">
                  <c:v>19.084</c:v>
                </c:pt>
                <c:pt idx="345">
                  <c:v>19.350000000000001</c:v>
                </c:pt>
                <c:pt idx="346">
                  <c:v>19.763999999999999</c:v>
                </c:pt>
                <c:pt idx="347">
                  <c:v>19.774000000000001</c:v>
                </c:pt>
                <c:pt idx="348">
                  <c:v>19.942</c:v>
                </c:pt>
                <c:pt idx="349">
                  <c:v>19.684000000000001</c:v>
                </c:pt>
                <c:pt idx="350">
                  <c:v>19.870999999999999</c:v>
                </c:pt>
                <c:pt idx="351">
                  <c:v>20.167999999999999</c:v>
                </c:pt>
                <c:pt idx="352">
                  <c:v>20.248000000000001</c:v>
                </c:pt>
                <c:pt idx="353">
                  <c:v>20.603999999999999</c:v>
                </c:pt>
                <c:pt idx="354">
                  <c:v>20.16</c:v>
                </c:pt>
                <c:pt idx="355">
                  <c:v>19.876000000000001</c:v>
                </c:pt>
                <c:pt idx="356">
                  <c:v>19.896000000000001</c:v>
                </c:pt>
                <c:pt idx="357">
                  <c:v>20.399999999999999</c:v>
                </c:pt>
                <c:pt idx="358">
                  <c:v>20.65</c:v>
                </c:pt>
                <c:pt idx="359">
                  <c:v>20.677</c:v>
                </c:pt>
                <c:pt idx="360">
                  <c:v>20.837</c:v>
                </c:pt>
                <c:pt idx="361">
                  <c:v>20.89</c:v>
                </c:pt>
                <c:pt idx="362">
                  <c:v>21.242000000000001</c:v>
                </c:pt>
                <c:pt idx="363">
                  <c:v>21.597000000000001</c:v>
                </c:pt>
                <c:pt idx="364">
                  <c:v>21.692</c:v>
                </c:pt>
                <c:pt idx="365">
                  <c:v>21.574999999999999</c:v>
                </c:pt>
                <c:pt idx="366">
                  <c:v>22.242000000000001</c:v>
                </c:pt>
                <c:pt idx="367">
                  <c:v>22.053000000000001</c:v>
                </c:pt>
                <c:pt idx="368">
                  <c:v>22.315999999999999</c:v>
                </c:pt>
                <c:pt idx="369">
                  <c:v>22.968</c:v>
                </c:pt>
                <c:pt idx="370">
                  <c:v>22.754000000000001</c:v>
                </c:pt>
                <c:pt idx="371">
                  <c:v>22.742999999999999</c:v>
                </c:pt>
                <c:pt idx="372">
                  <c:v>21.917999999999999</c:v>
                </c:pt>
                <c:pt idx="373">
                  <c:v>21.956</c:v>
                </c:pt>
                <c:pt idx="374">
                  <c:v>22.79</c:v>
                </c:pt>
                <c:pt idx="375">
                  <c:v>23.087</c:v>
                </c:pt>
                <c:pt idx="376">
                  <c:v>22.6</c:v>
                </c:pt>
                <c:pt idx="377">
                  <c:v>21.754999999999999</c:v>
                </c:pt>
                <c:pt idx="378">
                  <c:v>21.946999999999999</c:v>
                </c:pt>
                <c:pt idx="379">
                  <c:v>21.475000000000001</c:v>
                </c:pt>
                <c:pt idx="380">
                  <c:v>21.311</c:v>
                </c:pt>
                <c:pt idx="381">
                  <c:v>21.65</c:v>
                </c:pt>
                <c:pt idx="382">
                  <c:v>21.536000000000001</c:v>
                </c:pt>
                <c:pt idx="383">
                  <c:v>21.338999999999999</c:v>
                </c:pt>
                <c:pt idx="384">
                  <c:v>21.79</c:v>
                </c:pt>
                <c:pt idx="385">
                  <c:v>22.388999999999999</c:v>
                </c:pt>
                <c:pt idx="386">
                  <c:v>22.488</c:v>
                </c:pt>
                <c:pt idx="387">
                  <c:v>21.76</c:v>
                </c:pt>
                <c:pt idx="388">
                  <c:v>22.175000000000001</c:v>
                </c:pt>
                <c:pt idx="389">
                  <c:v>21.702000000000002</c:v>
                </c:pt>
                <c:pt idx="390">
                  <c:v>21.492000000000001</c:v>
                </c:pt>
                <c:pt idx="391">
                  <c:v>21.571999999999999</c:v>
                </c:pt>
                <c:pt idx="392">
                  <c:v>21.681999999999999</c:v>
                </c:pt>
                <c:pt idx="393">
                  <c:v>21.594000000000001</c:v>
                </c:pt>
                <c:pt idx="394">
                  <c:v>21.460999999999999</c:v>
                </c:pt>
                <c:pt idx="395">
                  <c:v>22.039000000000001</c:v>
                </c:pt>
                <c:pt idx="396">
                  <c:v>21.96</c:v>
                </c:pt>
                <c:pt idx="397">
                  <c:v>21.87</c:v>
                </c:pt>
                <c:pt idx="398">
                  <c:v>22.2</c:v>
                </c:pt>
                <c:pt idx="399">
                  <c:v>22.282</c:v>
                </c:pt>
                <c:pt idx="400">
                  <c:v>22.251000000000001</c:v>
                </c:pt>
                <c:pt idx="401">
                  <c:v>22.463000000000001</c:v>
                </c:pt>
                <c:pt idx="402">
                  <c:v>22.356000000000002</c:v>
                </c:pt>
                <c:pt idx="403">
                  <c:v>22.731999999999999</c:v>
                </c:pt>
                <c:pt idx="404">
                  <c:v>22.731000000000002</c:v>
                </c:pt>
                <c:pt idx="405">
                  <c:v>22.58</c:v>
                </c:pt>
                <c:pt idx="406">
                  <c:v>21.971</c:v>
                </c:pt>
                <c:pt idx="407">
                  <c:v>22.263999999999999</c:v>
                </c:pt>
                <c:pt idx="408">
                  <c:v>22.021999999999998</c:v>
                </c:pt>
                <c:pt idx="409">
                  <c:v>21.852</c:v>
                </c:pt>
                <c:pt idx="410">
                  <c:v>22.138000000000002</c:v>
                </c:pt>
                <c:pt idx="411">
                  <c:v>22.152999999999999</c:v>
                </c:pt>
                <c:pt idx="412">
                  <c:v>21.873999999999999</c:v>
                </c:pt>
                <c:pt idx="413">
                  <c:v>22.027999999999999</c:v>
                </c:pt>
                <c:pt idx="414">
                  <c:v>22.097000000000001</c:v>
                </c:pt>
                <c:pt idx="415">
                  <c:v>22.172000000000001</c:v>
                </c:pt>
                <c:pt idx="416">
                  <c:v>22.113</c:v>
                </c:pt>
                <c:pt idx="417">
                  <c:v>21.891999999999999</c:v>
                </c:pt>
                <c:pt idx="418">
                  <c:v>22.059000000000001</c:v>
                </c:pt>
                <c:pt idx="419">
                  <c:v>22.113</c:v>
                </c:pt>
                <c:pt idx="420">
                  <c:v>21.931999999999999</c:v>
                </c:pt>
                <c:pt idx="421">
                  <c:v>21.936</c:v>
                </c:pt>
                <c:pt idx="422">
                  <c:v>22.260999999999999</c:v>
                </c:pt>
                <c:pt idx="423">
                  <c:v>22.5</c:v>
                </c:pt>
                <c:pt idx="424">
                  <c:v>22.611000000000001</c:v>
                </c:pt>
                <c:pt idx="425">
                  <c:v>22.599</c:v>
                </c:pt>
                <c:pt idx="426">
                  <c:v>22.713000000000001</c:v>
                </c:pt>
                <c:pt idx="427">
                  <c:v>22.881</c:v>
                </c:pt>
                <c:pt idx="428">
                  <c:v>23.5</c:v>
                </c:pt>
                <c:pt idx="429">
                  <c:v>23.724</c:v>
                </c:pt>
                <c:pt idx="430">
                  <c:v>23.518999999999998</c:v>
                </c:pt>
                <c:pt idx="431">
                  <c:v>23.832999999999998</c:v>
                </c:pt>
                <c:pt idx="432">
                  <c:v>24.152999999999999</c:v>
                </c:pt>
                <c:pt idx="433">
                  <c:v>24.178999999999998</c:v>
                </c:pt>
                <c:pt idx="434">
                  <c:v>24.405999999999999</c:v>
                </c:pt>
                <c:pt idx="435">
                  <c:v>24.448</c:v>
                </c:pt>
                <c:pt idx="436">
                  <c:v>24.76</c:v>
                </c:pt>
                <c:pt idx="437">
                  <c:v>24.975000000000001</c:v>
                </c:pt>
                <c:pt idx="438">
                  <c:v>25.411000000000001</c:v>
                </c:pt>
                <c:pt idx="439">
                  <c:v>25.36</c:v>
                </c:pt>
                <c:pt idx="440">
                  <c:v>25.867999999999999</c:v>
                </c:pt>
                <c:pt idx="441">
                  <c:v>26.13</c:v>
                </c:pt>
                <c:pt idx="442">
                  <c:v>25.837</c:v>
                </c:pt>
                <c:pt idx="443">
                  <c:v>26.239000000000001</c:v>
                </c:pt>
                <c:pt idx="444">
                  <c:v>26.712</c:v>
                </c:pt>
                <c:pt idx="445">
                  <c:v>27.018999999999998</c:v>
                </c:pt>
                <c:pt idx="446">
                  <c:v>27.454000000000001</c:v>
                </c:pt>
                <c:pt idx="447">
                  <c:v>27.989000000000001</c:v>
                </c:pt>
                <c:pt idx="448">
                  <c:v>29.125</c:v>
                </c:pt>
                <c:pt idx="449">
                  <c:v>28.782</c:v>
                </c:pt>
                <c:pt idx="450">
                  <c:v>27.494</c:v>
                </c:pt>
                <c:pt idx="451">
                  <c:v>26.808</c:v>
                </c:pt>
                <c:pt idx="452">
                  <c:v>26.928999999999998</c:v>
                </c:pt>
                <c:pt idx="453">
                  <c:v>28.077000000000002</c:v>
                </c:pt>
                <c:pt idx="454">
                  <c:v>27.41</c:v>
                </c:pt>
                <c:pt idx="455">
                  <c:v>28.321999999999999</c:v>
                </c:pt>
                <c:pt idx="456">
                  <c:v>28.591000000000001</c:v>
                </c:pt>
                <c:pt idx="457">
                  <c:v>28.724</c:v>
                </c:pt>
                <c:pt idx="458">
                  <c:v>29.244</c:v>
                </c:pt>
                <c:pt idx="459">
                  <c:v>29.231999999999999</c:v>
                </c:pt>
                <c:pt idx="460">
                  <c:v>28.262</c:v>
                </c:pt>
                <c:pt idx="461">
                  <c:v>27.577000000000002</c:v>
                </c:pt>
                <c:pt idx="462">
                  <c:v>27.329000000000001</c:v>
                </c:pt>
                <c:pt idx="463">
                  <c:v>27.443000000000001</c:v>
                </c:pt>
                <c:pt idx="464">
                  <c:v>27.257000000000001</c:v>
                </c:pt>
                <c:pt idx="465">
                  <c:v>27.114000000000001</c:v>
                </c:pt>
                <c:pt idx="466">
                  <c:v>27.471</c:v>
                </c:pt>
                <c:pt idx="467">
                  <c:v>27.902000000000001</c:v>
                </c:pt>
                <c:pt idx="468">
                  <c:v>27.218</c:v>
                </c:pt>
                <c:pt idx="469">
                  <c:v>26.835000000000001</c:v>
                </c:pt>
                <c:pt idx="470">
                  <c:v>26.22</c:v>
                </c:pt>
                <c:pt idx="471">
                  <c:v>25.759</c:v>
                </c:pt>
                <c:pt idx="472">
                  <c:v>26.628</c:v>
                </c:pt>
                <c:pt idx="473">
                  <c:v>26.625</c:v>
                </c:pt>
                <c:pt idx="474">
                  <c:v>26.327999999999999</c:v>
                </c:pt>
                <c:pt idx="475">
                  <c:v>25.942</c:v>
                </c:pt>
                <c:pt idx="476">
                  <c:v>26.024999999999999</c:v>
                </c:pt>
                <c:pt idx="477">
                  <c:v>26.858000000000001</c:v>
                </c:pt>
                <c:pt idx="478">
                  <c:v>26.114000000000001</c:v>
                </c:pt>
                <c:pt idx="479">
                  <c:v>25.667000000000002</c:v>
                </c:pt>
                <c:pt idx="480">
                  <c:v>25.260999999999999</c:v>
                </c:pt>
                <c:pt idx="481">
                  <c:v>24.866</c:v>
                </c:pt>
                <c:pt idx="482">
                  <c:v>24.280999999999999</c:v>
                </c:pt>
                <c:pt idx="483">
                  <c:v>24.577999999999999</c:v>
                </c:pt>
                <c:pt idx="484">
                  <c:v>23.873000000000001</c:v>
                </c:pt>
                <c:pt idx="485">
                  <c:v>24.332999999999998</c:v>
                </c:pt>
                <c:pt idx="486">
                  <c:v>23.649000000000001</c:v>
                </c:pt>
                <c:pt idx="487">
                  <c:v>24.283000000000001</c:v>
                </c:pt>
                <c:pt idx="488">
                  <c:v>23.808</c:v>
                </c:pt>
                <c:pt idx="489">
                  <c:v>23.896000000000001</c:v>
                </c:pt>
                <c:pt idx="490">
                  <c:v>24.42</c:v>
                </c:pt>
                <c:pt idx="491">
                  <c:v>24.428999999999998</c:v>
                </c:pt>
                <c:pt idx="492">
                  <c:v>24.326000000000001</c:v>
                </c:pt>
                <c:pt idx="493">
                  <c:v>25.954999999999998</c:v>
                </c:pt>
                <c:pt idx="494">
                  <c:v>26.518999999999998</c:v>
                </c:pt>
                <c:pt idx="495">
                  <c:v>26.277999999999999</c:v>
                </c:pt>
                <c:pt idx="496">
                  <c:v>26.677</c:v>
                </c:pt>
                <c:pt idx="497">
                  <c:v>25.956</c:v>
                </c:pt>
                <c:pt idx="498">
                  <c:v>24.152000000000001</c:v>
                </c:pt>
                <c:pt idx="499">
                  <c:v>24.352</c:v>
                </c:pt>
                <c:pt idx="500">
                  <c:v>24.5</c:v>
                </c:pt>
                <c:pt idx="501">
                  <c:v>24.71</c:v>
                </c:pt>
                <c:pt idx="502">
                  <c:v>24.818999999999999</c:v>
                </c:pt>
                <c:pt idx="503">
                  <c:v>24.542999999999999</c:v>
                </c:pt>
                <c:pt idx="504">
                  <c:v>25.158999999999999</c:v>
                </c:pt>
                <c:pt idx="505">
                  <c:v>24.302</c:v>
                </c:pt>
                <c:pt idx="506">
                  <c:v>24.632999999999999</c:v>
                </c:pt>
                <c:pt idx="507">
                  <c:v>24.690999999999999</c:v>
                </c:pt>
                <c:pt idx="508">
                  <c:v>25.082999999999998</c:v>
                </c:pt>
                <c:pt idx="509">
                  <c:v>24.417000000000002</c:v>
                </c:pt>
                <c:pt idx="510">
                  <c:v>23.821999999999999</c:v>
                </c:pt>
                <c:pt idx="511">
                  <c:v>23.166</c:v>
                </c:pt>
                <c:pt idx="512">
                  <c:v>23.143000000000001</c:v>
                </c:pt>
                <c:pt idx="513">
                  <c:v>23.25</c:v>
                </c:pt>
                <c:pt idx="514">
                  <c:v>23.620999999999999</c:v>
                </c:pt>
                <c:pt idx="515">
                  <c:v>23.92</c:v>
                </c:pt>
                <c:pt idx="516">
                  <c:v>24.225999999999999</c:v>
                </c:pt>
                <c:pt idx="517">
                  <c:v>24.646000000000001</c:v>
                </c:pt>
                <c:pt idx="518">
                  <c:v>24.681000000000001</c:v>
                </c:pt>
                <c:pt idx="519">
                  <c:v>23.731999999999999</c:v>
                </c:pt>
                <c:pt idx="520">
                  <c:v>24.21</c:v>
                </c:pt>
                <c:pt idx="521">
                  <c:v>24.605</c:v>
                </c:pt>
                <c:pt idx="522">
                  <c:v>24.9</c:v>
                </c:pt>
                <c:pt idx="523">
                  <c:v>24.247</c:v>
                </c:pt>
                <c:pt idx="524">
                  <c:v>23.32</c:v>
                </c:pt>
                <c:pt idx="525">
                  <c:v>22.81</c:v>
                </c:pt>
                <c:pt idx="526">
                  <c:v>21.981999999999999</c:v>
                </c:pt>
                <c:pt idx="527">
                  <c:v>22.472999999999999</c:v>
                </c:pt>
                <c:pt idx="528">
                  <c:v>22.256</c:v>
                </c:pt>
                <c:pt idx="529">
                  <c:v>22.93</c:v>
                </c:pt>
                <c:pt idx="530">
                  <c:v>21.530999999999999</c:v>
                </c:pt>
                <c:pt idx="531">
                  <c:v>22.091999999999999</c:v>
                </c:pt>
                <c:pt idx="532">
                  <c:v>21.719000000000001</c:v>
                </c:pt>
                <c:pt idx="533">
                  <c:v>21.673999999999999</c:v>
                </c:pt>
                <c:pt idx="534">
                  <c:v>22.254999999999999</c:v>
                </c:pt>
                <c:pt idx="535">
                  <c:v>21.675000000000001</c:v>
                </c:pt>
                <c:pt idx="536">
                  <c:v>21.998999999999999</c:v>
                </c:pt>
                <c:pt idx="537">
                  <c:v>22.004999999999999</c:v>
                </c:pt>
                <c:pt idx="538">
                  <c:v>22.994</c:v>
                </c:pt>
                <c:pt idx="539">
                  <c:v>22.603999999999999</c:v>
                </c:pt>
                <c:pt idx="540">
                  <c:v>21.774000000000001</c:v>
                </c:pt>
                <c:pt idx="541">
                  <c:v>21.812999999999999</c:v>
                </c:pt>
                <c:pt idx="542">
                  <c:v>22.190999999999999</c:v>
                </c:pt>
                <c:pt idx="543">
                  <c:v>21.279</c:v>
                </c:pt>
                <c:pt idx="544">
                  <c:v>20.888999999999999</c:v>
                </c:pt>
                <c:pt idx="545">
                  <c:v>20.552</c:v>
                </c:pt>
                <c:pt idx="546">
                  <c:v>20.585999999999999</c:v>
                </c:pt>
                <c:pt idx="547">
                  <c:v>20.181000000000001</c:v>
                </c:pt>
                <c:pt idx="548">
                  <c:v>19.852</c:v>
                </c:pt>
                <c:pt idx="549">
                  <c:v>19.298999999999999</c:v>
                </c:pt>
                <c:pt idx="550">
                  <c:v>19.355</c:v>
                </c:pt>
                <c:pt idx="551">
                  <c:v>19.138000000000002</c:v>
                </c:pt>
                <c:pt idx="552">
                  <c:v>18.916</c:v>
                </c:pt>
                <c:pt idx="553">
                  <c:v>18.911999999999999</c:v>
                </c:pt>
                <c:pt idx="554">
                  <c:v>18.263999999999999</c:v>
                </c:pt>
                <c:pt idx="555">
                  <c:v>18.053000000000001</c:v>
                </c:pt>
                <c:pt idx="556">
                  <c:v>17.785</c:v>
                </c:pt>
                <c:pt idx="557">
                  <c:v>18.021999999999998</c:v>
                </c:pt>
                <c:pt idx="558">
                  <c:v>17.754999999999999</c:v>
                </c:pt>
                <c:pt idx="559">
                  <c:v>18.100000000000001</c:v>
                </c:pt>
                <c:pt idx="560">
                  <c:v>17.428999999999998</c:v>
                </c:pt>
                <c:pt idx="561">
                  <c:v>17.702999999999999</c:v>
                </c:pt>
                <c:pt idx="562">
                  <c:v>18.143999999999998</c:v>
                </c:pt>
                <c:pt idx="563">
                  <c:v>17.521000000000001</c:v>
                </c:pt>
                <c:pt idx="564">
                  <c:v>17.231000000000002</c:v>
                </c:pt>
                <c:pt idx="565">
                  <c:v>16.946000000000002</c:v>
                </c:pt>
                <c:pt idx="566">
                  <c:v>17.044</c:v>
                </c:pt>
                <c:pt idx="567">
                  <c:v>17.617000000000001</c:v>
                </c:pt>
                <c:pt idx="568">
                  <c:v>17.814</c:v>
                </c:pt>
                <c:pt idx="569">
                  <c:v>17.321000000000002</c:v>
                </c:pt>
                <c:pt idx="570">
                  <c:v>17.399999999999999</c:v>
                </c:pt>
                <c:pt idx="571">
                  <c:v>17.181000000000001</c:v>
                </c:pt>
                <c:pt idx="572">
                  <c:v>16.850999999999999</c:v>
                </c:pt>
                <c:pt idx="573">
                  <c:v>16.867999999999999</c:v>
                </c:pt>
                <c:pt idx="574">
                  <c:v>16.728999999999999</c:v>
                </c:pt>
                <c:pt idx="575">
                  <c:v>16.623000000000001</c:v>
                </c:pt>
                <c:pt idx="576">
                  <c:v>16.209</c:v>
                </c:pt>
                <c:pt idx="577">
                  <c:v>15.725</c:v>
                </c:pt>
                <c:pt idx="578">
                  <c:v>15.603</c:v>
                </c:pt>
                <c:pt idx="579">
                  <c:v>15.252000000000001</c:v>
                </c:pt>
                <c:pt idx="580">
                  <c:v>14.98</c:v>
                </c:pt>
                <c:pt idx="581">
                  <c:v>15.003</c:v>
                </c:pt>
                <c:pt idx="582">
                  <c:v>15.212999999999999</c:v>
                </c:pt>
                <c:pt idx="583">
                  <c:v>14.563000000000001</c:v>
                </c:pt>
                <c:pt idx="584">
                  <c:v>14.454000000000001</c:v>
                </c:pt>
                <c:pt idx="585">
                  <c:v>14.185</c:v>
                </c:pt>
                <c:pt idx="586">
                  <c:v>14.384</c:v>
                </c:pt>
                <c:pt idx="587">
                  <c:v>14.994</c:v>
                </c:pt>
                <c:pt idx="588">
                  <c:v>14.428000000000001</c:v>
                </c:pt>
                <c:pt idx="589">
                  <c:v>14.212999999999999</c:v>
                </c:pt>
                <c:pt idx="590">
                  <c:v>13.843999999999999</c:v>
                </c:pt>
                <c:pt idx="591">
                  <c:v>13.457000000000001</c:v>
                </c:pt>
                <c:pt idx="592">
                  <c:v>14.189</c:v>
                </c:pt>
                <c:pt idx="593">
                  <c:v>14.807</c:v>
                </c:pt>
                <c:pt idx="594">
                  <c:v>16.632999999999999</c:v>
                </c:pt>
                <c:pt idx="595">
                  <c:v>15.964</c:v>
                </c:pt>
                <c:pt idx="596">
                  <c:v>16.757000000000001</c:v>
                </c:pt>
                <c:pt idx="597">
                  <c:v>15.73</c:v>
                </c:pt>
                <c:pt idx="598">
                  <c:v>15.994999999999999</c:v>
                </c:pt>
                <c:pt idx="599">
                  <c:v>15.853</c:v>
                </c:pt>
                <c:pt idx="600">
                  <c:v>15.012</c:v>
                </c:pt>
                <c:pt idx="601">
                  <c:v>14.836</c:v>
                </c:pt>
                <c:pt idx="602">
                  <c:v>15.195</c:v>
                </c:pt>
                <c:pt idx="603">
                  <c:v>14.462</c:v>
                </c:pt>
                <c:pt idx="604">
                  <c:v>14.422000000000001</c:v>
                </c:pt>
                <c:pt idx="605">
                  <c:v>14.263999999999999</c:v>
                </c:pt>
                <c:pt idx="606">
                  <c:v>14.535</c:v>
                </c:pt>
                <c:pt idx="607">
                  <c:v>14.423</c:v>
                </c:pt>
                <c:pt idx="608">
                  <c:v>14.525</c:v>
                </c:pt>
                <c:pt idx="609">
                  <c:v>14.388999999999999</c:v>
                </c:pt>
                <c:pt idx="610">
                  <c:v>14.055999999999999</c:v>
                </c:pt>
                <c:pt idx="611">
                  <c:v>14.366</c:v>
                </c:pt>
                <c:pt idx="612">
                  <c:v>14.566000000000001</c:v>
                </c:pt>
                <c:pt idx="613">
                  <c:v>14.335000000000001</c:v>
                </c:pt>
                <c:pt idx="614">
                  <c:v>14.154999999999999</c:v>
                </c:pt>
                <c:pt idx="615">
                  <c:v>14.321999999999999</c:v>
                </c:pt>
                <c:pt idx="616">
                  <c:v>14.457000000000001</c:v>
                </c:pt>
                <c:pt idx="617">
                  <c:v>13.997</c:v>
                </c:pt>
                <c:pt idx="618">
                  <c:v>13.760999999999999</c:v>
                </c:pt>
                <c:pt idx="619">
                  <c:v>13.782999999999999</c:v>
                </c:pt>
                <c:pt idx="620">
                  <c:v>13.856</c:v>
                </c:pt>
                <c:pt idx="621">
                  <c:v>13.385</c:v>
                </c:pt>
                <c:pt idx="622">
                  <c:v>12.856</c:v>
                </c:pt>
                <c:pt idx="623">
                  <c:v>12.903</c:v>
                </c:pt>
                <c:pt idx="624">
                  <c:v>12.705</c:v>
                </c:pt>
                <c:pt idx="625">
                  <c:v>12.648999999999999</c:v>
                </c:pt>
                <c:pt idx="626">
                  <c:v>12.595000000000001</c:v>
                </c:pt>
                <c:pt idx="627">
                  <c:v>12.249000000000001</c:v>
                </c:pt>
                <c:pt idx="628">
                  <c:v>12.162000000000001</c:v>
                </c:pt>
                <c:pt idx="629">
                  <c:v>12.518000000000001</c:v>
                </c:pt>
                <c:pt idx="630">
                  <c:v>12.223000000000001</c:v>
                </c:pt>
                <c:pt idx="631">
                  <c:v>11.476000000000001</c:v>
                </c:pt>
                <c:pt idx="632">
                  <c:v>11.205</c:v>
                </c:pt>
                <c:pt idx="633">
                  <c:v>11.1</c:v>
                </c:pt>
                <c:pt idx="634">
                  <c:v>11.91</c:v>
                </c:pt>
                <c:pt idx="635">
                  <c:v>11.601000000000001</c:v>
                </c:pt>
                <c:pt idx="636">
                  <c:v>11.103</c:v>
                </c:pt>
                <c:pt idx="637">
                  <c:v>11.52</c:v>
                </c:pt>
                <c:pt idx="638">
                  <c:v>11.804</c:v>
                </c:pt>
                <c:pt idx="639">
                  <c:v>11.202</c:v>
                </c:pt>
                <c:pt idx="640">
                  <c:v>11.141999999999999</c:v>
                </c:pt>
                <c:pt idx="641">
                  <c:v>11.395</c:v>
                </c:pt>
                <c:pt idx="642">
                  <c:v>11.319000000000001</c:v>
                </c:pt>
                <c:pt idx="643">
                  <c:v>11.571999999999999</c:v>
                </c:pt>
                <c:pt idx="644">
                  <c:v>11.034000000000001</c:v>
                </c:pt>
                <c:pt idx="645">
                  <c:v>10.484</c:v>
                </c:pt>
                <c:pt idx="646">
                  <c:v>10.148</c:v>
                </c:pt>
                <c:pt idx="647">
                  <c:v>10.355</c:v>
                </c:pt>
                <c:pt idx="648">
                  <c:v>10.198</c:v>
                </c:pt>
                <c:pt idx="649">
                  <c:v>9.8469999999999995</c:v>
                </c:pt>
                <c:pt idx="650">
                  <c:v>9.6199999999999992</c:v>
                </c:pt>
                <c:pt idx="651">
                  <c:v>9.3759999999999994</c:v>
                </c:pt>
                <c:pt idx="652">
                  <c:v>10.117000000000001</c:v>
                </c:pt>
                <c:pt idx="653">
                  <c:v>10.365</c:v>
                </c:pt>
                <c:pt idx="654">
                  <c:v>10.227</c:v>
                </c:pt>
                <c:pt idx="655">
                  <c:v>10.294</c:v>
                </c:pt>
                <c:pt idx="656">
                  <c:v>10.545999999999999</c:v>
                </c:pt>
                <c:pt idx="657">
                  <c:v>11.215999999999999</c:v>
                </c:pt>
                <c:pt idx="658">
                  <c:v>11.878</c:v>
                </c:pt>
                <c:pt idx="659">
                  <c:v>11.757999999999999</c:v>
                </c:pt>
                <c:pt idx="660">
                  <c:v>12.132999999999999</c:v>
                </c:pt>
                <c:pt idx="661">
                  <c:v>13.129</c:v>
                </c:pt>
                <c:pt idx="662">
                  <c:v>13.278</c:v>
                </c:pt>
                <c:pt idx="663">
                  <c:v>12.893000000000001</c:v>
                </c:pt>
                <c:pt idx="664">
                  <c:v>11.414999999999999</c:v>
                </c:pt>
                <c:pt idx="665">
                  <c:v>10.988</c:v>
                </c:pt>
                <c:pt idx="666">
                  <c:v>10.736000000000001</c:v>
                </c:pt>
                <c:pt idx="667">
                  <c:v>10.813000000000001</c:v>
                </c:pt>
                <c:pt idx="668">
                  <c:v>10.16</c:v>
                </c:pt>
                <c:pt idx="669">
                  <c:v>10.749000000000001</c:v>
                </c:pt>
                <c:pt idx="670">
                  <c:v>10.073</c:v>
                </c:pt>
                <c:pt idx="671">
                  <c:v>10.023</c:v>
                </c:pt>
                <c:pt idx="672">
                  <c:v>9.9640000000000004</c:v>
                </c:pt>
                <c:pt idx="673">
                  <c:v>9.8109999999999999</c:v>
                </c:pt>
                <c:pt idx="674">
                  <c:v>9.7910000000000004</c:v>
                </c:pt>
                <c:pt idx="675">
                  <c:v>10.997999999999999</c:v>
                </c:pt>
                <c:pt idx="676">
                  <c:v>12.361000000000001</c:v>
                </c:pt>
                <c:pt idx="677">
                  <c:v>12.013</c:v>
                </c:pt>
                <c:pt idx="678">
                  <c:v>11.465</c:v>
                </c:pt>
                <c:pt idx="679">
                  <c:v>10.952</c:v>
                </c:pt>
                <c:pt idx="680">
                  <c:v>11.412000000000001</c:v>
                </c:pt>
                <c:pt idx="681">
                  <c:v>12.074999999999999</c:v>
                </c:pt>
                <c:pt idx="682">
                  <c:v>12.023999999999999</c:v>
                </c:pt>
                <c:pt idx="683">
                  <c:v>11.42</c:v>
                </c:pt>
                <c:pt idx="684">
                  <c:v>11.859</c:v>
                </c:pt>
                <c:pt idx="685">
                  <c:v>11.18</c:v>
                </c:pt>
                <c:pt idx="686">
                  <c:v>11.223000000000001</c:v>
                </c:pt>
                <c:pt idx="687">
                  <c:v>10.955</c:v>
                </c:pt>
                <c:pt idx="688">
                  <c:v>10.786</c:v>
                </c:pt>
                <c:pt idx="689">
                  <c:v>11.217000000000001</c:v>
                </c:pt>
                <c:pt idx="690">
                  <c:v>11.414</c:v>
                </c:pt>
                <c:pt idx="691">
                  <c:v>10.991</c:v>
                </c:pt>
                <c:pt idx="692">
                  <c:v>10.583</c:v>
                </c:pt>
                <c:pt idx="693">
                  <c:v>10.313000000000001</c:v>
                </c:pt>
                <c:pt idx="694">
                  <c:v>10.07</c:v>
                </c:pt>
                <c:pt idx="695">
                  <c:v>10.236000000000001</c:v>
                </c:pt>
                <c:pt idx="696">
                  <c:v>10.715999999999999</c:v>
                </c:pt>
                <c:pt idx="697">
                  <c:v>12.797000000000001</c:v>
                </c:pt>
                <c:pt idx="698">
                  <c:v>11.848000000000001</c:v>
                </c:pt>
                <c:pt idx="699">
                  <c:v>12.098000000000001</c:v>
                </c:pt>
                <c:pt idx="700">
                  <c:v>11.958</c:v>
                </c:pt>
                <c:pt idx="701">
                  <c:v>12.236000000000001</c:v>
                </c:pt>
                <c:pt idx="702">
                  <c:v>12.351000000000001</c:v>
                </c:pt>
                <c:pt idx="703">
                  <c:v>12.236000000000001</c:v>
                </c:pt>
                <c:pt idx="704">
                  <c:v>14.404</c:v>
                </c:pt>
                <c:pt idx="705">
                  <c:v>14.355</c:v>
                </c:pt>
                <c:pt idx="706">
                  <c:v>14.462999999999999</c:v>
                </c:pt>
                <c:pt idx="707">
                  <c:v>14.711</c:v>
                </c:pt>
                <c:pt idx="708">
                  <c:v>15.334</c:v>
                </c:pt>
                <c:pt idx="709">
                  <c:v>13.441000000000001</c:v>
                </c:pt>
                <c:pt idx="710">
                  <c:v>12.433999999999999</c:v>
                </c:pt>
                <c:pt idx="711">
                  <c:v>12.255000000000001</c:v>
                </c:pt>
                <c:pt idx="712">
                  <c:v>12.711</c:v>
                </c:pt>
                <c:pt idx="713">
                  <c:v>12.243</c:v>
                </c:pt>
                <c:pt idx="714">
                  <c:v>12.339</c:v>
                </c:pt>
                <c:pt idx="715">
                  <c:v>11.949</c:v>
                </c:pt>
                <c:pt idx="716">
                  <c:v>12.044</c:v>
                </c:pt>
                <c:pt idx="717">
                  <c:v>11.939</c:v>
                </c:pt>
                <c:pt idx="718">
                  <c:v>16.391999999999999</c:v>
                </c:pt>
                <c:pt idx="719">
                  <c:v>16.762</c:v>
                </c:pt>
                <c:pt idx="720">
                  <c:v>16.004000000000001</c:v>
                </c:pt>
                <c:pt idx="721">
                  <c:v>16.007999999999999</c:v>
                </c:pt>
                <c:pt idx="722">
                  <c:v>15.769</c:v>
                </c:pt>
                <c:pt idx="723">
                  <c:v>15.507</c:v>
                </c:pt>
                <c:pt idx="724">
                  <c:v>15.64</c:v>
                </c:pt>
                <c:pt idx="725">
                  <c:v>15.573</c:v>
                </c:pt>
                <c:pt idx="726">
                  <c:v>15.85</c:v>
                </c:pt>
                <c:pt idx="727">
                  <c:v>16.135999999999999</c:v>
                </c:pt>
                <c:pt idx="728">
                  <c:v>16.04</c:v>
                </c:pt>
                <c:pt idx="729">
                  <c:v>16.065000000000001</c:v>
                </c:pt>
                <c:pt idx="730">
                  <c:v>16.073</c:v>
                </c:pt>
                <c:pt idx="731">
                  <c:v>16.027000000000001</c:v>
                </c:pt>
                <c:pt idx="732">
                  <c:v>15.967000000000001</c:v>
                </c:pt>
                <c:pt idx="733">
                  <c:v>15.61</c:v>
                </c:pt>
                <c:pt idx="734">
                  <c:v>15.596</c:v>
                </c:pt>
                <c:pt idx="735">
                  <c:v>15.414999999999999</c:v>
                </c:pt>
                <c:pt idx="736">
                  <c:v>15.656000000000001</c:v>
                </c:pt>
                <c:pt idx="737">
                  <c:v>15.234999999999999</c:v>
                </c:pt>
                <c:pt idx="738">
                  <c:v>14.391</c:v>
                </c:pt>
                <c:pt idx="739">
                  <c:v>13.833</c:v>
                </c:pt>
                <c:pt idx="740">
                  <c:v>13.779</c:v>
                </c:pt>
                <c:pt idx="741">
                  <c:v>16.132999999999999</c:v>
                </c:pt>
                <c:pt idx="742">
                  <c:v>16.177</c:v>
                </c:pt>
                <c:pt idx="743">
                  <c:v>16.478000000000002</c:v>
                </c:pt>
                <c:pt idx="744">
                  <c:v>16.789000000000001</c:v>
                </c:pt>
                <c:pt idx="745">
                  <c:v>16.280999999999999</c:v>
                </c:pt>
                <c:pt idx="746">
                  <c:v>16.117999999999999</c:v>
                </c:pt>
                <c:pt idx="747">
                  <c:v>15.942</c:v>
                </c:pt>
                <c:pt idx="748">
                  <c:v>15.845000000000001</c:v>
                </c:pt>
                <c:pt idx="749">
                  <c:v>15.545999999999999</c:v>
                </c:pt>
                <c:pt idx="750">
                  <c:v>15.451000000000001</c:v>
                </c:pt>
                <c:pt idx="751">
                  <c:v>15.669</c:v>
                </c:pt>
                <c:pt idx="752">
                  <c:v>15.712999999999999</c:v>
                </c:pt>
                <c:pt idx="753">
                  <c:v>15.228999999999999</c:v>
                </c:pt>
                <c:pt idx="754">
                  <c:v>15.292</c:v>
                </c:pt>
                <c:pt idx="755">
                  <c:v>15.587999999999999</c:v>
                </c:pt>
                <c:pt idx="756">
                  <c:v>15.624000000000001</c:v>
                </c:pt>
                <c:pt idx="757">
                  <c:v>16.047999999999998</c:v>
                </c:pt>
                <c:pt idx="758">
                  <c:v>16.236999999999998</c:v>
                </c:pt>
                <c:pt idx="759">
                  <c:v>15.849</c:v>
                </c:pt>
                <c:pt idx="760">
                  <c:v>15.98</c:v>
                </c:pt>
                <c:pt idx="761">
                  <c:v>15.648999999999999</c:v>
                </c:pt>
                <c:pt idx="762">
                  <c:v>16.329999999999998</c:v>
                </c:pt>
                <c:pt idx="763">
                  <c:v>15.81</c:v>
                </c:pt>
                <c:pt idx="764">
                  <c:v>15.771000000000001</c:v>
                </c:pt>
                <c:pt idx="765">
                  <c:v>15.882</c:v>
                </c:pt>
                <c:pt idx="766">
                  <c:v>15.414999999999999</c:v>
                </c:pt>
                <c:pt idx="767">
                  <c:v>15.141</c:v>
                </c:pt>
                <c:pt idx="768">
                  <c:v>14.888</c:v>
                </c:pt>
                <c:pt idx="769">
                  <c:v>14.532</c:v>
                </c:pt>
                <c:pt idx="770">
                  <c:v>14.047000000000001</c:v>
                </c:pt>
                <c:pt idx="771">
                  <c:v>14.768000000000001</c:v>
                </c:pt>
                <c:pt idx="772">
                  <c:v>13.804</c:v>
                </c:pt>
                <c:pt idx="773">
                  <c:v>13.89</c:v>
                </c:pt>
                <c:pt idx="774">
                  <c:v>14.461</c:v>
                </c:pt>
                <c:pt idx="775">
                  <c:v>14.951000000000001</c:v>
                </c:pt>
                <c:pt idx="776">
                  <c:v>15.007</c:v>
                </c:pt>
                <c:pt idx="777">
                  <c:v>14.234999999999999</c:v>
                </c:pt>
                <c:pt idx="778">
                  <c:v>13.026999999999999</c:v>
                </c:pt>
                <c:pt idx="779">
                  <c:v>12.606999999999999</c:v>
                </c:pt>
                <c:pt idx="780">
                  <c:v>12.766999999999999</c:v>
                </c:pt>
                <c:pt idx="781">
                  <c:v>12.292999999999999</c:v>
                </c:pt>
                <c:pt idx="782">
                  <c:v>12.051</c:v>
                </c:pt>
                <c:pt idx="783">
                  <c:v>12.073</c:v>
                </c:pt>
                <c:pt idx="784">
                  <c:v>12.984999999999999</c:v>
                </c:pt>
                <c:pt idx="785">
                  <c:v>12.28</c:v>
                </c:pt>
                <c:pt idx="786">
                  <c:v>11.929</c:v>
                </c:pt>
                <c:pt idx="787">
                  <c:v>11.964</c:v>
                </c:pt>
                <c:pt idx="788">
                  <c:v>12.179</c:v>
                </c:pt>
                <c:pt idx="789">
                  <c:v>11.94</c:v>
                </c:pt>
                <c:pt idx="790">
                  <c:v>12.054</c:v>
                </c:pt>
                <c:pt idx="791">
                  <c:v>11.303000000000001</c:v>
                </c:pt>
                <c:pt idx="792">
                  <c:v>11.179</c:v>
                </c:pt>
                <c:pt idx="793">
                  <c:v>11.117000000000001</c:v>
                </c:pt>
                <c:pt idx="794">
                  <c:v>10.929</c:v>
                </c:pt>
                <c:pt idx="795">
                  <c:v>10.566000000000001</c:v>
                </c:pt>
                <c:pt idx="796">
                  <c:v>10.776999999999999</c:v>
                </c:pt>
                <c:pt idx="797">
                  <c:v>10.455</c:v>
                </c:pt>
                <c:pt idx="798">
                  <c:v>10.428000000000001</c:v>
                </c:pt>
                <c:pt idx="799">
                  <c:v>10.455</c:v>
                </c:pt>
                <c:pt idx="800">
                  <c:v>10.526</c:v>
                </c:pt>
                <c:pt idx="801">
                  <c:v>10.792</c:v>
                </c:pt>
                <c:pt idx="802">
                  <c:v>10.15</c:v>
                </c:pt>
                <c:pt idx="803">
                  <c:v>9.7810000000000006</c:v>
                </c:pt>
                <c:pt idx="804">
                  <c:v>9.7550000000000008</c:v>
                </c:pt>
                <c:pt idx="805">
                  <c:v>9.2110000000000003</c:v>
                </c:pt>
                <c:pt idx="806">
                  <c:v>9.3659999999999997</c:v>
                </c:pt>
                <c:pt idx="807">
                  <c:v>9.3130000000000006</c:v>
                </c:pt>
                <c:pt idx="808">
                  <c:v>9.1489999999999991</c:v>
                </c:pt>
                <c:pt idx="809">
                  <c:v>9.0679999999999996</c:v>
                </c:pt>
                <c:pt idx="810">
                  <c:v>8.6430000000000007</c:v>
                </c:pt>
                <c:pt idx="811">
                  <c:v>8.5570000000000004</c:v>
                </c:pt>
                <c:pt idx="812">
                  <c:v>8.7219999999999995</c:v>
                </c:pt>
                <c:pt idx="813">
                  <c:v>8.8889999999999993</c:v>
                </c:pt>
                <c:pt idx="814">
                  <c:v>8.8789999999999996</c:v>
                </c:pt>
                <c:pt idx="815">
                  <c:v>9.3119999999999994</c:v>
                </c:pt>
                <c:pt idx="816">
                  <c:v>9.3800000000000008</c:v>
                </c:pt>
                <c:pt idx="817">
                  <c:v>9.5719999999999992</c:v>
                </c:pt>
                <c:pt idx="818">
                  <c:v>9.5670000000000002</c:v>
                </c:pt>
                <c:pt idx="819">
                  <c:v>9.41</c:v>
                </c:pt>
                <c:pt idx="820">
                  <c:v>9.0440000000000005</c:v>
                </c:pt>
                <c:pt idx="821">
                  <c:v>9.0069999999999997</c:v>
                </c:pt>
                <c:pt idx="822">
                  <c:v>9.0709999999999997</c:v>
                </c:pt>
                <c:pt idx="823">
                  <c:v>8.8710000000000004</c:v>
                </c:pt>
                <c:pt idx="824">
                  <c:v>8.8740000000000006</c:v>
                </c:pt>
                <c:pt idx="825">
                  <c:v>8.8870000000000005</c:v>
                </c:pt>
                <c:pt idx="826">
                  <c:v>9.1690000000000005</c:v>
                </c:pt>
                <c:pt idx="827">
                  <c:v>8.9120000000000008</c:v>
                </c:pt>
                <c:pt idx="828">
                  <c:v>8.8490000000000002</c:v>
                </c:pt>
                <c:pt idx="829">
                  <c:v>8.6470000000000002</c:v>
                </c:pt>
                <c:pt idx="830">
                  <c:v>8.6270000000000007</c:v>
                </c:pt>
                <c:pt idx="831">
                  <c:v>8.9930000000000003</c:v>
                </c:pt>
                <c:pt idx="832">
                  <c:v>9.3689999999999998</c:v>
                </c:pt>
                <c:pt idx="833">
                  <c:v>9.3239999999999998</c:v>
                </c:pt>
                <c:pt idx="834">
                  <c:v>9.2850000000000001</c:v>
                </c:pt>
                <c:pt idx="835">
                  <c:v>8.7409999999999997</c:v>
                </c:pt>
                <c:pt idx="836">
                  <c:v>8.4700000000000006</c:v>
                </c:pt>
                <c:pt idx="837">
                  <c:v>8.2650000000000006</c:v>
                </c:pt>
                <c:pt idx="838">
                  <c:v>8.5440000000000005</c:v>
                </c:pt>
                <c:pt idx="839">
                  <c:v>8.2929999999999993</c:v>
                </c:pt>
                <c:pt idx="840">
                  <c:v>7.8490000000000002</c:v>
                </c:pt>
                <c:pt idx="841">
                  <c:v>7.9080000000000004</c:v>
                </c:pt>
                <c:pt idx="842">
                  <c:v>7.7439999999999998</c:v>
                </c:pt>
                <c:pt idx="843">
                  <c:v>7.5750000000000002</c:v>
                </c:pt>
                <c:pt idx="844">
                  <c:v>7.218</c:v>
                </c:pt>
                <c:pt idx="845">
                  <c:v>6.8970000000000002</c:v>
                </c:pt>
                <c:pt idx="846">
                  <c:v>6.9020000000000001</c:v>
                </c:pt>
                <c:pt idx="847">
                  <c:v>6.8239999999999998</c:v>
                </c:pt>
                <c:pt idx="848">
                  <c:v>6.9349999999999996</c:v>
                </c:pt>
                <c:pt idx="849">
                  <c:v>6.9219999999999997</c:v>
                </c:pt>
                <c:pt idx="850">
                  <c:v>7.2869999999999999</c:v>
                </c:pt>
                <c:pt idx="851">
                  <c:v>7.2830000000000004</c:v>
                </c:pt>
                <c:pt idx="852">
                  <c:v>7.2590000000000003</c:v>
                </c:pt>
                <c:pt idx="853">
                  <c:v>7.2789999999999999</c:v>
                </c:pt>
                <c:pt idx="854">
                  <c:v>6.8739999999999997</c:v>
                </c:pt>
                <c:pt idx="855">
                  <c:v>6.649</c:v>
                </c:pt>
                <c:pt idx="856">
                  <c:v>6.907</c:v>
                </c:pt>
                <c:pt idx="857">
                  <c:v>6.9939999999999998</c:v>
                </c:pt>
                <c:pt idx="858">
                  <c:v>6.6180000000000003</c:v>
                </c:pt>
                <c:pt idx="859">
                  <c:v>6.3150000000000004</c:v>
                </c:pt>
                <c:pt idx="860">
                  <c:v>6.226</c:v>
                </c:pt>
                <c:pt idx="861">
                  <c:v>6.0570000000000004</c:v>
                </c:pt>
                <c:pt idx="862">
                  <c:v>5.77</c:v>
                </c:pt>
                <c:pt idx="863">
                  <c:v>5.9409999999999998</c:v>
                </c:pt>
                <c:pt idx="864">
                  <c:v>6.1470000000000002</c:v>
                </c:pt>
                <c:pt idx="865">
                  <c:v>6.0140000000000002</c:v>
                </c:pt>
                <c:pt idx="866">
                  <c:v>6.2210000000000001</c:v>
                </c:pt>
                <c:pt idx="867">
                  <c:v>5.843</c:v>
                </c:pt>
                <c:pt idx="868">
                  <c:v>5.74</c:v>
                </c:pt>
                <c:pt idx="869">
                  <c:v>5.6740000000000004</c:v>
                </c:pt>
                <c:pt idx="870">
                  <c:v>5.7629999999999999</c:v>
                </c:pt>
                <c:pt idx="871">
                  <c:v>5.8470000000000004</c:v>
                </c:pt>
                <c:pt idx="872">
                  <c:v>5.8310000000000004</c:v>
                </c:pt>
                <c:pt idx="873">
                  <c:v>5.7069999999999999</c:v>
                </c:pt>
                <c:pt idx="874">
                  <c:v>5.3129999999999997</c:v>
                </c:pt>
                <c:pt idx="875">
                  <c:v>5.1189999999999998</c:v>
                </c:pt>
                <c:pt idx="876">
                  <c:v>5.2649999999999997</c:v>
                </c:pt>
                <c:pt idx="877">
                  <c:v>5.218</c:v>
                </c:pt>
                <c:pt idx="878">
                  <c:v>4.9219999999999997</c:v>
                </c:pt>
                <c:pt idx="879">
                  <c:v>4.6120000000000001</c:v>
                </c:pt>
                <c:pt idx="880">
                  <c:v>4.4619999999999997</c:v>
                </c:pt>
                <c:pt idx="881">
                  <c:v>3.8239999999999998</c:v>
                </c:pt>
                <c:pt idx="882">
                  <c:v>3.8889999999999998</c:v>
                </c:pt>
                <c:pt idx="883">
                  <c:v>4.7939999999999996</c:v>
                </c:pt>
                <c:pt idx="884">
                  <c:v>4.1230000000000002</c:v>
                </c:pt>
                <c:pt idx="885">
                  <c:v>3.6949999999999998</c:v>
                </c:pt>
                <c:pt idx="886">
                  <c:v>3.5089999999999999</c:v>
                </c:pt>
                <c:pt idx="887">
                  <c:v>4.3849999999999998</c:v>
                </c:pt>
                <c:pt idx="888">
                  <c:v>4.0529999999999999</c:v>
                </c:pt>
                <c:pt idx="889">
                  <c:v>4.8520000000000003</c:v>
                </c:pt>
                <c:pt idx="890">
                  <c:v>5.3310000000000004</c:v>
                </c:pt>
                <c:pt idx="891">
                  <c:v>5.3920000000000003</c:v>
                </c:pt>
                <c:pt idx="892">
                  <c:v>5.7080000000000002</c:v>
                </c:pt>
                <c:pt idx="893">
                  <c:v>5.2489999999999997</c:v>
                </c:pt>
                <c:pt idx="894">
                  <c:v>4.806</c:v>
                </c:pt>
                <c:pt idx="895">
                  <c:v>4.8019999999999996</c:v>
                </c:pt>
                <c:pt idx="896">
                  <c:v>4.9880000000000004</c:v>
                </c:pt>
                <c:pt idx="897">
                  <c:v>5.2729999999999997</c:v>
                </c:pt>
                <c:pt idx="898">
                  <c:v>5.516</c:v>
                </c:pt>
                <c:pt idx="899">
                  <c:v>5.2610000000000001</c:v>
                </c:pt>
                <c:pt idx="900">
                  <c:v>5.2089999999999996</c:v>
                </c:pt>
                <c:pt idx="901">
                  <c:v>5.4509999999999996</c:v>
                </c:pt>
                <c:pt idx="902">
                  <c:v>5.6150000000000002</c:v>
                </c:pt>
                <c:pt idx="903">
                  <c:v>5.4950000000000001</c:v>
                </c:pt>
                <c:pt idx="904">
                  <c:v>5.8289999999999997</c:v>
                </c:pt>
                <c:pt idx="905">
                  <c:v>5.6630000000000003</c:v>
                </c:pt>
                <c:pt idx="906">
                  <c:v>5.2560000000000002</c:v>
                </c:pt>
                <c:pt idx="907">
                  <c:v>5.1050000000000004</c:v>
                </c:pt>
                <c:pt idx="908">
                  <c:v>5.8390000000000004</c:v>
                </c:pt>
                <c:pt idx="909">
                  <c:v>6.1630000000000003</c:v>
                </c:pt>
                <c:pt idx="910">
                  <c:v>5.8630000000000004</c:v>
                </c:pt>
                <c:pt idx="911">
                  <c:v>5.944</c:v>
                </c:pt>
                <c:pt idx="912">
                  <c:v>6.0309999999999997</c:v>
                </c:pt>
                <c:pt idx="913">
                  <c:v>6.0960000000000001</c:v>
                </c:pt>
                <c:pt idx="914">
                  <c:v>6.1239999999999997</c:v>
                </c:pt>
                <c:pt idx="915">
                  <c:v>5.9370000000000003</c:v>
                </c:pt>
                <c:pt idx="916">
                  <c:v>5.7569999999999997</c:v>
                </c:pt>
                <c:pt idx="917">
                  <c:v>5.4749999999999996</c:v>
                </c:pt>
                <c:pt idx="918">
                  <c:v>5.1100000000000003</c:v>
                </c:pt>
                <c:pt idx="919">
                  <c:v>5.085</c:v>
                </c:pt>
                <c:pt idx="920">
                  <c:v>5.226</c:v>
                </c:pt>
                <c:pt idx="921">
                  <c:v>5.0579999999999998</c:v>
                </c:pt>
                <c:pt idx="922">
                  <c:v>5.1139999999999999</c:v>
                </c:pt>
                <c:pt idx="923">
                  <c:v>4.7320000000000002</c:v>
                </c:pt>
                <c:pt idx="924">
                  <c:v>4.7919999999999998</c:v>
                </c:pt>
                <c:pt idx="925">
                  <c:v>4.8289999999999997</c:v>
                </c:pt>
                <c:pt idx="926">
                  <c:v>4.984</c:v>
                </c:pt>
                <c:pt idx="927">
                  <c:v>5.0110000000000001</c:v>
                </c:pt>
                <c:pt idx="928">
                  <c:v>4.7869999999999999</c:v>
                </c:pt>
                <c:pt idx="929">
                  <c:v>4.9580000000000002</c:v>
                </c:pt>
                <c:pt idx="930">
                  <c:v>5.1769999999999996</c:v>
                </c:pt>
                <c:pt idx="931">
                  <c:v>5.2229999999999999</c:v>
                </c:pt>
                <c:pt idx="932">
                  <c:v>6.0229999999999997</c:v>
                </c:pt>
                <c:pt idx="933">
                  <c:v>6.8019999999999996</c:v>
                </c:pt>
                <c:pt idx="934">
                  <c:v>7.3550000000000004</c:v>
                </c:pt>
                <c:pt idx="935">
                  <c:v>7.32</c:v>
                </c:pt>
                <c:pt idx="936">
                  <c:v>7.94</c:v>
                </c:pt>
                <c:pt idx="937">
                  <c:v>7.931</c:v>
                </c:pt>
                <c:pt idx="938">
                  <c:v>7.5890000000000004</c:v>
                </c:pt>
                <c:pt idx="939">
                  <c:v>7.4160000000000004</c:v>
                </c:pt>
                <c:pt idx="940">
                  <c:v>7.1719999999999997</c:v>
                </c:pt>
                <c:pt idx="941">
                  <c:v>7.3120000000000003</c:v>
                </c:pt>
                <c:pt idx="942">
                  <c:v>8.0190000000000001</c:v>
                </c:pt>
                <c:pt idx="943">
                  <c:v>8.1809999999999992</c:v>
                </c:pt>
                <c:pt idx="944">
                  <c:v>8.5489999999999995</c:v>
                </c:pt>
                <c:pt idx="945">
                  <c:v>8.3529999999999998</c:v>
                </c:pt>
                <c:pt idx="946">
                  <c:v>8.15</c:v>
                </c:pt>
                <c:pt idx="947">
                  <c:v>7.6219999999999999</c:v>
                </c:pt>
                <c:pt idx="948">
                  <c:v>8.3610000000000007</c:v>
                </c:pt>
                <c:pt idx="949">
                  <c:v>8.8670000000000009</c:v>
                </c:pt>
                <c:pt idx="950">
                  <c:v>9.1489999999999991</c:v>
                </c:pt>
                <c:pt idx="951">
                  <c:v>8.8719999999999999</c:v>
                </c:pt>
                <c:pt idx="952">
                  <c:v>11.169</c:v>
                </c:pt>
                <c:pt idx="953">
                  <c:v>11.239000000000001</c:v>
                </c:pt>
                <c:pt idx="954">
                  <c:v>11.297000000000001</c:v>
                </c:pt>
                <c:pt idx="955">
                  <c:v>11.11</c:v>
                </c:pt>
                <c:pt idx="956">
                  <c:v>11.733000000000001</c:v>
                </c:pt>
                <c:pt idx="957">
                  <c:v>11.682</c:v>
                </c:pt>
                <c:pt idx="958">
                  <c:v>11.231999999999999</c:v>
                </c:pt>
                <c:pt idx="959">
                  <c:v>10.802</c:v>
                </c:pt>
                <c:pt idx="960">
                  <c:v>10.734</c:v>
                </c:pt>
                <c:pt idx="961">
                  <c:v>10.516</c:v>
                </c:pt>
                <c:pt idx="962">
                  <c:v>10.497</c:v>
                </c:pt>
                <c:pt idx="963">
                  <c:v>10.707000000000001</c:v>
                </c:pt>
                <c:pt idx="964">
                  <c:v>10.896000000000001</c:v>
                </c:pt>
                <c:pt idx="965">
                  <c:v>11.318</c:v>
                </c:pt>
                <c:pt idx="966">
                  <c:v>11.121</c:v>
                </c:pt>
                <c:pt idx="967">
                  <c:v>11.475</c:v>
                </c:pt>
                <c:pt idx="968">
                  <c:v>11.497</c:v>
                </c:pt>
                <c:pt idx="969">
                  <c:v>11.704000000000001</c:v>
                </c:pt>
                <c:pt idx="970">
                  <c:v>12.019</c:v>
                </c:pt>
                <c:pt idx="971">
                  <c:v>11.634</c:v>
                </c:pt>
                <c:pt idx="972">
                  <c:v>11.666</c:v>
                </c:pt>
                <c:pt idx="973">
                  <c:v>12.352</c:v>
                </c:pt>
                <c:pt idx="974">
                  <c:v>12.28</c:v>
                </c:pt>
                <c:pt idx="975">
                  <c:v>13.286</c:v>
                </c:pt>
                <c:pt idx="976">
                  <c:v>13.180999999999999</c:v>
                </c:pt>
                <c:pt idx="977">
                  <c:v>13.026</c:v>
                </c:pt>
                <c:pt idx="978">
                  <c:v>13.419</c:v>
                </c:pt>
                <c:pt idx="979">
                  <c:v>13.307</c:v>
                </c:pt>
                <c:pt idx="980">
                  <c:v>13.709</c:v>
                </c:pt>
                <c:pt idx="981">
                  <c:v>13.9</c:v>
                </c:pt>
                <c:pt idx="982">
                  <c:v>13.753</c:v>
                </c:pt>
                <c:pt idx="983">
                  <c:v>13.837999999999999</c:v>
                </c:pt>
                <c:pt idx="984">
                  <c:v>13.596</c:v>
                </c:pt>
                <c:pt idx="985">
                  <c:v>13.872</c:v>
                </c:pt>
                <c:pt idx="986">
                  <c:v>14.239000000000001</c:v>
                </c:pt>
                <c:pt idx="987">
                  <c:v>14.499000000000001</c:v>
                </c:pt>
                <c:pt idx="988">
                  <c:v>14.718</c:v>
                </c:pt>
                <c:pt idx="989">
                  <c:v>14.895</c:v>
                </c:pt>
                <c:pt idx="990">
                  <c:v>14.867000000000001</c:v>
                </c:pt>
                <c:pt idx="991">
                  <c:v>15.257</c:v>
                </c:pt>
                <c:pt idx="992">
                  <c:v>15.41</c:v>
                </c:pt>
                <c:pt idx="993">
                  <c:v>14.866</c:v>
                </c:pt>
                <c:pt idx="994">
                  <c:v>14.743</c:v>
                </c:pt>
                <c:pt idx="995">
                  <c:v>14.487</c:v>
                </c:pt>
                <c:pt idx="996">
                  <c:v>14.215999999999999</c:v>
                </c:pt>
                <c:pt idx="997">
                  <c:v>14.061</c:v>
                </c:pt>
                <c:pt idx="998">
                  <c:v>13.656000000000001</c:v>
                </c:pt>
                <c:pt idx="999">
                  <c:v>13.664999999999999</c:v>
                </c:pt>
                <c:pt idx="1000">
                  <c:v>13.882999999999999</c:v>
                </c:pt>
                <c:pt idx="1001">
                  <c:v>14.456</c:v>
                </c:pt>
                <c:pt idx="1002">
                  <c:v>13.901999999999999</c:v>
                </c:pt>
                <c:pt idx="1003">
                  <c:v>13.853999999999999</c:v>
                </c:pt>
                <c:pt idx="1004">
                  <c:v>14.035</c:v>
                </c:pt>
                <c:pt idx="1005">
                  <c:v>14.096</c:v>
                </c:pt>
                <c:pt idx="1006">
                  <c:v>14.000999999999999</c:v>
                </c:pt>
                <c:pt idx="1007">
                  <c:v>14.239000000000001</c:v>
                </c:pt>
                <c:pt idx="1008">
                  <c:v>14.494</c:v>
                </c:pt>
                <c:pt idx="1009">
                  <c:v>13.968</c:v>
                </c:pt>
                <c:pt idx="1010">
                  <c:v>13.682</c:v>
                </c:pt>
                <c:pt idx="1011">
                  <c:v>13.022</c:v>
                </c:pt>
                <c:pt idx="1012">
                  <c:v>12.894</c:v>
                </c:pt>
                <c:pt idx="1013">
                  <c:v>13.537000000000001</c:v>
                </c:pt>
                <c:pt idx="1014">
                  <c:v>13.901999999999999</c:v>
                </c:pt>
                <c:pt idx="1015">
                  <c:v>13.932</c:v>
                </c:pt>
                <c:pt idx="1016">
                  <c:v>13.914</c:v>
                </c:pt>
                <c:pt idx="1017">
                  <c:v>14.484999999999999</c:v>
                </c:pt>
                <c:pt idx="1018">
                  <c:v>15.138</c:v>
                </c:pt>
                <c:pt idx="1019">
                  <c:v>14.912000000000001</c:v>
                </c:pt>
                <c:pt idx="1020">
                  <c:v>14.904999999999999</c:v>
                </c:pt>
                <c:pt idx="1021">
                  <c:v>14.143000000000001</c:v>
                </c:pt>
                <c:pt idx="1022">
                  <c:v>14.643000000000001</c:v>
                </c:pt>
                <c:pt idx="1023">
                  <c:v>14.356999999999999</c:v>
                </c:pt>
                <c:pt idx="1024">
                  <c:v>14.446999999999999</c:v>
                </c:pt>
                <c:pt idx="1025">
                  <c:v>14.733000000000001</c:v>
                </c:pt>
                <c:pt idx="1026">
                  <c:v>15.539</c:v>
                </c:pt>
                <c:pt idx="1027">
                  <c:v>15.959</c:v>
                </c:pt>
                <c:pt idx="1028">
                  <c:v>16.606999999999999</c:v>
                </c:pt>
                <c:pt idx="1029">
                  <c:v>17.225000000000001</c:v>
                </c:pt>
                <c:pt idx="1030">
                  <c:v>16.381</c:v>
                </c:pt>
                <c:pt idx="1031">
                  <c:v>15.941000000000001</c:v>
                </c:pt>
                <c:pt idx="1032">
                  <c:v>15.885999999999999</c:v>
                </c:pt>
                <c:pt idx="1033">
                  <c:v>16.795000000000002</c:v>
                </c:pt>
                <c:pt idx="1034">
                  <c:v>17.635999999999999</c:v>
                </c:pt>
                <c:pt idx="1035">
                  <c:v>17.507000000000001</c:v>
                </c:pt>
                <c:pt idx="1036">
                  <c:v>17.649000000000001</c:v>
                </c:pt>
                <c:pt idx="1037">
                  <c:v>19.152000000000001</c:v>
                </c:pt>
                <c:pt idx="1038">
                  <c:v>18.774000000000001</c:v>
                </c:pt>
                <c:pt idx="1039">
                  <c:v>19.001000000000001</c:v>
                </c:pt>
                <c:pt idx="1040">
                  <c:v>19.123000000000001</c:v>
                </c:pt>
                <c:pt idx="1041">
                  <c:v>19.844000000000001</c:v>
                </c:pt>
                <c:pt idx="1042">
                  <c:v>18.007000000000001</c:v>
                </c:pt>
                <c:pt idx="1043">
                  <c:v>17.564</c:v>
                </c:pt>
                <c:pt idx="1044">
                  <c:v>19.303000000000001</c:v>
                </c:pt>
                <c:pt idx="1045">
                  <c:v>20.117999999999999</c:v>
                </c:pt>
                <c:pt idx="1046">
                  <c:v>22.123999999999999</c:v>
                </c:pt>
                <c:pt idx="1047">
                  <c:v>26.155000000000001</c:v>
                </c:pt>
                <c:pt idx="1048">
                  <c:v>21.5</c:v>
                </c:pt>
                <c:pt idx="1049">
                  <c:v>21.332999999999998</c:v>
                </c:pt>
                <c:pt idx="1050">
                  <c:v>20.2</c:v>
                </c:pt>
                <c:pt idx="1051">
                  <c:v>19.026</c:v>
                </c:pt>
                <c:pt idx="1052">
                  <c:v>20.327000000000002</c:v>
                </c:pt>
                <c:pt idx="1053">
                  <c:v>20.260000000000002</c:v>
                </c:pt>
                <c:pt idx="1054">
                  <c:v>20.062999999999999</c:v>
                </c:pt>
                <c:pt idx="1055">
                  <c:v>21.483000000000001</c:v>
                </c:pt>
                <c:pt idx="1056">
                  <c:v>20.161999999999999</c:v>
                </c:pt>
                <c:pt idx="1057">
                  <c:v>19.509</c:v>
                </c:pt>
                <c:pt idx="1058">
                  <c:v>19.701000000000001</c:v>
                </c:pt>
                <c:pt idx="1059">
                  <c:v>20.908000000000001</c:v>
                </c:pt>
                <c:pt idx="1060">
                  <c:v>19.818999999999999</c:v>
                </c:pt>
                <c:pt idx="1061">
                  <c:v>18.138999999999999</c:v>
                </c:pt>
                <c:pt idx="1062">
                  <c:v>18.251000000000001</c:v>
                </c:pt>
                <c:pt idx="1063">
                  <c:v>17.853999999999999</c:v>
                </c:pt>
                <c:pt idx="1064">
                  <c:v>18.12</c:v>
                </c:pt>
                <c:pt idx="1065">
                  <c:v>18.38</c:v>
                </c:pt>
                <c:pt idx="1066">
                  <c:v>20.178999999999998</c:v>
                </c:pt>
                <c:pt idx="1067">
                  <c:v>19.045000000000002</c:v>
                </c:pt>
                <c:pt idx="1068">
                  <c:v>18.558</c:v>
                </c:pt>
                <c:pt idx="1069">
                  <c:v>17.373000000000001</c:v>
                </c:pt>
                <c:pt idx="1070">
                  <c:v>17.617999999999999</c:v>
                </c:pt>
                <c:pt idx="1071">
                  <c:v>16.54</c:v>
                </c:pt>
                <c:pt idx="1072">
                  <c:v>16.715</c:v>
                </c:pt>
                <c:pt idx="1073">
                  <c:v>16.54</c:v>
                </c:pt>
                <c:pt idx="1074">
                  <c:v>17.329000000000001</c:v>
                </c:pt>
                <c:pt idx="1075">
                  <c:v>16.553999999999998</c:v>
                </c:pt>
                <c:pt idx="1076">
                  <c:v>15.96</c:v>
                </c:pt>
                <c:pt idx="1077">
                  <c:v>16.248000000000001</c:v>
                </c:pt>
                <c:pt idx="1078">
                  <c:v>16.381</c:v>
                </c:pt>
                <c:pt idx="1079">
                  <c:v>15.935</c:v>
                </c:pt>
                <c:pt idx="1080">
                  <c:v>15.694000000000001</c:v>
                </c:pt>
                <c:pt idx="1081">
                  <c:v>16.082000000000001</c:v>
                </c:pt>
                <c:pt idx="1082">
                  <c:v>15.869</c:v>
                </c:pt>
                <c:pt idx="1083">
                  <c:v>15.526999999999999</c:v>
                </c:pt>
                <c:pt idx="1084">
                  <c:v>15.932</c:v>
                </c:pt>
                <c:pt idx="1085">
                  <c:v>16.367000000000001</c:v>
                </c:pt>
                <c:pt idx="1086">
                  <c:v>16.151</c:v>
                </c:pt>
                <c:pt idx="1087">
                  <c:v>16.925000000000001</c:v>
                </c:pt>
                <c:pt idx="1088">
                  <c:v>17.632000000000001</c:v>
                </c:pt>
                <c:pt idx="1089">
                  <c:v>18.126999999999999</c:v>
                </c:pt>
                <c:pt idx="1090">
                  <c:v>18.448</c:v>
                </c:pt>
                <c:pt idx="1091">
                  <c:v>17.931999999999999</c:v>
                </c:pt>
                <c:pt idx="1092">
                  <c:v>17.658000000000001</c:v>
                </c:pt>
                <c:pt idx="1093">
                  <c:v>17.972000000000001</c:v>
                </c:pt>
                <c:pt idx="1094">
                  <c:v>17.760999999999999</c:v>
                </c:pt>
                <c:pt idx="1095">
                  <c:v>17.265999999999998</c:v>
                </c:pt>
                <c:pt idx="1096">
                  <c:v>18.045999999999999</c:v>
                </c:pt>
                <c:pt idx="1097">
                  <c:v>18.39</c:v>
                </c:pt>
                <c:pt idx="1098">
                  <c:v>18.588999999999999</c:v>
                </c:pt>
                <c:pt idx="1099">
                  <c:v>18.367000000000001</c:v>
                </c:pt>
                <c:pt idx="1100">
                  <c:v>18.699000000000002</c:v>
                </c:pt>
                <c:pt idx="1101">
                  <c:v>18.443000000000001</c:v>
                </c:pt>
                <c:pt idx="1102">
                  <c:v>18.803999999999998</c:v>
                </c:pt>
                <c:pt idx="1103">
                  <c:v>18.994</c:v>
                </c:pt>
                <c:pt idx="1104">
                  <c:v>19.172000000000001</c:v>
                </c:pt>
                <c:pt idx="1105">
                  <c:v>19.780999999999999</c:v>
                </c:pt>
                <c:pt idx="1106">
                  <c:v>19.286999999999999</c:v>
                </c:pt>
                <c:pt idx="1107">
                  <c:v>18.991</c:v>
                </c:pt>
                <c:pt idx="1108">
                  <c:v>18.937999999999999</c:v>
                </c:pt>
                <c:pt idx="1109">
                  <c:v>19.649999999999999</c:v>
                </c:pt>
                <c:pt idx="1110">
                  <c:v>19.512</c:v>
                </c:pt>
                <c:pt idx="1111">
                  <c:v>19.681999999999999</c:v>
                </c:pt>
                <c:pt idx="1112">
                  <c:v>20.260000000000002</c:v>
                </c:pt>
                <c:pt idx="1113">
                  <c:v>20.538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B70-4882-BA62-C3009603626D}"/>
            </c:ext>
          </c:extLst>
        </c:ser>
        <c:ser>
          <c:idx val="5"/>
          <c:order val="2"/>
          <c:tx>
            <c:strRef>
              <c:f>'M1'!$X$6</c:f>
              <c:strCache>
                <c:ptCount val="1"/>
                <c:pt idx="0">
                  <c:v>10%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'M1'!$D$506:$D$2132</c:f>
              <c:numCache>
                <c:formatCode>m/d/yyyy</c:formatCode>
                <c:ptCount val="1627"/>
                <c:pt idx="0">
                  <c:v>42713</c:v>
                </c:pt>
                <c:pt idx="1">
                  <c:v>42716</c:v>
                </c:pt>
                <c:pt idx="2">
                  <c:v>42717</c:v>
                </c:pt>
                <c:pt idx="3">
                  <c:v>42718</c:v>
                </c:pt>
                <c:pt idx="4">
                  <c:v>42719</c:v>
                </c:pt>
                <c:pt idx="5">
                  <c:v>42720</c:v>
                </c:pt>
                <c:pt idx="6">
                  <c:v>42723</c:v>
                </c:pt>
                <c:pt idx="7">
                  <c:v>42724</c:v>
                </c:pt>
                <c:pt idx="8">
                  <c:v>42725</c:v>
                </c:pt>
                <c:pt idx="9">
                  <c:v>42726</c:v>
                </c:pt>
                <c:pt idx="10">
                  <c:v>42727</c:v>
                </c:pt>
                <c:pt idx="11">
                  <c:v>42731</c:v>
                </c:pt>
                <c:pt idx="12">
                  <c:v>42732</c:v>
                </c:pt>
                <c:pt idx="13">
                  <c:v>42733</c:v>
                </c:pt>
                <c:pt idx="14">
                  <c:v>42734</c:v>
                </c:pt>
                <c:pt idx="15">
                  <c:v>42737</c:v>
                </c:pt>
                <c:pt idx="16">
                  <c:v>42738</c:v>
                </c:pt>
                <c:pt idx="17">
                  <c:v>42739</c:v>
                </c:pt>
                <c:pt idx="18">
                  <c:v>42740</c:v>
                </c:pt>
                <c:pt idx="19">
                  <c:v>42741</c:v>
                </c:pt>
                <c:pt idx="20">
                  <c:v>42744</c:v>
                </c:pt>
                <c:pt idx="21">
                  <c:v>42745</c:v>
                </c:pt>
                <c:pt idx="22">
                  <c:v>42746</c:v>
                </c:pt>
                <c:pt idx="23">
                  <c:v>42747</c:v>
                </c:pt>
                <c:pt idx="24">
                  <c:v>42748</c:v>
                </c:pt>
                <c:pt idx="25">
                  <c:v>42751</c:v>
                </c:pt>
                <c:pt idx="26">
                  <c:v>42752</c:v>
                </c:pt>
                <c:pt idx="27">
                  <c:v>42753</c:v>
                </c:pt>
                <c:pt idx="28">
                  <c:v>42754</c:v>
                </c:pt>
                <c:pt idx="29">
                  <c:v>42755</c:v>
                </c:pt>
                <c:pt idx="30">
                  <c:v>42758</c:v>
                </c:pt>
                <c:pt idx="31">
                  <c:v>42759</c:v>
                </c:pt>
                <c:pt idx="32">
                  <c:v>42760</c:v>
                </c:pt>
                <c:pt idx="33">
                  <c:v>42761</c:v>
                </c:pt>
                <c:pt idx="34">
                  <c:v>42762</c:v>
                </c:pt>
                <c:pt idx="35">
                  <c:v>42765</c:v>
                </c:pt>
                <c:pt idx="36">
                  <c:v>42766</c:v>
                </c:pt>
                <c:pt idx="37">
                  <c:v>42767</c:v>
                </c:pt>
                <c:pt idx="38">
                  <c:v>42768</c:v>
                </c:pt>
                <c:pt idx="39">
                  <c:v>42769</c:v>
                </c:pt>
                <c:pt idx="40">
                  <c:v>42772</c:v>
                </c:pt>
                <c:pt idx="41">
                  <c:v>42773</c:v>
                </c:pt>
                <c:pt idx="42">
                  <c:v>42774</c:v>
                </c:pt>
                <c:pt idx="43">
                  <c:v>42775</c:v>
                </c:pt>
                <c:pt idx="44">
                  <c:v>42776</c:v>
                </c:pt>
                <c:pt idx="45">
                  <c:v>42779</c:v>
                </c:pt>
                <c:pt idx="46">
                  <c:v>42780</c:v>
                </c:pt>
                <c:pt idx="47">
                  <c:v>42781</c:v>
                </c:pt>
                <c:pt idx="48">
                  <c:v>42782</c:v>
                </c:pt>
                <c:pt idx="49">
                  <c:v>42783</c:v>
                </c:pt>
                <c:pt idx="50">
                  <c:v>42786</c:v>
                </c:pt>
                <c:pt idx="51">
                  <c:v>42787</c:v>
                </c:pt>
                <c:pt idx="52">
                  <c:v>42788</c:v>
                </c:pt>
                <c:pt idx="53">
                  <c:v>42789</c:v>
                </c:pt>
                <c:pt idx="54">
                  <c:v>42790</c:v>
                </c:pt>
                <c:pt idx="55">
                  <c:v>42793</c:v>
                </c:pt>
                <c:pt idx="56">
                  <c:v>42794</c:v>
                </c:pt>
                <c:pt idx="57">
                  <c:v>42795</c:v>
                </c:pt>
                <c:pt idx="58">
                  <c:v>42796</c:v>
                </c:pt>
                <c:pt idx="59">
                  <c:v>42797</c:v>
                </c:pt>
                <c:pt idx="60">
                  <c:v>42800</c:v>
                </c:pt>
                <c:pt idx="61">
                  <c:v>42801</c:v>
                </c:pt>
                <c:pt idx="62">
                  <c:v>42802</c:v>
                </c:pt>
                <c:pt idx="63">
                  <c:v>42803</c:v>
                </c:pt>
                <c:pt idx="64">
                  <c:v>42804</c:v>
                </c:pt>
                <c:pt idx="65">
                  <c:v>42807</c:v>
                </c:pt>
                <c:pt idx="66">
                  <c:v>42808</c:v>
                </c:pt>
                <c:pt idx="67">
                  <c:v>42809</c:v>
                </c:pt>
                <c:pt idx="68">
                  <c:v>42810</c:v>
                </c:pt>
                <c:pt idx="69">
                  <c:v>42811</c:v>
                </c:pt>
                <c:pt idx="70">
                  <c:v>42814</c:v>
                </c:pt>
                <c:pt idx="71">
                  <c:v>42815</c:v>
                </c:pt>
                <c:pt idx="72">
                  <c:v>42816</c:v>
                </c:pt>
                <c:pt idx="73">
                  <c:v>42817</c:v>
                </c:pt>
                <c:pt idx="74">
                  <c:v>42818</c:v>
                </c:pt>
                <c:pt idx="75">
                  <c:v>42821</c:v>
                </c:pt>
                <c:pt idx="76">
                  <c:v>42822</c:v>
                </c:pt>
                <c:pt idx="77">
                  <c:v>42823</c:v>
                </c:pt>
                <c:pt idx="78">
                  <c:v>42824</c:v>
                </c:pt>
                <c:pt idx="79">
                  <c:v>42825</c:v>
                </c:pt>
                <c:pt idx="80">
                  <c:v>42828</c:v>
                </c:pt>
                <c:pt idx="81">
                  <c:v>42829</c:v>
                </c:pt>
                <c:pt idx="82">
                  <c:v>42830</c:v>
                </c:pt>
                <c:pt idx="83">
                  <c:v>42831</c:v>
                </c:pt>
                <c:pt idx="84">
                  <c:v>42832</c:v>
                </c:pt>
                <c:pt idx="85">
                  <c:v>42835</c:v>
                </c:pt>
                <c:pt idx="86">
                  <c:v>42836</c:v>
                </c:pt>
                <c:pt idx="87">
                  <c:v>42837</c:v>
                </c:pt>
                <c:pt idx="88">
                  <c:v>42838</c:v>
                </c:pt>
                <c:pt idx="89">
                  <c:v>42843</c:v>
                </c:pt>
                <c:pt idx="90">
                  <c:v>42844</c:v>
                </c:pt>
                <c:pt idx="91">
                  <c:v>42845</c:v>
                </c:pt>
                <c:pt idx="92">
                  <c:v>42846</c:v>
                </c:pt>
                <c:pt idx="93">
                  <c:v>42849</c:v>
                </c:pt>
                <c:pt idx="94">
                  <c:v>42850</c:v>
                </c:pt>
                <c:pt idx="95">
                  <c:v>42851</c:v>
                </c:pt>
                <c:pt idx="96">
                  <c:v>42852</c:v>
                </c:pt>
                <c:pt idx="97">
                  <c:v>42853</c:v>
                </c:pt>
                <c:pt idx="98">
                  <c:v>42856</c:v>
                </c:pt>
                <c:pt idx="99">
                  <c:v>42857</c:v>
                </c:pt>
                <c:pt idx="100">
                  <c:v>42858</c:v>
                </c:pt>
                <c:pt idx="101">
                  <c:v>42859</c:v>
                </c:pt>
                <c:pt idx="102">
                  <c:v>42860</c:v>
                </c:pt>
                <c:pt idx="103">
                  <c:v>42863</c:v>
                </c:pt>
                <c:pt idx="104">
                  <c:v>42864</c:v>
                </c:pt>
                <c:pt idx="105">
                  <c:v>42865</c:v>
                </c:pt>
                <c:pt idx="106">
                  <c:v>42866</c:v>
                </c:pt>
                <c:pt idx="107">
                  <c:v>42867</c:v>
                </c:pt>
                <c:pt idx="108">
                  <c:v>42870</c:v>
                </c:pt>
                <c:pt idx="109">
                  <c:v>42871</c:v>
                </c:pt>
                <c:pt idx="110">
                  <c:v>42872</c:v>
                </c:pt>
                <c:pt idx="111">
                  <c:v>42873</c:v>
                </c:pt>
                <c:pt idx="112">
                  <c:v>42874</c:v>
                </c:pt>
                <c:pt idx="113">
                  <c:v>42877</c:v>
                </c:pt>
                <c:pt idx="114">
                  <c:v>42878</c:v>
                </c:pt>
                <c:pt idx="115">
                  <c:v>42879</c:v>
                </c:pt>
                <c:pt idx="116">
                  <c:v>42880</c:v>
                </c:pt>
                <c:pt idx="117">
                  <c:v>42881</c:v>
                </c:pt>
                <c:pt idx="118">
                  <c:v>42884</c:v>
                </c:pt>
                <c:pt idx="119">
                  <c:v>42885</c:v>
                </c:pt>
                <c:pt idx="120">
                  <c:v>42886</c:v>
                </c:pt>
                <c:pt idx="121">
                  <c:v>42887</c:v>
                </c:pt>
                <c:pt idx="122">
                  <c:v>42888</c:v>
                </c:pt>
                <c:pt idx="123">
                  <c:v>42891</c:v>
                </c:pt>
                <c:pt idx="124">
                  <c:v>42892</c:v>
                </c:pt>
                <c:pt idx="125">
                  <c:v>42893</c:v>
                </c:pt>
                <c:pt idx="126">
                  <c:v>42894</c:v>
                </c:pt>
                <c:pt idx="127">
                  <c:v>42895</c:v>
                </c:pt>
                <c:pt idx="128">
                  <c:v>42898</c:v>
                </c:pt>
                <c:pt idx="129">
                  <c:v>42899</c:v>
                </c:pt>
                <c:pt idx="130">
                  <c:v>42900</c:v>
                </c:pt>
                <c:pt idx="131">
                  <c:v>42901</c:v>
                </c:pt>
                <c:pt idx="132">
                  <c:v>42902</c:v>
                </c:pt>
                <c:pt idx="133">
                  <c:v>42905</c:v>
                </c:pt>
                <c:pt idx="134">
                  <c:v>42906</c:v>
                </c:pt>
                <c:pt idx="135">
                  <c:v>42907</c:v>
                </c:pt>
                <c:pt idx="136">
                  <c:v>42908</c:v>
                </c:pt>
                <c:pt idx="137">
                  <c:v>42909</c:v>
                </c:pt>
                <c:pt idx="138">
                  <c:v>42912</c:v>
                </c:pt>
                <c:pt idx="139">
                  <c:v>42913</c:v>
                </c:pt>
                <c:pt idx="140">
                  <c:v>42914</c:v>
                </c:pt>
                <c:pt idx="141">
                  <c:v>42915</c:v>
                </c:pt>
                <c:pt idx="142">
                  <c:v>42916</c:v>
                </c:pt>
                <c:pt idx="143">
                  <c:v>42919</c:v>
                </c:pt>
                <c:pt idx="144">
                  <c:v>42920</c:v>
                </c:pt>
                <c:pt idx="145">
                  <c:v>42921</c:v>
                </c:pt>
                <c:pt idx="146">
                  <c:v>42922</c:v>
                </c:pt>
                <c:pt idx="147">
                  <c:v>42923</c:v>
                </c:pt>
                <c:pt idx="148">
                  <c:v>42926</c:v>
                </c:pt>
                <c:pt idx="149">
                  <c:v>42927</c:v>
                </c:pt>
                <c:pt idx="150">
                  <c:v>42928</c:v>
                </c:pt>
                <c:pt idx="151">
                  <c:v>42929</c:v>
                </c:pt>
                <c:pt idx="152">
                  <c:v>42930</c:v>
                </c:pt>
                <c:pt idx="153">
                  <c:v>42933</c:v>
                </c:pt>
                <c:pt idx="154">
                  <c:v>42934</c:v>
                </c:pt>
                <c:pt idx="155">
                  <c:v>42935</c:v>
                </c:pt>
                <c:pt idx="156">
                  <c:v>42936</c:v>
                </c:pt>
                <c:pt idx="157">
                  <c:v>42937</c:v>
                </c:pt>
                <c:pt idx="158">
                  <c:v>42940</c:v>
                </c:pt>
                <c:pt idx="159">
                  <c:v>42941</c:v>
                </c:pt>
                <c:pt idx="160">
                  <c:v>42942</c:v>
                </c:pt>
                <c:pt idx="161">
                  <c:v>42943</c:v>
                </c:pt>
                <c:pt idx="162">
                  <c:v>42944</c:v>
                </c:pt>
                <c:pt idx="163">
                  <c:v>42947</c:v>
                </c:pt>
                <c:pt idx="164">
                  <c:v>42948</c:v>
                </c:pt>
                <c:pt idx="165">
                  <c:v>42949</c:v>
                </c:pt>
                <c:pt idx="166">
                  <c:v>42950</c:v>
                </c:pt>
                <c:pt idx="167">
                  <c:v>42951</c:v>
                </c:pt>
                <c:pt idx="168">
                  <c:v>42954</c:v>
                </c:pt>
                <c:pt idx="169">
                  <c:v>42955</c:v>
                </c:pt>
                <c:pt idx="170">
                  <c:v>42956</c:v>
                </c:pt>
                <c:pt idx="171">
                  <c:v>42957</c:v>
                </c:pt>
                <c:pt idx="172">
                  <c:v>42958</c:v>
                </c:pt>
                <c:pt idx="173">
                  <c:v>42961</c:v>
                </c:pt>
                <c:pt idx="174">
                  <c:v>42962</c:v>
                </c:pt>
                <c:pt idx="175">
                  <c:v>42963</c:v>
                </c:pt>
                <c:pt idx="176">
                  <c:v>42964</c:v>
                </c:pt>
                <c:pt idx="177">
                  <c:v>42965</c:v>
                </c:pt>
                <c:pt idx="178">
                  <c:v>42968</c:v>
                </c:pt>
                <c:pt idx="179">
                  <c:v>42969</c:v>
                </c:pt>
                <c:pt idx="180">
                  <c:v>42970</c:v>
                </c:pt>
                <c:pt idx="181">
                  <c:v>42971</c:v>
                </c:pt>
                <c:pt idx="182">
                  <c:v>42972</c:v>
                </c:pt>
                <c:pt idx="183">
                  <c:v>42975</c:v>
                </c:pt>
                <c:pt idx="184">
                  <c:v>42976</c:v>
                </c:pt>
                <c:pt idx="185">
                  <c:v>42977</c:v>
                </c:pt>
                <c:pt idx="186">
                  <c:v>42978</c:v>
                </c:pt>
                <c:pt idx="187">
                  <c:v>42979</c:v>
                </c:pt>
                <c:pt idx="188">
                  <c:v>42982</c:v>
                </c:pt>
                <c:pt idx="189">
                  <c:v>42983</c:v>
                </c:pt>
                <c:pt idx="190">
                  <c:v>42984</c:v>
                </c:pt>
                <c:pt idx="191">
                  <c:v>42985</c:v>
                </c:pt>
                <c:pt idx="192">
                  <c:v>42986</c:v>
                </c:pt>
                <c:pt idx="193">
                  <c:v>42989</c:v>
                </c:pt>
                <c:pt idx="194">
                  <c:v>42990</c:v>
                </c:pt>
                <c:pt idx="195">
                  <c:v>42991</c:v>
                </c:pt>
                <c:pt idx="196">
                  <c:v>42992</c:v>
                </c:pt>
                <c:pt idx="197">
                  <c:v>42993</c:v>
                </c:pt>
                <c:pt idx="198">
                  <c:v>42996</c:v>
                </c:pt>
                <c:pt idx="199">
                  <c:v>42997</c:v>
                </c:pt>
                <c:pt idx="200">
                  <c:v>42998</c:v>
                </c:pt>
                <c:pt idx="201">
                  <c:v>42999</c:v>
                </c:pt>
                <c:pt idx="202">
                  <c:v>43000</c:v>
                </c:pt>
                <c:pt idx="203">
                  <c:v>43003</c:v>
                </c:pt>
                <c:pt idx="204">
                  <c:v>43004</c:v>
                </c:pt>
                <c:pt idx="205">
                  <c:v>43005</c:v>
                </c:pt>
                <c:pt idx="206">
                  <c:v>43006</c:v>
                </c:pt>
                <c:pt idx="207">
                  <c:v>43007</c:v>
                </c:pt>
                <c:pt idx="208">
                  <c:v>43010</c:v>
                </c:pt>
                <c:pt idx="209">
                  <c:v>43011</c:v>
                </c:pt>
                <c:pt idx="210">
                  <c:v>43012</c:v>
                </c:pt>
                <c:pt idx="211">
                  <c:v>43013</c:v>
                </c:pt>
                <c:pt idx="212">
                  <c:v>43014</c:v>
                </c:pt>
                <c:pt idx="213">
                  <c:v>43017</c:v>
                </c:pt>
                <c:pt idx="214">
                  <c:v>43018</c:v>
                </c:pt>
                <c:pt idx="215">
                  <c:v>43019</c:v>
                </c:pt>
                <c:pt idx="216">
                  <c:v>43020</c:v>
                </c:pt>
                <c:pt idx="217">
                  <c:v>43021</c:v>
                </c:pt>
                <c:pt idx="218">
                  <c:v>43024</c:v>
                </c:pt>
                <c:pt idx="219">
                  <c:v>43025</c:v>
                </c:pt>
                <c:pt idx="220">
                  <c:v>43026</c:v>
                </c:pt>
                <c:pt idx="221">
                  <c:v>43027</c:v>
                </c:pt>
                <c:pt idx="222">
                  <c:v>43028</c:v>
                </c:pt>
                <c:pt idx="223">
                  <c:v>43031</c:v>
                </c:pt>
                <c:pt idx="224">
                  <c:v>43032</c:v>
                </c:pt>
                <c:pt idx="225">
                  <c:v>43033</c:v>
                </c:pt>
                <c:pt idx="226">
                  <c:v>43034</c:v>
                </c:pt>
                <c:pt idx="227">
                  <c:v>43035</c:v>
                </c:pt>
                <c:pt idx="228">
                  <c:v>43038</c:v>
                </c:pt>
                <c:pt idx="229">
                  <c:v>43039</c:v>
                </c:pt>
                <c:pt idx="230">
                  <c:v>43040</c:v>
                </c:pt>
                <c:pt idx="231">
                  <c:v>43041</c:v>
                </c:pt>
                <c:pt idx="232">
                  <c:v>43042</c:v>
                </c:pt>
                <c:pt idx="233">
                  <c:v>43045</c:v>
                </c:pt>
                <c:pt idx="234">
                  <c:v>43046</c:v>
                </c:pt>
                <c:pt idx="235">
                  <c:v>43047</c:v>
                </c:pt>
                <c:pt idx="236">
                  <c:v>43048</c:v>
                </c:pt>
                <c:pt idx="237">
                  <c:v>43049</c:v>
                </c:pt>
                <c:pt idx="238">
                  <c:v>43052</c:v>
                </c:pt>
                <c:pt idx="239">
                  <c:v>43053</c:v>
                </c:pt>
                <c:pt idx="240">
                  <c:v>43054</c:v>
                </c:pt>
                <c:pt idx="241">
                  <c:v>43055</c:v>
                </c:pt>
                <c:pt idx="242">
                  <c:v>43056</c:v>
                </c:pt>
                <c:pt idx="243">
                  <c:v>43059</c:v>
                </c:pt>
                <c:pt idx="244">
                  <c:v>43060</c:v>
                </c:pt>
                <c:pt idx="245">
                  <c:v>43061</c:v>
                </c:pt>
                <c:pt idx="246">
                  <c:v>43062</c:v>
                </c:pt>
                <c:pt idx="247">
                  <c:v>43063</c:v>
                </c:pt>
                <c:pt idx="248">
                  <c:v>43066</c:v>
                </c:pt>
                <c:pt idx="249">
                  <c:v>43067</c:v>
                </c:pt>
                <c:pt idx="250">
                  <c:v>43068</c:v>
                </c:pt>
                <c:pt idx="251">
                  <c:v>43069</c:v>
                </c:pt>
                <c:pt idx="252">
                  <c:v>43070</c:v>
                </c:pt>
                <c:pt idx="253">
                  <c:v>43073</c:v>
                </c:pt>
                <c:pt idx="254">
                  <c:v>43074</c:v>
                </c:pt>
                <c:pt idx="255">
                  <c:v>43075</c:v>
                </c:pt>
                <c:pt idx="256">
                  <c:v>43076</c:v>
                </c:pt>
                <c:pt idx="257">
                  <c:v>43077</c:v>
                </c:pt>
                <c:pt idx="258">
                  <c:v>43080</c:v>
                </c:pt>
                <c:pt idx="259">
                  <c:v>43081</c:v>
                </c:pt>
                <c:pt idx="260">
                  <c:v>43082</c:v>
                </c:pt>
                <c:pt idx="261">
                  <c:v>43083</c:v>
                </c:pt>
                <c:pt idx="262">
                  <c:v>43084</c:v>
                </c:pt>
                <c:pt idx="263">
                  <c:v>43087</c:v>
                </c:pt>
                <c:pt idx="264">
                  <c:v>43088</c:v>
                </c:pt>
                <c:pt idx="265">
                  <c:v>43089</c:v>
                </c:pt>
                <c:pt idx="266">
                  <c:v>43090</c:v>
                </c:pt>
                <c:pt idx="267">
                  <c:v>43091</c:v>
                </c:pt>
                <c:pt idx="268">
                  <c:v>43096</c:v>
                </c:pt>
                <c:pt idx="269">
                  <c:v>43097</c:v>
                </c:pt>
                <c:pt idx="270">
                  <c:v>43098</c:v>
                </c:pt>
                <c:pt idx="271">
                  <c:v>43102</c:v>
                </c:pt>
                <c:pt idx="272">
                  <c:v>43103</c:v>
                </c:pt>
                <c:pt idx="273">
                  <c:v>43104</c:v>
                </c:pt>
                <c:pt idx="274">
                  <c:v>43105</c:v>
                </c:pt>
                <c:pt idx="275">
                  <c:v>43108</c:v>
                </c:pt>
                <c:pt idx="276">
                  <c:v>43109</c:v>
                </c:pt>
                <c:pt idx="277">
                  <c:v>43110</c:v>
                </c:pt>
                <c:pt idx="278">
                  <c:v>43111</c:v>
                </c:pt>
                <c:pt idx="279">
                  <c:v>43112</c:v>
                </c:pt>
                <c:pt idx="280">
                  <c:v>43115</c:v>
                </c:pt>
                <c:pt idx="281">
                  <c:v>43116</c:v>
                </c:pt>
                <c:pt idx="282">
                  <c:v>43117</c:v>
                </c:pt>
                <c:pt idx="283">
                  <c:v>43118</c:v>
                </c:pt>
                <c:pt idx="284">
                  <c:v>43119</c:v>
                </c:pt>
                <c:pt idx="285">
                  <c:v>43122</c:v>
                </c:pt>
                <c:pt idx="286">
                  <c:v>43123</c:v>
                </c:pt>
                <c:pt idx="287">
                  <c:v>43124</c:v>
                </c:pt>
                <c:pt idx="288">
                  <c:v>43125</c:v>
                </c:pt>
                <c:pt idx="289">
                  <c:v>43126</c:v>
                </c:pt>
                <c:pt idx="290">
                  <c:v>43129</c:v>
                </c:pt>
                <c:pt idx="291">
                  <c:v>43130</c:v>
                </c:pt>
                <c:pt idx="292">
                  <c:v>43131</c:v>
                </c:pt>
                <c:pt idx="293">
                  <c:v>43132</c:v>
                </c:pt>
                <c:pt idx="294">
                  <c:v>43133</c:v>
                </c:pt>
                <c:pt idx="295">
                  <c:v>43136</c:v>
                </c:pt>
                <c:pt idx="296">
                  <c:v>43137</c:v>
                </c:pt>
                <c:pt idx="297">
                  <c:v>43138</c:v>
                </c:pt>
                <c:pt idx="298">
                  <c:v>43139</c:v>
                </c:pt>
                <c:pt idx="299">
                  <c:v>43140</c:v>
                </c:pt>
                <c:pt idx="300">
                  <c:v>43143</c:v>
                </c:pt>
                <c:pt idx="301">
                  <c:v>43144</c:v>
                </c:pt>
                <c:pt idx="302">
                  <c:v>43145</c:v>
                </c:pt>
                <c:pt idx="303">
                  <c:v>43146</c:v>
                </c:pt>
                <c:pt idx="304">
                  <c:v>43147</c:v>
                </c:pt>
                <c:pt idx="305">
                  <c:v>43150</c:v>
                </c:pt>
                <c:pt idx="306">
                  <c:v>43151</c:v>
                </c:pt>
                <c:pt idx="307">
                  <c:v>43152</c:v>
                </c:pt>
                <c:pt idx="308">
                  <c:v>43153</c:v>
                </c:pt>
                <c:pt idx="309">
                  <c:v>43154</c:v>
                </c:pt>
                <c:pt idx="310">
                  <c:v>43157</c:v>
                </c:pt>
                <c:pt idx="311">
                  <c:v>43158</c:v>
                </c:pt>
                <c:pt idx="312">
                  <c:v>43159</c:v>
                </c:pt>
                <c:pt idx="313">
                  <c:v>43160</c:v>
                </c:pt>
                <c:pt idx="314">
                  <c:v>43161</c:v>
                </c:pt>
                <c:pt idx="315">
                  <c:v>43164</c:v>
                </c:pt>
                <c:pt idx="316">
                  <c:v>43165</c:v>
                </c:pt>
                <c:pt idx="317">
                  <c:v>43166</c:v>
                </c:pt>
                <c:pt idx="318">
                  <c:v>43167</c:v>
                </c:pt>
                <c:pt idx="319">
                  <c:v>43168</c:v>
                </c:pt>
                <c:pt idx="320">
                  <c:v>43171</c:v>
                </c:pt>
                <c:pt idx="321">
                  <c:v>43172</c:v>
                </c:pt>
                <c:pt idx="322">
                  <c:v>43173</c:v>
                </c:pt>
                <c:pt idx="323">
                  <c:v>43174</c:v>
                </c:pt>
                <c:pt idx="324">
                  <c:v>43175</c:v>
                </c:pt>
                <c:pt idx="325">
                  <c:v>43178</c:v>
                </c:pt>
                <c:pt idx="326">
                  <c:v>43179</c:v>
                </c:pt>
                <c:pt idx="327">
                  <c:v>43180</c:v>
                </c:pt>
                <c:pt idx="328">
                  <c:v>43181</c:v>
                </c:pt>
                <c:pt idx="329">
                  <c:v>43182</c:v>
                </c:pt>
                <c:pt idx="330">
                  <c:v>43185</c:v>
                </c:pt>
                <c:pt idx="331">
                  <c:v>43186</c:v>
                </c:pt>
                <c:pt idx="332">
                  <c:v>43187</c:v>
                </c:pt>
                <c:pt idx="333">
                  <c:v>43188</c:v>
                </c:pt>
                <c:pt idx="334">
                  <c:v>43193</c:v>
                </c:pt>
                <c:pt idx="335">
                  <c:v>43194</c:v>
                </c:pt>
                <c:pt idx="336">
                  <c:v>43195</c:v>
                </c:pt>
                <c:pt idx="337">
                  <c:v>43196</c:v>
                </c:pt>
                <c:pt idx="338">
                  <c:v>43199</c:v>
                </c:pt>
                <c:pt idx="339">
                  <c:v>43200</c:v>
                </c:pt>
                <c:pt idx="340">
                  <c:v>43201</c:v>
                </c:pt>
                <c:pt idx="341">
                  <c:v>43202</c:v>
                </c:pt>
                <c:pt idx="342">
                  <c:v>43203</c:v>
                </c:pt>
                <c:pt idx="343">
                  <c:v>43206</c:v>
                </c:pt>
                <c:pt idx="344">
                  <c:v>43207</c:v>
                </c:pt>
                <c:pt idx="345">
                  <c:v>43208</c:v>
                </c:pt>
                <c:pt idx="346">
                  <c:v>43209</c:v>
                </c:pt>
                <c:pt idx="347">
                  <c:v>43210</c:v>
                </c:pt>
                <c:pt idx="348">
                  <c:v>43213</c:v>
                </c:pt>
                <c:pt idx="349">
                  <c:v>43214</c:v>
                </c:pt>
                <c:pt idx="350">
                  <c:v>43215</c:v>
                </c:pt>
                <c:pt idx="351">
                  <c:v>43216</c:v>
                </c:pt>
                <c:pt idx="352">
                  <c:v>43217</c:v>
                </c:pt>
                <c:pt idx="353">
                  <c:v>43220</c:v>
                </c:pt>
                <c:pt idx="354">
                  <c:v>43221</c:v>
                </c:pt>
                <c:pt idx="355">
                  <c:v>43222</c:v>
                </c:pt>
                <c:pt idx="356">
                  <c:v>43223</c:v>
                </c:pt>
                <c:pt idx="357">
                  <c:v>43224</c:v>
                </c:pt>
                <c:pt idx="358">
                  <c:v>43227</c:v>
                </c:pt>
                <c:pt idx="359">
                  <c:v>43228</c:v>
                </c:pt>
                <c:pt idx="360">
                  <c:v>43229</c:v>
                </c:pt>
                <c:pt idx="361">
                  <c:v>43230</c:v>
                </c:pt>
                <c:pt idx="362">
                  <c:v>43231</c:v>
                </c:pt>
                <c:pt idx="363">
                  <c:v>43234</c:v>
                </c:pt>
                <c:pt idx="364">
                  <c:v>43235</c:v>
                </c:pt>
                <c:pt idx="365">
                  <c:v>43236</c:v>
                </c:pt>
                <c:pt idx="366">
                  <c:v>43237</c:v>
                </c:pt>
                <c:pt idx="367">
                  <c:v>43238</c:v>
                </c:pt>
                <c:pt idx="368">
                  <c:v>43241</c:v>
                </c:pt>
                <c:pt idx="369">
                  <c:v>43242</c:v>
                </c:pt>
                <c:pt idx="370">
                  <c:v>43243</c:v>
                </c:pt>
                <c:pt idx="371">
                  <c:v>43244</c:v>
                </c:pt>
                <c:pt idx="372">
                  <c:v>43245</c:v>
                </c:pt>
                <c:pt idx="373">
                  <c:v>43248</c:v>
                </c:pt>
                <c:pt idx="374">
                  <c:v>43249</c:v>
                </c:pt>
                <c:pt idx="375">
                  <c:v>43250</c:v>
                </c:pt>
                <c:pt idx="376">
                  <c:v>43251</c:v>
                </c:pt>
                <c:pt idx="377">
                  <c:v>43252</c:v>
                </c:pt>
                <c:pt idx="378">
                  <c:v>43255</c:v>
                </c:pt>
                <c:pt idx="379">
                  <c:v>43256</c:v>
                </c:pt>
                <c:pt idx="380">
                  <c:v>43257</c:v>
                </c:pt>
                <c:pt idx="381">
                  <c:v>43258</c:v>
                </c:pt>
                <c:pt idx="382">
                  <c:v>43259</c:v>
                </c:pt>
                <c:pt idx="383">
                  <c:v>43262</c:v>
                </c:pt>
                <c:pt idx="384">
                  <c:v>43263</c:v>
                </c:pt>
                <c:pt idx="385">
                  <c:v>43264</c:v>
                </c:pt>
                <c:pt idx="386">
                  <c:v>43265</c:v>
                </c:pt>
                <c:pt idx="387">
                  <c:v>43266</c:v>
                </c:pt>
                <c:pt idx="388">
                  <c:v>43269</c:v>
                </c:pt>
                <c:pt idx="389">
                  <c:v>43270</c:v>
                </c:pt>
                <c:pt idx="390">
                  <c:v>43271</c:v>
                </c:pt>
                <c:pt idx="391">
                  <c:v>43272</c:v>
                </c:pt>
                <c:pt idx="392">
                  <c:v>43273</c:v>
                </c:pt>
                <c:pt idx="393">
                  <c:v>43276</c:v>
                </c:pt>
                <c:pt idx="394">
                  <c:v>43277</c:v>
                </c:pt>
                <c:pt idx="395">
                  <c:v>43278</c:v>
                </c:pt>
                <c:pt idx="396">
                  <c:v>43279</c:v>
                </c:pt>
                <c:pt idx="397">
                  <c:v>43280</c:v>
                </c:pt>
                <c:pt idx="398">
                  <c:v>43283</c:v>
                </c:pt>
                <c:pt idx="399">
                  <c:v>43284</c:v>
                </c:pt>
                <c:pt idx="400">
                  <c:v>43285</c:v>
                </c:pt>
                <c:pt idx="401">
                  <c:v>43286</c:v>
                </c:pt>
                <c:pt idx="402">
                  <c:v>43287</c:v>
                </c:pt>
                <c:pt idx="403">
                  <c:v>43290</c:v>
                </c:pt>
                <c:pt idx="404">
                  <c:v>43291</c:v>
                </c:pt>
                <c:pt idx="405">
                  <c:v>43292</c:v>
                </c:pt>
                <c:pt idx="406">
                  <c:v>43293</c:v>
                </c:pt>
                <c:pt idx="407">
                  <c:v>43294</c:v>
                </c:pt>
                <c:pt idx="408">
                  <c:v>43297</c:v>
                </c:pt>
                <c:pt idx="409">
                  <c:v>43298</c:v>
                </c:pt>
                <c:pt idx="410">
                  <c:v>43299</c:v>
                </c:pt>
                <c:pt idx="411">
                  <c:v>43300</c:v>
                </c:pt>
                <c:pt idx="412">
                  <c:v>43301</c:v>
                </c:pt>
                <c:pt idx="413">
                  <c:v>43304</c:v>
                </c:pt>
                <c:pt idx="414">
                  <c:v>43305</c:v>
                </c:pt>
                <c:pt idx="415">
                  <c:v>43306</c:v>
                </c:pt>
                <c:pt idx="416">
                  <c:v>43307</c:v>
                </c:pt>
                <c:pt idx="417">
                  <c:v>43308</c:v>
                </c:pt>
                <c:pt idx="418">
                  <c:v>43311</c:v>
                </c:pt>
                <c:pt idx="419">
                  <c:v>43312</c:v>
                </c:pt>
                <c:pt idx="420">
                  <c:v>43313</c:v>
                </c:pt>
                <c:pt idx="421">
                  <c:v>43314</c:v>
                </c:pt>
                <c:pt idx="422">
                  <c:v>43315</c:v>
                </c:pt>
                <c:pt idx="423">
                  <c:v>43318</c:v>
                </c:pt>
                <c:pt idx="424">
                  <c:v>43319</c:v>
                </c:pt>
                <c:pt idx="425">
                  <c:v>43320</c:v>
                </c:pt>
                <c:pt idx="426">
                  <c:v>43321</c:v>
                </c:pt>
                <c:pt idx="427">
                  <c:v>43322</c:v>
                </c:pt>
                <c:pt idx="428">
                  <c:v>43325</c:v>
                </c:pt>
                <c:pt idx="429">
                  <c:v>43326</c:v>
                </c:pt>
                <c:pt idx="430">
                  <c:v>43327</c:v>
                </c:pt>
                <c:pt idx="431">
                  <c:v>43328</c:v>
                </c:pt>
                <c:pt idx="432">
                  <c:v>43329</c:v>
                </c:pt>
                <c:pt idx="433">
                  <c:v>43332</c:v>
                </c:pt>
                <c:pt idx="434">
                  <c:v>43333</c:v>
                </c:pt>
                <c:pt idx="435">
                  <c:v>43334</c:v>
                </c:pt>
                <c:pt idx="436">
                  <c:v>43335</c:v>
                </c:pt>
                <c:pt idx="437">
                  <c:v>43336</c:v>
                </c:pt>
                <c:pt idx="438">
                  <c:v>43339</c:v>
                </c:pt>
                <c:pt idx="439">
                  <c:v>43340</c:v>
                </c:pt>
                <c:pt idx="440">
                  <c:v>43341</c:v>
                </c:pt>
                <c:pt idx="441">
                  <c:v>43342</c:v>
                </c:pt>
                <c:pt idx="442">
                  <c:v>43343</c:v>
                </c:pt>
                <c:pt idx="443">
                  <c:v>43346</c:v>
                </c:pt>
                <c:pt idx="444">
                  <c:v>43347</c:v>
                </c:pt>
                <c:pt idx="445">
                  <c:v>43348</c:v>
                </c:pt>
                <c:pt idx="446">
                  <c:v>43349</c:v>
                </c:pt>
                <c:pt idx="447">
                  <c:v>43350</c:v>
                </c:pt>
                <c:pt idx="448">
                  <c:v>43353</c:v>
                </c:pt>
                <c:pt idx="449">
                  <c:v>43354</c:v>
                </c:pt>
                <c:pt idx="450">
                  <c:v>43355</c:v>
                </c:pt>
                <c:pt idx="451">
                  <c:v>43356</c:v>
                </c:pt>
                <c:pt idx="452">
                  <c:v>43357</c:v>
                </c:pt>
                <c:pt idx="453">
                  <c:v>43360</c:v>
                </c:pt>
                <c:pt idx="454">
                  <c:v>43361</c:v>
                </c:pt>
                <c:pt idx="455">
                  <c:v>43362</c:v>
                </c:pt>
                <c:pt idx="456">
                  <c:v>43363</c:v>
                </c:pt>
                <c:pt idx="457">
                  <c:v>43364</c:v>
                </c:pt>
                <c:pt idx="458">
                  <c:v>43367</c:v>
                </c:pt>
                <c:pt idx="459">
                  <c:v>43368</c:v>
                </c:pt>
                <c:pt idx="460">
                  <c:v>43369</c:v>
                </c:pt>
                <c:pt idx="461">
                  <c:v>43370</c:v>
                </c:pt>
                <c:pt idx="462">
                  <c:v>43371</c:v>
                </c:pt>
                <c:pt idx="463">
                  <c:v>43374</c:v>
                </c:pt>
                <c:pt idx="464">
                  <c:v>43375</c:v>
                </c:pt>
                <c:pt idx="465">
                  <c:v>43376</c:v>
                </c:pt>
                <c:pt idx="466">
                  <c:v>43377</c:v>
                </c:pt>
                <c:pt idx="467">
                  <c:v>43378</c:v>
                </c:pt>
                <c:pt idx="468">
                  <c:v>43381</c:v>
                </c:pt>
                <c:pt idx="469">
                  <c:v>43382</c:v>
                </c:pt>
                <c:pt idx="470">
                  <c:v>43383</c:v>
                </c:pt>
                <c:pt idx="471">
                  <c:v>43384</c:v>
                </c:pt>
                <c:pt idx="472">
                  <c:v>43385</c:v>
                </c:pt>
                <c:pt idx="473">
                  <c:v>43388</c:v>
                </c:pt>
                <c:pt idx="474">
                  <c:v>43389</c:v>
                </c:pt>
                <c:pt idx="475">
                  <c:v>43390</c:v>
                </c:pt>
                <c:pt idx="476">
                  <c:v>43391</c:v>
                </c:pt>
                <c:pt idx="477">
                  <c:v>43392</c:v>
                </c:pt>
                <c:pt idx="478">
                  <c:v>43395</c:v>
                </c:pt>
                <c:pt idx="479">
                  <c:v>43396</c:v>
                </c:pt>
                <c:pt idx="480">
                  <c:v>43397</c:v>
                </c:pt>
                <c:pt idx="481">
                  <c:v>43398</c:v>
                </c:pt>
                <c:pt idx="482">
                  <c:v>43399</c:v>
                </c:pt>
                <c:pt idx="483">
                  <c:v>43402</c:v>
                </c:pt>
                <c:pt idx="484">
                  <c:v>43403</c:v>
                </c:pt>
                <c:pt idx="485">
                  <c:v>43404</c:v>
                </c:pt>
                <c:pt idx="486">
                  <c:v>43405</c:v>
                </c:pt>
                <c:pt idx="487">
                  <c:v>43406</c:v>
                </c:pt>
                <c:pt idx="488">
                  <c:v>43409</c:v>
                </c:pt>
                <c:pt idx="489">
                  <c:v>43410</c:v>
                </c:pt>
                <c:pt idx="490">
                  <c:v>43411</c:v>
                </c:pt>
                <c:pt idx="491">
                  <c:v>43412</c:v>
                </c:pt>
                <c:pt idx="492">
                  <c:v>43413</c:v>
                </c:pt>
                <c:pt idx="493">
                  <c:v>43416</c:v>
                </c:pt>
                <c:pt idx="494">
                  <c:v>43417</c:v>
                </c:pt>
                <c:pt idx="495">
                  <c:v>43418</c:v>
                </c:pt>
                <c:pt idx="496">
                  <c:v>43419</c:v>
                </c:pt>
                <c:pt idx="497">
                  <c:v>43420</c:v>
                </c:pt>
                <c:pt idx="498">
                  <c:v>43423</c:v>
                </c:pt>
                <c:pt idx="499">
                  <c:v>43424</c:v>
                </c:pt>
                <c:pt idx="500">
                  <c:v>43425</c:v>
                </c:pt>
                <c:pt idx="501">
                  <c:v>43426</c:v>
                </c:pt>
                <c:pt idx="502">
                  <c:v>43427</c:v>
                </c:pt>
                <c:pt idx="503">
                  <c:v>43430</c:v>
                </c:pt>
                <c:pt idx="504">
                  <c:v>43431</c:v>
                </c:pt>
                <c:pt idx="505">
                  <c:v>43432</c:v>
                </c:pt>
                <c:pt idx="506">
                  <c:v>43433</c:v>
                </c:pt>
                <c:pt idx="507">
                  <c:v>43434</c:v>
                </c:pt>
                <c:pt idx="508">
                  <c:v>43437</c:v>
                </c:pt>
                <c:pt idx="509">
                  <c:v>43438</c:v>
                </c:pt>
                <c:pt idx="510">
                  <c:v>43439</c:v>
                </c:pt>
                <c:pt idx="511">
                  <c:v>43440</c:v>
                </c:pt>
                <c:pt idx="512">
                  <c:v>43441</c:v>
                </c:pt>
                <c:pt idx="513">
                  <c:v>43444</c:v>
                </c:pt>
                <c:pt idx="514">
                  <c:v>43445</c:v>
                </c:pt>
                <c:pt idx="515">
                  <c:v>43446</c:v>
                </c:pt>
                <c:pt idx="516">
                  <c:v>43447</c:v>
                </c:pt>
                <c:pt idx="517">
                  <c:v>43448</c:v>
                </c:pt>
                <c:pt idx="518">
                  <c:v>43451</c:v>
                </c:pt>
                <c:pt idx="519">
                  <c:v>43452</c:v>
                </c:pt>
                <c:pt idx="520">
                  <c:v>43453</c:v>
                </c:pt>
                <c:pt idx="521">
                  <c:v>43454</c:v>
                </c:pt>
                <c:pt idx="522">
                  <c:v>43455</c:v>
                </c:pt>
                <c:pt idx="523">
                  <c:v>43458</c:v>
                </c:pt>
                <c:pt idx="524">
                  <c:v>43461</c:v>
                </c:pt>
                <c:pt idx="525">
                  <c:v>43462</c:v>
                </c:pt>
                <c:pt idx="526">
                  <c:v>43465</c:v>
                </c:pt>
                <c:pt idx="527">
                  <c:v>43467</c:v>
                </c:pt>
                <c:pt idx="528">
                  <c:v>43468</c:v>
                </c:pt>
                <c:pt idx="529">
                  <c:v>43469</c:v>
                </c:pt>
                <c:pt idx="530">
                  <c:v>43472</c:v>
                </c:pt>
                <c:pt idx="531">
                  <c:v>43473</c:v>
                </c:pt>
                <c:pt idx="532">
                  <c:v>43474</c:v>
                </c:pt>
                <c:pt idx="533">
                  <c:v>43475</c:v>
                </c:pt>
                <c:pt idx="534">
                  <c:v>43476</c:v>
                </c:pt>
                <c:pt idx="535">
                  <c:v>43479</c:v>
                </c:pt>
                <c:pt idx="536">
                  <c:v>43480</c:v>
                </c:pt>
                <c:pt idx="537">
                  <c:v>43481</c:v>
                </c:pt>
                <c:pt idx="538">
                  <c:v>43482</c:v>
                </c:pt>
                <c:pt idx="539">
                  <c:v>43483</c:v>
                </c:pt>
                <c:pt idx="540">
                  <c:v>43486</c:v>
                </c:pt>
                <c:pt idx="541">
                  <c:v>43487</c:v>
                </c:pt>
                <c:pt idx="542">
                  <c:v>43488</c:v>
                </c:pt>
                <c:pt idx="543">
                  <c:v>43489</c:v>
                </c:pt>
                <c:pt idx="544">
                  <c:v>43490</c:v>
                </c:pt>
                <c:pt idx="545">
                  <c:v>43493</c:v>
                </c:pt>
                <c:pt idx="546">
                  <c:v>43494</c:v>
                </c:pt>
                <c:pt idx="547">
                  <c:v>43495</c:v>
                </c:pt>
                <c:pt idx="548">
                  <c:v>43496</c:v>
                </c:pt>
                <c:pt idx="549">
                  <c:v>43497</c:v>
                </c:pt>
                <c:pt idx="550">
                  <c:v>43500</c:v>
                </c:pt>
                <c:pt idx="551">
                  <c:v>43501</c:v>
                </c:pt>
                <c:pt idx="552">
                  <c:v>43502</c:v>
                </c:pt>
                <c:pt idx="553">
                  <c:v>43503</c:v>
                </c:pt>
                <c:pt idx="554">
                  <c:v>43504</c:v>
                </c:pt>
                <c:pt idx="555">
                  <c:v>43507</c:v>
                </c:pt>
                <c:pt idx="556">
                  <c:v>43508</c:v>
                </c:pt>
                <c:pt idx="557">
                  <c:v>43509</c:v>
                </c:pt>
                <c:pt idx="558">
                  <c:v>43510</c:v>
                </c:pt>
                <c:pt idx="559">
                  <c:v>43511</c:v>
                </c:pt>
                <c:pt idx="560">
                  <c:v>43514</c:v>
                </c:pt>
                <c:pt idx="561">
                  <c:v>43515</c:v>
                </c:pt>
                <c:pt idx="562">
                  <c:v>43516</c:v>
                </c:pt>
                <c:pt idx="563">
                  <c:v>43517</c:v>
                </c:pt>
                <c:pt idx="564">
                  <c:v>43518</c:v>
                </c:pt>
                <c:pt idx="565">
                  <c:v>43521</c:v>
                </c:pt>
                <c:pt idx="566">
                  <c:v>43522</c:v>
                </c:pt>
                <c:pt idx="567">
                  <c:v>43523</c:v>
                </c:pt>
                <c:pt idx="568">
                  <c:v>43524</c:v>
                </c:pt>
                <c:pt idx="569">
                  <c:v>43525</c:v>
                </c:pt>
                <c:pt idx="570">
                  <c:v>43528</c:v>
                </c:pt>
                <c:pt idx="571">
                  <c:v>43529</c:v>
                </c:pt>
                <c:pt idx="572">
                  <c:v>43530</c:v>
                </c:pt>
                <c:pt idx="573">
                  <c:v>43531</c:v>
                </c:pt>
                <c:pt idx="574">
                  <c:v>43532</c:v>
                </c:pt>
                <c:pt idx="575">
                  <c:v>43535</c:v>
                </c:pt>
                <c:pt idx="576">
                  <c:v>43536</c:v>
                </c:pt>
                <c:pt idx="577">
                  <c:v>43537</c:v>
                </c:pt>
                <c:pt idx="578">
                  <c:v>43538</c:v>
                </c:pt>
                <c:pt idx="579">
                  <c:v>43539</c:v>
                </c:pt>
                <c:pt idx="580">
                  <c:v>43542</c:v>
                </c:pt>
                <c:pt idx="581">
                  <c:v>43543</c:v>
                </c:pt>
                <c:pt idx="582">
                  <c:v>43544</c:v>
                </c:pt>
                <c:pt idx="583">
                  <c:v>43545</c:v>
                </c:pt>
                <c:pt idx="584">
                  <c:v>43546</c:v>
                </c:pt>
                <c:pt idx="585">
                  <c:v>43549</c:v>
                </c:pt>
                <c:pt idx="586">
                  <c:v>43550</c:v>
                </c:pt>
                <c:pt idx="587">
                  <c:v>43551</c:v>
                </c:pt>
                <c:pt idx="588">
                  <c:v>43552</c:v>
                </c:pt>
                <c:pt idx="589">
                  <c:v>43553</c:v>
                </c:pt>
                <c:pt idx="590">
                  <c:v>43556</c:v>
                </c:pt>
                <c:pt idx="591">
                  <c:v>43557</c:v>
                </c:pt>
                <c:pt idx="592">
                  <c:v>43558</c:v>
                </c:pt>
                <c:pt idx="593">
                  <c:v>43559</c:v>
                </c:pt>
                <c:pt idx="594">
                  <c:v>43560</c:v>
                </c:pt>
                <c:pt idx="595">
                  <c:v>43563</c:v>
                </c:pt>
                <c:pt idx="596">
                  <c:v>43564</c:v>
                </c:pt>
                <c:pt idx="597">
                  <c:v>43565</c:v>
                </c:pt>
                <c:pt idx="598">
                  <c:v>43566</c:v>
                </c:pt>
                <c:pt idx="599">
                  <c:v>43567</c:v>
                </c:pt>
                <c:pt idx="600">
                  <c:v>43570</c:v>
                </c:pt>
                <c:pt idx="601">
                  <c:v>43571</c:v>
                </c:pt>
                <c:pt idx="602">
                  <c:v>43572</c:v>
                </c:pt>
                <c:pt idx="603">
                  <c:v>43573</c:v>
                </c:pt>
                <c:pt idx="604">
                  <c:v>43578</c:v>
                </c:pt>
                <c:pt idx="605">
                  <c:v>43579</c:v>
                </c:pt>
                <c:pt idx="606">
                  <c:v>43580</c:v>
                </c:pt>
                <c:pt idx="607">
                  <c:v>43581</c:v>
                </c:pt>
                <c:pt idx="608">
                  <c:v>43584</c:v>
                </c:pt>
                <c:pt idx="609">
                  <c:v>43585</c:v>
                </c:pt>
                <c:pt idx="610">
                  <c:v>43586</c:v>
                </c:pt>
                <c:pt idx="611">
                  <c:v>43587</c:v>
                </c:pt>
                <c:pt idx="612">
                  <c:v>43588</c:v>
                </c:pt>
                <c:pt idx="613">
                  <c:v>43591</c:v>
                </c:pt>
                <c:pt idx="614">
                  <c:v>43592</c:v>
                </c:pt>
                <c:pt idx="615">
                  <c:v>43593</c:v>
                </c:pt>
                <c:pt idx="616">
                  <c:v>43594</c:v>
                </c:pt>
                <c:pt idx="617">
                  <c:v>43595</c:v>
                </c:pt>
                <c:pt idx="618">
                  <c:v>43598</c:v>
                </c:pt>
                <c:pt idx="619">
                  <c:v>43599</c:v>
                </c:pt>
                <c:pt idx="620">
                  <c:v>43600</c:v>
                </c:pt>
                <c:pt idx="621">
                  <c:v>43601</c:v>
                </c:pt>
                <c:pt idx="622">
                  <c:v>43602</c:v>
                </c:pt>
                <c:pt idx="623">
                  <c:v>43605</c:v>
                </c:pt>
                <c:pt idx="624">
                  <c:v>43606</c:v>
                </c:pt>
                <c:pt idx="625">
                  <c:v>43607</c:v>
                </c:pt>
                <c:pt idx="626">
                  <c:v>43608</c:v>
                </c:pt>
                <c:pt idx="627">
                  <c:v>43609</c:v>
                </c:pt>
                <c:pt idx="628">
                  <c:v>43612</c:v>
                </c:pt>
                <c:pt idx="629">
                  <c:v>43613</c:v>
                </c:pt>
                <c:pt idx="630">
                  <c:v>43614</c:v>
                </c:pt>
                <c:pt idx="631">
                  <c:v>43615</c:v>
                </c:pt>
                <c:pt idx="632">
                  <c:v>43616</c:v>
                </c:pt>
                <c:pt idx="633">
                  <c:v>43619</c:v>
                </c:pt>
                <c:pt idx="634">
                  <c:v>43620</c:v>
                </c:pt>
                <c:pt idx="635">
                  <c:v>43621</c:v>
                </c:pt>
                <c:pt idx="636">
                  <c:v>43622</c:v>
                </c:pt>
                <c:pt idx="637">
                  <c:v>43623</c:v>
                </c:pt>
                <c:pt idx="638">
                  <c:v>43626</c:v>
                </c:pt>
                <c:pt idx="639">
                  <c:v>43627</c:v>
                </c:pt>
                <c:pt idx="640">
                  <c:v>43628</c:v>
                </c:pt>
                <c:pt idx="641">
                  <c:v>43629</c:v>
                </c:pt>
                <c:pt idx="642">
                  <c:v>43630</c:v>
                </c:pt>
                <c:pt idx="643">
                  <c:v>43633</c:v>
                </c:pt>
                <c:pt idx="644">
                  <c:v>43634</c:v>
                </c:pt>
                <c:pt idx="645">
                  <c:v>43635</c:v>
                </c:pt>
                <c:pt idx="646">
                  <c:v>43636</c:v>
                </c:pt>
                <c:pt idx="647">
                  <c:v>43637</c:v>
                </c:pt>
                <c:pt idx="648">
                  <c:v>43640</c:v>
                </c:pt>
                <c:pt idx="649">
                  <c:v>43641</c:v>
                </c:pt>
                <c:pt idx="650">
                  <c:v>43642</c:v>
                </c:pt>
                <c:pt idx="651">
                  <c:v>43643</c:v>
                </c:pt>
                <c:pt idx="652">
                  <c:v>43644</c:v>
                </c:pt>
                <c:pt idx="653">
                  <c:v>43647</c:v>
                </c:pt>
                <c:pt idx="654">
                  <c:v>43648</c:v>
                </c:pt>
                <c:pt idx="655">
                  <c:v>43649</c:v>
                </c:pt>
                <c:pt idx="656">
                  <c:v>43650</c:v>
                </c:pt>
                <c:pt idx="657">
                  <c:v>43651</c:v>
                </c:pt>
                <c:pt idx="658">
                  <c:v>43654</c:v>
                </c:pt>
                <c:pt idx="659">
                  <c:v>43655</c:v>
                </c:pt>
                <c:pt idx="660">
                  <c:v>43656</c:v>
                </c:pt>
                <c:pt idx="661">
                  <c:v>43657</c:v>
                </c:pt>
                <c:pt idx="662">
                  <c:v>43658</c:v>
                </c:pt>
                <c:pt idx="663">
                  <c:v>43661</c:v>
                </c:pt>
                <c:pt idx="664">
                  <c:v>43662</c:v>
                </c:pt>
                <c:pt idx="665">
                  <c:v>43663</c:v>
                </c:pt>
                <c:pt idx="666">
                  <c:v>43664</c:v>
                </c:pt>
                <c:pt idx="667">
                  <c:v>43665</c:v>
                </c:pt>
                <c:pt idx="668">
                  <c:v>43668</c:v>
                </c:pt>
                <c:pt idx="669">
                  <c:v>43669</c:v>
                </c:pt>
                <c:pt idx="670">
                  <c:v>43670</c:v>
                </c:pt>
                <c:pt idx="671">
                  <c:v>43671</c:v>
                </c:pt>
                <c:pt idx="672">
                  <c:v>43672</c:v>
                </c:pt>
                <c:pt idx="673">
                  <c:v>43675</c:v>
                </c:pt>
                <c:pt idx="674">
                  <c:v>43676</c:v>
                </c:pt>
                <c:pt idx="675">
                  <c:v>43677</c:v>
                </c:pt>
                <c:pt idx="676">
                  <c:v>43678</c:v>
                </c:pt>
                <c:pt idx="677">
                  <c:v>43679</c:v>
                </c:pt>
                <c:pt idx="678">
                  <c:v>43682</c:v>
                </c:pt>
                <c:pt idx="679">
                  <c:v>43683</c:v>
                </c:pt>
                <c:pt idx="680">
                  <c:v>43684</c:v>
                </c:pt>
                <c:pt idx="681">
                  <c:v>43685</c:v>
                </c:pt>
                <c:pt idx="682">
                  <c:v>43686</c:v>
                </c:pt>
                <c:pt idx="683">
                  <c:v>43689</c:v>
                </c:pt>
                <c:pt idx="684">
                  <c:v>43690</c:v>
                </c:pt>
                <c:pt idx="685">
                  <c:v>43691</c:v>
                </c:pt>
                <c:pt idx="686">
                  <c:v>43692</c:v>
                </c:pt>
                <c:pt idx="687">
                  <c:v>43693</c:v>
                </c:pt>
                <c:pt idx="688">
                  <c:v>43696</c:v>
                </c:pt>
                <c:pt idx="689">
                  <c:v>43697</c:v>
                </c:pt>
                <c:pt idx="690">
                  <c:v>43698</c:v>
                </c:pt>
                <c:pt idx="691">
                  <c:v>43699</c:v>
                </c:pt>
                <c:pt idx="692">
                  <c:v>43700</c:v>
                </c:pt>
                <c:pt idx="693">
                  <c:v>43703</c:v>
                </c:pt>
                <c:pt idx="694">
                  <c:v>43704</c:v>
                </c:pt>
                <c:pt idx="695">
                  <c:v>43705</c:v>
                </c:pt>
                <c:pt idx="696">
                  <c:v>43706</c:v>
                </c:pt>
                <c:pt idx="697">
                  <c:v>43707</c:v>
                </c:pt>
                <c:pt idx="698">
                  <c:v>43710</c:v>
                </c:pt>
                <c:pt idx="699">
                  <c:v>43711</c:v>
                </c:pt>
                <c:pt idx="700">
                  <c:v>43712</c:v>
                </c:pt>
                <c:pt idx="701">
                  <c:v>43713</c:v>
                </c:pt>
                <c:pt idx="702">
                  <c:v>43714</c:v>
                </c:pt>
                <c:pt idx="703">
                  <c:v>43717</c:v>
                </c:pt>
                <c:pt idx="704">
                  <c:v>43718</c:v>
                </c:pt>
                <c:pt idx="705">
                  <c:v>43719</c:v>
                </c:pt>
                <c:pt idx="706">
                  <c:v>43720</c:v>
                </c:pt>
                <c:pt idx="707">
                  <c:v>43721</c:v>
                </c:pt>
                <c:pt idx="708">
                  <c:v>43724</c:v>
                </c:pt>
                <c:pt idx="709">
                  <c:v>43725</c:v>
                </c:pt>
                <c:pt idx="710">
                  <c:v>43726</c:v>
                </c:pt>
                <c:pt idx="711">
                  <c:v>43727</c:v>
                </c:pt>
                <c:pt idx="712">
                  <c:v>43728</c:v>
                </c:pt>
                <c:pt idx="713">
                  <c:v>43731</c:v>
                </c:pt>
                <c:pt idx="714">
                  <c:v>43732</c:v>
                </c:pt>
                <c:pt idx="715">
                  <c:v>43733</c:v>
                </c:pt>
                <c:pt idx="716">
                  <c:v>43734</c:v>
                </c:pt>
                <c:pt idx="717">
                  <c:v>43735</c:v>
                </c:pt>
                <c:pt idx="718">
                  <c:v>43738</c:v>
                </c:pt>
                <c:pt idx="719">
                  <c:v>43739</c:v>
                </c:pt>
                <c:pt idx="720">
                  <c:v>43740</c:v>
                </c:pt>
                <c:pt idx="721">
                  <c:v>43741</c:v>
                </c:pt>
                <c:pt idx="722">
                  <c:v>43742</c:v>
                </c:pt>
                <c:pt idx="723">
                  <c:v>43745</c:v>
                </c:pt>
                <c:pt idx="724">
                  <c:v>43746</c:v>
                </c:pt>
                <c:pt idx="725">
                  <c:v>43747</c:v>
                </c:pt>
                <c:pt idx="726">
                  <c:v>43748</c:v>
                </c:pt>
                <c:pt idx="727">
                  <c:v>43749</c:v>
                </c:pt>
                <c:pt idx="728">
                  <c:v>43752</c:v>
                </c:pt>
                <c:pt idx="729">
                  <c:v>43753</c:v>
                </c:pt>
                <c:pt idx="730">
                  <c:v>43754</c:v>
                </c:pt>
                <c:pt idx="731">
                  <c:v>43755</c:v>
                </c:pt>
                <c:pt idx="732">
                  <c:v>43756</c:v>
                </c:pt>
                <c:pt idx="733">
                  <c:v>43759</c:v>
                </c:pt>
                <c:pt idx="734">
                  <c:v>43760</c:v>
                </c:pt>
                <c:pt idx="735">
                  <c:v>43761</c:v>
                </c:pt>
                <c:pt idx="736">
                  <c:v>43762</c:v>
                </c:pt>
                <c:pt idx="737">
                  <c:v>43763</c:v>
                </c:pt>
                <c:pt idx="738">
                  <c:v>43766</c:v>
                </c:pt>
                <c:pt idx="739">
                  <c:v>43767</c:v>
                </c:pt>
                <c:pt idx="740">
                  <c:v>43768</c:v>
                </c:pt>
                <c:pt idx="741">
                  <c:v>43769</c:v>
                </c:pt>
                <c:pt idx="742">
                  <c:v>43770</c:v>
                </c:pt>
                <c:pt idx="743">
                  <c:v>43773</c:v>
                </c:pt>
                <c:pt idx="744">
                  <c:v>43774</c:v>
                </c:pt>
                <c:pt idx="745">
                  <c:v>43775</c:v>
                </c:pt>
                <c:pt idx="746">
                  <c:v>43776</c:v>
                </c:pt>
                <c:pt idx="747">
                  <c:v>43777</c:v>
                </c:pt>
                <c:pt idx="748">
                  <c:v>43780</c:v>
                </c:pt>
                <c:pt idx="749">
                  <c:v>43781</c:v>
                </c:pt>
                <c:pt idx="750">
                  <c:v>43782</c:v>
                </c:pt>
                <c:pt idx="751">
                  <c:v>43783</c:v>
                </c:pt>
                <c:pt idx="752">
                  <c:v>43784</c:v>
                </c:pt>
                <c:pt idx="753">
                  <c:v>43787</c:v>
                </c:pt>
                <c:pt idx="754">
                  <c:v>43788</c:v>
                </c:pt>
                <c:pt idx="755">
                  <c:v>43789</c:v>
                </c:pt>
                <c:pt idx="756">
                  <c:v>43790</c:v>
                </c:pt>
                <c:pt idx="757">
                  <c:v>43791</c:v>
                </c:pt>
                <c:pt idx="758">
                  <c:v>43794</c:v>
                </c:pt>
                <c:pt idx="759">
                  <c:v>43795</c:v>
                </c:pt>
                <c:pt idx="760">
                  <c:v>43796</c:v>
                </c:pt>
                <c:pt idx="761">
                  <c:v>43797</c:v>
                </c:pt>
                <c:pt idx="762">
                  <c:v>43798</c:v>
                </c:pt>
                <c:pt idx="763">
                  <c:v>43801</c:v>
                </c:pt>
                <c:pt idx="764">
                  <c:v>43802</c:v>
                </c:pt>
                <c:pt idx="765">
                  <c:v>43803</c:v>
                </c:pt>
                <c:pt idx="766">
                  <c:v>43804</c:v>
                </c:pt>
                <c:pt idx="767">
                  <c:v>43805</c:v>
                </c:pt>
                <c:pt idx="768">
                  <c:v>43808</c:v>
                </c:pt>
                <c:pt idx="769">
                  <c:v>43809</c:v>
                </c:pt>
                <c:pt idx="770">
                  <c:v>43810</c:v>
                </c:pt>
                <c:pt idx="771">
                  <c:v>43811</c:v>
                </c:pt>
                <c:pt idx="772">
                  <c:v>43812</c:v>
                </c:pt>
                <c:pt idx="773">
                  <c:v>43815</c:v>
                </c:pt>
                <c:pt idx="774">
                  <c:v>43816</c:v>
                </c:pt>
                <c:pt idx="775">
                  <c:v>43817</c:v>
                </c:pt>
                <c:pt idx="776">
                  <c:v>43818</c:v>
                </c:pt>
                <c:pt idx="777">
                  <c:v>43819</c:v>
                </c:pt>
                <c:pt idx="778">
                  <c:v>43822</c:v>
                </c:pt>
                <c:pt idx="779">
                  <c:v>43823</c:v>
                </c:pt>
                <c:pt idx="780">
                  <c:v>43826</c:v>
                </c:pt>
                <c:pt idx="781">
                  <c:v>43829</c:v>
                </c:pt>
                <c:pt idx="782">
                  <c:v>43830</c:v>
                </c:pt>
                <c:pt idx="783">
                  <c:v>43832</c:v>
                </c:pt>
                <c:pt idx="784">
                  <c:v>43833</c:v>
                </c:pt>
                <c:pt idx="785">
                  <c:v>43836</c:v>
                </c:pt>
                <c:pt idx="786">
                  <c:v>43837</c:v>
                </c:pt>
                <c:pt idx="787">
                  <c:v>43838</c:v>
                </c:pt>
                <c:pt idx="788">
                  <c:v>43839</c:v>
                </c:pt>
                <c:pt idx="789">
                  <c:v>43840</c:v>
                </c:pt>
                <c:pt idx="790">
                  <c:v>43843</c:v>
                </c:pt>
                <c:pt idx="791">
                  <c:v>43844</c:v>
                </c:pt>
                <c:pt idx="792">
                  <c:v>43845</c:v>
                </c:pt>
                <c:pt idx="793">
                  <c:v>43846</c:v>
                </c:pt>
                <c:pt idx="794">
                  <c:v>43847</c:v>
                </c:pt>
                <c:pt idx="795">
                  <c:v>43850</c:v>
                </c:pt>
                <c:pt idx="796">
                  <c:v>43851</c:v>
                </c:pt>
                <c:pt idx="797">
                  <c:v>43852</c:v>
                </c:pt>
                <c:pt idx="798">
                  <c:v>43853</c:v>
                </c:pt>
                <c:pt idx="799">
                  <c:v>43854</c:v>
                </c:pt>
                <c:pt idx="800">
                  <c:v>43857</c:v>
                </c:pt>
                <c:pt idx="801">
                  <c:v>43858</c:v>
                </c:pt>
                <c:pt idx="802">
                  <c:v>43859</c:v>
                </c:pt>
                <c:pt idx="803">
                  <c:v>43860</c:v>
                </c:pt>
                <c:pt idx="804">
                  <c:v>43861</c:v>
                </c:pt>
                <c:pt idx="805">
                  <c:v>43864</c:v>
                </c:pt>
                <c:pt idx="806">
                  <c:v>43865</c:v>
                </c:pt>
                <c:pt idx="807">
                  <c:v>43866</c:v>
                </c:pt>
                <c:pt idx="808">
                  <c:v>43867</c:v>
                </c:pt>
                <c:pt idx="809">
                  <c:v>43868</c:v>
                </c:pt>
                <c:pt idx="810">
                  <c:v>43871</c:v>
                </c:pt>
                <c:pt idx="811">
                  <c:v>43872</c:v>
                </c:pt>
                <c:pt idx="812">
                  <c:v>43873</c:v>
                </c:pt>
                <c:pt idx="813">
                  <c:v>43874</c:v>
                </c:pt>
                <c:pt idx="814">
                  <c:v>43875</c:v>
                </c:pt>
                <c:pt idx="815">
                  <c:v>43878</c:v>
                </c:pt>
                <c:pt idx="816">
                  <c:v>43879</c:v>
                </c:pt>
                <c:pt idx="817">
                  <c:v>43880</c:v>
                </c:pt>
                <c:pt idx="818">
                  <c:v>43881</c:v>
                </c:pt>
                <c:pt idx="819">
                  <c:v>43882</c:v>
                </c:pt>
                <c:pt idx="820">
                  <c:v>43885</c:v>
                </c:pt>
                <c:pt idx="821">
                  <c:v>43886</c:v>
                </c:pt>
                <c:pt idx="822">
                  <c:v>43887</c:v>
                </c:pt>
                <c:pt idx="823">
                  <c:v>43888</c:v>
                </c:pt>
                <c:pt idx="824">
                  <c:v>43889</c:v>
                </c:pt>
                <c:pt idx="825">
                  <c:v>43892</c:v>
                </c:pt>
                <c:pt idx="826">
                  <c:v>43893</c:v>
                </c:pt>
                <c:pt idx="827">
                  <c:v>43894</c:v>
                </c:pt>
                <c:pt idx="828">
                  <c:v>43895</c:v>
                </c:pt>
                <c:pt idx="829">
                  <c:v>43896</c:v>
                </c:pt>
                <c:pt idx="830">
                  <c:v>43899</c:v>
                </c:pt>
                <c:pt idx="831">
                  <c:v>43900</c:v>
                </c:pt>
                <c:pt idx="832">
                  <c:v>43901</c:v>
                </c:pt>
                <c:pt idx="833">
                  <c:v>43902</c:v>
                </c:pt>
                <c:pt idx="834">
                  <c:v>43903</c:v>
                </c:pt>
                <c:pt idx="835">
                  <c:v>43906</c:v>
                </c:pt>
                <c:pt idx="836">
                  <c:v>43907</c:v>
                </c:pt>
                <c:pt idx="837">
                  <c:v>43908</c:v>
                </c:pt>
                <c:pt idx="838">
                  <c:v>43909</c:v>
                </c:pt>
                <c:pt idx="839">
                  <c:v>43910</c:v>
                </c:pt>
                <c:pt idx="840">
                  <c:v>43913</c:v>
                </c:pt>
                <c:pt idx="841">
                  <c:v>43914</c:v>
                </c:pt>
                <c:pt idx="842">
                  <c:v>43915</c:v>
                </c:pt>
                <c:pt idx="843">
                  <c:v>43916</c:v>
                </c:pt>
                <c:pt idx="844">
                  <c:v>43917</c:v>
                </c:pt>
                <c:pt idx="845">
                  <c:v>43920</c:v>
                </c:pt>
                <c:pt idx="846">
                  <c:v>43921</c:v>
                </c:pt>
                <c:pt idx="847">
                  <c:v>43922</c:v>
                </c:pt>
                <c:pt idx="848">
                  <c:v>43923</c:v>
                </c:pt>
                <c:pt idx="849">
                  <c:v>43924</c:v>
                </c:pt>
                <c:pt idx="850">
                  <c:v>43927</c:v>
                </c:pt>
                <c:pt idx="851">
                  <c:v>43928</c:v>
                </c:pt>
                <c:pt idx="852">
                  <c:v>43929</c:v>
                </c:pt>
                <c:pt idx="853">
                  <c:v>43930</c:v>
                </c:pt>
                <c:pt idx="854">
                  <c:v>43935</c:v>
                </c:pt>
                <c:pt idx="855">
                  <c:v>43936</c:v>
                </c:pt>
                <c:pt idx="856">
                  <c:v>43937</c:v>
                </c:pt>
                <c:pt idx="857">
                  <c:v>43938</c:v>
                </c:pt>
                <c:pt idx="858">
                  <c:v>43941</c:v>
                </c:pt>
                <c:pt idx="859">
                  <c:v>43942</c:v>
                </c:pt>
                <c:pt idx="860">
                  <c:v>43943</c:v>
                </c:pt>
                <c:pt idx="861">
                  <c:v>43944</c:v>
                </c:pt>
                <c:pt idx="862">
                  <c:v>43945</c:v>
                </c:pt>
                <c:pt idx="863">
                  <c:v>43948</c:v>
                </c:pt>
                <c:pt idx="864">
                  <c:v>43949</c:v>
                </c:pt>
                <c:pt idx="865">
                  <c:v>43950</c:v>
                </c:pt>
                <c:pt idx="866">
                  <c:v>43951</c:v>
                </c:pt>
                <c:pt idx="867">
                  <c:v>43952</c:v>
                </c:pt>
                <c:pt idx="868">
                  <c:v>43955</c:v>
                </c:pt>
                <c:pt idx="869">
                  <c:v>43956</c:v>
                </c:pt>
                <c:pt idx="870">
                  <c:v>43957</c:v>
                </c:pt>
                <c:pt idx="871">
                  <c:v>43958</c:v>
                </c:pt>
                <c:pt idx="872">
                  <c:v>43959</c:v>
                </c:pt>
                <c:pt idx="873">
                  <c:v>43962</c:v>
                </c:pt>
                <c:pt idx="874">
                  <c:v>43963</c:v>
                </c:pt>
                <c:pt idx="875">
                  <c:v>43964</c:v>
                </c:pt>
                <c:pt idx="876">
                  <c:v>43965</c:v>
                </c:pt>
                <c:pt idx="877">
                  <c:v>43966</c:v>
                </c:pt>
                <c:pt idx="878">
                  <c:v>43969</c:v>
                </c:pt>
                <c:pt idx="879">
                  <c:v>43970</c:v>
                </c:pt>
                <c:pt idx="880">
                  <c:v>43971</c:v>
                </c:pt>
                <c:pt idx="881">
                  <c:v>43972</c:v>
                </c:pt>
                <c:pt idx="882">
                  <c:v>43973</c:v>
                </c:pt>
                <c:pt idx="883">
                  <c:v>43976</c:v>
                </c:pt>
                <c:pt idx="884">
                  <c:v>43977</c:v>
                </c:pt>
                <c:pt idx="885">
                  <c:v>43978</c:v>
                </c:pt>
                <c:pt idx="886">
                  <c:v>43979</c:v>
                </c:pt>
                <c:pt idx="887">
                  <c:v>43980</c:v>
                </c:pt>
                <c:pt idx="888">
                  <c:v>43983</c:v>
                </c:pt>
                <c:pt idx="889">
                  <c:v>43984</c:v>
                </c:pt>
                <c:pt idx="890">
                  <c:v>43985</c:v>
                </c:pt>
                <c:pt idx="891">
                  <c:v>43986</c:v>
                </c:pt>
                <c:pt idx="892">
                  <c:v>43987</c:v>
                </c:pt>
                <c:pt idx="893">
                  <c:v>43990</c:v>
                </c:pt>
                <c:pt idx="894">
                  <c:v>43991</c:v>
                </c:pt>
                <c:pt idx="895">
                  <c:v>43992</c:v>
                </c:pt>
                <c:pt idx="896">
                  <c:v>43993</c:v>
                </c:pt>
                <c:pt idx="897">
                  <c:v>43994</c:v>
                </c:pt>
                <c:pt idx="898">
                  <c:v>43997</c:v>
                </c:pt>
                <c:pt idx="899">
                  <c:v>43998</c:v>
                </c:pt>
                <c:pt idx="900">
                  <c:v>43999</c:v>
                </c:pt>
                <c:pt idx="901">
                  <c:v>44000</c:v>
                </c:pt>
                <c:pt idx="902">
                  <c:v>44001</c:v>
                </c:pt>
                <c:pt idx="903">
                  <c:v>44004</c:v>
                </c:pt>
                <c:pt idx="904">
                  <c:v>44005</c:v>
                </c:pt>
                <c:pt idx="905">
                  <c:v>44006</c:v>
                </c:pt>
                <c:pt idx="906">
                  <c:v>44007</c:v>
                </c:pt>
                <c:pt idx="907">
                  <c:v>44008</c:v>
                </c:pt>
                <c:pt idx="908">
                  <c:v>44011</c:v>
                </c:pt>
                <c:pt idx="909">
                  <c:v>44012</c:v>
                </c:pt>
                <c:pt idx="910">
                  <c:v>44013</c:v>
                </c:pt>
                <c:pt idx="911">
                  <c:v>44014</c:v>
                </c:pt>
                <c:pt idx="912">
                  <c:v>44015</c:v>
                </c:pt>
                <c:pt idx="913">
                  <c:v>44018</c:v>
                </c:pt>
                <c:pt idx="914">
                  <c:v>44019</c:v>
                </c:pt>
                <c:pt idx="915">
                  <c:v>44020</c:v>
                </c:pt>
                <c:pt idx="916">
                  <c:v>44021</c:v>
                </c:pt>
                <c:pt idx="917">
                  <c:v>44022</c:v>
                </c:pt>
                <c:pt idx="918">
                  <c:v>44025</c:v>
                </c:pt>
                <c:pt idx="919">
                  <c:v>44026</c:v>
                </c:pt>
                <c:pt idx="920">
                  <c:v>44027</c:v>
                </c:pt>
                <c:pt idx="921">
                  <c:v>44028</c:v>
                </c:pt>
                <c:pt idx="922">
                  <c:v>44029</c:v>
                </c:pt>
                <c:pt idx="923">
                  <c:v>44032</c:v>
                </c:pt>
                <c:pt idx="924">
                  <c:v>44033</c:v>
                </c:pt>
                <c:pt idx="925">
                  <c:v>44034</c:v>
                </c:pt>
                <c:pt idx="926">
                  <c:v>44035</c:v>
                </c:pt>
                <c:pt idx="927">
                  <c:v>44036</c:v>
                </c:pt>
                <c:pt idx="928">
                  <c:v>44039</c:v>
                </c:pt>
                <c:pt idx="929">
                  <c:v>44040</c:v>
                </c:pt>
                <c:pt idx="930">
                  <c:v>44041</c:v>
                </c:pt>
                <c:pt idx="931">
                  <c:v>44042</c:v>
                </c:pt>
                <c:pt idx="932">
                  <c:v>44043</c:v>
                </c:pt>
                <c:pt idx="933">
                  <c:v>44046</c:v>
                </c:pt>
                <c:pt idx="934">
                  <c:v>44047</c:v>
                </c:pt>
                <c:pt idx="935">
                  <c:v>44048</c:v>
                </c:pt>
                <c:pt idx="936">
                  <c:v>44049</c:v>
                </c:pt>
                <c:pt idx="937">
                  <c:v>44050</c:v>
                </c:pt>
                <c:pt idx="938">
                  <c:v>44053</c:v>
                </c:pt>
                <c:pt idx="939">
                  <c:v>44054</c:v>
                </c:pt>
                <c:pt idx="940">
                  <c:v>44055</c:v>
                </c:pt>
                <c:pt idx="941">
                  <c:v>44056</c:v>
                </c:pt>
                <c:pt idx="942">
                  <c:v>44057</c:v>
                </c:pt>
                <c:pt idx="943">
                  <c:v>44060</c:v>
                </c:pt>
                <c:pt idx="944">
                  <c:v>44061</c:v>
                </c:pt>
                <c:pt idx="945">
                  <c:v>44062</c:v>
                </c:pt>
                <c:pt idx="946">
                  <c:v>44063</c:v>
                </c:pt>
                <c:pt idx="947">
                  <c:v>44064</c:v>
                </c:pt>
                <c:pt idx="948">
                  <c:v>44067</c:v>
                </c:pt>
                <c:pt idx="949">
                  <c:v>44068</c:v>
                </c:pt>
                <c:pt idx="950">
                  <c:v>44069</c:v>
                </c:pt>
                <c:pt idx="951">
                  <c:v>44070</c:v>
                </c:pt>
                <c:pt idx="952">
                  <c:v>44071</c:v>
                </c:pt>
                <c:pt idx="953">
                  <c:v>44074</c:v>
                </c:pt>
                <c:pt idx="954">
                  <c:v>44075</c:v>
                </c:pt>
                <c:pt idx="955">
                  <c:v>44076</c:v>
                </c:pt>
                <c:pt idx="956">
                  <c:v>44077</c:v>
                </c:pt>
                <c:pt idx="957">
                  <c:v>44078</c:v>
                </c:pt>
                <c:pt idx="958">
                  <c:v>44081</c:v>
                </c:pt>
                <c:pt idx="959">
                  <c:v>44082</c:v>
                </c:pt>
                <c:pt idx="960">
                  <c:v>44083</c:v>
                </c:pt>
                <c:pt idx="961">
                  <c:v>44084</c:v>
                </c:pt>
                <c:pt idx="962">
                  <c:v>44085</c:v>
                </c:pt>
                <c:pt idx="963">
                  <c:v>44088</c:v>
                </c:pt>
                <c:pt idx="964">
                  <c:v>44089</c:v>
                </c:pt>
                <c:pt idx="965">
                  <c:v>44090</c:v>
                </c:pt>
                <c:pt idx="966">
                  <c:v>44091</c:v>
                </c:pt>
                <c:pt idx="967">
                  <c:v>44092</c:v>
                </c:pt>
                <c:pt idx="968">
                  <c:v>44095</c:v>
                </c:pt>
                <c:pt idx="969">
                  <c:v>44096</c:v>
                </c:pt>
                <c:pt idx="970">
                  <c:v>44097</c:v>
                </c:pt>
                <c:pt idx="971">
                  <c:v>44098</c:v>
                </c:pt>
                <c:pt idx="972">
                  <c:v>44099</c:v>
                </c:pt>
                <c:pt idx="973">
                  <c:v>44102</c:v>
                </c:pt>
                <c:pt idx="974">
                  <c:v>44103</c:v>
                </c:pt>
                <c:pt idx="975">
                  <c:v>44104</c:v>
                </c:pt>
                <c:pt idx="976">
                  <c:v>44105</c:v>
                </c:pt>
                <c:pt idx="977">
                  <c:v>44106</c:v>
                </c:pt>
                <c:pt idx="978">
                  <c:v>44109</c:v>
                </c:pt>
                <c:pt idx="979">
                  <c:v>44110</c:v>
                </c:pt>
                <c:pt idx="980">
                  <c:v>44111</c:v>
                </c:pt>
                <c:pt idx="981">
                  <c:v>44112</c:v>
                </c:pt>
                <c:pt idx="982">
                  <c:v>44113</c:v>
                </c:pt>
                <c:pt idx="983">
                  <c:v>44116</c:v>
                </c:pt>
                <c:pt idx="984">
                  <c:v>44117</c:v>
                </c:pt>
                <c:pt idx="985">
                  <c:v>44118</c:v>
                </c:pt>
                <c:pt idx="986">
                  <c:v>44119</c:v>
                </c:pt>
                <c:pt idx="987">
                  <c:v>44120</c:v>
                </c:pt>
                <c:pt idx="988">
                  <c:v>44123</c:v>
                </c:pt>
                <c:pt idx="989">
                  <c:v>44124</c:v>
                </c:pt>
                <c:pt idx="990">
                  <c:v>44125</c:v>
                </c:pt>
                <c:pt idx="991">
                  <c:v>44126</c:v>
                </c:pt>
                <c:pt idx="992">
                  <c:v>44127</c:v>
                </c:pt>
                <c:pt idx="993">
                  <c:v>44130</c:v>
                </c:pt>
                <c:pt idx="994">
                  <c:v>44131</c:v>
                </c:pt>
                <c:pt idx="995">
                  <c:v>44132</c:v>
                </c:pt>
                <c:pt idx="996">
                  <c:v>44133</c:v>
                </c:pt>
                <c:pt idx="997">
                  <c:v>44134</c:v>
                </c:pt>
                <c:pt idx="998">
                  <c:v>44137</c:v>
                </c:pt>
                <c:pt idx="999">
                  <c:v>44138</c:v>
                </c:pt>
                <c:pt idx="1000">
                  <c:v>44139</c:v>
                </c:pt>
                <c:pt idx="1001">
                  <c:v>44140</c:v>
                </c:pt>
                <c:pt idx="1002">
                  <c:v>44141</c:v>
                </c:pt>
                <c:pt idx="1003">
                  <c:v>44144</c:v>
                </c:pt>
                <c:pt idx="1004">
                  <c:v>44145</c:v>
                </c:pt>
                <c:pt idx="1005">
                  <c:v>44146</c:v>
                </c:pt>
                <c:pt idx="1006">
                  <c:v>44147</c:v>
                </c:pt>
                <c:pt idx="1007">
                  <c:v>44148</c:v>
                </c:pt>
                <c:pt idx="1008">
                  <c:v>44151</c:v>
                </c:pt>
                <c:pt idx="1009">
                  <c:v>44152</c:v>
                </c:pt>
                <c:pt idx="1010">
                  <c:v>44153</c:v>
                </c:pt>
                <c:pt idx="1011">
                  <c:v>44154</c:v>
                </c:pt>
                <c:pt idx="1012">
                  <c:v>44155</c:v>
                </c:pt>
                <c:pt idx="1013">
                  <c:v>44158</c:v>
                </c:pt>
                <c:pt idx="1014">
                  <c:v>44159</c:v>
                </c:pt>
                <c:pt idx="1015">
                  <c:v>44160</c:v>
                </c:pt>
                <c:pt idx="1016">
                  <c:v>44161</c:v>
                </c:pt>
                <c:pt idx="1017">
                  <c:v>44162</c:v>
                </c:pt>
                <c:pt idx="1018">
                  <c:v>44165</c:v>
                </c:pt>
                <c:pt idx="1019">
                  <c:v>44166</c:v>
                </c:pt>
                <c:pt idx="1020">
                  <c:v>44167</c:v>
                </c:pt>
                <c:pt idx="1021">
                  <c:v>44168</c:v>
                </c:pt>
                <c:pt idx="1022">
                  <c:v>44169</c:v>
                </c:pt>
                <c:pt idx="1023">
                  <c:v>44172</c:v>
                </c:pt>
                <c:pt idx="1024">
                  <c:v>44173</c:v>
                </c:pt>
                <c:pt idx="1025">
                  <c:v>44174</c:v>
                </c:pt>
                <c:pt idx="1026">
                  <c:v>44175</c:v>
                </c:pt>
                <c:pt idx="1027">
                  <c:v>44176</c:v>
                </c:pt>
                <c:pt idx="1028">
                  <c:v>44179</c:v>
                </c:pt>
                <c:pt idx="1029">
                  <c:v>44180</c:v>
                </c:pt>
                <c:pt idx="1030">
                  <c:v>44181</c:v>
                </c:pt>
                <c:pt idx="1031">
                  <c:v>44182</c:v>
                </c:pt>
                <c:pt idx="1032">
                  <c:v>44183</c:v>
                </c:pt>
                <c:pt idx="1033">
                  <c:v>44186</c:v>
                </c:pt>
                <c:pt idx="1034">
                  <c:v>44187</c:v>
                </c:pt>
                <c:pt idx="1035">
                  <c:v>44188</c:v>
                </c:pt>
                <c:pt idx="1036">
                  <c:v>44189</c:v>
                </c:pt>
                <c:pt idx="1037">
                  <c:v>44193</c:v>
                </c:pt>
                <c:pt idx="1038">
                  <c:v>44194</c:v>
                </c:pt>
                <c:pt idx="1039">
                  <c:v>44195</c:v>
                </c:pt>
                <c:pt idx="1040">
                  <c:v>44196</c:v>
                </c:pt>
                <c:pt idx="1041">
                  <c:v>44200</c:v>
                </c:pt>
                <c:pt idx="1042">
                  <c:v>44201</c:v>
                </c:pt>
                <c:pt idx="1043">
                  <c:v>44202</c:v>
                </c:pt>
                <c:pt idx="1044">
                  <c:v>44203</c:v>
                </c:pt>
                <c:pt idx="1045">
                  <c:v>44204</c:v>
                </c:pt>
                <c:pt idx="1046">
                  <c:v>44207</c:v>
                </c:pt>
                <c:pt idx="1047">
                  <c:v>44208</c:v>
                </c:pt>
                <c:pt idx="1048">
                  <c:v>44209</c:v>
                </c:pt>
                <c:pt idx="1049">
                  <c:v>44210</c:v>
                </c:pt>
                <c:pt idx="1050">
                  <c:v>44211</c:v>
                </c:pt>
                <c:pt idx="1051">
                  <c:v>44214</c:v>
                </c:pt>
                <c:pt idx="1052">
                  <c:v>44215</c:v>
                </c:pt>
                <c:pt idx="1053">
                  <c:v>44216</c:v>
                </c:pt>
                <c:pt idx="1054">
                  <c:v>44217</c:v>
                </c:pt>
                <c:pt idx="1055">
                  <c:v>44218</c:v>
                </c:pt>
                <c:pt idx="1056">
                  <c:v>44221</c:v>
                </c:pt>
                <c:pt idx="1057">
                  <c:v>44222</c:v>
                </c:pt>
                <c:pt idx="1058">
                  <c:v>44223</c:v>
                </c:pt>
                <c:pt idx="1059">
                  <c:v>44224</c:v>
                </c:pt>
                <c:pt idx="1060">
                  <c:v>44225</c:v>
                </c:pt>
                <c:pt idx="1061">
                  <c:v>44228</c:v>
                </c:pt>
                <c:pt idx="1062">
                  <c:v>44229</c:v>
                </c:pt>
                <c:pt idx="1063">
                  <c:v>44230</c:v>
                </c:pt>
                <c:pt idx="1064">
                  <c:v>44231</c:v>
                </c:pt>
                <c:pt idx="1065">
                  <c:v>44232</c:v>
                </c:pt>
                <c:pt idx="1066">
                  <c:v>44235</c:v>
                </c:pt>
                <c:pt idx="1067">
                  <c:v>44236</c:v>
                </c:pt>
                <c:pt idx="1068">
                  <c:v>44237</c:v>
                </c:pt>
                <c:pt idx="1069">
                  <c:v>44238</c:v>
                </c:pt>
                <c:pt idx="1070">
                  <c:v>44239</c:v>
                </c:pt>
                <c:pt idx="1071">
                  <c:v>44242</c:v>
                </c:pt>
                <c:pt idx="1072">
                  <c:v>44243</c:v>
                </c:pt>
                <c:pt idx="1073">
                  <c:v>44244</c:v>
                </c:pt>
                <c:pt idx="1074">
                  <c:v>44245</c:v>
                </c:pt>
                <c:pt idx="1075">
                  <c:v>44246</c:v>
                </c:pt>
                <c:pt idx="1076">
                  <c:v>44249</c:v>
                </c:pt>
                <c:pt idx="1077">
                  <c:v>44250</c:v>
                </c:pt>
                <c:pt idx="1078">
                  <c:v>44251</c:v>
                </c:pt>
                <c:pt idx="1079">
                  <c:v>44252</c:v>
                </c:pt>
                <c:pt idx="1080">
                  <c:v>44253</c:v>
                </c:pt>
                <c:pt idx="1081">
                  <c:v>44256</c:v>
                </c:pt>
                <c:pt idx="1082">
                  <c:v>44257</c:v>
                </c:pt>
                <c:pt idx="1083">
                  <c:v>44258</c:v>
                </c:pt>
                <c:pt idx="1084">
                  <c:v>44259</c:v>
                </c:pt>
                <c:pt idx="1085">
                  <c:v>44260</c:v>
                </c:pt>
                <c:pt idx="1086">
                  <c:v>44263</c:v>
                </c:pt>
                <c:pt idx="1087">
                  <c:v>44264</c:v>
                </c:pt>
                <c:pt idx="1088">
                  <c:v>44265</c:v>
                </c:pt>
                <c:pt idx="1089">
                  <c:v>44266</c:v>
                </c:pt>
                <c:pt idx="1090">
                  <c:v>44267</c:v>
                </c:pt>
                <c:pt idx="1091">
                  <c:v>44270</c:v>
                </c:pt>
                <c:pt idx="1092">
                  <c:v>44271</c:v>
                </c:pt>
                <c:pt idx="1093">
                  <c:v>44272</c:v>
                </c:pt>
                <c:pt idx="1094">
                  <c:v>44273</c:v>
                </c:pt>
                <c:pt idx="1095">
                  <c:v>44274</c:v>
                </c:pt>
                <c:pt idx="1096">
                  <c:v>44277</c:v>
                </c:pt>
                <c:pt idx="1097">
                  <c:v>44278</c:v>
                </c:pt>
                <c:pt idx="1098">
                  <c:v>44279</c:v>
                </c:pt>
                <c:pt idx="1099">
                  <c:v>44280</c:v>
                </c:pt>
                <c:pt idx="1100">
                  <c:v>44281</c:v>
                </c:pt>
                <c:pt idx="1101">
                  <c:v>44284</c:v>
                </c:pt>
                <c:pt idx="1102">
                  <c:v>44285</c:v>
                </c:pt>
                <c:pt idx="1103">
                  <c:v>44286</c:v>
                </c:pt>
                <c:pt idx="1104">
                  <c:v>44287</c:v>
                </c:pt>
                <c:pt idx="1105">
                  <c:v>44292</c:v>
                </c:pt>
                <c:pt idx="1106">
                  <c:v>44293</c:v>
                </c:pt>
                <c:pt idx="1107">
                  <c:v>44294</c:v>
                </c:pt>
                <c:pt idx="1108">
                  <c:v>44295</c:v>
                </c:pt>
                <c:pt idx="1109">
                  <c:v>44298</c:v>
                </c:pt>
                <c:pt idx="1110">
                  <c:v>44299</c:v>
                </c:pt>
                <c:pt idx="1111">
                  <c:v>44300</c:v>
                </c:pt>
                <c:pt idx="1112">
                  <c:v>44301</c:v>
                </c:pt>
                <c:pt idx="1113">
                  <c:v>44302</c:v>
                </c:pt>
              </c:numCache>
            </c:numRef>
          </c:cat>
          <c:val>
            <c:numRef>
              <c:f>'M1'!$X$7:$X$1621</c:f>
              <c:numCache>
                <c:formatCode>0.00</c:formatCode>
                <c:ptCount val="16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B70-4882-BA62-C3009603626D}"/>
            </c:ext>
          </c:extLst>
        </c:ser>
        <c:ser>
          <c:idx val="6"/>
          <c:order val="3"/>
          <c:tx>
            <c:strRef>
              <c:f>'M1'!$Y$6</c:f>
              <c:strCache>
                <c:ptCount val="1"/>
                <c:pt idx="0">
                  <c:v>90%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'M1'!$D$506:$D$2132</c:f>
              <c:numCache>
                <c:formatCode>m/d/yyyy</c:formatCode>
                <c:ptCount val="1627"/>
                <c:pt idx="0">
                  <c:v>42713</c:v>
                </c:pt>
                <c:pt idx="1">
                  <c:v>42716</c:v>
                </c:pt>
                <c:pt idx="2">
                  <c:v>42717</c:v>
                </c:pt>
                <c:pt idx="3">
                  <c:v>42718</c:v>
                </c:pt>
                <c:pt idx="4">
                  <c:v>42719</c:v>
                </c:pt>
                <c:pt idx="5">
                  <c:v>42720</c:v>
                </c:pt>
                <c:pt idx="6">
                  <c:v>42723</c:v>
                </c:pt>
                <c:pt idx="7">
                  <c:v>42724</c:v>
                </c:pt>
                <c:pt idx="8">
                  <c:v>42725</c:v>
                </c:pt>
                <c:pt idx="9">
                  <c:v>42726</c:v>
                </c:pt>
                <c:pt idx="10">
                  <c:v>42727</c:v>
                </c:pt>
                <c:pt idx="11">
                  <c:v>42731</c:v>
                </c:pt>
                <c:pt idx="12">
                  <c:v>42732</c:v>
                </c:pt>
                <c:pt idx="13">
                  <c:v>42733</c:v>
                </c:pt>
                <c:pt idx="14">
                  <c:v>42734</c:v>
                </c:pt>
                <c:pt idx="15">
                  <c:v>42737</c:v>
                </c:pt>
                <c:pt idx="16">
                  <c:v>42738</c:v>
                </c:pt>
                <c:pt idx="17">
                  <c:v>42739</c:v>
                </c:pt>
                <c:pt idx="18">
                  <c:v>42740</c:v>
                </c:pt>
                <c:pt idx="19">
                  <c:v>42741</c:v>
                </c:pt>
                <c:pt idx="20">
                  <c:v>42744</c:v>
                </c:pt>
                <c:pt idx="21">
                  <c:v>42745</c:v>
                </c:pt>
                <c:pt idx="22">
                  <c:v>42746</c:v>
                </c:pt>
                <c:pt idx="23">
                  <c:v>42747</c:v>
                </c:pt>
                <c:pt idx="24">
                  <c:v>42748</c:v>
                </c:pt>
                <c:pt idx="25">
                  <c:v>42751</c:v>
                </c:pt>
                <c:pt idx="26">
                  <c:v>42752</c:v>
                </c:pt>
                <c:pt idx="27">
                  <c:v>42753</c:v>
                </c:pt>
                <c:pt idx="28">
                  <c:v>42754</c:v>
                </c:pt>
                <c:pt idx="29">
                  <c:v>42755</c:v>
                </c:pt>
                <c:pt idx="30">
                  <c:v>42758</c:v>
                </c:pt>
                <c:pt idx="31">
                  <c:v>42759</c:v>
                </c:pt>
                <c:pt idx="32">
                  <c:v>42760</c:v>
                </c:pt>
                <c:pt idx="33">
                  <c:v>42761</c:v>
                </c:pt>
                <c:pt idx="34">
                  <c:v>42762</c:v>
                </c:pt>
                <c:pt idx="35">
                  <c:v>42765</c:v>
                </c:pt>
                <c:pt idx="36">
                  <c:v>42766</c:v>
                </c:pt>
                <c:pt idx="37">
                  <c:v>42767</c:v>
                </c:pt>
                <c:pt idx="38">
                  <c:v>42768</c:v>
                </c:pt>
                <c:pt idx="39">
                  <c:v>42769</c:v>
                </c:pt>
                <c:pt idx="40">
                  <c:v>42772</c:v>
                </c:pt>
                <c:pt idx="41">
                  <c:v>42773</c:v>
                </c:pt>
                <c:pt idx="42">
                  <c:v>42774</c:v>
                </c:pt>
                <c:pt idx="43">
                  <c:v>42775</c:v>
                </c:pt>
                <c:pt idx="44">
                  <c:v>42776</c:v>
                </c:pt>
                <c:pt idx="45">
                  <c:v>42779</c:v>
                </c:pt>
                <c:pt idx="46">
                  <c:v>42780</c:v>
                </c:pt>
                <c:pt idx="47">
                  <c:v>42781</c:v>
                </c:pt>
                <c:pt idx="48">
                  <c:v>42782</c:v>
                </c:pt>
                <c:pt idx="49">
                  <c:v>42783</c:v>
                </c:pt>
                <c:pt idx="50">
                  <c:v>42786</c:v>
                </c:pt>
                <c:pt idx="51">
                  <c:v>42787</c:v>
                </c:pt>
                <c:pt idx="52">
                  <c:v>42788</c:v>
                </c:pt>
                <c:pt idx="53">
                  <c:v>42789</c:v>
                </c:pt>
                <c:pt idx="54">
                  <c:v>42790</c:v>
                </c:pt>
                <c:pt idx="55">
                  <c:v>42793</c:v>
                </c:pt>
                <c:pt idx="56">
                  <c:v>42794</c:v>
                </c:pt>
                <c:pt idx="57">
                  <c:v>42795</c:v>
                </c:pt>
                <c:pt idx="58">
                  <c:v>42796</c:v>
                </c:pt>
                <c:pt idx="59">
                  <c:v>42797</c:v>
                </c:pt>
                <c:pt idx="60">
                  <c:v>42800</c:v>
                </c:pt>
                <c:pt idx="61">
                  <c:v>42801</c:v>
                </c:pt>
                <c:pt idx="62">
                  <c:v>42802</c:v>
                </c:pt>
                <c:pt idx="63">
                  <c:v>42803</c:v>
                </c:pt>
                <c:pt idx="64">
                  <c:v>42804</c:v>
                </c:pt>
                <c:pt idx="65">
                  <c:v>42807</c:v>
                </c:pt>
                <c:pt idx="66">
                  <c:v>42808</c:v>
                </c:pt>
                <c:pt idx="67">
                  <c:v>42809</c:v>
                </c:pt>
                <c:pt idx="68">
                  <c:v>42810</c:v>
                </c:pt>
                <c:pt idx="69">
                  <c:v>42811</c:v>
                </c:pt>
                <c:pt idx="70">
                  <c:v>42814</c:v>
                </c:pt>
                <c:pt idx="71">
                  <c:v>42815</c:v>
                </c:pt>
                <c:pt idx="72">
                  <c:v>42816</c:v>
                </c:pt>
                <c:pt idx="73">
                  <c:v>42817</c:v>
                </c:pt>
                <c:pt idx="74">
                  <c:v>42818</c:v>
                </c:pt>
                <c:pt idx="75">
                  <c:v>42821</c:v>
                </c:pt>
                <c:pt idx="76">
                  <c:v>42822</c:v>
                </c:pt>
                <c:pt idx="77">
                  <c:v>42823</c:v>
                </c:pt>
                <c:pt idx="78">
                  <c:v>42824</c:v>
                </c:pt>
                <c:pt idx="79">
                  <c:v>42825</c:v>
                </c:pt>
                <c:pt idx="80">
                  <c:v>42828</c:v>
                </c:pt>
                <c:pt idx="81">
                  <c:v>42829</c:v>
                </c:pt>
                <c:pt idx="82">
                  <c:v>42830</c:v>
                </c:pt>
                <c:pt idx="83">
                  <c:v>42831</c:v>
                </c:pt>
                <c:pt idx="84">
                  <c:v>42832</c:v>
                </c:pt>
                <c:pt idx="85">
                  <c:v>42835</c:v>
                </c:pt>
                <c:pt idx="86">
                  <c:v>42836</c:v>
                </c:pt>
                <c:pt idx="87">
                  <c:v>42837</c:v>
                </c:pt>
                <c:pt idx="88">
                  <c:v>42838</c:v>
                </c:pt>
                <c:pt idx="89">
                  <c:v>42843</c:v>
                </c:pt>
                <c:pt idx="90">
                  <c:v>42844</c:v>
                </c:pt>
                <c:pt idx="91">
                  <c:v>42845</c:v>
                </c:pt>
                <c:pt idx="92">
                  <c:v>42846</c:v>
                </c:pt>
                <c:pt idx="93">
                  <c:v>42849</c:v>
                </c:pt>
                <c:pt idx="94">
                  <c:v>42850</c:v>
                </c:pt>
                <c:pt idx="95">
                  <c:v>42851</c:v>
                </c:pt>
                <c:pt idx="96">
                  <c:v>42852</c:v>
                </c:pt>
                <c:pt idx="97">
                  <c:v>42853</c:v>
                </c:pt>
                <c:pt idx="98">
                  <c:v>42856</c:v>
                </c:pt>
                <c:pt idx="99">
                  <c:v>42857</c:v>
                </c:pt>
                <c:pt idx="100">
                  <c:v>42858</c:v>
                </c:pt>
                <c:pt idx="101">
                  <c:v>42859</c:v>
                </c:pt>
                <c:pt idx="102">
                  <c:v>42860</c:v>
                </c:pt>
                <c:pt idx="103">
                  <c:v>42863</c:v>
                </c:pt>
                <c:pt idx="104">
                  <c:v>42864</c:v>
                </c:pt>
                <c:pt idx="105">
                  <c:v>42865</c:v>
                </c:pt>
                <c:pt idx="106">
                  <c:v>42866</c:v>
                </c:pt>
                <c:pt idx="107">
                  <c:v>42867</c:v>
                </c:pt>
                <c:pt idx="108">
                  <c:v>42870</c:v>
                </c:pt>
                <c:pt idx="109">
                  <c:v>42871</c:v>
                </c:pt>
                <c:pt idx="110">
                  <c:v>42872</c:v>
                </c:pt>
                <c:pt idx="111">
                  <c:v>42873</c:v>
                </c:pt>
                <c:pt idx="112">
                  <c:v>42874</c:v>
                </c:pt>
                <c:pt idx="113">
                  <c:v>42877</c:v>
                </c:pt>
                <c:pt idx="114">
                  <c:v>42878</c:v>
                </c:pt>
                <c:pt idx="115">
                  <c:v>42879</c:v>
                </c:pt>
                <c:pt idx="116">
                  <c:v>42880</c:v>
                </c:pt>
                <c:pt idx="117">
                  <c:v>42881</c:v>
                </c:pt>
                <c:pt idx="118">
                  <c:v>42884</c:v>
                </c:pt>
                <c:pt idx="119">
                  <c:v>42885</c:v>
                </c:pt>
                <c:pt idx="120">
                  <c:v>42886</c:v>
                </c:pt>
                <c:pt idx="121">
                  <c:v>42887</c:v>
                </c:pt>
                <c:pt idx="122">
                  <c:v>42888</c:v>
                </c:pt>
                <c:pt idx="123">
                  <c:v>42891</c:v>
                </c:pt>
                <c:pt idx="124">
                  <c:v>42892</c:v>
                </c:pt>
                <c:pt idx="125">
                  <c:v>42893</c:v>
                </c:pt>
                <c:pt idx="126">
                  <c:v>42894</c:v>
                </c:pt>
                <c:pt idx="127">
                  <c:v>42895</c:v>
                </c:pt>
                <c:pt idx="128">
                  <c:v>42898</c:v>
                </c:pt>
                <c:pt idx="129">
                  <c:v>42899</c:v>
                </c:pt>
                <c:pt idx="130">
                  <c:v>42900</c:v>
                </c:pt>
                <c:pt idx="131">
                  <c:v>42901</c:v>
                </c:pt>
                <c:pt idx="132">
                  <c:v>42902</c:v>
                </c:pt>
                <c:pt idx="133">
                  <c:v>42905</c:v>
                </c:pt>
                <c:pt idx="134">
                  <c:v>42906</c:v>
                </c:pt>
                <c:pt idx="135">
                  <c:v>42907</c:v>
                </c:pt>
                <c:pt idx="136">
                  <c:v>42908</c:v>
                </c:pt>
                <c:pt idx="137">
                  <c:v>42909</c:v>
                </c:pt>
                <c:pt idx="138">
                  <c:v>42912</c:v>
                </c:pt>
                <c:pt idx="139">
                  <c:v>42913</c:v>
                </c:pt>
                <c:pt idx="140">
                  <c:v>42914</c:v>
                </c:pt>
                <c:pt idx="141">
                  <c:v>42915</c:v>
                </c:pt>
                <c:pt idx="142">
                  <c:v>42916</c:v>
                </c:pt>
                <c:pt idx="143">
                  <c:v>42919</c:v>
                </c:pt>
                <c:pt idx="144">
                  <c:v>42920</c:v>
                </c:pt>
                <c:pt idx="145">
                  <c:v>42921</c:v>
                </c:pt>
                <c:pt idx="146">
                  <c:v>42922</c:v>
                </c:pt>
                <c:pt idx="147">
                  <c:v>42923</c:v>
                </c:pt>
                <c:pt idx="148">
                  <c:v>42926</c:v>
                </c:pt>
                <c:pt idx="149">
                  <c:v>42927</c:v>
                </c:pt>
                <c:pt idx="150">
                  <c:v>42928</c:v>
                </c:pt>
                <c:pt idx="151">
                  <c:v>42929</c:v>
                </c:pt>
                <c:pt idx="152">
                  <c:v>42930</c:v>
                </c:pt>
                <c:pt idx="153">
                  <c:v>42933</c:v>
                </c:pt>
                <c:pt idx="154">
                  <c:v>42934</c:v>
                </c:pt>
                <c:pt idx="155">
                  <c:v>42935</c:v>
                </c:pt>
                <c:pt idx="156">
                  <c:v>42936</c:v>
                </c:pt>
                <c:pt idx="157">
                  <c:v>42937</c:v>
                </c:pt>
                <c:pt idx="158">
                  <c:v>42940</c:v>
                </c:pt>
                <c:pt idx="159">
                  <c:v>42941</c:v>
                </c:pt>
                <c:pt idx="160">
                  <c:v>42942</c:v>
                </c:pt>
                <c:pt idx="161">
                  <c:v>42943</c:v>
                </c:pt>
                <c:pt idx="162">
                  <c:v>42944</c:v>
                </c:pt>
                <c:pt idx="163">
                  <c:v>42947</c:v>
                </c:pt>
                <c:pt idx="164">
                  <c:v>42948</c:v>
                </c:pt>
                <c:pt idx="165">
                  <c:v>42949</c:v>
                </c:pt>
                <c:pt idx="166">
                  <c:v>42950</c:v>
                </c:pt>
                <c:pt idx="167">
                  <c:v>42951</c:v>
                </c:pt>
                <c:pt idx="168">
                  <c:v>42954</c:v>
                </c:pt>
                <c:pt idx="169">
                  <c:v>42955</c:v>
                </c:pt>
                <c:pt idx="170">
                  <c:v>42956</c:v>
                </c:pt>
                <c:pt idx="171">
                  <c:v>42957</c:v>
                </c:pt>
                <c:pt idx="172">
                  <c:v>42958</c:v>
                </c:pt>
                <c:pt idx="173">
                  <c:v>42961</c:v>
                </c:pt>
                <c:pt idx="174">
                  <c:v>42962</c:v>
                </c:pt>
                <c:pt idx="175">
                  <c:v>42963</c:v>
                </c:pt>
                <c:pt idx="176">
                  <c:v>42964</c:v>
                </c:pt>
                <c:pt idx="177">
                  <c:v>42965</c:v>
                </c:pt>
                <c:pt idx="178">
                  <c:v>42968</c:v>
                </c:pt>
                <c:pt idx="179">
                  <c:v>42969</c:v>
                </c:pt>
                <c:pt idx="180">
                  <c:v>42970</c:v>
                </c:pt>
                <c:pt idx="181">
                  <c:v>42971</c:v>
                </c:pt>
                <c:pt idx="182">
                  <c:v>42972</c:v>
                </c:pt>
                <c:pt idx="183">
                  <c:v>42975</c:v>
                </c:pt>
                <c:pt idx="184">
                  <c:v>42976</c:v>
                </c:pt>
                <c:pt idx="185">
                  <c:v>42977</c:v>
                </c:pt>
                <c:pt idx="186">
                  <c:v>42978</c:v>
                </c:pt>
                <c:pt idx="187">
                  <c:v>42979</c:v>
                </c:pt>
                <c:pt idx="188">
                  <c:v>42982</c:v>
                </c:pt>
                <c:pt idx="189">
                  <c:v>42983</c:v>
                </c:pt>
                <c:pt idx="190">
                  <c:v>42984</c:v>
                </c:pt>
                <c:pt idx="191">
                  <c:v>42985</c:v>
                </c:pt>
                <c:pt idx="192">
                  <c:v>42986</c:v>
                </c:pt>
                <c:pt idx="193">
                  <c:v>42989</c:v>
                </c:pt>
                <c:pt idx="194">
                  <c:v>42990</c:v>
                </c:pt>
                <c:pt idx="195">
                  <c:v>42991</c:v>
                </c:pt>
                <c:pt idx="196">
                  <c:v>42992</c:v>
                </c:pt>
                <c:pt idx="197">
                  <c:v>42993</c:v>
                </c:pt>
                <c:pt idx="198">
                  <c:v>42996</c:v>
                </c:pt>
                <c:pt idx="199">
                  <c:v>42997</c:v>
                </c:pt>
                <c:pt idx="200">
                  <c:v>42998</c:v>
                </c:pt>
                <c:pt idx="201">
                  <c:v>42999</c:v>
                </c:pt>
                <c:pt idx="202">
                  <c:v>43000</c:v>
                </c:pt>
                <c:pt idx="203">
                  <c:v>43003</c:v>
                </c:pt>
                <c:pt idx="204">
                  <c:v>43004</c:v>
                </c:pt>
                <c:pt idx="205">
                  <c:v>43005</c:v>
                </c:pt>
                <c:pt idx="206">
                  <c:v>43006</c:v>
                </c:pt>
                <c:pt idx="207">
                  <c:v>43007</c:v>
                </c:pt>
                <c:pt idx="208">
                  <c:v>43010</c:v>
                </c:pt>
                <c:pt idx="209">
                  <c:v>43011</c:v>
                </c:pt>
                <c:pt idx="210">
                  <c:v>43012</c:v>
                </c:pt>
                <c:pt idx="211">
                  <c:v>43013</c:v>
                </c:pt>
                <c:pt idx="212">
                  <c:v>43014</c:v>
                </c:pt>
                <c:pt idx="213">
                  <c:v>43017</c:v>
                </c:pt>
                <c:pt idx="214">
                  <c:v>43018</c:v>
                </c:pt>
                <c:pt idx="215">
                  <c:v>43019</c:v>
                </c:pt>
                <c:pt idx="216">
                  <c:v>43020</c:v>
                </c:pt>
                <c:pt idx="217">
                  <c:v>43021</c:v>
                </c:pt>
                <c:pt idx="218">
                  <c:v>43024</c:v>
                </c:pt>
                <c:pt idx="219">
                  <c:v>43025</c:v>
                </c:pt>
                <c:pt idx="220">
                  <c:v>43026</c:v>
                </c:pt>
                <c:pt idx="221">
                  <c:v>43027</c:v>
                </c:pt>
                <c:pt idx="222">
                  <c:v>43028</c:v>
                </c:pt>
                <c:pt idx="223">
                  <c:v>43031</c:v>
                </c:pt>
                <c:pt idx="224">
                  <c:v>43032</c:v>
                </c:pt>
                <c:pt idx="225">
                  <c:v>43033</c:v>
                </c:pt>
                <c:pt idx="226">
                  <c:v>43034</c:v>
                </c:pt>
                <c:pt idx="227">
                  <c:v>43035</c:v>
                </c:pt>
                <c:pt idx="228">
                  <c:v>43038</c:v>
                </c:pt>
                <c:pt idx="229">
                  <c:v>43039</c:v>
                </c:pt>
                <c:pt idx="230">
                  <c:v>43040</c:v>
                </c:pt>
                <c:pt idx="231">
                  <c:v>43041</c:v>
                </c:pt>
                <c:pt idx="232">
                  <c:v>43042</c:v>
                </c:pt>
                <c:pt idx="233">
                  <c:v>43045</c:v>
                </c:pt>
                <c:pt idx="234">
                  <c:v>43046</c:v>
                </c:pt>
                <c:pt idx="235">
                  <c:v>43047</c:v>
                </c:pt>
                <c:pt idx="236">
                  <c:v>43048</c:v>
                </c:pt>
                <c:pt idx="237">
                  <c:v>43049</c:v>
                </c:pt>
                <c:pt idx="238">
                  <c:v>43052</c:v>
                </c:pt>
                <c:pt idx="239">
                  <c:v>43053</c:v>
                </c:pt>
                <c:pt idx="240">
                  <c:v>43054</c:v>
                </c:pt>
                <c:pt idx="241">
                  <c:v>43055</c:v>
                </c:pt>
                <c:pt idx="242">
                  <c:v>43056</c:v>
                </c:pt>
                <c:pt idx="243">
                  <c:v>43059</c:v>
                </c:pt>
                <c:pt idx="244">
                  <c:v>43060</c:v>
                </c:pt>
                <c:pt idx="245">
                  <c:v>43061</c:v>
                </c:pt>
                <c:pt idx="246">
                  <c:v>43062</c:v>
                </c:pt>
                <c:pt idx="247">
                  <c:v>43063</c:v>
                </c:pt>
                <c:pt idx="248">
                  <c:v>43066</c:v>
                </c:pt>
                <c:pt idx="249">
                  <c:v>43067</c:v>
                </c:pt>
                <c:pt idx="250">
                  <c:v>43068</c:v>
                </c:pt>
                <c:pt idx="251">
                  <c:v>43069</c:v>
                </c:pt>
                <c:pt idx="252">
                  <c:v>43070</c:v>
                </c:pt>
                <c:pt idx="253">
                  <c:v>43073</c:v>
                </c:pt>
                <c:pt idx="254">
                  <c:v>43074</c:v>
                </c:pt>
                <c:pt idx="255">
                  <c:v>43075</c:v>
                </c:pt>
                <c:pt idx="256">
                  <c:v>43076</c:v>
                </c:pt>
                <c:pt idx="257">
                  <c:v>43077</c:v>
                </c:pt>
                <c:pt idx="258">
                  <c:v>43080</c:v>
                </c:pt>
                <c:pt idx="259">
                  <c:v>43081</c:v>
                </c:pt>
                <c:pt idx="260">
                  <c:v>43082</c:v>
                </c:pt>
                <c:pt idx="261">
                  <c:v>43083</c:v>
                </c:pt>
                <c:pt idx="262">
                  <c:v>43084</c:v>
                </c:pt>
                <c:pt idx="263">
                  <c:v>43087</c:v>
                </c:pt>
                <c:pt idx="264">
                  <c:v>43088</c:v>
                </c:pt>
                <c:pt idx="265">
                  <c:v>43089</c:v>
                </c:pt>
                <c:pt idx="266">
                  <c:v>43090</c:v>
                </c:pt>
                <c:pt idx="267">
                  <c:v>43091</c:v>
                </c:pt>
                <c:pt idx="268">
                  <c:v>43096</c:v>
                </c:pt>
                <c:pt idx="269">
                  <c:v>43097</c:v>
                </c:pt>
                <c:pt idx="270">
                  <c:v>43098</c:v>
                </c:pt>
                <c:pt idx="271">
                  <c:v>43102</c:v>
                </c:pt>
                <c:pt idx="272">
                  <c:v>43103</c:v>
                </c:pt>
                <c:pt idx="273">
                  <c:v>43104</c:v>
                </c:pt>
                <c:pt idx="274">
                  <c:v>43105</c:v>
                </c:pt>
                <c:pt idx="275">
                  <c:v>43108</c:v>
                </c:pt>
                <c:pt idx="276">
                  <c:v>43109</c:v>
                </c:pt>
                <c:pt idx="277">
                  <c:v>43110</c:v>
                </c:pt>
                <c:pt idx="278">
                  <c:v>43111</c:v>
                </c:pt>
                <c:pt idx="279">
                  <c:v>43112</c:v>
                </c:pt>
                <c:pt idx="280">
                  <c:v>43115</c:v>
                </c:pt>
                <c:pt idx="281">
                  <c:v>43116</c:v>
                </c:pt>
                <c:pt idx="282">
                  <c:v>43117</c:v>
                </c:pt>
                <c:pt idx="283">
                  <c:v>43118</c:v>
                </c:pt>
                <c:pt idx="284">
                  <c:v>43119</c:v>
                </c:pt>
                <c:pt idx="285">
                  <c:v>43122</c:v>
                </c:pt>
                <c:pt idx="286">
                  <c:v>43123</c:v>
                </c:pt>
                <c:pt idx="287">
                  <c:v>43124</c:v>
                </c:pt>
                <c:pt idx="288">
                  <c:v>43125</c:v>
                </c:pt>
                <c:pt idx="289">
                  <c:v>43126</c:v>
                </c:pt>
                <c:pt idx="290">
                  <c:v>43129</c:v>
                </c:pt>
                <c:pt idx="291">
                  <c:v>43130</c:v>
                </c:pt>
                <c:pt idx="292">
                  <c:v>43131</c:v>
                </c:pt>
                <c:pt idx="293">
                  <c:v>43132</c:v>
                </c:pt>
                <c:pt idx="294">
                  <c:v>43133</c:v>
                </c:pt>
                <c:pt idx="295">
                  <c:v>43136</c:v>
                </c:pt>
                <c:pt idx="296">
                  <c:v>43137</c:v>
                </c:pt>
                <c:pt idx="297">
                  <c:v>43138</c:v>
                </c:pt>
                <c:pt idx="298">
                  <c:v>43139</c:v>
                </c:pt>
                <c:pt idx="299">
                  <c:v>43140</c:v>
                </c:pt>
                <c:pt idx="300">
                  <c:v>43143</c:v>
                </c:pt>
                <c:pt idx="301">
                  <c:v>43144</c:v>
                </c:pt>
                <c:pt idx="302">
                  <c:v>43145</c:v>
                </c:pt>
                <c:pt idx="303">
                  <c:v>43146</c:v>
                </c:pt>
                <c:pt idx="304">
                  <c:v>43147</c:v>
                </c:pt>
                <c:pt idx="305">
                  <c:v>43150</c:v>
                </c:pt>
                <c:pt idx="306">
                  <c:v>43151</c:v>
                </c:pt>
                <c:pt idx="307">
                  <c:v>43152</c:v>
                </c:pt>
                <c:pt idx="308">
                  <c:v>43153</c:v>
                </c:pt>
                <c:pt idx="309">
                  <c:v>43154</c:v>
                </c:pt>
                <c:pt idx="310">
                  <c:v>43157</c:v>
                </c:pt>
                <c:pt idx="311">
                  <c:v>43158</c:v>
                </c:pt>
                <c:pt idx="312">
                  <c:v>43159</c:v>
                </c:pt>
                <c:pt idx="313">
                  <c:v>43160</c:v>
                </c:pt>
                <c:pt idx="314">
                  <c:v>43161</c:v>
                </c:pt>
                <c:pt idx="315">
                  <c:v>43164</c:v>
                </c:pt>
                <c:pt idx="316">
                  <c:v>43165</c:v>
                </c:pt>
                <c:pt idx="317">
                  <c:v>43166</c:v>
                </c:pt>
                <c:pt idx="318">
                  <c:v>43167</c:v>
                </c:pt>
                <c:pt idx="319">
                  <c:v>43168</c:v>
                </c:pt>
                <c:pt idx="320">
                  <c:v>43171</c:v>
                </c:pt>
                <c:pt idx="321">
                  <c:v>43172</c:v>
                </c:pt>
                <c:pt idx="322">
                  <c:v>43173</c:v>
                </c:pt>
                <c:pt idx="323">
                  <c:v>43174</c:v>
                </c:pt>
                <c:pt idx="324">
                  <c:v>43175</c:v>
                </c:pt>
                <c:pt idx="325">
                  <c:v>43178</c:v>
                </c:pt>
                <c:pt idx="326">
                  <c:v>43179</c:v>
                </c:pt>
                <c:pt idx="327">
                  <c:v>43180</c:v>
                </c:pt>
                <c:pt idx="328">
                  <c:v>43181</c:v>
                </c:pt>
                <c:pt idx="329">
                  <c:v>43182</c:v>
                </c:pt>
                <c:pt idx="330">
                  <c:v>43185</c:v>
                </c:pt>
                <c:pt idx="331">
                  <c:v>43186</c:v>
                </c:pt>
                <c:pt idx="332">
                  <c:v>43187</c:v>
                </c:pt>
                <c:pt idx="333">
                  <c:v>43188</c:v>
                </c:pt>
                <c:pt idx="334">
                  <c:v>43193</c:v>
                </c:pt>
                <c:pt idx="335">
                  <c:v>43194</c:v>
                </c:pt>
                <c:pt idx="336">
                  <c:v>43195</c:v>
                </c:pt>
                <c:pt idx="337">
                  <c:v>43196</c:v>
                </c:pt>
                <c:pt idx="338">
                  <c:v>43199</c:v>
                </c:pt>
                <c:pt idx="339">
                  <c:v>43200</c:v>
                </c:pt>
                <c:pt idx="340">
                  <c:v>43201</c:v>
                </c:pt>
                <c:pt idx="341">
                  <c:v>43202</c:v>
                </c:pt>
                <c:pt idx="342">
                  <c:v>43203</c:v>
                </c:pt>
                <c:pt idx="343">
                  <c:v>43206</c:v>
                </c:pt>
                <c:pt idx="344">
                  <c:v>43207</c:v>
                </c:pt>
                <c:pt idx="345">
                  <c:v>43208</c:v>
                </c:pt>
                <c:pt idx="346">
                  <c:v>43209</c:v>
                </c:pt>
                <c:pt idx="347">
                  <c:v>43210</c:v>
                </c:pt>
                <c:pt idx="348">
                  <c:v>43213</c:v>
                </c:pt>
                <c:pt idx="349">
                  <c:v>43214</c:v>
                </c:pt>
                <c:pt idx="350">
                  <c:v>43215</c:v>
                </c:pt>
                <c:pt idx="351">
                  <c:v>43216</c:v>
                </c:pt>
                <c:pt idx="352">
                  <c:v>43217</c:v>
                </c:pt>
                <c:pt idx="353">
                  <c:v>43220</c:v>
                </c:pt>
                <c:pt idx="354">
                  <c:v>43221</c:v>
                </c:pt>
                <c:pt idx="355">
                  <c:v>43222</c:v>
                </c:pt>
                <c:pt idx="356">
                  <c:v>43223</c:v>
                </c:pt>
                <c:pt idx="357">
                  <c:v>43224</c:v>
                </c:pt>
                <c:pt idx="358">
                  <c:v>43227</c:v>
                </c:pt>
                <c:pt idx="359">
                  <c:v>43228</c:v>
                </c:pt>
                <c:pt idx="360">
                  <c:v>43229</c:v>
                </c:pt>
                <c:pt idx="361">
                  <c:v>43230</c:v>
                </c:pt>
                <c:pt idx="362">
                  <c:v>43231</c:v>
                </c:pt>
                <c:pt idx="363">
                  <c:v>43234</c:v>
                </c:pt>
                <c:pt idx="364">
                  <c:v>43235</c:v>
                </c:pt>
                <c:pt idx="365">
                  <c:v>43236</c:v>
                </c:pt>
                <c:pt idx="366">
                  <c:v>43237</c:v>
                </c:pt>
                <c:pt idx="367">
                  <c:v>43238</c:v>
                </c:pt>
                <c:pt idx="368">
                  <c:v>43241</c:v>
                </c:pt>
                <c:pt idx="369">
                  <c:v>43242</c:v>
                </c:pt>
                <c:pt idx="370">
                  <c:v>43243</c:v>
                </c:pt>
                <c:pt idx="371">
                  <c:v>43244</c:v>
                </c:pt>
                <c:pt idx="372">
                  <c:v>43245</c:v>
                </c:pt>
                <c:pt idx="373">
                  <c:v>43248</c:v>
                </c:pt>
                <c:pt idx="374">
                  <c:v>43249</c:v>
                </c:pt>
                <c:pt idx="375">
                  <c:v>43250</c:v>
                </c:pt>
                <c:pt idx="376">
                  <c:v>43251</c:v>
                </c:pt>
                <c:pt idx="377">
                  <c:v>43252</c:v>
                </c:pt>
                <c:pt idx="378">
                  <c:v>43255</c:v>
                </c:pt>
                <c:pt idx="379">
                  <c:v>43256</c:v>
                </c:pt>
                <c:pt idx="380">
                  <c:v>43257</c:v>
                </c:pt>
                <c:pt idx="381">
                  <c:v>43258</c:v>
                </c:pt>
                <c:pt idx="382">
                  <c:v>43259</c:v>
                </c:pt>
                <c:pt idx="383">
                  <c:v>43262</c:v>
                </c:pt>
                <c:pt idx="384">
                  <c:v>43263</c:v>
                </c:pt>
                <c:pt idx="385">
                  <c:v>43264</c:v>
                </c:pt>
                <c:pt idx="386">
                  <c:v>43265</c:v>
                </c:pt>
                <c:pt idx="387">
                  <c:v>43266</c:v>
                </c:pt>
                <c:pt idx="388">
                  <c:v>43269</c:v>
                </c:pt>
                <c:pt idx="389">
                  <c:v>43270</c:v>
                </c:pt>
                <c:pt idx="390">
                  <c:v>43271</c:v>
                </c:pt>
                <c:pt idx="391">
                  <c:v>43272</c:v>
                </c:pt>
                <c:pt idx="392">
                  <c:v>43273</c:v>
                </c:pt>
                <c:pt idx="393">
                  <c:v>43276</c:v>
                </c:pt>
                <c:pt idx="394">
                  <c:v>43277</c:v>
                </c:pt>
                <c:pt idx="395">
                  <c:v>43278</c:v>
                </c:pt>
                <c:pt idx="396">
                  <c:v>43279</c:v>
                </c:pt>
                <c:pt idx="397">
                  <c:v>43280</c:v>
                </c:pt>
                <c:pt idx="398">
                  <c:v>43283</c:v>
                </c:pt>
                <c:pt idx="399">
                  <c:v>43284</c:v>
                </c:pt>
                <c:pt idx="400">
                  <c:v>43285</c:v>
                </c:pt>
                <c:pt idx="401">
                  <c:v>43286</c:v>
                </c:pt>
                <c:pt idx="402">
                  <c:v>43287</c:v>
                </c:pt>
                <c:pt idx="403">
                  <c:v>43290</c:v>
                </c:pt>
                <c:pt idx="404">
                  <c:v>43291</c:v>
                </c:pt>
                <c:pt idx="405">
                  <c:v>43292</c:v>
                </c:pt>
                <c:pt idx="406">
                  <c:v>43293</c:v>
                </c:pt>
                <c:pt idx="407">
                  <c:v>43294</c:v>
                </c:pt>
                <c:pt idx="408">
                  <c:v>43297</c:v>
                </c:pt>
                <c:pt idx="409">
                  <c:v>43298</c:v>
                </c:pt>
                <c:pt idx="410">
                  <c:v>43299</c:v>
                </c:pt>
                <c:pt idx="411">
                  <c:v>43300</c:v>
                </c:pt>
                <c:pt idx="412">
                  <c:v>43301</c:v>
                </c:pt>
                <c:pt idx="413">
                  <c:v>43304</c:v>
                </c:pt>
                <c:pt idx="414">
                  <c:v>43305</c:v>
                </c:pt>
                <c:pt idx="415">
                  <c:v>43306</c:v>
                </c:pt>
                <c:pt idx="416">
                  <c:v>43307</c:v>
                </c:pt>
                <c:pt idx="417">
                  <c:v>43308</c:v>
                </c:pt>
                <c:pt idx="418">
                  <c:v>43311</c:v>
                </c:pt>
                <c:pt idx="419">
                  <c:v>43312</c:v>
                </c:pt>
                <c:pt idx="420">
                  <c:v>43313</c:v>
                </c:pt>
                <c:pt idx="421">
                  <c:v>43314</c:v>
                </c:pt>
                <c:pt idx="422">
                  <c:v>43315</c:v>
                </c:pt>
                <c:pt idx="423">
                  <c:v>43318</c:v>
                </c:pt>
                <c:pt idx="424">
                  <c:v>43319</c:v>
                </c:pt>
                <c:pt idx="425">
                  <c:v>43320</c:v>
                </c:pt>
                <c:pt idx="426">
                  <c:v>43321</c:v>
                </c:pt>
                <c:pt idx="427">
                  <c:v>43322</c:v>
                </c:pt>
                <c:pt idx="428">
                  <c:v>43325</c:v>
                </c:pt>
                <c:pt idx="429">
                  <c:v>43326</c:v>
                </c:pt>
                <c:pt idx="430">
                  <c:v>43327</c:v>
                </c:pt>
                <c:pt idx="431">
                  <c:v>43328</c:v>
                </c:pt>
                <c:pt idx="432">
                  <c:v>43329</c:v>
                </c:pt>
                <c:pt idx="433">
                  <c:v>43332</c:v>
                </c:pt>
                <c:pt idx="434">
                  <c:v>43333</c:v>
                </c:pt>
                <c:pt idx="435">
                  <c:v>43334</c:v>
                </c:pt>
                <c:pt idx="436">
                  <c:v>43335</c:v>
                </c:pt>
                <c:pt idx="437">
                  <c:v>43336</c:v>
                </c:pt>
                <c:pt idx="438">
                  <c:v>43339</c:v>
                </c:pt>
                <c:pt idx="439">
                  <c:v>43340</c:v>
                </c:pt>
                <c:pt idx="440">
                  <c:v>43341</c:v>
                </c:pt>
                <c:pt idx="441">
                  <c:v>43342</c:v>
                </c:pt>
                <c:pt idx="442">
                  <c:v>43343</c:v>
                </c:pt>
                <c:pt idx="443">
                  <c:v>43346</c:v>
                </c:pt>
                <c:pt idx="444">
                  <c:v>43347</c:v>
                </c:pt>
                <c:pt idx="445">
                  <c:v>43348</c:v>
                </c:pt>
                <c:pt idx="446">
                  <c:v>43349</c:v>
                </c:pt>
                <c:pt idx="447">
                  <c:v>43350</c:v>
                </c:pt>
                <c:pt idx="448">
                  <c:v>43353</c:v>
                </c:pt>
                <c:pt idx="449">
                  <c:v>43354</c:v>
                </c:pt>
                <c:pt idx="450">
                  <c:v>43355</c:v>
                </c:pt>
                <c:pt idx="451">
                  <c:v>43356</c:v>
                </c:pt>
                <c:pt idx="452">
                  <c:v>43357</c:v>
                </c:pt>
                <c:pt idx="453">
                  <c:v>43360</c:v>
                </c:pt>
                <c:pt idx="454">
                  <c:v>43361</c:v>
                </c:pt>
                <c:pt idx="455">
                  <c:v>43362</c:v>
                </c:pt>
                <c:pt idx="456">
                  <c:v>43363</c:v>
                </c:pt>
                <c:pt idx="457">
                  <c:v>43364</c:v>
                </c:pt>
                <c:pt idx="458">
                  <c:v>43367</c:v>
                </c:pt>
                <c:pt idx="459">
                  <c:v>43368</c:v>
                </c:pt>
                <c:pt idx="460">
                  <c:v>43369</c:v>
                </c:pt>
                <c:pt idx="461">
                  <c:v>43370</c:v>
                </c:pt>
                <c:pt idx="462">
                  <c:v>43371</c:v>
                </c:pt>
                <c:pt idx="463">
                  <c:v>43374</c:v>
                </c:pt>
                <c:pt idx="464">
                  <c:v>43375</c:v>
                </c:pt>
                <c:pt idx="465">
                  <c:v>43376</c:v>
                </c:pt>
                <c:pt idx="466">
                  <c:v>43377</c:v>
                </c:pt>
                <c:pt idx="467">
                  <c:v>43378</c:v>
                </c:pt>
                <c:pt idx="468">
                  <c:v>43381</c:v>
                </c:pt>
                <c:pt idx="469">
                  <c:v>43382</c:v>
                </c:pt>
                <c:pt idx="470">
                  <c:v>43383</c:v>
                </c:pt>
                <c:pt idx="471">
                  <c:v>43384</c:v>
                </c:pt>
                <c:pt idx="472">
                  <c:v>43385</c:v>
                </c:pt>
                <c:pt idx="473">
                  <c:v>43388</c:v>
                </c:pt>
                <c:pt idx="474">
                  <c:v>43389</c:v>
                </c:pt>
                <c:pt idx="475">
                  <c:v>43390</c:v>
                </c:pt>
                <c:pt idx="476">
                  <c:v>43391</c:v>
                </c:pt>
                <c:pt idx="477">
                  <c:v>43392</c:v>
                </c:pt>
                <c:pt idx="478">
                  <c:v>43395</c:v>
                </c:pt>
                <c:pt idx="479">
                  <c:v>43396</c:v>
                </c:pt>
                <c:pt idx="480">
                  <c:v>43397</c:v>
                </c:pt>
                <c:pt idx="481">
                  <c:v>43398</c:v>
                </c:pt>
                <c:pt idx="482">
                  <c:v>43399</c:v>
                </c:pt>
                <c:pt idx="483">
                  <c:v>43402</c:v>
                </c:pt>
                <c:pt idx="484">
                  <c:v>43403</c:v>
                </c:pt>
                <c:pt idx="485">
                  <c:v>43404</c:v>
                </c:pt>
                <c:pt idx="486">
                  <c:v>43405</c:v>
                </c:pt>
                <c:pt idx="487">
                  <c:v>43406</c:v>
                </c:pt>
                <c:pt idx="488">
                  <c:v>43409</c:v>
                </c:pt>
                <c:pt idx="489">
                  <c:v>43410</c:v>
                </c:pt>
                <c:pt idx="490">
                  <c:v>43411</c:v>
                </c:pt>
                <c:pt idx="491">
                  <c:v>43412</c:v>
                </c:pt>
                <c:pt idx="492">
                  <c:v>43413</c:v>
                </c:pt>
                <c:pt idx="493">
                  <c:v>43416</c:v>
                </c:pt>
                <c:pt idx="494">
                  <c:v>43417</c:v>
                </c:pt>
                <c:pt idx="495">
                  <c:v>43418</c:v>
                </c:pt>
                <c:pt idx="496">
                  <c:v>43419</c:v>
                </c:pt>
                <c:pt idx="497">
                  <c:v>43420</c:v>
                </c:pt>
                <c:pt idx="498">
                  <c:v>43423</c:v>
                </c:pt>
                <c:pt idx="499">
                  <c:v>43424</c:v>
                </c:pt>
                <c:pt idx="500">
                  <c:v>43425</c:v>
                </c:pt>
                <c:pt idx="501">
                  <c:v>43426</c:v>
                </c:pt>
                <c:pt idx="502">
                  <c:v>43427</c:v>
                </c:pt>
                <c:pt idx="503">
                  <c:v>43430</c:v>
                </c:pt>
                <c:pt idx="504">
                  <c:v>43431</c:v>
                </c:pt>
                <c:pt idx="505">
                  <c:v>43432</c:v>
                </c:pt>
                <c:pt idx="506">
                  <c:v>43433</c:v>
                </c:pt>
                <c:pt idx="507">
                  <c:v>43434</c:v>
                </c:pt>
                <c:pt idx="508">
                  <c:v>43437</c:v>
                </c:pt>
                <c:pt idx="509">
                  <c:v>43438</c:v>
                </c:pt>
                <c:pt idx="510">
                  <c:v>43439</c:v>
                </c:pt>
                <c:pt idx="511">
                  <c:v>43440</c:v>
                </c:pt>
                <c:pt idx="512">
                  <c:v>43441</c:v>
                </c:pt>
                <c:pt idx="513">
                  <c:v>43444</c:v>
                </c:pt>
                <c:pt idx="514">
                  <c:v>43445</c:v>
                </c:pt>
                <c:pt idx="515">
                  <c:v>43446</c:v>
                </c:pt>
                <c:pt idx="516">
                  <c:v>43447</c:v>
                </c:pt>
                <c:pt idx="517">
                  <c:v>43448</c:v>
                </c:pt>
                <c:pt idx="518">
                  <c:v>43451</c:v>
                </c:pt>
                <c:pt idx="519">
                  <c:v>43452</c:v>
                </c:pt>
                <c:pt idx="520">
                  <c:v>43453</c:v>
                </c:pt>
                <c:pt idx="521">
                  <c:v>43454</c:v>
                </c:pt>
                <c:pt idx="522">
                  <c:v>43455</c:v>
                </c:pt>
                <c:pt idx="523">
                  <c:v>43458</c:v>
                </c:pt>
                <c:pt idx="524">
                  <c:v>43461</c:v>
                </c:pt>
                <c:pt idx="525">
                  <c:v>43462</c:v>
                </c:pt>
                <c:pt idx="526">
                  <c:v>43465</c:v>
                </c:pt>
                <c:pt idx="527">
                  <c:v>43467</c:v>
                </c:pt>
                <c:pt idx="528">
                  <c:v>43468</c:v>
                </c:pt>
                <c:pt idx="529">
                  <c:v>43469</c:v>
                </c:pt>
                <c:pt idx="530">
                  <c:v>43472</c:v>
                </c:pt>
                <c:pt idx="531">
                  <c:v>43473</c:v>
                </c:pt>
                <c:pt idx="532">
                  <c:v>43474</c:v>
                </c:pt>
                <c:pt idx="533">
                  <c:v>43475</c:v>
                </c:pt>
                <c:pt idx="534">
                  <c:v>43476</c:v>
                </c:pt>
                <c:pt idx="535">
                  <c:v>43479</c:v>
                </c:pt>
                <c:pt idx="536">
                  <c:v>43480</c:v>
                </c:pt>
                <c:pt idx="537">
                  <c:v>43481</c:v>
                </c:pt>
                <c:pt idx="538">
                  <c:v>43482</c:v>
                </c:pt>
                <c:pt idx="539">
                  <c:v>43483</c:v>
                </c:pt>
                <c:pt idx="540">
                  <c:v>43486</c:v>
                </c:pt>
                <c:pt idx="541">
                  <c:v>43487</c:v>
                </c:pt>
                <c:pt idx="542">
                  <c:v>43488</c:v>
                </c:pt>
                <c:pt idx="543">
                  <c:v>43489</c:v>
                </c:pt>
                <c:pt idx="544">
                  <c:v>43490</c:v>
                </c:pt>
                <c:pt idx="545">
                  <c:v>43493</c:v>
                </c:pt>
                <c:pt idx="546">
                  <c:v>43494</c:v>
                </c:pt>
                <c:pt idx="547">
                  <c:v>43495</c:v>
                </c:pt>
                <c:pt idx="548">
                  <c:v>43496</c:v>
                </c:pt>
                <c:pt idx="549">
                  <c:v>43497</c:v>
                </c:pt>
                <c:pt idx="550">
                  <c:v>43500</c:v>
                </c:pt>
                <c:pt idx="551">
                  <c:v>43501</c:v>
                </c:pt>
                <c:pt idx="552">
                  <c:v>43502</c:v>
                </c:pt>
                <c:pt idx="553">
                  <c:v>43503</c:v>
                </c:pt>
                <c:pt idx="554">
                  <c:v>43504</c:v>
                </c:pt>
                <c:pt idx="555">
                  <c:v>43507</c:v>
                </c:pt>
                <c:pt idx="556">
                  <c:v>43508</c:v>
                </c:pt>
                <c:pt idx="557">
                  <c:v>43509</c:v>
                </c:pt>
                <c:pt idx="558">
                  <c:v>43510</c:v>
                </c:pt>
                <c:pt idx="559">
                  <c:v>43511</c:v>
                </c:pt>
                <c:pt idx="560">
                  <c:v>43514</c:v>
                </c:pt>
                <c:pt idx="561">
                  <c:v>43515</c:v>
                </c:pt>
                <c:pt idx="562">
                  <c:v>43516</c:v>
                </c:pt>
                <c:pt idx="563">
                  <c:v>43517</c:v>
                </c:pt>
                <c:pt idx="564">
                  <c:v>43518</c:v>
                </c:pt>
                <c:pt idx="565">
                  <c:v>43521</c:v>
                </c:pt>
                <c:pt idx="566">
                  <c:v>43522</c:v>
                </c:pt>
                <c:pt idx="567">
                  <c:v>43523</c:v>
                </c:pt>
                <c:pt idx="568">
                  <c:v>43524</c:v>
                </c:pt>
                <c:pt idx="569">
                  <c:v>43525</c:v>
                </c:pt>
                <c:pt idx="570">
                  <c:v>43528</c:v>
                </c:pt>
                <c:pt idx="571">
                  <c:v>43529</c:v>
                </c:pt>
                <c:pt idx="572">
                  <c:v>43530</c:v>
                </c:pt>
                <c:pt idx="573">
                  <c:v>43531</c:v>
                </c:pt>
                <c:pt idx="574">
                  <c:v>43532</c:v>
                </c:pt>
                <c:pt idx="575">
                  <c:v>43535</c:v>
                </c:pt>
                <c:pt idx="576">
                  <c:v>43536</c:v>
                </c:pt>
                <c:pt idx="577">
                  <c:v>43537</c:v>
                </c:pt>
                <c:pt idx="578">
                  <c:v>43538</c:v>
                </c:pt>
                <c:pt idx="579">
                  <c:v>43539</c:v>
                </c:pt>
                <c:pt idx="580">
                  <c:v>43542</c:v>
                </c:pt>
                <c:pt idx="581">
                  <c:v>43543</c:v>
                </c:pt>
                <c:pt idx="582">
                  <c:v>43544</c:v>
                </c:pt>
                <c:pt idx="583">
                  <c:v>43545</c:v>
                </c:pt>
                <c:pt idx="584">
                  <c:v>43546</c:v>
                </c:pt>
                <c:pt idx="585">
                  <c:v>43549</c:v>
                </c:pt>
                <c:pt idx="586">
                  <c:v>43550</c:v>
                </c:pt>
                <c:pt idx="587">
                  <c:v>43551</c:v>
                </c:pt>
                <c:pt idx="588">
                  <c:v>43552</c:v>
                </c:pt>
                <c:pt idx="589">
                  <c:v>43553</c:v>
                </c:pt>
                <c:pt idx="590">
                  <c:v>43556</c:v>
                </c:pt>
                <c:pt idx="591">
                  <c:v>43557</c:v>
                </c:pt>
                <c:pt idx="592">
                  <c:v>43558</c:v>
                </c:pt>
                <c:pt idx="593">
                  <c:v>43559</c:v>
                </c:pt>
                <c:pt idx="594">
                  <c:v>43560</c:v>
                </c:pt>
                <c:pt idx="595">
                  <c:v>43563</c:v>
                </c:pt>
                <c:pt idx="596">
                  <c:v>43564</c:v>
                </c:pt>
                <c:pt idx="597">
                  <c:v>43565</c:v>
                </c:pt>
                <c:pt idx="598">
                  <c:v>43566</c:v>
                </c:pt>
                <c:pt idx="599">
                  <c:v>43567</c:v>
                </c:pt>
                <c:pt idx="600">
                  <c:v>43570</c:v>
                </c:pt>
                <c:pt idx="601">
                  <c:v>43571</c:v>
                </c:pt>
                <c:pt idx="602">
                  <c:v>43572</c:v>
                </c:pt>
                <c:pt idx="603">
                  <c:v>43573</c:v>
                </c:pt>
                <c:pt idx="604">
                  <c:v>43578</c:v>
                </c:pt>
                <c:pt idx="605">
                  <c:v>43579</c:v>
                </c:pt>
                <c:pt idx="606">
                  <c:v>43580</c:v>
                </c:pt>
                <c:pt idx="607">
                  <c:v>43581</c:v>
                </c:pt>
                <c:pt idx="608">
                  <c:v>43584</c:v>
                </c:pt>
                <c:pt idx="609">
                  <c:v>43585</c:v>
                </c:pt>
                <c:pt idx="610">
                  <c:v>43586</c:v>
                </c:pt>
                <c:pt idx="611">
                  <c:v>43587</c:v>
                </c:pt>
                <c:pt idx="612">
                  <c:v>43588</c:v>
                </c:pt>
                <c:pt idx="613">
                  <c:v>43591</c:v>
                </c:pt>
                <c:pt idx="614">
                  <c:v>43592</c:v>
                </c:pt>
                <c:pt idx="615">
                  <c:v>43593</c:v>
                </c:pt>
                <c:pt idx="616">
                  <c:v>43594</c:v>
                </c:pt>
                <c:pt idx="617">
                  <c:v>43595</c:v>
                </c:pt>
                <c:pt idx="618">
                  <c:v>43598</c:v>
                </c:pt>
                <c:pt idx="619">
                  <c:v>43599</c:v>
                </c:pt>
                <c:pt idx="620">
                  <c:v>43600</c:v>
                </c:pt>
                <c:pt idx="621">
                  <c:v>43601</c:v>
                </c:pt>
                <c:pt idx="622">
                  <c:v>43602</c:v>
                </c:pt>
                <c:pt idx="623">
                  <c:v>43605</c:v>
                </c:pt>
                <c:pt idx="624">
                  <c:v>43606</c:v>
                </c:pt>
                <c:pt idx="625">
                  <c:v>43607</c:v>
                </c:pt>
                <c:pt idx="626">
                  <c:v>43608</c:v>
                </c:pt>
                <c:pt idx="627">
                  <c:v>43609</c:v>
                </c:pt>
                <c:pt idx="628">
                  <c:v>43612</c:v>
                </c:pt>
                <c:pt idx="629">
                  <c:v>43613</c:v>
                </c:pt>
                <c:pt idx="630">
                  <c:v>43614</c:v>
                </c:pt>
                <c:pt idx="631">
                  <c:v>43615</c:v>
                </c:pt>
                <c:pt idx="632">
                  <c:v>43616</c:v>
                </c:pt>
                <c:pt idx="633">
                  <c:v>43619</c:v>
                </c:pt>
                <c:pt idx="634">
                  <c:v>43620</c:v>
                </c:pt>
                <c:pt idx="635">
                  <c:v>43621</c:v>
                </c:pt>
                <c:pt idx="636">
                  <c:v>43622</c:v>
                </c:pt>
                <c:pt idx="637">
                  <c:v>43623</c:v>
                </c:pt>
                <c:pt idx="638">
                  <c:v>43626</c:v>
                </c:pt>
                <c:pt idx="639">
                  <c:v>43627</c:v>
                </c:pt>
                <c:pt idx="640">
                  <c:v>43628</c:v>
                </c:pt>
                <c:pt idx="641">
                  <c:v>43629</c:v>
                </c:pt>
                <c:pt idx="642">
                  <c:v>43630</c:v>
                </c:pt>
                <c:pt idx="643">
                  <c:v>43633</c:v>
                </c:pt>
                <c:pt idx="644">
                  <c:v>43634</c:v>
                </c:pt>
                <c:pt idx="645">
                  <c:v>43635</c:v>
                </c:pt>
                <c:pt idx="646">
                  <c:v>43636</c:v>
                </c:pt>
                <c:pt idx="647">
                  <c:v>43637</c:v>
                </c:pt>
                <c:pt idx="648">
                  <c:v>43640</c:v>
                </c:pt>
                <c:pt idx="649">
                  <c:v>43641</c:v>
                </c:pt>
                <c:pt idx="650">
                  <c:v>43642</c:v>
                </c:pt>
                <c:pt idx="651">
                  <c:v>43643</c:v>
                </c:pt>
                <c:pt idx="652">
                  <c:v>43644</c:v>
                </c:pt>
                <c:pt idx="653">
                  <c:v>43647</c:v>
                </c:pt>
                <c:pt idx="654">
                  <c:v>43648</c:v>
                </c:pt>
                <c:pt idx="655">
                  <c:v>43649</c:v>
                </c:pt>
                <c:pt idx="656">
                  <c:v>43650</c:v>
                </c:pt>
                <c:pt idx="657">
                  <c:v>43651</c:v>
                </c:pt>
                <c:pt idx="658">
                  <c:v>43654</c:v>
                </c:pt>
                <c:pt idx="659">
                  <c:v>43655</c:v>
                </c:pt>
                <c:pt idx="660">
                  <c:v>43656</c:v>
                </c:pt>
                <c:pt idx="661">
                  <c:v>43657</c:v>
                </c:pt>
                <c:pt idx="662">
                  <c:v>43658</c:v>
                </c:pt>
                <c:pt idx="663">
                  <c:v>43661</c:v>
                </c:pt>
                <c:pt idx="664">
                  <c:v>43662</c:v>
                </c:pt>
                <c:pt idx="665">
                  <c:v>43663</c:v>
                </c:pt>
                <c:pt idx="666">
                  <c:v>43664</c:v>
                </c:pt>
                <c:pt idx="667">
                  <c:v>43665</c:v>
                </c:pt>
                <c:pt idx="668">
                  <c:v>43668</c:v>
                </c:pt>
                <c:pt idx="669">
                  <c:v>43669</c:v>
                </c:pt>
                <c:pt idx="670">
                  <c:v>43670</c:v>
                </c:pt>
                <c:pt idx="671">
                  <c:v>43671</c:v>
                </c:pt>
                <c:pt idx="672">
                  <c:v>43672</c:v>
                </c:pt>
                <c:pt idx="673">
                  <c:v>43675</c:v>
                </c:pt>
                <c:pt idx="674">
                  <c:v>43676</c:v>
                </c:pt>
                <c:pt idx="675">
                  <c:v>43677</c:v>
                </c:pt>
                <c:pt idx="676">
                  <c:v>43678</c:v>
                </c:pt>
                <c:pt idx="677">
                  <c:v>43679</c:v>
                </c:pt>
                <c:pt idx="678">
                  <c:v>43682</c:v>
                </c:pt>
                <c:pt idx="679">
                  <c:v>43683</c:v>
                </c:pt>
                <c:pt idx="680">
                  <c:v>43684</c:v>
                </c:pt>
                <c:pt idx="681">
                  <c:v>43685</c:v>
                </c:pt>
                <c:pt idx="682">
                  <c:v>43686</c:v>
                </c:pt>
                <c:pt idx="683">
                  <c:v>43689</c:v>
                </c:pt>
                <c:pt idx="684">
                  <c:v>43690</c:v>
                </c:pt>
                <c:pt idx="685">
                  <c:v>43691</c:v>
                </c:pt>
                <c:pt idx="686">
                  <c:v>43692</c:v>
                </c:pt>
                <c:pt idx="687">
                  <c:v>43693</c:v>
                </c:pt>
                <c:pt idx="688">
                  <c:v>43696</c:v>
                </c:pt>
                <c:pt idx="689">
                  <c:v>43697</c:v>
                </c:pt>
                <c:pt idx="690">
                  <c:v>43698</c:v>
                </c:pt>
                <c:pt idx="691">
                  <c:v>43699</c:v>
                </c:pt>
                <c:pt idx="692">
                  <c:v>43700</c:v>
                </c:pt>
                <c:pt idx="693">
                  <c:v>43703</c:v>
                </c:pt>
                <c:pt idx="694">
                  <c:v>43704</c:v>
                </c:pt>
                <c:pt idx="695">
                  <c:v>43705</c:v>
                </c:pt>
                <c:pt idx="696">
                  <c:v>43706</c:v>
                </c:pt>
                <c:pt idx="697">
                  <c:v>43707</c:v>
                </c:pt>
                <c:pt idx="698">
                  <c:v>43710</c:v>
                </c:pt>
                <c:pt idx="699">
                  <c:v>43711</c:v>
                </c:pt>
                <c:pt idx="700">
                  <c:v>43712</c:v>
                </c:pt>
                <c:pt idx="701">
                  <c:v>43713</c:v>
                </c:pt>
                <c:pt idx="702">
                  <c:v>43714</c:v>
                </c:pt>
                <c:pt idx="703">
                  <c:v>43717</c:v>
                </c:pt>
                <c:pt idx="704">
                  <c:v>43718</c:v>
                </c:pt>
                <c:pt idx="705">
                  <c:v>43719</c:v>
                </c:pt>
                <c:pt idx="706">
                  <c:v>43720</c:v>
                </c:pt>
                <c:pt idx="707">
                  <c:v>43721</c:v>
                </c:pt>
                <c:pt idx="708">
                  <c:v>43724</c:v>
                </c:pt>
                <c:pt idx="709">
                  <c:v>43725</c:v>
                </c:pt>
                <c:pt idx="710">
                  <c:v>43726</c:v>
                </c:pt>
                <c:pt idx="711">
                  <c:v>43727</c:v>
                </c:pt>
                <c:pt idx="712">
                  <c:v>43728</c:v>
                </c:pt>
                <c:pt idx="713">
                  <c:v>43731</c:v>
                </c:pt>
                <c:pt idx="714">
                  <c:v>43732</c:v>
                </c:pt>
                <c:pt idx="715">
                  <c:v>43733</c:v>
                </c:pt>
                <c:pt idx="716">
                  <c:v>43734</c:v>
                </c:pt>
                <c:pt idx="717">
                  <c:v>43735</c:v>
                </c:pt>
                <c:pt idx="718">
                  <c:v>43738</c:v>
                </c:pt>
                <c:pt idx="719">
                  <c:v>43739</c:v>
                </c:pt>
                <c:pt idx="720">
                  <c:v>43740</c:v>
                </c:pt>
                <c:pt idx="721">
                  <c:v>43741</c:v>
                </c:pt>
                <c:pt idx="722">
                  <c:v>43742</c:v>
                </c:pt>
                <c:pt idx="723">
                  <c:v>43745</c:v>
                </c:pt>
                <c:pt idx="724">
                  <c:v>43746</c:v>
                </c:pt>
                <c:pt idx="725">
                  <c:v>43747</c:v>
                </c:pt>
                <c:pt idx="726">
                  <c:v>43748</c:v>
                </c:pt>
                <c:pt idx="727">
                  <c:v>43749</c:v>
                </c:pt>
                <c:pt idx="728">
                  <c:v>43752</c:v>
                </c:pt>
                <c:pt idx="729">
                  <c:v>43753</c:v>
                </c:pt>
                <c:pt idx="730">
                  <c:v>43754</c:v>
                </c:pt>
                <c:pt idx="731">
                  <c:v>43755</c:v>
                </c:pt>
                <c:pt idx="732">
                  <c:v>43756</c:v>
                </c:pt>
                <c:pt idx="733">
                  <c:v>43759</c:v>
                </c:pt>
                <c:pt idx="734">
                  <c:v>43760</c:v>
                </c:pt>
                <c:pt idx="735">
                  <c:v>43761</c:v>
                </c:pt>
                <c:pt idx="736">
                  <c:v>43762</c:v>
                </c:pt>
                <c:pt idx="737">
                  <c:v>43763</c:v>
                </c:pt>
                <c:pt idx="738">
                  <c:v>43766</c:v>
                </c:pt>
                <c:pt idx="739">
                  <c:v>43767</c:v>
                </c:pt>
                <c:pt idx="740">
                  <c:v>43768</c:v>
                </c:pt>
                <c:pt idx="741">
                  <c:v>43769</c:v>
                </c:pt>
                <c:pt idx="742">
                  <c:v>43770</c:v>
                </c:pt>
                <c:pt idx="743">
                  <c:v>43773</c:v>
                </c:pt>
                <c:pt idx="744">
                  <c:v>43774</c:v>
                </c:pt>
                <c:pt idx="745">
                  <c:v>43775</c:v>
                </c:pt>
                <c:pt idx="746">
                  <c:v>43776</c:v>
                </c:pt>
                <c:pt idx="747">
                  <c:v>43777</c:v>
                </c:pt>
                <c:pt idx="748">
                  <c:v>43780</c:v>
                </c:pt>
                <c:pt idx="749">
                  <c:v>43781</c:v>
                </c:pt>
                <c:pt idx="750">
                  <c:v>43782</c:v>
                </c:pt>
                <c:pt idx="751">
                  <c:v>43783</c:v>
                </c:pt>
                <c:pt idx="752">
                  <c:v>43784</c:v>
                </c:pt>
                <c:pt idx="753">
                  <c:v>43787</c:v>
                </c:pt>
                <c:pt idx="754">
                  <c:v>43788</c:v>
                </c:pt>
                <c:pt idx="755">
                  <c:v>43789</c:v>
                </c:pt>
                <c:pt idx="756">
                  <c:v>43790</c:v>
                </c:pt>
                <c:pt idx="757">
                  <c:v>43791</c:v>
                </c:pt>
                <c:pt idx="758">
                  <c:v>43794</c:v>
                </c:pt>
                <c:pt idx="759">
                  <c:v>43795</c:v>
                </c:pt>
                <c:pt idx="760">
                  <c:v>43796</c:v>
                </c:pt>
                <c:pt idx="761">
                  <c:v>43797</c:v>
                </c:pt>
                <c:pt idx="762">
                  <c:v>43798</c:v>
                </c:pt>
                <c:pt idx="763">
                  <c:v>43801</c:v>
                </c:pt>
                <c:pt idx="764">
                  <c:v>43802</c:v>
                </c:pt>
                <c:pt idx="765">
                  <c:v>43803</c:v>
                </c:pt>
                <c:pt idx="766">
                  <c:v>43804</c:v>
                </c:pt>
                <c:pt idx="767">
                  <c:v>43805</c:v>
                </c:pt>
                <c:pt idx="768">
                  <c:v>43808</c:v>
                </c:pt>
                <c:pt idx="769">
                  <c:v>43809</c:v>
                </c:pt>
                <c:pt idx="770">
                  <c:v>43810</c:v>
                </c:pt>
                <c:pt idx="771">
                  <c:v>43811</c:v>
                </c:pt>
                <c:pt idx="772">
                  <c:v>43812</c:v>
                </c:pt>
                <c:pt idx="773">
                  <c:v>43815</c:v>
                </c:pt>
                <c:pt idx="774">
                  <c:v>43816</c:v>
                </c:pt>
                <c:pt idx="775">
                  <c:v>43817</c:v>
                </c:pt>
                <c:pt idx="776">
                  <c:v>43818</c:v>
                </c:pt>
                <c:pt idx="777">
                  <c:v>43819</c:v>
                </c:pt>
                <c:pt idx="778">
                  <c:v>43822</c:v>
                </c:pt>
                <c:pt idx="779">
                  <c:v>43823</c:v>
                </c:pt>
                <c:pt idx="780">
                  <c:v>43826</c:v>
                </c:pt>
                <c:pt idx="781">
                  <c:v>43829</c:v>
                </c:pt>
                <c:pt idx="782">
                  <c:v>43830</c:v>
                </c:pt>
                <c:pt idx="783">
                  <c:v>43832</c:v>
                </c:pt>
                <c:pt idx="784">
                  <c:v>43833</c:v>
                </c:pt>
                <c:pt idx="785">
                  <c:v>43836</c:v>
                </c:pt>
                <c:pt idx="786">
                  <c:v>43837</c:v>
                </c:pt>
                <c:pt idx="787">
                  <c:v>43838</c:v>
                </c:pt>
                <c:pt idx="788">
                  <c:v>43839</c:v>
                </c:pt>
                <c:pt idx="789">
                  <c:v>43840</c:v>
                </c:pt>
                <c:pt idx="790">
                  <c:v>43843</c:v>
                </c:pt>
                <c:pt idx="791">
                  <c:v>43844</c:v>
                </c:pt>
                <c:pt idx="792">
                  <c:v>43845</c:v>
                </c:pt>
                <c:pt idx="793">
                  <c:v>43846</c:v>
                </c:pt>
                <c:pt idx="794">
                  <c:v>43847</c:v>
                </c:pt>
                <c:pt idx="795">
                  <c:v>43850</c:v>
                </c:pt>
                <c:pt idx="796">
                  <c:v>43851</c:v>
                </c:pt>
                <c:pt idx="797">
                  <c:v>43852</c:v>
                </c:pt>
                <c:pt idx="798">
                  <c:v>43853</c:v>
                </c:pt>
                <c:pt idx="799">
                  <c:v>43854</c:v>
                </c:pt>
                <c:pt idx="800">
                  <c:v>43857</c:v>
                </c:pt>
                <c:pt idx="801">
                  <c:v>43858</c:v>
                </c:pt>
                <c:pt idx="802">
                  <c:v>43859</c:v>
                </c:pt>
                <c:pt idx="803">
                  <c:v>43860</c:v>
                </c:pt>
                <c:pt idx="804">
                  <c:v>43861</c:v>
                </c:pt>
                <c:pt idx="805">
                  <c:v>43864</c:v>
                </c:pt>
                <c:pt idx="806">
                  <c:v>43865</c:v>
                </c:pt>
                <c:pt idx="807">
                  <c:v>43866</c:v>
                </c:pt>
                <c:pt idx="808">
                  <c:v>43867</c:v>
                </c:pt>
                <c:pt idx="809">
                  <c:v>43868</c:v>
                </c:pt>
                <c:pt idx="810">
                  <c:v>43871</c:v>
                </c:pt>
                <c:pt idx="811">
                  <c:v>43872</c:v>
                </c:pt>
                <c:pt idx="812">
                  <c:v>43873</c:v>
                </c:pt>
                <c:pt idx="813">
                  <c:v>43874</c:v>
                </c:pt>
                <c:pt idx="814">
                  <c:v>43875</c:v>
                </c:pt>
                <c:pt idx="815">
                  <c:v>43878</c:v>
                </c:pt>
                <c:pt idx="816">
                  <c:v>43879</c:v>
                </c:pt>
                <c:pt idx="817">
                  <c:v>43880</c:v>
                </c:pt>
                <c:pt idx="818">
                  <c:v>43881</c:v>
                </c:pt>
                <c:pt idx="819">
                  <c:v>43882</c:v>
                </c:pt>
                <c:pt idx="820">
                  <c:v>43885</c:v>
                </c:pt>
                <c:pt idx="821">
                  <c:v>43886</c:v>
                </c:pt>
                <c:pt idx="822">
                  <c:v>43887</c:v>
                </c:pt>
                <c:pt idx="823">
                  <c:v>43888</c:v>
                </c:pt>
                <c:pt idx="824">
                  <c:v>43889</c:v>
                </c:pt>
                <c:pt idx="825">
                  <c:v>43892</c:v>
                </c:pt>
                <c:pt idx="826">
                  <c:v>43893</c:v>
                </c:pt>
                <c:pt idx="827">
                  <c:v>43894</c:v>
                </c:pt>
                <c:pt idx="828">
                  <c:v>43895</c:v>
                </c:pt>
                <c:pt idx="829">
                  <c:v>43896</c:v>
                </c:pt>
                <c:pt idx="830">
                  <c:v>43899</c:v>
                </c:pt>
                <c:pt idx="831">
                  <c:v>43900</c:v>
                </c:pt>
                <c:pt idx="832">
                  <c:v>43901</c:v>
                </c:pt>
                <c:pt idx="833">
                  <c:v>43902</c:v>
                </c:pt>
                <c:pt idx="834">
                  <c:v>43903</c:v>
                </c:pt>
                <c:pt idx="835">
                  <c:v>43906</c:v>
                </c:pt>
                <c:pt idx="836">
                  <c:v>43907</c:v>
                </c:pt>
                <c:pt idx="837">
                  <c:v>43908</c:v>
                </c:pt>
                <c:pt idx="838">
                  <c:v>43909</c:v>
                </c:pt>
                <c:pt idx="839">
                  <c:v>43910</c:v>
                </c:pt>
                <c:pt idx="840">
                  <c:v>43913</c:v>
                </c:pt>
                <c:pt idx="841">
                  <c:v>43914</c:v>
                </c:pt>
                <c:pt idx="842">
                  <c:v>43915</c:v>
                </c:pt>
                <c:pt idx="843">
                  <c:v>43916</c:v>
                </c:pt>
                <c:pt idx="844">
                  <c:v>43917</c:v>
                </c:pt>
                <c:pt idx="845">
                  <c:v>43920</c:v>
                </c:pt>
                <c:pt idx="846">
                  <c:v>43921</c:v>
                </c:pt>
                <c:pt idx="847">
                  <c:v>43922</c:v>
                </c:pt>
                <c:pt idx="848">
                  <c:v>43923</c:v>
                </c:pt>
                <c:pt idx="849">
                  <c:v>43924</c:v>
                </c:pt>
                <c:pt idx="850">
                  <c:v>43927</c:v>
                </c:pt>
                <c:pt idx="851">
                  <c:v>43928</c:v>
                </c:pt>
                <c:pt idx="852">
                  <c:v>43929</c:v>
                </c:pt>
                <c:pt idx="853">
                  <c:v>43930</c:v>
                </c:pt>
                <c:pt idx="854">
                  <c:v>43935</c:v>
                </c:pt>
                <c:pt idx="855">
                  <c:v>43936</c:v>
                </c:pt>
                <c:pt idx="856">
                  <c:v>43937</c:v>
                </c:pt>
                <c:pt idx="857">
                  <c:v>43938</c:v>
                </c:pt>
                <c:pt idx="858">
                  <c:v>43941</c:v>
                </c:pt>
                <c:pt idx="859">
                  <c:v>43942</c:v>
                </c:pt>
                <c:pt idx="860">
                  <c:v>43943</c:v>
                </c:pt>
                <c:pt idx="861">
                  <c:v>43944</c:v>
                </c:pt>
                <c:pt idx="862">
                  <c:v>43945</c:v>
                </c:pt>
                <c:pt idx="863">
                  <c:v>43948</c:v>
                </c:pt>
                <c:pt idx="864">
                  <c:v>43949</c:v>
                </c:pt>
                <c:pt idx="865">
                  <c:v>43950</c:v>
                </c:pt>
                <c:pt idx="866">
                  <c:v>43951</c:v>
                </c:pt>
                <c:pt idx="867">
                  <c:v>43952</c:v>
                </c:pt>
                <c:pt idx="868">
                  <c:v>43955</c:v>
                </c:pt>
                <c:pt idx="869">
                  <c:v>43956</c:v>
                </c:pt>
                <c:pt idx="870">
                  <c:v>43957</c:v>
                </c:pt>
                <c:pt idx="871">
                  <c:v>43958</c:v>
                </c:pt>
                <c:pt idx="872">
                  <c:v>43959</c:v>
                </c:pt>
                <c:pt idx="873">
                  <c:v>43962</c:v>
                </c:pt>
                <c:pt idx="874">
                  <c:v>43963</c:v>
                </c:pt>
                <c:pt idx="875">
                  <c:v>43964</c:v>
                </c:pt>
                <c:pt idx="876">
                  <c:v>43965</c:v>
                </c:pt>
                <c:pt idx="877">
                  <c:v>43966</c:v>
                </c:pt>
                <c:pt idx="878">
                  <c:v>43969</c:v>
                </c:pt>
                <c:pt idx="879">
                  <c:v>43970</c:v>
                </c:pt>
                <c:pt idx="880">
                  <c:v>43971</c:v>
                </c:pt>
                <c:pt idx="881">
                  <c:v>43972</c:v>
                </c:pt>
                <c:pt idx="882">
                  <c:v>43973</c:v>
                </c:pt>
                <c:pt idx="883">
                  <c:v>43976</c:v>
                </c:pt>
                <c:pt idx="884">
                  <c:v>43977</c:v>
                </c:pt>
                <c:pt idx="885">
                  <c:v>43978</c:v>
                </c:pt>
                <c:pt idx="886">
                  <c:v>43979</c:v>
                </c:pt>
                <c:pt idx="887">
                  <c:v>43980</c:v>
                </c:pt>
                <c:pt idx="888">
                  <c:v>43983</c:v>
                </c:pt>
                <c:pt idx="889">
                  <c:v>43984</c:v>
                </c:pt>
                <c:pt idx="890">
                  <c:v>43985</c:v>
                </c:pt>
                <c:pt idx="891">
                  <c:v>43986</c:v>
                </c:pt>
                <c:pt idx="892">
                  <c:v>43987</c:v>
                </c:pt>
                <c:pt idx="893">
                  <c:v>43990</c:v>
                </c:pt>
                <c:pt idx="894">
                  <c:v>43991</c:v>
                </c:pt>
                <c:pt idx="895">
                  <c:v>43992</c:v>
                </c:pt>
                <c:pt idx="896">
                  <c:v>43993</c:v>
                </c:pt>
                <c:pt idx="897">
                  <c:v>43994</c:v>
                </c:pt>
                <c:pt idx="898">
                  <c:v>43997</c:v>
                </c:pt>
                <c:pt idx="899">
                  <c:v>43998</c:v>
                </c:pt>
                <c:pt idx="900">
                  <c:v>43999</c:v>
                </c:pt>
                <c:pt idx="901">
                  <c:v>44000</c:v>
                </c:pt>
                <c:pt idx="902">
                  <c:v>44001</c:v>
                </c:pt>
                <c:pt idx="903">
                  <c:v>44004</c:v>
                </c:pt>
                <c:pt idx="904">
                  <c:v>44005</c:v>
                </c:pt>
                <c:pt idx="905">
                  <c:v>44006</c:v>
                </c:pt>
                <c:pt idx="906">
                  <c:v>44007</c:v>
                </c:pt>
                <c:pt idx="907">
                  <c:v>44008</c:v>
                </c:pt>
                <c:pt idx="908">
                  <c:v>44011</c:v>
                </c:pt>
                <c:pt idx="909">
                  <c:v>44012</c:v>
                </c:pt>
                <c:pt idx="910">
                  <c:v>44013</c:v>
                </c:pt>
                <c:pt idx="911">
                  <c:v>44014</c:v>
                </c:pt>
                <c:pt idx="912">
                  <c:v>44015</c:v>
                </c:pt>
                <c:pt idx="913">
                  <c:v>44018</c:v>
                </c:pt>
                <c:pt idx="914">
                  <c:v>44019</c:v>
                </c:pt>
                <c:pt idx="915">
                  <c:v>44020</c:v>
                </c:pt>
                <c:pt idx="916">
                  <c:v>44021</c:v>
                </c:pt>
                <c:pt idx="917">
                  <c:v>44022</c:v>
                </c:pt>
                <c:pt idx="918">
                  <c:v>44025</c:v>
                </c:pt>
                <c:pt idx="919">
                  <c:v>44026</c:v>
                </c:pt>
                <c:pt idx="920">
                  <c:v>44027</c:v>
                </c:pt>
                <c:pt idx="921">
                  <c:v>44028</c:v>
                </c:pt>
                <c:pt idx="922">
                  <c:v>44029</c:v>
                </c:pt>
                <c:pt idx="923">
                  <c:v>44032</c:v>
                </c:pt>
                <c:pt idx="924">
                  <c:v>44033</c:v>
                </c:pt>
                <c:pt idx="925">
                  <c:v>44034</c:v>
                </c:pt>
                <c:pt idx="926">
                  <c:v>44035</c:v>
                </c:pt>
                <c:pt idx="927">
                  <c:v>44036</c:v>
                </c:pt>
                <c:pt idx="928">
                  <c:v>44039</c:v>
                </c:pt>
                <c:pt idx="929">
                  <c:v>44040</c:v>
                </c:pt>
                <c:pt idx="930">
                  <c:v>44041</c:v>
                </c:pt>
                <c:pt idx="931">
                  <c:v>44042</c:v>
                </c:pt>
                <c:pt idx="932">
                  <c:v>44043</c:v>
                </c:pt>
                <c:pt idx="933">
                  <c:v>44046</c:v>
                </c:pt>
                <c:pt idx="934">
                  <c:v>44047</c:v>
                </c:pt>
                <c:pt idx="935">
                  <c:v>44048</c:v>
                </c:pt>
                <c:pt idx="936">
                  <c:v>44049</c:v>
                </c:pt>
                <c:pt idx="937">
                  <c:v>44050</c:v>
                </c:pt>
                <c:pt idx="938">
                  <c:v>44053</c:v>
                </c:pt>
                <c:pt idx="939">
                  <c:v>44054</c:v>
                </c:pt>
                <c:pt idx="940">
                  <c:v>44055</c:v>
                </c:pt>
                <c:pt idx="941">
                  <c:v>44056</c:v>
                </c:pt>
                <c:pt idx="942">
                  <c:v>44057</c:v>
                </c:pt>
                <c:pt idx="943">
                  <c:v>44060</c:v>
                </c:pt>
                <c:pt idx="944">
                  <c:v>44061</c:v>
                </c:pt>
                <c:pt idx="945">
                  <c:v>44062</c:v>
                </c:pt>
                <c:pt idx="946">
                  <c:v>44063</c:v>
                </c:pt>
                <c:pt idx="947">
                  <c:v>44064</c:v>
                </c:pt>
                <c:pt idx="948">
                  <c:v>44067</c:v>
                </c:pt>
                <c:pt idx="949">
                  <c:v>44068</c:v>
                </c:pt>
                <c:pt idx="950">
                  <c:v>44069</c:v>
                </c:pt>
                <c:pt idx="951">
                  <c:v>44070</c:v>
                </c:pt>
                <c:pt idx="952">
                  <c:v>44071</c:v>
                </c:pt>
                <c:pt idx="953">
                  <c:v>44074</c:v>
                </c:pt>
                <c:pt idx="954">
                  <c:v>44075</c:v>
                </c:pt>
                <c:pt idx="955">
                  <c:v>44076</c:v>
                </c:pt>
                <c:pt idx="956">
                  <c:v>44077</c:v>
                </c:pt>
                <c:pt idx="957">
                  <c:v>44078</c:v>
                </c:pt>
                <c:pt idx="958">
                  <c:v>44081</c:v>
                </c:pt>
                <c:pt idx="959">
                  <c:v>44082</c:v>
                </c:pt>
                <c:pt idx="960">
                  <c:v>44083</c:v>
                </c:pt>
                <c:pt idx="961">
                  <c:v>44084</c:v>
                </c:pt>
                <c:pt idx="962">
                  <c:v>44085</c:v>
                </c:pt>
                <c:pt idx="963">
                  <c:v>44088</c:v>
                </c:pt>
                <c:pt idx="964">
                  <c:v>44089</c:v>
                </c:pt>
                <c:pt idx="965">
                  <c:v>44090</c:v>
                </c:pt>
                <c:pt idx="966">
                  <c:v>44091</c:v>
                </c:pt>
                <c:pt idx="967">
                  <c:v>44092</c:v>
                </c:pt>
                <c:pt idx="968">
                  <c:v>44095</c:v>
                </c:pt>
                <c:pt idx="969">
                  <c:v>44096</c:v>
                </c:pt>
                <c:pt idx="970">
                  <c:v>44097</c:v>
                </c:pt>
                <c:pt idx="971">
                  <c:v>44098</c:v>
                </c:pt>
                <c:pt idx="972">
                  <c:v>44099</c:v>
                </c:pt>
                <c:pt idx="973">
                  <c:v>44102</c:v>
                </c:pt>
                <c:pt idx="974">
                  <c:v>44103</c:v>
                </c:pt>
                <c:pt idx="975">
                  <c:v>44104</c:v>
                </c:pt>
                <c:pt idx="976">
                  <c:v>44105</c:v>
                </c:pt>
                <c:pt idx="977">
                  <c:v>44106</c:v>
                </c:pt>
                <c:pt idx="978">
                  <c:v>44109</c:v>
                </c:pt>
                <c:pt idx="979">
                  <c:v>44110</c:v>
                </c:pt>
                <c:pt idx="980">
                  <c:v>44111</c:v>
                </c:pt>
                <c:pt idx="981">
                  <c:v>44112</c:v>
                </c:pt>
                <c:pt idx="982">
                  <c:v>44113</c:v>
                </c:pt>
                <c:pt idx="983">
                  <c:v>44116</c:v>
                </c:pt>
                <c:pt idx="984">
                  <c:v>44117</c:v>
                </c:pt>
                <c:pt idx="985">
                  <c:v>44118</c:v>
                </c:pt>
                <c:pt idx="986">
                  <c:v>44119</c:v>
                </c:pt>
                <c:pt idx="987">
                  <c:v>44120</c:v>
                </c:pt>
                <c:pt idx="988">
                  <c:v>44123</c:v>
                </c:pt>
                <c:pt idx="989">
                  <c:v>44124</c:v>
                </c:pt>
                <c:pt idx="990">
                  <c:v>44125</c:v>
                </c:pt>
                <c:pt idx="991">
                  <c:v>44126</c:v>
                </c:pt>
                <c:pt idx="992">
                  <c:v>44127</c:v>
                </c:pt>
                <c:pt idx="993">
                  <c:v>44130</c:v>
                </c:pt>
                <c:pt idx="994">
                  <c:v>44131</c:v>
                </c:pt>
                <c:pt idx="995">
                  <c:v>44132</c:v>
                </c:pt>
                <c:pt idx="996">
                  <c:v>44133</c:v>
                </c:pt>
                <c:pt idx="997">
                  <c:v>44134</c:v>
                </c:pt>
                <c:pt idx="998">
                  <c:v>44137</c:v>
                </c:pt>
                <c:pt idx="999">
                  <c:v>44138</c:v>
                </c:pt>
                <c:pt idx="1000">
                  <c:v>44139</c:v>
                </c:pt>
                <c:pt idx="1001">
                  <c:v>44140</c:v>
                </c:pt>
                <c:pt idx="1002">
                  <c:v>44141</c:v>
                </c:pt>
                <c:pt idx="1003">
                  <c:v>44144</c:v>
                </c:pt>
                <c:pt idx="1004">
                  <c:v>44145</c:v>
                </c:pt>
                <c:pt idx="1005">
                  <c:v>44146</c:v>
                </c:pt>
                <c:pt idx="1006">
                  <c:v>44147</c:v>
                </c:pt>
                <c:pt idx="1007">
                  <c:v>44148</c:v>
                </c:pt>
                <c:pt idx="1008">
                  <c:v>44151</c:v>
                </c:pt>
                <c:pt idx="1009">
                  <c:v>44152</c:v>
                </c:pt>
                <c:pt idx="1010">
                  <c:v>44153</c:v>
                </c:pt>
                <c:pt idx="1011">
                  <c:v>44154</c:v>
                </c:pt>
                <c:pt idx="1012">
                  <c:v>44155</c:v>
                </c:pt>
                <c:pt idx="1013">
                  <c:v>44158</c:v>
                </c:pt>
                <c:pt idx="1014">
                  <c:v>44159</c:v>
                </c:pt>
                <c:pt idx="1015">
                  <c:v>44160</c:v>
                </c:pt>
                <c:pt idx="1016">
                  <c:v>44161</c:v>
                </c:pt>
                <c:pt idx="1017">
                  <c:v>44162</c:v>
                </c:pt>
                <c:pt idx="1018">
                  <c:v>44165</c:v>
                </c:pt>
                <c:pt idx="1019">
                  <c:v>44166</c:v>
                </c:pt>
                <c:pt idx="1020">
                  <c:v>44167</c:v>
                </c:pt>
                <c:pt idx="1021">
                  <c:v>44168</c:v>
                </c:pt>
                <c:pt idx="1022">
                  <c:v>44169</c:v>
                </c:pt>
                <c:pt idx="1023">
                  <c:v>44172</c:v>
                </c:pt>
                <c:pt idx="1024">
                  <c:v>44173</c:v>
                </c:pt>
                <c:pt idx="1025">
                  <c:v>44174</c:v>
                </c:pt>
                <c:pt idx="1026">
                  <c:v>44175</c:v>
                </c:pt>
                <c:pt idx="1027">
                  <c:v>44176</c:v>
                </c:pt>
                <c:pt idx="1028">
                  <c:v>44179</c:v>
                </c:pt>
                <c:pt idx="1029">
                  <c:v>44180</c:v>
                </c:pt>
                <c:pt idx="1030">
                  <c:v>44181</c:v>
                </c:pt>
                <c:pt idx="1031">
                  <c:v>44182</c:v>
                </c:pt>
                <c:pt idx="1032">
                  <c:v>44183</c:v>
                </c:pt>
                <c:pt idx="1033">
                  <c:v>44186</c:v>
                </c:pt>
                <c:pt idx="1034">
                  <c:v>44187</c:v>
                </c:pt>
                <c:pt idx="1035">
                  <c:v>44188</c:v>
                </c:pt>
                <c:pt idx="1036">
                  <c:v>44189</c:v>
                </c:pt>
                <c:pt idx="1037">
                  <c:v>44193</c:v>
                </c:pt>
                <c:pt idx="1038">
                  <c:v>44194</c:v>
                </c:pt>
                <c:pt idx="1039">
                  <c:v>44195</c:v>
                </c:pt>
                <c:pt idx="1040">
                  <c:v>44196</c:v>
                </c:pt>
                <c:pt idx="1041">
                  <c:v>44200</c:v>
                </c:pt>
                <c:pt idx="1042">
                  <c:v>44201</c:v>
                </c:pt>
                <c:pt idx="1043">
                  <c:v>44202</c:v>
                </c:pt>
                <c:pt idx="1044">
                  <c:v>44203</c:v>
                </c:pt>
                <c:pt idx="1045">
                  <c:v>44204</c:v>
                </c:pt>
                <c:pt idx="1046">
                  <c:v>44207</c:v>
                </c:pt>
                <c:pt idx="1047">
                  <c:v>44208</c:v>
                </c:pt>
                <c:pt idx="1048">
                  <c:v>44209</c:v>
                </c:pt>
                <c:pt idx="1049">
                  <c:v>44210</c:v>
                </c:pt>
                <c:pt idx="1050">
                  <c:v>44211</c:v>
                </c:pt>
                <c:pt idx="1051">
                  <c:v>44214</c:v>
                </c:pt>
                <c:pt idx="1052">
                  <c:v>44215</c:v>
                </c:pt>
                <c:pt idx="1053">
                  <c:v>44216</c:v>
                </c:pt>
                <c:pt idx="1054">
                  <c:v>44217</c:v>
                </c:pt>
                <c:pt idx="1055">
                  <c:v>44218</c:v>
                </c:pt>
                <c:pt idx="1056">
                  <c:v>44221</c:v>
                </c:pt>
                <c:pt idx="1057">
                  <c:v>44222</c:v>
                </c:pt>
                <c:pt idx="1058">
                  <c:v>44223</c:v>
                </c:pt>
                <c:pt idx="1059">
                  <c:v>44224</c:v>
                </c:pt>
                <c:pt idx="1060">
                  <c:v>44225</c:v>
                </c:pt>
                <c:pt idx="1061">
                  <c:v>44228</c:v>
                </c:pt>
                <c:pt idx="1062">
                  <c:v>44229</c:v>
                </c:pt>
                <c:pt idx="1063">
                  <c:v>44230</c:v>
                </c:pt>
                <c:pt idx="1064">
                  <c:v>44231</c:v>
                </c:pt>
                <c:pt idx="1065">
                  <c:v>44232</c:v>
                </c:pt>
                <c:pt idx="1066">
                  <c:v>44235</c:v>
                </c:pt>
                <c:pt idx="1067">
                  <c:v>44236</c:v>
                </c:pt>
                <c:pt idx="1068">
                  <c:v>44237</c:v>
                </c:pt>
                <c:pt idx="1069">
                  <c:v>44238</c:v>
                </c:pt>
                <c:pt idx="1070">
                  <c:v>44239</c:v>
                </c:pt>
                <c:pt idx="1071">
                  <c:v>44242</c:v>
                </c:pt>
                <c:pt idx="1072">
                  <c:v>44243</c:v>
                </c:pt>
                <c:pt idx="1073">
                  <c:v>44244</c:v>
                </c:pt>
                <c:pt idx="1074">
                  <c:v>44245</c:v>
                </c:pt>
                <c:pt idx="1075">
                  <c:v>44246</c:v>
                </c:pt>
                <c:pt idx="1076">
                  <c:v>44249</c:v>
                </c:pt>
                <c:pt idx="1077">
                  <c:v>44250</c:v>
                </c:pt>
                <c:pt idx="1078">
                  <c:v>44251</c:v>
                </c:pt>
                <c:pt idx="1079">
                  <c:v>44252</c:v>
                </c:pt>
                <c:pt idx="1080">
                  <c:v>44253</c:v>
                </c:pt>
                <c:pt idx="1081">
                  <c:v>44256</c:v>
                </c:pt>
                <c:pt idx="1082">
                  <c:v>44257</c:v>
                </c:pt>
                <c:pt idx="1083">
                  <c:v>44258</c:v>
                </c:pt>
                <c:pt idx="1084">
                  <c:v>44259</c:v>
                </c:pt>
                <c:pt idx="1085">
                  <c:v>44260</c:v>
                </c:pt>
                <c:pt idx="1086">
                  <c:v>44263</c:v>
                </c:pt>
                <c:pt idx="1087">
                  <c:v>44264</c:v>
                </c:pt>
                <c:pt idx="1088">
                  <c:v>44265</c:v>
                </c:pt>
                <c:pt idx="1089">
                  <c:v>44266</c:v>
                </c:pt>
                <c:pt idx="1090">
                  <c:v>44267</c:v>
                </c:pt>
                <c:pt idx="1091">
                  <c:v>44270</c:v>
                </c:pt>
                <c:pt idx="1092">
                  <c:v>44271</c:v>
                </c:pt>
                <c:pt idx="1093">
                  <c:v>44272</c:v>
                </c:pt>
                <c:pt idx="1094">
                  <c:v>44273</c:v>
                </c:pt>
                <c:pt idx="1095">
                  <c:v>44274</c:v>
                </c:pt>
                <c:pt idx="1096">
                  <c:v>44277</c:v>
                </c:pt>
                <c:pt idx="1097">
                  <c:v>44278</c:v>
                </c:pt>
                <c:pt idx="1098">
                  <c:v>44279</c:v>
                </c:pt>
                <c:pt idx="1099">
                  <c:v>44280</c:v>
                </c:pt>
                <c:pt idx="1100">
                  <c:v>44281</c:v>
                </c:pt>
                <c:pt idx="1101">
                  <c:v>44284</c:v>
                </c:pt>
                <c:pt idx="1102">
                  <c:v>44285</c:v>
                </c:pt>
                <c:pt idx="1103">
                  <c:v>44286</c:v>
                </c:pt>
                <c:pt idx="1104">
                  <c:v>44287</c:v>
                </c:pt>
                <c:pt idx="1105">
                  <c:v>44292</c:v>
                </c:pt>
                <c:pt idx="1106">
                  <c:v>44293</c:v>
                </c:pt>
                <c:pt idx="1107">
                  <c:v>44294</c:v>
                </c:pt>
                <c:pt idx="1108">
                  <c:v>44295</c:v>
                </c:pt>
                <c:pt idx="1109">
                  <c:v>44298</c:v>
                </c:pt>
                <c:pt idx="1110">
                  <c:v>44299</c:v>
                </c:pt>
                <c:pt idx="1111">
                  <c:v>44300</c:v>
                </c:pt>
                <c:pt idx="1112">
                  <c:v>44301</c:v>
                </c:pt>
                <c:pt idx="1113">
                  <c:v>44302</c:v>
                </c:pt>
              </c:numCache>
            </c:numRef>
          </c:cat>
          <c:val>
            <c:numRef>
              <c:f>'M1'!$Y$7:$Y$1621</c:f>
              <c:numCache>
                <c:formatCode>0.00</c:formatCode>
                <c:ptCount val="16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B70-4882-BA62-C300960362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13658000"/>
        <c:axId val="1613658328"/>
      </c:lineChart>
      <c:dateAx>
        <c:axId val="1613658000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3658328"/>
        <c:crosses val="autoZero"/>
        <c:auto val="1"/>
        <c:lblOffset val="100"/>
        <c:baseTimeUnit val="days"/>
      </c:dateAx>
      <c:valAx>
        <c:axId val="1613658328"/>
        <c:scaling>
          <c:orientation val="minMax"/>
          <c:max val="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3658000"/>
        <c:crosses val="autoZero"/>
        <c:crossBetween val="between"/>
      </c:valAx>
      <c:valAx>
        <c:axId val="2134953792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952808"/>
        <c:crosses val="max"/>
        <c:crossBetween val="between"/>
      </c:valAx>
      <c:catAx>
        <c:axId val="2134952808"/>
        <c:scaling>
          <c:orientation val="minMax"/>
        </c:scaling>
        <c:delete val="1"/>
        <c:axPos val="b"/>
        <c:majorTickMark val="out"/>
        <c:minorTickMark val="none"/>
        <c:tickLblPos val="nextTo"/>
        <c:crossAx val="213495379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319086</xdr:colOff>
      <xdr:row>33</xdr:row>
      <xdr:rowOff>95250</xdr:rowOff>
    </xdr:from>
    <xdr:to>
      <xdr:col>20</xdr:col>
      <xdr:colOff>685800</xdr:colOff>
      <xdr:row>79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5671D1B-AF59-4575-958B-FE2E6D856D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1238250</xdr:colOff>
      <xdr:row>76</xdr:row>
      <xdr:rowOff>57150</xdr:rowOff>
    </xdr:from>
    <xdr:to>
      <xdr:col>20</xdr:col>
      <xdr:colOff>919163</xdr:colOff>
      <xdr:row>122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DF47B12-46AE-4736-970F-F2C082A41B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0652E0-ED49-4DE2-BDD9-86F8E2A33F84}">
  <sheetPr codeName="Sheet7"/>
  <dimension ref="A1:AI2132"/>
  <sheetViews>
    <sheetView tabSelected="1" workbookViewId="0">
      <pane xSplit="4" ySplit="6" topLeftCell="E7" activePane="bottomRight" state="frozen"/>
      <selection pane="topRight" activeCell="E1" sqref="E1"/>
      <selection pane="bottomLeft" activeCell="A7" sqref="A7"/>
      <selection pane="bottomRight" activeCell="C6" sqref="C6"/>
    </sheetView>
  </sheetViews>
  <sheetFormatPr defaultRowHeight="15.75" x14ac:dyDescent="0.25"/>
  <cols>
    <col min="2" max="2" width="10.125" bestFit="1" customWidth="1"/>
    <col min="3" max="3" width="4.875" bestFit="1" customWidth="1"/>
    <col min="4" max="4" width="10.375" bestFit="1" customWidth="1"/>
    <col min="5" max="5" width="13.75" style="5" bestFit="1" customWidth="1"/>
    <col min="6" max="6" width="14.75" style="5" bestFit="1" customWidth="1"/>
    <col min="7" max="7" width="21.875" style="5" customWidth="1"/>
    <col min="8" max="8" width="21" style="5" bestFit="1" customWidth="1"/>
    <col min="9" max="9" width="15.125" style="5" bestFit="1" customWidth="1"/>
    <col min="10" max="19" width="15.125" style="5" customWidth="1"/>
    <col min="20" max="20" width="15.125" style="5" bestFit="1" customWidth="1"/>
    <col min="21" max="21" width="14.25" style="6" bestFit="1" customWidth="1"/>
    <col min="22" max="22" width="18.75" style="6" bestFit="1" customWidth="1"/>
    <col min="23" max="23" width="9" style="11"/>
    <col min="28" max="28" width="13.375" bestFit="1" customWidth="1"/>
    <col min="29" max="29" width="14" bestFit="1" customWidth="1"/>
    <col min="31" max="31" width="8.375" bestFit="1" customWidth="1"/>
    <col min="33" max="33" width="12.5" bestFit="1" customWidth="1"/>
    <col min="34" max="35" width="6.375" bestFit="1" customWidth="1"/>
  </cols>
  <sheetData>
    <row r="1" spans="1:35" x14ac:dyDescent="0.25">
      <c r="Y1" s="4">
        <f>+COUNT(C:C)</f>
        <v>1613</v>
      </c>
      <c r="Z1">
        <f>+COUNT(F7:S7)</f>
        <v>14</v>
      </c>
      <c r="AB1">
        <v>0</v>
      </c>
      <c r="AC1">
        <v>0</v>
      </c>
    </row>
    <row r="2" spans="1:35" x14ac:dyDescent="0.25">
      <c r="A2" t="s">
        <v>28</v>
      </c>
      <c r="B2" s="20" t="str">
        <f>+"2015-01-01"</f>
        <v>2015-01-01</v>
      </c>
      <c r="D2" s="9" t="s">
        <v>15</v>
      </c>
      <c r="E2" s="22" t="s">
        <v>31</v>
      </c>
      <c r="F2" s="22" t="s">
        <v>32</v>
      </c>
      <c r="G2" s="22" t="s">
        <v>33</v>
      </c>
      <c r="H2" s="22" t="s">
        <v>34</v>
      </c>
      <c r="I2" s="5" t="s">
        <v>35</v>
      </c>
      <c r="AB2">
        <v>0</v>
      </c>
      <c r="AC2">
        <v>0</v>
      </c>
    </row>
    <row r="3" spans="1:35" x14ac:dyDescent="0.25">
      <c r="D3" s="9" t="s">
        <v>16</v>
      </c>
      <c r="E3" s="22" t="s">
        <v>36</v>
      </c>
      <c r="F3" s="22" t="s">
        <v>37</v>
      </c>
      <c r="G3" s="22" t="s">
        <v>38</v>
      </c>
      <c r="H3" s="22" t="s">
        <v>39</v>
      </c>
      <c r="I3" s="5" t="s">
        <v>20</v>
      </c>
      <c r="V3" s="6" t="s">
        <v>23</v>
      </c>
      <c r="W3" s="15">
        <v>20</v>
      </c>
      <c r="AA3" t="s">
        <v>40</v>
      </c>
      <c r="AB3" s="17" cm="1">
        <f t="array" aca="1" ref="AB3" ca="1">+_xlfn.T.TEST(IF($Z$7:$Z$1607=1,$AB$7:$AB$1607,""),AB1:AB2,1,3)</f>
        <v>9.9274451429145386E-6</v>
      </c>
      <c r="AC3" s="17" cm="1">
        <f t="array" aca="1" ref="AC3" ca="1">+_xlfn.T.TEST(IF($AA$7:$AA$1607=1,$AC$7:$AC$1607,""),AC1:AC2,1,3)</f>
        <v>1.7235589369125311E-6</v>
      </c>
      <c r="AG3" t="str">
        <f>+AB6</f>
        <v>bullish returns</v>
      </c>
    </row>
    <row r="4" spans="1:35" x14ac:dyDescent="0.25">
      <c r="D4" s="9" t="s">
        <v>17</v>
      </c>
      <c r="E4" s="22" t="s">
        <v>19</v>
      </c>
      <c r="F4" s="22" t="s">
        <v>18</v>
      </c>
      <c r="G4" s="22" t="s">
        <v>18</v>
      </c>
      <c r="H4" s="22" t="s">
        <v>18</v>
      </c>
      <c r="AE4" s="24">
        <v>0.99</v>
      </c>
      <c r="AF4" s="24">
        <v>0.95</v>
      </c>
      <c r="AG4" s="5" t="s">
        <v>41</v>
      </c>
      <c r="AH4" s="24">
        <v>0.95</v>
      </c>
      <c r="AI4" s="24">
        <v>0.99</v>
      </c>
    </row>
    <row r="5" spans="1:35" x14ac:dyDescent="0.25">
      <c r="I5" s="8">
        <v>250</v>
      </c>
      <c r="V5" s="23">
        <v>20</v>
      </c>
      <c r="X5" s="4">
        <v>0</v>
      </c>
      <c r="AB5" s="18">
        <f t="array" aca="1" ref="AB5" ca="1">+SUM(IF($Z$7:$Z$1608=1,$AB$7:$AB$1608,""))/SUM(IF($Z$7:$Z$1608=1,1,""))</f>
        <v>2.406658454853312E-2</v>
      </c>
      <c r="AC5" s="18">
        <f t="array" aca="1" ref="AC5" ca="1">+SUM(IF($AA$7:$AA$1608=1,$AC$7:$AC$1608,""))/SUM(IF($AA$7:$AA$1608=1,1,""))</f>
        <v>-3.7472020721751119E-2</v>
      </c>
      <c r="AE5" s="27" cm="1">
        <f t="array" aca="1" ref="AE5" ca="1">AG5-(2.58*(STDEV(IF($Z$7:$Z$1608=1,$AB$7:$AB$1608,""))/SQRT(SUM(IF($Z$7:$Z$1608=1,1,"")))))</f>
        <v>9.5418893329120777E-3</v>
      </c>
      <c r="AF5" s="26" cm="1">
        <f t="array" aca="1" ref="AF5" ca="1">AG5-(1.96*(STDEV(IF($Z$7:$Z$1608=1,$AB$7:$AB$1608,""))/SQRT(SUM(IF($Z$7:$Z$1608=1,1,"")))))</f>
        <v>1.3032319966123336E-2</v>
      </c>
      <c r="AG5" s="25">
        <f ca="1">+AB5</f>
        <v>2.406658454853312E-2</v>
      </c>
      <c r="AH5" s="25" cm="1">
        <f t="array" aca="1" ref="AH5" ca="1">AG5+(1.96*(STDEV(IF($Z$7:$Z$1608=1,$AB$7:$AB$1608,""))/SQRT(SUM(IF($Z$7:$Z$1608=1,1,"")))))</f>
        <v>3.5100849130942906E-2</v>
      </c>
      <c r="AI5" s="25" cm="1">
        <f t="array" aca="1" ref="AI5" ca="1">AG5+(2.58*(STDEV(IF($Z$7:$Z$1608=1,$AB$7:$AB$1608,""))/SQRT(SUM(IF($Z$7:$Z$1608=1,1,"")))))</f>
        <v>3.8591279764154163E-2</v>
      </c>
    </row>
    <row r="6" spans="1:35" x14ac:dyDescent="0.25">
      <c r="C6" s="4" t="s">
        <v>42</v>
      </c>
      <c r="D6" s="28" t="s">
        <v>43</v>
      </c>
      <c r="E6" s="8" t="s">
        <v>44</v>
      </c>
      <c r="F6" s="8" t="s">
        <v>45</v>
      </c>
      <c r="G6" s="8" t="s">
        <v>46</v>
      </c>
      <c r="H6" s="8" t="s">
        <v>47</v>
      </c>
      <c r="I6" s="29" t="s">
        <v>48</v>
      </c>
      <c r="J6" s="29" t="s">
        <v>49</v>
      </c>
      <c r="K6" s="29" t="s">
        <v>50</v>
      </c>
      <c r="L6" s="29" t="s">
        <v>51</v>
      </c>
      <c r="M6" s="29" t="s">
        <v>52</v>
      </c>
      <c r="N6" s="29" t="s">
        <v>53</v>
      </c>
      <c r="O6" s="29" t="s">
        <v>54</v>
      </c>
      <c r="P6" s="29" t="s">
        <v>55</v>
      </c>
      <c r="Q6" s="29" t="s">
        <v>56</v>
      </c>
      <c r="R6" s="29" t="s">
        <v>57</v>
      </c>
      <c r="S6" s="29" t="s">
        <v>58</v>
      </c>
      <c r="T6" s="6" t="s">
        <v>21</v>
      </c>
      <c r="U6" s="6" t="s">
        <v>29</v>
      </c>
      <c r="V6" s="6" t="s">
        <v>30</v>
      </c>
      <c r="W6" s="13" t="s">
        <v>22</v>
      </c>
      <c r="X6" s="16">
        <v>0.1</v>
      </c>
      <c r="Y6" s="16">
        <f>1-X6</f>
        <v>0.9</v>
      </c>
      <c r="Z6" s="5" t="s">
        <v>24</v>
      </c>
      <c r="AA6" t="s">
        <v>25</v>
      </c>
      <c r="AB6" s="13" t="s">
        <v>26</v>
      </c>
      <c r="AC6" s="13" t="s">
        <v>27</v>
      </c>
    </row>
    <row r="7" spans="1:35" x14ac:dyDescent="0.25">
      <c r="C7" s="4">
        <v>0</v>
      </c>
      <c r="D7" s="28">
        <v>42006</v>
      </c>
      <c r="E7" s="30">
        <v>20.448</v>
      </c>
      <c r="F7" s="30">
        <v>47.016666666666673</v>
      </c>
      <c r="G7" s="30">
        <v>8.3791666666666664</v>
      </c>
      <c r="H7" s="30">
        <v>52.375</v>
      </c>
      <c r="I7" s="8">
        <v>1</v>
      </c>
      <c r="J7" s="31">
        <v>0</v>
      </c>
      <c r="K7" s="31">
        <v>0</v>
      </c>
      <c r="L7" s="31">
        <v>0</v>
      </c>
      <c r="M7" s="31">
        <v>0</v>
      </c>
      <c r="N7" s="31">
        <v>0</v>
      </c>
      <c r="O7" s="31">
        <v>0</v>
      </c>
      <c r="P7" s="31">
        <v>0</v>
      </c>
      <c r="Q7" s="31">
        <v>0</v>
      </c>
      <c r="R7" s="31">
        <v>0</v>
      </c>
      <c r="S7" s="31">
        <v>0</v>
      </c>
      <c r="T7" s="21" t="str" cm="1">
        <f t="array" aca="1" ref="T7" ca="1">+fair_value_gap(OFFSET(S6,0,0,-1*$I$5,-1*$Z$1),OFFSET(E6,0,0,-1*$I$5,1),F7:S7,0)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7" s="7" t="str" cm="1">
        <f t="array" aca="1" ref="U7" ca="1">z_score_diff(OFFSET(T7,0,0,$I$5*-1,1),OFFSET(E7,0,0,$I$5*-1,1))</f>
        <v/>
      </c>
      <c r="V7" s="7" t="str">
        <f ca="1">+IF(ISERROR(AVERAGE(OFFSET(U7,0,0,$V$5*-1,1))),"",AVERAGE(OFFSET(U7,0,0,$V$5*-1,1)))</f>
        <v/>
      </c>
      <c r="W7" s="14">
        <f t="shared" ref="W7:W70" ca="1" si="0">+LN(OFFSET(E7,$W$3,0,1,1)/E7)</f>
        <v>-8.9898181148523829E-3</v>
      </c>
      <c r="X7" s="10">
        <f ca="1">+PERCENTILE(V7:V1618,X6)*X5</f>
        <v>0</v>
      </c>
      <c r="Y7" s="10">
        <f ca="1">+PERCENTILE(V7:V1618,Y6)*X5</f>
        <v>0</v>
      </c>
      <c r="Z7" t="str">
        <f ca="1">+IF(V7="","",IF(V7&lt;X7,1,0))</f>
        <v/>
      </c>
      <c r="AA7" t="str">
        <f ca="1">+IF(V7="","",IF(V7&gt;Y7,1,0))</f>
        <v/>
      </c>
      <c r="AB7" s="19" t="str">
        <f ca="1">+IF(ISERROR(Z7*W7),"",Z7*W7)</f>
        <v/>
      </c>
      <c r="AC7" s="19" t="str">
        <f ca="1">+IF(ISERROR(AA7*W7),"",AA7*W7)</f>
        <v/>
      </c>
    </row>
    <row r="8" spans="1:35" x14ac:dyDescent="0.25">
      <c r="C8" s="4">
        <v>1</v>
      </c>
      <c r="D8" s="28">
        <v>42009</v>
      </c>
      <c r="E8" s="30">
        <v>20.145</v>
      </c>
      <c r="F8" s="30">
        <v>44.514290503729775</v>
      </c>
      <c r="G8" s="30">
        <v>8.3857178777973349</v>
      </c>
      <c r="H8" s="30">
        <v>52.258821557287739</v>
      </c>
      <c r="I8" s="8">
        <v>1</v>
      </c>
      <c r="J8" s="31">
        <v>0</v>
      </c>
      <c r="K8" s="31">
        <v>0</v>
      </c>
      <c r="L8" s="31">
        <v>0</v>
      </c>
      <c r="M8" s="31">
        <v>0</v>
      </c>
      <c r="N8" s="31">
        <v>0</v>
      </c>
      <c r="O8" s="31">
        <v>0</v>
      </c>
      <c r="P8" s="31">
        <v>0</v>
      </c>
      <c r="Q8" s="31">
        <v>0</v>
      </c>
      <c r="R8" s="31">
        <v>0</v>
      </c>
      <c r="S8" s="31">
        <v>0</v>
      </c>
      <c r="T8" s="21" t="str" cm="1">
        <f t="array" aca="1" ref="T8" ca="1">+fair_value_gap(OFFSET(S7,0,0,-1*$I$5,-1*$Z$1),OFFSET(E7,0,0,-1*$I$5,1),F8:S8,0)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8" s="7" t="str" cm="1">
        <f t="array" aca="1" ref="U8" ca="1">z_score_diff(OFFSET(T8,0,0,$I$5*-1,1),OFFSET(E8,0,0,$I$5*-1,1))</f>
        <v/>
      </c>
      <c r="V8" s="7" t="str">
        <f t="shared" ref="V8:V10" ca="1" si="1">+IF(ISERROR(AVERAGE(OFFSET(U8,0,0,$V$5*-1,1))),"",AVERAGE(OFFSET(U8,0,0,$V$5*-1,1)))</f>
        <v/>
      </c>
      <c r="W8" s="14">
        <f t="shared" ca="1" si="0"/>
        <v>7.0241681758817127E-3</v>
      </c>
      <c r="X8" s="10">
        <f ca="1">+X7</f>
        <v>0</v>
      </c>
      <c r="Y8" s="10">
        <f ca="1">+Y7</f>
        <v>0</v>
      </c>
      <c r="Z8" t="str">
        <f t="shared" ref="Z8:Z10" ca="1" si="2">+IF(V8="","",IF(V8&lt;X8,1,0))</f>
        <v/>
      </c>
      <c r="AA8" t="str">
        <f t="shared" ref="AA8:AA10" ca="1" si="3">+IF(V8="","",IF(V8&gt;Y8,1,0))</f>
        <v/>
      </c>
      <c r="AB8" s="19" t="str">
        <f t="shared" ref="AB8:AB10" ca="1" si="4">+IF(ISERROR(Z8*W8),"",Z8*W8)</f>
        <v/>
      </c>
      <c r="AC8" s="19" t="str">
        <f t="shared" ref="AC8:AC10" ca="1" si="5">+IF(ISERROR(AA8*W8),"",AA8*W8)</f>
        <v/>
      </c>
      <c r="AG8" t="str">
        <f>+AC6</f>
        <v>bearish returns</v>
      </c>
    </row>
    <row r="9" spans="1:35" x14ac:dyDescent="0.25">
      <c r="C9" s="4">
        <v>2</v>
      </c>
      <c r="D9" s="28">
        <v>42010</v>
      </c>
      <c r="E9" s="30">
        <v>19.538</v>
      </c>
      <c r="F9" s="30">
        <v>42.98452220726783</v>
      </c>
      <c r="G9" s="30">
        <v>8.3992261103633901</v>
      </c>
      <c r="H9" s="30">
        <v>52.027254374158815</v>
      </c>
      <c r="I9" s="8">
        <v>1</v>
      </c>
      <c r="J9" s="31">
        <v>0</v>
      </c>
      <c r="K9" s="31">
        <v>0</v>
      </c>
      <c r="L9" s="31">
        <v>0</v>
      </c>
      <c r="M9" s="31">
        <v>0</v>
      </c>
      <c r="N9" s="31">
        <v>0</v>
      </c>
      <c r="O9" s="31">
        <v>0</v>
      </c>
      <c r="P9" s="31">
        <v>0</v>
      </c>
      <c r="Q9" s="31">
        <v>0</v>
      </c>
      <c r="R9" s="31">
        <v>0</v>
      </c>
      <c r="S9" s="31">
        <v>0</v>
      </c>
      <c r="T9" s="21" t="str" cm="1">
        <f t="array" aca="1" ref="T9" ca="1">+fair_value_gap(OFFSET(S8,0,0,-1*$I$5,-1*$Z$1),OFFSET(E8,0,0,-1*$I$5,1),F9:S9,0)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9" s="7" t="str" cm="1">
        <f t="array" aca="1" ref="U9" ca="1">z_score_diff(OFFSET(T9,0,0,$I$5*-1,1),OFFSET(E9,0,0,$I$5*-1,1))</f>
        <v/>
      </c>
      <c r="V9" s="7" t="str">
        <f t="shared" ca="1" si="1"/>
        <v/>
      </c>
      <c r="W9" s="14">
        <f t="shared" ca="1" si="0"/>
        <v>2.8955364617140645E-2</v>
      </c>
      <c r="X9" s="10">
        <f t="shared" ref="X9:Y10" ca="1" si="6">+X8</f>
        <v>0</v>
      </c>
      <c r="Y9" s="10">
        <f t="shared" ca="1" si="6"/>
        <v>0</v>
      </c>
      <c r="Z9" t="str">
        <f t="shared" ca="1" si="2"/>
        <v/>
      </c>
      <c r="AA9" t="str">
        <f t="shared" ca="1" si="3"/>
        <v/>
      </c>
      <c r="AB9" s="19" t="str">
        <f t="shared" ca="1" si="4"/>
        <v/>
      </c>
      <c r="AC9" s="19" t="str">
        <f t="shared" ca="1" si="5"/>
        <v/>
      </c>
      <c r="AE9" s="24">
        <v>0.99</v>
      </c>
      <c r="AF9" s="24">
        <v>0.95</v>
      </c>
      <c r="AG9" s="5" t="s">
        <v>41</v>
      </c>
      <c r="AH9" s="24">
        <v>0.95</v>
      </c>
      <c r="AI9" s="24">
        <v>0.99</v>
      </c>
    </row>
    <row r="10" spans="1:35" x14ac:dyDescent="0.25">
      <c r="C10" s="4">
        <v>3</v>
      </c>
      <c r="D10" s="28">
        <v>42011</v>
      </c>
      <c r="E10" s="30">
        <v>19.594000000000001</v>
      </c>
      <c r="F10" s="30">
        <v>43.2119624904959</v>
      </c>
      <c r="G10" s="30">
        <v>8.4354143786432374</v>
      </c>
      <c r="H10" s="30">
        <v>51.153163808397395</v>
      </c>
      <c r="I10" s="8">
        <v>1</v>
      </c>
      <c r="J10" s="31">
        <v>0</v>
      </c>
      <c r="K10" s="31">
        <v>0</v>
      </c>
      <c r="L10" s="31">
        <v>0</v>
      </c>
      <c r="M10" s="31">
        <v>0</v>
      </c>
      <c r="N10" s="31">
        <v>0</v>
      </c>
      <c r="O10" s="31">
        <v>0</v>
      </c>
      <c r="P10" s="31">
        <v>0</v>
      </c>
      <c r="Q10" s="31">
        <v>0</v>
      </c>
      <c r="R10" s="31">
        <v>0</v>
      </c>
      <c r="S10" s="31">
        <v>0</v>
      </c>
      <c r="T10" s="21" t="str" cm="1">
        <f t="array" aca="1" ref="T10" ca="1">+fair_value_gap(OFFSET(S9,0,0,-1*$I$5,-1*$Z$1),OFFSET(E9,0,0,-1*$I$5,1),F10:S10,0)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0" s="7" t="str" cm="1">
        <f t="array" aca="1" ref="U10" ca="1">z_score_diff(OFFSET(T10,0,0,$I$5*-1,1),OFFSET(E10,0,0,$I$5*-1,1))</f>
        <v/>
      </c>
      <c r="V10" s="7" t="str">
        <f t="shared" ca="1" si="1"/>
        <v/>
      </c>
      <c r="W10" s="14">
        <f t="shared" ca="1" si="0"/>
        <v>4.0605578330662709E-2</v>
      </c>
      <c r="X10" s="10">
        <f t="shared" ca="1" si="6"/>
        <v>0</v>
      </c>
      <c r="Y10" s="10">
        <f t="shared" ca="1" si="6"/>
        <v>0</v>
      </c>
      <c r="Z10" t="str">
        <f t="shared" ca="1" si="2"/>
        <v/>
      </c>
      <c r="AA10" t="str">
        <f t="shared" ca="1" si="3"/>
        <v/>
      </c>
      <c r="AB10" s="19" t="str">
        <f t="shared" ca="1" si="4"/>
        <v/>
      </c>
      <c r="AC10" s="19" t="str">
        <f t="shared" ca="1" si="5"/>
        <v/>
      </c>
      <c r="AE10" s="26" cm="1">
        <f t="array" aca="1" ref="AE10" ca="1">AG10-(2.58*(STDEV(IF($AA$7:$AA$1608=1,$AC$7:$AC$1608,""))/SQRT(SUM(IF($AA$7:$AA$1608=1,1,"")))))</f>
        <v>-5.806307052843622E-2</v>
      </c>
      <c r="AF10" s="26" cm="1">
        <f t="array" aca="1" ref="AF10" ca="1">AG10-(1.96*(STDEV(IF($AA$7:$AA$1608=1,$AC$7:$AC$1608,""))/SQRT(SUM(IF($AA$7:$AA$1608=1,1,"")))))</f>
        <v>-5.3114833753186305E-2</v>
      </c>
      <c r="AG10" s="25">
        <f ca="1">+AC5</f>
        <v>-3.7472020721751119E-2</v>
      </c>
      <c r="AH10" s="25" cm="1">
        <f t="array" aca="1" ref="AH10" ca="1">AG10+(1.96*(STDEV(IF($AA$7:$AA$1608=1,$AC$7:$AC$1608,""))/SQRT(SUM(IF($AA$7:$AA$1608=1,1,"")))))</f>
        <v>-2.1829207690315929E-2</v>
      </c>
      <c r="AI10" s="25" cm="1">
        <f t="array" aca="1" ref="AI10" ca="1">AG10+(2.58*(STDEV(IF($AA$7:$AA$1608=1,$AC$7:$AC$1608,""))/SQRT(SUM(IF($AA$7:$AA$1608=1,1,"")))))</f>
        <v>-1.6880970915066022E-2</v>
      </c>
    </row>
    <row r="11" spans="1:35" x14ac:dyDescent="0.25">
      <c r="C11" s="4">
        <v>4</v>
      </c>
      <c r="D11" s="28">
        <v>42012</v>
      </c>
      <c r="E11" s="30">
        <v>19.591000000000001</v>
      </c>
      <c r="F11" s="30">
        <v>43.215739484396202</v>
      </c>
      <c r="G11" s="30">
        <v>8.4591248303934865</v>
      </c>
      <c r="H11" s="30">
        <v>51.348371777476252</v>
      </c>
      <c r="I11" s="8">
        <v>1</v>
      </c>
      <c r="J11" s="31">
        <v>0</v>
      </c>
      <c r="K11" s="31">
        <v>0</v>
      </c>
      <c r="L11" s="31">
        <v>0</v>
      </c>
      <c r="M11" s="31">
        <v>0</v>
      </c>
      <c r="N11" s="31">
        <v>0</v>
      </c>
      <c r="O11" s="31">
        <v>0</v>
      </c>
      <c r="P11" s="31">
        <v>0</v>
      </c>
      <c r="Q11" s="31">
        <v>0</v>
      </c>
      <c r="R11" s="31">
        <v>0</v>
      </c>
      <c r="S11" s="31">
        <v>0</v>
      </c>
      <c r="T11" s="21" t="str" cm="1">
        <f t="array" aca="1" ref="T11" ca="1">+fair_value_gap(OFFSET(S10,0,0,-1*$I$5,-1*$Z$1),OFFSET(E10,0,0,-1*$I$5,1),F11:S11,0)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1" s="7" t="str" cm="1">
        <f t="array" aca="1" ref="U11" ca="1">z_score_diff(OFFSET(T11,0,0,$I$5*-1,1),OFFSET(E11,0,0,$I$5*-1,1))</f>
        <v/>
      </c>
      <c r="V11" s="7" t="str">
        <f t="shared" ref="V11:V74" ca="1" si="7">+IF(ISERROR(AVERAGE(OFFSET(U11,0,0,$V$5*-1,1))),"",AVERAGE(OFFSET(U11,0,0,$V$5*-1,1)))</f>
        <v/>
      </c>
      <c r="W11" s="14">
        <f t="shared" ca="1" si="0"/>
        <v>8.710495299680962E-2</v>
      </c>
      <c r="X11" s="10">
        <f t="shared" ref="X11:Y11" ca="1" si="8">+X10</f>
        <v>0</v>
      </c>
      <c r="Y11" s="10">
        <f t="shared" ca="1" si="8"/>
        <v>0</v>
      </c>
      <c r="Z11" t="str">
        <f t="shared" ref="Z11:Z74" ca="1" si="9">+IF(V11="","",IF(V11&lt;X11,1,0))</f>
        <v/>
      </c>
      <c r="AA11" t="str">
        <f t="shared" ref="AA11:AA74" ca="1" si="10">+IF(V11="","",IF(V11&gt;Y11,1,0))</f>
        <v/>
      </c>
      <c r="AB11" s="19" t="str">
        <f t="shared" ref="AB11:AB74" ca="1" si="11">+IF(ISERROR(Z11*W11),"",Z11*W11)</f>
        <v/>
      </c>
      <c r="AC11" s="19" t="str">
        <f t="shared" ref="AC11:AC74" ca="1" si="12">+IF(ISERROR(AA11*W11),"",AA11*W11)</f>
        <v/>
      </c>
    </row>
    <row r="12" spans="1:35" x14ac:dyDescent="0.25">
      <c r="C12" s="4">
        <v>5</v>
      </c>
      <c r="D12" s="28">
        <v>42013</v>
      </c>
      <c r="E12" s="30">
        <v>19.559999999999999</v>
      </c>
      <c r="F12" s="30">
        <v>42.326209983951351</v>
      </c>
      <c r="G12" s="30">
        <v>8.4255426978629959</v>
      </c>
      <c r="H12" s="30">
        <v>50.891122561027117</v>
      </c>
      <c r="I12" s="8">
        <v>1</v>
      </c>
      <c r="J12" s="31">
        <v>0</v>
      </c>
      <c r="K12" s="31">
        <v>0</v>
      </c>
      <c r="L12" s="31">
        <v>0</v>
      </c>
      <c r="M12" s="31">
        <v>0</v>
      </c>
      <c r="N12" s="31">
        <v>0</v>
      </c>
      <c r="O12" s="31">
        <v>0</v>
      </c>
      <c r="P12" s="31">
        <v>0</v>
      </c>
      <c r="Q12" s="31">
        <v>0</v>
      </c>
      <c r="R12" s="31">
        <v>0</v>
      </c>
      <c r="S12" s="31">
        <v>0</v>
      </c>
      <c r="T12" s="21" t="str" cm="1">
        <f t="array" aca="1" ref="T12" ca="1">+fair_value_gap(OFFSET(S11,0,0,-1*$I$5,-1*$Z$1),OFFSET(E11,0,0,-1*$I$5,1),F12:S12,0)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2" s="7" t="str" cm="1">
        <f t="array" aca="1" ref="U12" ca="1">z_score_diff(OFFSET(T12,0,0,$I$5*-1,1),OFFSET(E12,0,0,$I$5*-1,1))</f>
        <v/>
      </c>
      <c r="V12" s="7" t="str">
        <f t="shared" ca="1" si="7"/>
        <v/>
      </c>
      <c r="W12" s="14">
        <f t="shared" ca="1" si="0"/>
        <v>7.1464252734819156E-2</v>
      </c>
      <c r="X12" s="10">
        <f t="shared" ref="X12:Y12" ca="1" si="13">+X11</f>
        <v>0</v>
      </c>
      <c r="Y12" s="10">
        <f t="shared" ca="1" si="13"/>
        <v>0</v>
      </c>
      <c r="Z12" t="str">
        <f t="shared" ca="1" si="9"/>
        <v/>
      </c>
      <c r="AA12" t="str">
        <f t="shared" ca="1" si="10"/>
        <v/>
      </c>
      <c r="AB12" s="19" t="str">
        <f t="shared" ca="1" si="11"/>
        <v/>
      </c>
      <c r="AC12" s="19" t="str">
        <f t="shared" ca="1" si="12"/>
        <v/>
      </c>
    </row>
    <row r="13" spans="1:35" x14ac:dyDescent="0.25">
      <c r="C13" s="4">
        <v>6</v>
      </c>
      <c r="D13" s="28">
        <v>42016</v>
      </c>
      <c r="E13" s="30">
        <v>19.760000000000002</v>
      </c>
      <c r="F13" s="30">
        <v>40.082819234344626</v>
      </c>
      <c r="G13" s="30">
        <v>8.4129130398039376</v>
      </c>
      <c r="H13" s="30">
        <v>50.536634834784074</v>
      </c>
      <c r="I13" s="8">
        <v>1</v>
      </c>
      <c r="J13" s="31">
        <v>0</v>
      </c>
      <c r="K13" s="31">
        <v>0</v>
      </c>
      <c r="L13" s="31">
        <v>0</v>
      </c>
      <c r="M13" s="31">
        <v>0</v>
      </c>
      <c r="N13" s="31">
        <v>0</v>
      </c>
      <c r="O13" s="31">
        <v>0</v>
      </c>
      <c r="P13" s="31">
        <v>0</v>
      </c>
      <c r="Q13" s="31">
        <v>0</v>
      </c>
      <c r="R13" s="31">
        <v>0</v>
      </c>
      <c r="S13" s="31">
        <v>0</v>
      </c>
      <c r="T13" s="21" t="str" cm="1">
        <f t="array" aca="1" ref="T13" ca="1">+fair_value_gap(OFFSET(S12,0,0,-1*$I$5,-1*$Z$1),OFFSET(E12,0,0,-1*$I$5,1),F13:S13,0)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3" s="7" t="str" cm="1">
        <f t="array" aca="1" ref="U13" ca="1">z_score_diff(OFFSET(T13,0,0,$I$5*-1,1),OFFSET(E13,0,0,$I$5*-1,1))</f>
        <v/>
      </c>
      <c r="V13" s="7" t="str">
        <f t="shared" ca="1" si="7"/>
        <v/>
      </c>
      <c r="W13" s="14">
        <f t="shared" ca="1" si="0"/>
        <v>8.9079917595053237E-2</v>
      </c>
      <c r="X13" s="10">
        <f t="shared" ref="X13:Y13" ca="1" si="14">+X12</f>
        <v>0</v>
      </c>
      <c r="Y13" s="10">
        <f t="shared" ca="1" si="14"/>
        <v>0</v>
      </c>
      <c r="Z13" t="str">
        <f t="shared" ca="1" si="9"/>
        <v/>
      </c>
      <c r="AA13" t="str">
        <f t="shared" ca="1" si="10"/>
        <v/>
      </c>
      <c r="AB13" s="19" t="str">
        <f t="shared" ca="1" si="11"/>
        <v/>
      </c>
      <c r="AC13" s="19" t="str">
        <f t="shared" ca="1" si="12"/>
        <v/>
      </c>
    </row>
    <row r="14" spans="1:35" x14ac:dyDescent="0.25">
      <c r="C14" s="4">
        <v>7</v>
      </c>
      <c r="D14" s="28">
        <v>42017</v>
      </c>
      <c r="E14" s="30">
        <v>20.451000000000001</v>
      </c>
      <c r="F14" s="30">
        <v>39.576962283384304</v>
      </c>
      <c r="G14" s="30">
        <v>8.4607543323139662</v>
      </c>
      <c r="H14" s="30">
        <v>50.925925925925924</v>
      </c>
      <c r="I14" s="8">
        <v>1</v>
      </c>
      <c r="J14" s="31">
        <v>0</v>
      </c>
      <c r="K14" s="31">
        <v>0</v>
      </c>
      <c r="L14" s="31">
        <v>0</v>
      </c>
      <c r="M14" s="31">
        <v>0</v>
      </c>
      <c r="N14" s="31">
        <v>0</v>
      </c>
      <c r="O14" s="31">
        <v>0</v>
      </c>
      <c r="P14" s="31">
        <v>0</v>
      </c>
      <c r="Q14" s="31">
        <v>0</v>
      </c>
      <c r="R14" s="31">
        <v>0</v>
      </c>
      <c r="S14" s="31">
        <v>0</v>
      </c>
      <c r="T14" s="21" t="str" cm="1">
        <f t="array" aca="1" ref="T14" ca="1">+fair_value_gap(OFFSET(S13,0,0,-1*$I$5,-1*$Z$1),OFFSET(E13,0,0,-1*$I$5,1),F14:S14,0)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4" s="7" t="str" cm="1">
        <f t="array" aca="1" ref="U14" ca="1">z_score_diff(OFFSET(T14,0,0,$I$5*-1,1),OFFSET(E14,0,0,$I$5*-1,1))</f>
        <v/>
      </c>
      <c r="V14" s="7" t="str">
        <f t="shared" ca="1" si="7"/>
        <v/>
      </c>
      <c r="W14" s="14">
        <f t="shared" ca="1" si="0"/>
        <v>8.8526047594117724E-2</v>
      </c>
      <c r="X14" s="10">
        <f t="shared" ref="X14:Y14" ca="1" si="15">+X13</f>
        <v>0</v>
      </c>
      <c r="Y14" s="10">
        <f t="shared" ca="1" si="15"/>
        <v>0</v>
      </c>
      <c r="Z14" t="str">
        <f t="shared" ca="1" si="9"/>
        <v/>
      </c>
      <c r="AA14" t="str">
        <f t="shared" ca="1" si="10"/>
        <v/>
      </c>
      <c r="AB14" s="19" t="str">
        <f t="shared" ca="1" si="11"/>
        <v/>
      </c>
      <c r="AC14" s="19" t="str">
        <f t="shared" ca="1" si="12"/>
        <v/>
      </c>
    </row>
    <row r="15" spans="1:35" x14ac:dyDescent="0.25">
      <c r="C15" s="4">
        <v>8</v>
      </c>
      <c r="D15" s="28">
        <v>42018</v>
      </c>
      <c r="E15" s="30">
        <v>20.591999999999999</v>
      </c>
      <c r="F15" s="30">
        <v>41.301212995164981</v>
      </c>
      <c r="G15" s="30">
        <v>8.4188650436847912</v>
      </c>
      <c r="H15" s="30">
        <v>50.513190262108743</v>
      </c>
      <c r="I15" s="8">
        <v>1</v>
      </c>
      <c r="J15" s="31">
        <v>0</v>
      </c>
      <c r="K15" s="31">
        <v>0</v>
      </c>
      <c r="L15" s="31">
        <v>0</v>
      </c>
      <c r="M15" s="31">
        <v>0</v>
      </c>
      <c r="N15" s="31">
        <v>0</v>
      </c>
      <c r="O15" s="31">
        <v>0</v>
      </c>
      <c r="P15" s="31">
        <v>0</v>
      </c>
      <c r="Q15" s="31">
        <v>0</v>
      </c>
      <c r="R15" s="31">
        <v>0</v>
      </c>
      <c r="S15" s="31">
        <v>0</v>
      </c>
      <c r="T15" s="21" t="str" cm="1">
        <f t="array" aca="1" ref="T15" ca="1">+fair_value_gap(OFFSET(S14,0,0,-1*$I$5,-1*$Z$1),OFFSET(E14,0,0,-1*$I$5,1),F15:S15,0)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5" s="7" t="str" cm="1">
        <f t="array" aca="1" ref="U15" ca="1">z_score_diff(OFFSET(T15,0,0,$I$5*-1,1),OFFSET(E15,0,0,$I$5*-1,1))</f>
        <v/>
      </c>
      <c r="V15" s="7" t="str">
        <f t="shared" ca="1" si="7"/>
        <v/>
      </c>
      <c r="W15" s="14">
        <f t="shared" ca="1" si="0"/>
        <v>0.10527309924971087</v>
      </c>
      <c r="X15" s="10">
        <f t="shared" ref="X15:Y15" ca="1" si="16">+X14</f>
        <v>0</v>
      </c>
      <c r="Y15" s="10">
        <f t="shared" ca="1" si="16"/>
        <v>0</v>
      </c>
      <c r="Z15" t="str">
        <f t="shared" ca="1" si="9"/>
        <v/>
      </c>
      <c r="AA15" t="str">
        <f t="shared" ca="1" si="10"/>
        <v/>
      </c>
      <c r="AB15" s="19" t="str">
        <f t="shared" ca="1" si="11"/>
        <v/>
      </c>
      <c r="AC15" s="19" t="str">
        <f t="shared" ca="1" si="12"/>
        <v/>
      </c>
    </row>
    <row r="16" spans="1:35" x14ac:dyDescent="0.25">
      <c r="C16" s="4">
        <v>9</v>
      </c>
      <c r="D16" s="28">
        <v>42019</v>
      </c>
      <c r="E16" s="30">
        <v>20.25</v>
      </c>
      <c r="F16" s="30">
        <v>40.995872033023737</v>
      </c>
      <c r="G16" s="30">
        <v>8.5354317165462685</v>
      </c>
      <c r="H16" s="30">
        <v>51.040591675266597</v>
      </c>
      <c r="I16" s="8">
        <v>1</v>
      </c>
      <c r="J16" s="31">
        <v>0</v>
      </c>
      <c r="K16" s="31">
        <v>0</v>
      </c>
      <c r="L16" s="31">
        <v>0</v>
      </c>
      <c r="M16" s="31">
        <v>0</v>
      </c>
      <c r="N16" s="31">
        <v>0</v>
      </c>
      <c r="O16" s="31">
        <v>0</v>
      </c>
      <c r="P16" s="31">
        <v>0</v>
      </c>
      <c r="Q16" s="31">
        <v>0</v>
      </c>
      <c r="R16" s="31">
        <v>0</v>
      </c>
      <c r="S16" s="31">
        <v>0</v>
      </c>
      <c r="T16" s="21" t="str" cm="1">
        <f t="array" aca="1" ref="T16" ca="1">+fair_value_gap(OFFSET(S15,0,0,-1*$I$5,-1*$Z$1),OFFSET(E15,0,0,-1*$I$5,1),F16:S16,0)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6" s="7" t="str" cm="1">
        <f t="array" aca="1" ref="U16" ca="1">z_score_diff(OFFSET(T16,0,0,$I$5*-1,1),OFFSET(E16,0,0,$I$5*-1,1))</f>
        <v/>
      </c>
      <c r="V16" s="7" t="str">
        <f t="shared" ca="1" si="7"/>
        <v/>
      </c>
      <c r="W16" s="14">
        <f t="shared" ca="1" si="0"/>
        <v>0.17414003105265205</v>
      </c>
      <c r="X16" s="10">
        <f t="shared" ref="X16:Y16" ca="1" si="17">+X15</f>
        <v>0</v>
      </c>
      <c r="Y16" s="10">
        <f t="shared" ca="1" si="17"/>
        <v>0</v>
      </c>
      <c r="Z16" t="str">
        <f t="shared" ca="1" si="9"/>
        <v/>
      </c>
      <c r="AA16" t="str">
        <f t="shared" ca="1" si="10"/>
        <v/>
      </c>
      <c r="AB16" s="19" t="str">
        <f t="shared" ca="1" si="11"/>
        <v/>
      </c>
      <c r="AC16" s="19" t="str">
        <f t="shared" ca="1" si="12"/>
        <v/>
      </c>
    </row>
    <row r="17" spans="2:29" x14ac:dyDescent="0.25">
      <c r="C17" s="4">
        <v>10</v>
      </c>
      <c r="D17" s="28">
        <v>42020</v>
      </c>
      <c r="E17" s="30">
        <v>19.82</v>
      </c>
      <c r="F17" s="30">
        <v>43.373389815855447</v>
      </c>
      <c r="G17" s="30">
        <v>7.780755597821388</v>
      </c>
      <c r="H17" s="30">
        <v>51.352986945621161</v>
      </c>
      <c r="I17" s="8">
        <v>1</v>
      </c>
      <c r="J17" s="31">
        <v>0</v>
      </c>
      <c r="K17" s="31">
        <v>0</v>
      </c>
      <c r="L17" s="31">
        <v>0</v>
      </c>
      <c r="M17" s="31">
        <v>0</v>
      </c>
      <c r="N17" s="31">
        <v>0</v>
      </c>
      <c r="O17" s="31">
        <v>0</v>
      </c>
      <c r="P17" s="31">
        <v>0</v>
      </c>
      <c r="Q17" s="31">
        <v>0</v>
      </c>
      <c r="R17" s="31">
        <v>0</v>
      </c>
      <c r="S17" s="31">
        <v>0</v>
      </c>
      <c r="T17" s="21" t="str" cm="1">
        <f t="array" aca="1" ref="T17" ca="1">+fair_value_gap(OFFSET(S16,0,0,-1*$I$5,-1*$Z$1),OFFSET(E16,0,0,-1*$I$5,1),F17:S17,0)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7" s="7" t="str" cm="1">
        <f t="array" aca="1" ref="U17" ca="1">z_score_diff(OFFSET(T17,0,0,$I$5*-1,1),OFFSET(E17,0,0,$I$5*-1,1))</f>
        <v/>
      </c>
      <c r="V17" s="7" t="str">
        <f t="shared" ca="1" si="7"/>
        <v/>
      </c>
      <c r="W17" s="14">
        <f t="shared" ca="1" si="0"/>
        <v>0.17243429156058493</v>
      </c>
      <c r="X17" s="10">
        <f t="shared" ref="X17:Y17" ca="1" si="18">+X16</f>
        <v>0</v>
      </c>
      <c r="Y17" s="10">
        <f t="shared" ca="1" si="18"/>
        <v>0</v>
      </c>
      <c r="Z17" t="str">
        <f t="shared" ca="1" si="9"/>
        <v/>
      </c>
      <c r="AA17" t="str">
        <f t="shared" ca="1" si="10"/>
        <v/>
      </c>
      <c r="AB17" s="19" t="str">
        <f t="shared" ca="1" si="11"/>
        <v/>
      </c>
      <c r="AC17" s="19" t="str">
        <f t="shared" ca="1" si="12"/>
        <v/>
      </c>
    </row>
    <row r="18" spans="2:29" x14ac:dyDescent="0.25">
      <c r="C18" s="4">
        <v>11</v>
      </c>
      <c r="D18" s="28">
        <v>42023</v>
      </c>
      <c r="E18" s="30">
        <v>19.274999999999999</v>
      </c>
      <c r="F18" s="30">
        <v>42.088934850051707</v>
      </c>
      <c r="G18" s="30">
        <v>7.7559462254395033</v>
      </c>
      <c r="H18" s="30">
        <v>51.404688038607368</v>
      </c>
      <c r="I18" s="8">
        <v>1</v>
      </c>
      <c r="J18" s="31">
        <v>0</v>
      </c>
      <c r="K18" s="31">
        <v>0</v>
      </c>
      <c r="L18" s="31">
        <v>0</v>
      </c>
      <c r="M18" s="31">
        <v>0</v>
      </c>
      <c r="N18" s="31">
        <v>0</v>
      </c>
      <c r="O18" s="31">
        <v>0</v>
      </c>
      <c r="P18" s="31">
        <v>0</v>
      </c>
      <c r="Q18" s="31">
        <v>0</v>
      </c>
      <c r="R18" s="31">
        <v>0</v>
      </c>
      <c r="S18" s="31">
        <v>0</v>
      </c>
      <c r="T18" s="21" t="str" cm="1">
        <f t="array" aca="1" ref="T18" ca="1">+fair_value_gap(OFFSET(S17,0,0,-1*$I$5,-1*$Z$1),OFFSET(E17,0,0,-1*$I$5,1),F18:S18,0)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8" s="7" t="str" cm="1">
        <f t="array" aca="1" ref="U18" ca="1">z_score_diff(OFFSET(T18,0,0,$I$5*-1,1),OFFSET(E18,0,0,$I$5*-1,1))</f>
        <v/>
      </c>
      <c r="V18" s="7" t="str">
        <f t="shared" ca="1" si="7"/>
        <v/>
      </c>
      <c r="W18" s="14">
        <f t="shared" ca="1" si="0"/>
        <v>0.16825858693461962</v>
      </c>
      <c r="X18" s="10">
        <f t="shared" ref="X18:Y18" ca="1" si="19">+X17</f>
        <v>0</v>
      </c>
      <c r="Y18" s="10">
        <f t="shared" ca="1" si="19"/>
        <v>0</v>
      </c>
      <c r="Z18" t="str">
        <f t="shared" ca="1" si="9"/>
        <v/>
      </c>
      <c r="AA18" t="str">
        <f t="shared" ca="1" si="10"/>
        <v/>
      </c>
      <c r="AB18" s="19" t="str">
        <f t="shared" ca="1" si="11"/>
        <v/>
      </c>
      <c r="AC18" s="19" t="str">
        <f t="shared" ca="1" si="12"/>
        <v/>
      </c>
    </row>
    <row r="19" spans="2:29" x14ac:dyDescent="0.25">
      <c r="C19" s="4">
        <v>12</v>
      </c>
      <c r="D19" s="28">
        <v>42024</v>
      </c>
      <c r="E19" s="30">
        <v>19.248999999999999</v>
      </c>
      <c r="F19" s="30">
        <v>41.553381245129451</v>
      </c>
      <c r="G19" s="30">
        <v>7.4422027881201842</v>
      </c>
      <c r="H19" s="30">
        <v>51.909256212659102</v>
      </c>
      <c r="I19" s="8">
        <v>1</v>
      </c>
      <c r="J19" s="31">
        <v>0</v>
      </c>
      <c r="K19" s="31">
        <v>0</v>
      </c>
      <c r="L19" s="31">
        <v>0</v>
      </c>
      <c r="M19" s="31">
        <v>0</v>
      </c>
      <c r="N19" s="31">
        <v>0</v>
      </c>
      <c r="O19" s="31">
        <v>0</v>
      </c>
      <c r="P19" s="31">
        <v>0</v>
      </c>
      <c r="Q19" s="31">
        <v>0</v>
      </c>
      <c r="R19" s="31">
        <v>0</v>
      </c>
      <c r="S19" s="31">
        <v>0</v>
      </c>
      <c r="T19" s="21" t="str" cm="1">
        <f t="array" aca="1" ref="T19" ca="1">+fair_value_gap(OFFSET(S18,0,0,-1*$I$5,-1*$Z$1),OFFSET(E18,0,0,-1*$I$5,1),F19:S19,0)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9" s="7" t="str" cm="1">
        <f t="array" aca="1" ref="U19" ca="1">z_score_diff(OFFSET(T19,0,0,$I$5*-1,1),OFFSET(E19,0,0,$I$5*-1,1))</f>
        <v/>
      </c>
      <c r="V19" s="7" t="str">
        <f t="shared" ca="1" si="7"/>
        <v/>
      </c>
      <c r="W19" s="14">
        <f t="shared" ca="1" si="0"/>
        <v>0.16420071881928336</v>
      </c>
      <c r="X19" s="10">
        <f t="shared" ref="X19:Y19" ca="1" si="20">+X18</f>
        <v>0</v>
      </c>
      <c r="Y19" s="10">
        <f t="shared" ca="1" si="20"/>
        <v>0</v>
      </c>
      <c r="Z19" t="str">
        <f t="shared" ca="1" si="9"/>
        <v/>
      </c>
      <c r="AA19" t="str">
        <f t="shared" ca="1" si="10"/>
        <v/>
      </c>
      <c r="AB19" s="19" t="str">
        <f t="shared" ca="1" si="11"/>
        <v/>
      </c>
      <c r="AC19" s="19" t="str">
        <f t="shared" ca="1" si="12"/>
        <v/>
      </c>
    </row>
    <row r="20" spans="2:29" x14ac:dyDescent="0.25">
      <c r="C20" s="4">
        <v>13</v>
      </c>
      <c r="D20" s="28">
        <v>42025</v>
      </c>
      <c r="E20" s="30">
        <v>19.524999999999999</v>
      </c>
      <c r="F20" s="30">
        <v>42.238111647139903</v>
      </c>
      <c r="G20" s="30">
        <v>7.1803928325292903</v>
      </c>
      <c r="H20" s="30">
        <v>52.119228118538935</v>
      </c>
      <c r="I20" s="8">
        <v>1</v>
      </c>
      <c r="J20" s="31">
        <v>0</v>
      </c>
      <c r="K20" s="31">
        <v>0</v>
      </c>
      <c r="L20" s="31">
        <v>0</v>
      </c>
      <c r="M20" s="31">
        <v>0</v>
      </c>
      <c r="N20" s="31">
        <v>0</v>
      </c>
      <c r="O20" s="31">
        <v>0</v>
      </c>
      <c r="P20" s="31">
        <v>0</v>
      </c>
      <c r="Q20" s="31">
        <v>0</v>
      </c>
      <c r="R20" s="31">
        <v>0</v>
      </c>
      <c r="S20" s="31">
        <v>0</v>
      </c>
      <c r="T20" s="21" t="str" cm="1">
        <f t="array" aca="1" ref="T20" ca="1">+fair_value_gap(OFFSET(S19,0,0,-1*$I$5,-1*$Z$1),OFFSET(E19,0,0,-1*$I$5,1),F20:S20,0)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0" s="7" t="str" cm="1">
        <f t="array" aca="1" ref="U20" ca="1">z_score_diff(OFFSET(T20,0,0,$I$5*-1,1),OFFSET(E20,0,0,$I$5*-1,1))</f>
        <v/>
      </c>
      <c r="V20" s="7" t="str">
        <f t="shared" ca="1" si="7"/>
        <v/>
      </c>
      <c r="W20" s="14">
        <f t="shared" ca="1" si="0"/>
        <v>0.14864074105277225</v>
      </c>
      <c r="X20" s="10">
        <f t="shared" ref="X20:Y20" ca="1" si="21">+X19</f>
        <v>0</v>
      </c>
      <c r="Y20" s="10">
        <f t="shared" ca="1" si="21"/>
        <v>0</v>
      </c>
      <c r="Z20" t="str">
        <f t="shared" ca="1" si="9"/>
        <v/>
      </c>
      <c r="AA20" t="str">
        <f t="shared" ca="1" si="10"/>
        <v/>
      </c>
      <c r="AB20" s="19" t="str">
        <f t="shared" ca="1" si="11"/>
        <v/>
      </c>
      <c r="AC20" s="19" t="str">
        <f t="shared" ca="1" si="12"/>
        <v/>
      </c>
    </row>
    <row r="21" spans="2:29" x14ac:dyDescent="0.25">
      <c r="C21" s="4">
        <v>14</v>
      </c>
      <c r="D21" s="28">
        <v>42026</v>
      </c>
      <c r="E21" s="30">
        <v>19.548999999999999</v>
      </c>
      <c r="F21" s="30">
        <v>42.692476902771666</v>
      </c>
      <c r="G21" s="30">
        <v>7.1579410470743507</v>
      </c>
      <c r="H21" s="30">
        <v>53.365596128464581</v>
      </c>
      <c r="I21" s="8">
        <v>1</v>
      </c>
      <c r="J21" s="31">
        <v>0</v>
      </c>
      <c r="K21" s="31">
        <v>0</v>
      </c>
      <c r="L21" s="31">
        <v>0</v>
      </c>
      <c r="M21" s="31">
        <v>0</v>
      </c>
      <c r="N21" s="31">
        <v>0</v>
      </c>
      <c r="O21" s="31">
        <v>0</v>
      </c>
      <c r="P21" s="31">
        <v>0</v>
      </c>
      <c r="Q21" s="31">
        <v>0</v>
      </c>
      <c r="R21" s="31">
        <v>0</v>
      </c>
      <c r="S21" s="31">
        <v>0</v>
      </c>
      <c r="T21" s="21" t="str" cm="1">
        <f t="array" aca="1" ref="T21" ca="1">+fair_value_gap(OFFSET(S20,0,0,-1*$I$5,-1*$Z$1),OFFSET(E20,0,0,-1*$I$5,1),F21:S21,0)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1" s="7" t="str" cm="1">
        <f t="array" aca="1" ref="U21" ca="1">z_score_diff(OFFSET(T21,0,0,$I$5*-1,1),OFFSET(E21,0,0,$I$5*-1,1))</f>
        <v/>
      </c>
      <c r="V21" s="7" t="str">
        <f t="shared" ca="1" si="7"/>
        <v/>
      </c>
      <c r="W21" s="14">
        <f t="shared" ca="1" si="0"/>
        <v>0.11251172240778706</v>
      </c>
      <c r="X21" s="10">
        <f t="shared" ref="X21:Y21" ca="1" si="22">+X20</f>
        <v>0</v>
      </c>
      <c r="Y21" s="10">
        <f t="shared" ca="1" si="22"/>
        <v>0</v>
      </c>
      <c r="Z21" t="str">
        <f t="shared" ca="1" si="9"/>
        <v/>
      </c>
      <c r="AA21" t="str">
        <f t="shared" ca="1" si="10"/>
        <v/>
      </c>
      <c r="AB21" s="19" t="str">
        <f t="shared" ca="1" si="11"/>
        <v/>
      </c>
      <c r="AC21" s="19" t="str">
        <f t="shared" ca="1" si="12"/>
        <v/>
      </c>
    </row>
    <row r="22" spans="2:29" x14ac:dyDescent="0.25">
      <c r="C22" s="4">
        <v>15</v>
      </c>
      <c r="D22" s="28">
        <v>42027</v>
      </c>
      <c r="E22" s="30">
        <v>19.466999999999999</v>
      </c>
      <c r="F22" s="30">
        <v>43.535290443472825</v>
      </c>
      <c r="G22" s="30">
        <v>7.0893191755153033</v>
      </c>
      <c r="H22" s="30">
        <v>53.939502096903723</v>
      </c>
      <c r="I22" s="8">
        <v>1</v>
      </c>
      <c r="J22" s="31">
        <v>0</v>
      </c>
      <c r="K22" s="31">
        <v>0</v>
      </c>
      <c r="L22" s="31">
        <v>0</v>
      </c>
      <c r="M22" s="31">
        <v>0</v>
      </c>
      <c r="N22" s="31">
        <v>0</v>
      </c>
      <c r="O22" s="31">
        <v>0</v>
      </c>
      <c r="P22" s="31">
        <v>0</v>
      </c>
      <c r="Q22" s="31">
        <v>0</v>
      </c>
      <c r="R22" s="31">
        <v>0</v>
      </c>
      <c r="S22" s="31">
        <v>0</v>
      </c>
      <c r="T22" s="21" t="str" cm="1">
        <f t="array" aca="1" ref="T22" ca="1">+fair_value_gap(OFFSET(S21,0,0,-1*$I$5,-1*$Z$1),OFFSET(E21,0,0,-1*$I$5,1),F22:S22,0)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2" s="7" t="str" cm="1">
        <f t="array" aca="1" ref="U22" ca="1">z_score_diff(OFFSET(T22,0,0,$I$5*-1,1),OFFSET(E22,0,0,$I$5*-1,1))</f>
        <v/>
      </c>
      <c r="V22" s="7" t="str">
        <f t="shared" ca="1" si="7"/>
        <v/>
      </c>
      <c r="W22" s="14">
        <f t="shared" ca="1" si="0"/>
        <v>0.13150669057629794</v>
      </c>
      <c r="X22" s="10">
        <f t="shared" ref="X22:Y22" ca="1" si="23">+X21</f>
        <v>0</v>
      </c>
      <c r="Y22" s="10">
        <f t="shared" ca="1" si="23"/>
        <v>0</v>
      </c>
      <c r="Z22" t="str">
        <f t="shared" ca="1" si="9"/>
        <v/>
      </c>
      <c r="AA22" t="str">
        <f t="shared" ca="1" si="10"/>
        <v/>
      </c>
      <c r="AB22" s="19" t="str">
        <f t="shared" ca="1" si="11"/>
        <v/>
      </c>
      <c r="AC22" s="19" t="str">
        <f t="shared" ca="1" si="12"/>
        <v/>
      </c>
    </row>
    <row r="23" spans="2:29" x14ac:dyDescent="0.25">
      <c r="C23" s="4">
        <v>16</v>
      </c>
      <c r="D23" s="28">
        <v>42030</v>
      </c>
      <c r="E23" s="30">
        <v>19.611999999999998</v>
      </c>
      <c r="F23" s="30">
        <v>42.858414167482422</v>
      </c>
      <c r="G23" s="30">
        <v>7.0703924535018254</v>
      </c>
      <c r="H23" s="30">
        <v>53.662009433122719</v>
      </c>
      <c r="I23" s="8">
        <v>1</v>
      </c>
      <c r="J23" s="31">
        <v>0</v>
      </c>
      <c r="K23" s="31">
        <v>0</v>
      </c>
      <c r="L23" s="31">
        <v>0</v>
      </c>
      <c r="M23" s="31">
        <v>0</v>
      </c>
      <c r="N23" s="31">
        <v>0</v>
      </c>
      <c r="O23" s="31">
        <v>0</v>
      </c>
      <c r="P23" s="31">
        <v>0</v>
      </c>
      <c r="Q23" s="31">
        <v>0</v>
      </c>
      <c r="R23" s="31">
        <v>0</v>
      </c>
      <c r="S23" s="31">
        <v>0</v>
      </c>
      <c r="T23" s="21" t="str" cm="1">
        <f t="array" aca="1" ref="T23" ca="1">+fair_value_gap(OFFSET(S22,0,0,-1*$I$5,-1*$Z$1),OFFSET(E22,0,0,-1*$I$5,1),F23:S23,0)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3" s="7" t="str" cm="1">
        <f t="array" aca="1" ref="U23" ca="1">z_score_diff(OFFSET(T23,0,0,$I$5*-1,1),OFFSET(E23,0,0,$I$5*-1,1))</f>
        <v/>
      </c>
      <c r="V23" s="7" t="str">
        <f t="shared" ca="1" si="7"/>
        <v/>
      </c>
      <c r="W23" s="14">
        <f t="shared" ca="1" si="0"/>
        <v>0.10929423284678291</v>
      </c>
      <c r="X23" s="10">
        <f t="shared" ref="X23:Y23" ca="1" si="24">+X22</f>
        <v>0</v>
      </c>
      <c r="Y23" s="10">
        <f t="shared" ca="1" si="24"/>
        <v>0</v>
      </c>
      <c r="Z23" t="str">
        <f t="shared" ca="1" si="9"/>
        <v/>
      </c>
      <c r="AA23" t="str">
        <f t="shared" ca="1" si="10"/>
        <v/>
      </c>
      <c r="AB23" s="19" t="str">
        <f t="shared" ca="1" si="11"/>
        <v/>
      </c>
      <c r="AC23" s="19" t="str">
        <f t="shared" ca="1" si="12"/>
        <v/>
      </c>
    </row>
    <row r="24" spans="2:29" x14ac:dyDescent="0.25">
      <c r="C24" s="4">
        <v>17</v>
      </c>
      <c r="D24" s="28">
        <v>42031</v>
      </c>
      <c r="E24" s="30">
        <v>19.919</v>
      </c>
      <c r="F24" s="30">
        <v>43.581407609173191</v>
      </c>
      <c r="G24" s="30">
        <v>6.8315613742201924</v>
      </c>
      <c r="H24" s="30">
        <v>53.158773394253586</v>
      </c>
      <c r="I24" s="8">
        <v>1</v>
      </c>
      <c r="J24" s="31">
        <v>0</v>
      </c>
      <c r="K24" s="31">
        <v>0</v>
      </c>
      <c r="L24" s="31">
        <v>0</v>
      </c>
      <c r="M24" s="31">
        <v>0</v>
      </c>
      <c r="N24" s="31">
        <v>0</v>
      </c>
      <c r="O24" s="31">
        <v>0</v>
      </c>
      <c r="P24" s="31">
        <v>0</v>
      </c>
      <c r="Q24" s="31">
        <v>0</v>
      </c>
      <c r="R24" s="31">
        <v>0</v>
      </c>
      <c r="S24" s="31">
        <v>0</v>
      </c>
      <c r="T24" s="21" t="str" cm="1">
        <f t="array" aca="1" ref="T24" ca="1">+fair_value_gap(OFFSET(S23,0,0,-1*$I$5,-1*$Z$1),OFFSET(E23,0,0,-1*$I$5,1),F24:S24,0)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4" s="7" t="str" cm="1">
        <f t="array" aca="1" ref="U24" ca="1">z_score_diff(OFFSET(T24,0,0,$I$5*-1,1),OFFSET(E24,0,0,$I$5*-1,1))</f>
        <v/>
      </c>
      <c r="V24" s="7" t="str">
        <f t="shared" ca="1" si="7"/>
        <v/>
      </c>
      <c r="W24" s="14">
        <f t="shared" ca="1" si="0"/>
        <v>0.11327130843417033</v>
      </c>
      <c r="X24" s="10">
        <f t="shared" ref="X24:Y24" ca="1" si="25">+X23</f>
        <v>0</v>
      </c>
      <c r="Y24" s="10">
        <f t="shared" ca="1" si="25"/>
        <v>0</v>
      </c>
      <c r="Z24" t="str">
        <f t="shared" ca="1" si="9"/>
        <v/>
      </c>
      <c r="AA24" t="str">
        <f t="shared" ca="1" si="10"/>
        <v/>
      </c>
      <c r="AB24" s="19" t="str">
        <f t="shared" ca="1" si="11"/>
        <v/>
      </c>
      <c r="AC24" s="19" t="str">
        <f t="shared" ca="1" si="12"/>
        <v/>
      </c>
    </row>
    <row r="25" spans="2:29" x14ac:dyDescent="0.25">
      <c r="C25" s="4">
        <v>18</v>
      </c>
      <c r="D25" s="28">
        <v>42032</v>
      </c>
      <c r="E25" s="30">
        <v>20.213999999999999</v>
      </c>
      <c r="F25" s="30">
        <v>42.947013999645577</v>
      </c>
      <c r="G25" s="30">
        <v>6.8624844940634411</v>
      </c>
      <c r="H25" s="30">
        <v>53.739145844409002</v>
      </c>
      <c r="I25" s="8">
        <v>1</v>
      </c>
      <c r="J25" s="31">
        <v>0</v>
      </c>
      <c r="K25" s="31">
        <v>0</v>
      </c>
      <c r="L25" s="31">
        <v>0</v>
      </c>
      <c r="M25" s="31">
        <v>0</v>
      </c>
      <c r="N25" s="31">
        <v>0</v>
      </c>
      <c r="O25" s="31">
        <v>0</v>
      </c>
      <c r="P25" s="31">
        <v>0</v>
      </c>
      <c r="Q25" s="31">
        <v>0</v>
      </c>
      <c r="R25" s="31">
        <v>0</v>
      </c>
      <c r="S25" s="31">
        <v>0</v>
      </c>
      <c r="T25" s="21" t="str" cm="1">
        <f t="array" aca="1" ref="T25" ca="1">+fair_value_gap(OFFSET(S24,0,0,-1*$I$5,-1*$Z$1),OFFSET(E24,0,0,-1*$I$5,1),F25:S25,0)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5" s="7" t="str" cm="1">
        <f t="array" aca="1" ref="U25" ca="1">z_score_diff(OFFSET(T25,0,0,$I$5*-1,1),OFFSET(E25,0,0,$I$5*-1,1))</f>
        <v/>
      </c>
      <c r="V25" s="7" t="str">
        <f t="shared" ca="1" si="7"/>
        <v/>
      </c>
      <c r="W25" s="14">
        <f t="shared" ca="1" si="0"/>
        <v>0.12981419259677604</v>
      </c>
      <c r="X25" s="10">
        <f t="shared" ref="X25:Y25" ca="1" si="26">+X24</f>
        <v>0</v>
      </c>
      <c r="Y25" s="10">
        <f t="shared" ca="1" si="26"/>
        <v>0</v>
      </c>
      <c r="Z25" t="str">
        <f t="shared" ca="1" si="9"/>
        <v/>
      </c>
      <c r="AA25" t="str">
        <f t="shared" ca="1" si="10"/>
        <v/>
      </c>
      <c r="AB25" s="19" t="str">
        <f t="shared" ca="1" si="11"/>
        <v/>
      </c>
      <c r="AC25" s="19" t="str">
        <f t="shared" ca="1" si="12"/>
        <v/>
      </c>
    </row>
    <row r="26" spans="2:29" x14ac:dyDescent="0.25">
      <c r="C26" s="4">
        <v>19</v>
      </c>
      <c r="D26" s="28">
        <v>42033</v>
      </c>
      <c r="E26" s="30">
        <v>20.7</v>
      </c>
      <c r="F26" s="30">
        <v>43.404894425302594</v>
      </c>
      <c r="G26" s="30">
        <v>6.7143740613128369</v>
      </c>
      <c r="H26" s="30">
        <v>53.538298436257627</v>
      </c>
      <c r="I26" s="8">
        <v>1</v>
      </c>
      <c r="J26" s="31">
        <v>0</v>
      </c>
      <c r="K26" s="31">
        <v>0</v>
      </c>
      <c r="L26" s="31">
        <v>0</v>
      </c>
      <c r="M26" s="31">
        <v>0</v>
      </c>
      <c r="N26" s="31">
        <v>0</v>
      </c>
      <c r="O26" s="31">
        <v>0</v>
      </c>
      <c r="P26" s="31">
        <v>0</v>
      </c>
      <c r="Q26" s="31">
        <v>0</v>
      </c>
      <c r="R26" s="31">
        <v>0</v>
      </c>
      <c r="S26" s="31">
        <v>0</v>
      </c>
      <c r="T26" s="21" t="str" cm="1">
        <f t="array" aca="1" ref="T26" ca="1">+fair_value_gap(OFFSET(S25,0,0,-1*$I$5,-1*$Z$1),OFFSET(E25,0,0,-1*$I$5,1),F26:S26,0)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6" s="7" t="str" cm="1">
        <f t="array" aca="1" ref="U26" ca="1">z_score_diff(OFFSET(T26,0,0,$I$5*-1,1),OFFSET(E26,0,0,$I$5*-1,1))</f>
        <v/>
      </c>
      <c r="V26" s="7" t="str">
        <f t="shared" ca="1" si="7"/>
        <v/>
      </c>
      <c r="W26" s="14">
        <f t="shared" ca="1" si="0"/>
        <v>0.1377014298822905</v>
      </c>
      <c r="X26" s="10">
        <f t="shared" ref="X26:Y26" ca="1" si="27">+X25</f>
        <v>0</v>
      </c>
      <c r="Y26" s="10">
        <f t="shared" ca="1" si="27"/>
        <v>0</v>
      </c>
      <c r="Z26" t="str">
        <f t="shared" ca="1" si="9"/>
        <v/>
      </c>
      <c r="AA26" t="str">
        <f t="shared" ca="1" si="10"/>
        <v/>
      </c>
      <c r="AB26" s="19" t="str">
        <f t="shared" ca="1" si="11"/>
        <v/>
      </c>
      <c r="AC26" s="19" t="str">
        <f t="shared" ca="1" si="12"/>
        <v/>
      </c>
    </row>
    <row r="27" spans="2:29" x14ac:dyDescent="0.25">
      <c r="B27" s="10"/>
      <c r="C27" s="4">
        <v>20</v>
      </c>
      <c r="D27" s="28">
        <v>42034</v>
      </c>
      <c r="E27" s="30">
        <v>20.265000000000001</v>
      </c>
      <c r="F27" s="30">
        <v>46.951975899344319</v>
      </c>
      <c r="G27" s="30">
        <v>6.6897040581251099</v>
      </c>
      <c r="H27" s="30">
        <v>53.694843168527377</v>
      </c>
      <c r="I27" s="8">
        <v>1</v>
      </c>
      <c r="J27" s="31">
        <v>0</v>
      </c>
      <c r="K27" s="31">
        <v>0</v>
      </c>
      <c r="L27" s="31">
        <v>0</v>
      </c>
      <c r="M27" s="31">
        <v>0</v>
      </c>
      <c r="N27" s="31">
        <v>0</v>
      </c>
      <c r="O27" s="31">
        <v>0</v>
      </c>
      <c r="P27" s="31">
        <v>0</v>
      </c>
      <c r="Q27" s="31">
        <v>0</v>
      </c>
      <c r="R27" s="31">
        <v>0</v>
      </c>
      <c r="S27" s="31">
        <v>0</v>
      </c>
      <c r="T27" s="21" t="str" cm="1">
        <f t="array" aca="1" ref="T27" ca="1">+fair_value_gap(OFFSET(S26,0,0,-1*$I$5,-1*$Z$1),OFFSET(E26,0,0,-1*$I$5,1),F27:S27,0)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7" s="7" t="str" cm="1">
        <f t="array" aca="1" ref="U27" ca="1">z_score_diff(OFFSET(T27,0,0,$I$5*-1,1),OFFSET(E27,0,0,$I$5*-1,1))</f>
        <v/>
      </c>
      <c r="V27" s="7" t="str">
        <f t="shared" ca="1" si="7"/>
        <v/>
      </c>
      <c r="W27" s="14">
        <f t="shared" ca="1" si="0"/>
        <v>0.12903077917689448</v>
      </c>
      <c r="X27" s="10">
        <f t="shared" ref="X27:Y27" ca="1" si="28">+X26</f>
        <v>0</v>
      </c>
      <c r="Y27" s="10">
        <f t="shared" ca="1" si="28"/>
        <v>0</v>
      </c>
      <c r="Z27" t="str">
        <f t="shared" ca="1" si="9"/>
        <v/>
      </c>
      <c r="AA27" t="str">
        <f t="shared" ca="1" si="10"/>
        <v/>
      </c>
      <c r="AB27" s="19" t="str">
        <f t="shared" ca="1" si="11"/>
        <v/>
      </c>
      <c r="AC27" s="19" t="str">
        <f t="shared" ca="1" si="12"/>
        <v/>
      </c>
    </row>
    <row r="28" spans="2:29" x14ac:dyDescent="0.25">
      <c r="B28" s="10"/>
      <c r="C28" s="4">
        <v>21</v>
      </c>
      <c r="D28" s="28">
        <v>42037</v>
      </c>
      <c r="E28" s="30">
        <v>20.286999999999999</v>
      </c>
      <c r="F28" s="30">
        <v>48.280423280423285</v>
      </c>
      <c r="G28" s="30">
        <v>6.6137566137566139</v>
      </c>
      <c r="H28" s="30">
        <v>54.232804232804234</v>
      </c>
      <c r="I28" s="8">
        <v>0</v>
      </c>
      <c r="J28" s="31">
        <v>1</v>
      </c>
      <c r="K28" s="31">
        <v>0</v>
      </c>
      <c r="L28" s="31">
        <v>0</v>
      </c>
      <c r="M28" s="31">
        <v>0</v>
      </c>
      <c r="N28" s="31">
        <v>0</v>
      </c>
      <c r="O28" s="31">
        <v>0</v>
      </c>
      <c r="P28" s="31">
        <v>0</v>
      </c>
      <c r="Q28" s="31">
        <v>0</v>
      </c>
      <c r="R28" s="31">
        <v>0</v>
      </c>
      <c r="S28" s="31">
        <v>0</v>
      </c>
      <c r="T28" s="21" t="str" cm="1">
        <f t="array" aca="1" ref="T28" ca="1">+fair_value_gap(OFFSET(S27,0,0,-1*$I$5,-1*$Z$1),OFFSET(E27,0,0,-1*$I$5,1),F28:S28,0)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8" s="7" t="str" cm="1">
        <f t="array" aca="1" ref="U28" ca="1">z_score_diff(OFFSET(T28,0,0,$I$5*-1,1),OFFSET(E28,0,0,$I$5*-1,1))</f>
        <v/>
      </c>
      <c r="V28" s="7" t="str">
        <f t="shared" ca="1" si="7"/>
        <v/>
      </c>
      <c r="W28" s="14">
        <f t="shared" ca="1" si="0"/>
        <v>9.9080672041801696E-2</v>
      </c>
      <c r="X28" s="10">
        <f t="shared" ref="X28:Y28" ca="1" si="29">+X27</f>
        <v>0</v>
      </c>
      <c r="Y28" s="10">
        <f t="shared" ca="1" si="29"/>
        <v>0</v>
      </c>
      <c r="Z28" t="str">
        <f t="shared" ca="1" si="9"/>
        <v/>
      </c>
      <c r="AA28" t="str">
        <f t="shared" ca="1" si="10"/>
        <v/>
      </c>
      <c r="AB28" s="19" t="str">
        <f t="shared" ca="1" si="11"/>
        <v/>
      </c>
      <c r="AC28" s="19" t="str">
        <f t="shared" ca="1" si="12"/>
        <v/>
      </c>
    </row>
    <row r="29" spans="2:29" x14ac:dyDescent="0.25">
      <c r="B29" s="10"/>
      <c r="C29" s="4">
        <v>22</v>
      </c>
      <c r="D29" s="28">
        <v>42038</v>
      </c>
      <c r="E29" s="30">
        <v>20.111999999999998</v>
      </c>
      <c r="F29" s="30">
        <v>50.448645352382613</v>
      </c>
      <c r="G29" s="30">
        <v>6.5031797194877603</v>
      </c>
      <c r="H29" s="30">
        <v>54.316578099137558</v>
      </c>
      <c r="I29" s="8">
        <v>0</v>
      </c>
      <c r="J29" s="31">
        <v>1</v>
      </c>
      <c r="K29" s="31">
        <v>0</v>
      </c>
      <c r="L29" s="31">
        <v>0</v>
      </c>
      <c r="M29" s="31">
        <v>0</v>
      </c>
      <c r="N29" s="31">
        <v>0</v>
      </c>
      <c r="O29" s="31">
        <v>0</v>
      </c>
      <c r="P29" s="31">
        <v>0</v>
      </c>
      <c r="Q29" s="31">
        <v>0</v>
      </c>
      <c r="R29" s="31">
        <v>0</v>
      </c>
      <c r="S29" s="31">
        <v>0</v>
      </c>
      <c r="T29" s="21" t="str" cm="1">
        <f t="array" aca="1" ref="T29" ca="1">+fair_value_gap(OFFSET(S28,0,0,-1*$I$5,-1*$Z$1),OFFSET(E28,0,0,-1*$I$5,1),F29:S29,0)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9" s="7" t="str" cm="1">
        <f t="array" aca="1" ref="U29" ca="1">z_score_diff(OFFSET(T29,0,0,$I$5*-1,1),OFFSET(E29,0,0,$I$5*-1,1))</f>
        <v/>
      </c>
      <c r="V29" s="7" t="str">
        <f t="shared" ca="1" si="7"/>
        <v/>
      </c>
      <c r="W29" s="14">
        <f t="shared" ca="1" si="0"/>
        <v>8.52613050056759E-2</v>
      </c>
      <c r="X29" s="10">
        <f t="shared" ref="X29:Y29" ca="1" si="30">+X28</f>
        <v>0</v>
      </c>
      <c r="Y29" s="10">
        <f t="shared" ca="1" si="30"/>
        <v>0</v>
      </c>
      <c r="Z29" t="str">
        <f t="shared" ca="1" si="9"/>
        <v/>
      </c>
      <c r="AA29" t="str">
        <f t="shared" ca="1" si="10"/>
        <v/>
      </c>
      <c r="AB29" s="19" t="str">
        <f t="shared" ca="1" si="11"/>
        <v/>
      </c>
      <c r="AC29" s="19" t="str">
        <f t="shared" ca="1" si="12"/>
        <v/>
      </c>
    </row>
    <row r="30" spans="2:29" x14ac:dyDescent="0.25">
      <c r="B30" s="10"/>
      <c r="C30" s="4">
        <v>23</v>
      </c>
      <c r="D30" s="28">
        <v>42039</v>
      </c>
      <c r="E30" s="30">
        <v>20.405999999999999</v>
      </c>
      <c r="F30" s="30">
        <v>47.743300423131167</v>
      </c>
      <c r="G30" s="30">
        <v>6.5805712270803944</v>
      </c>
      <c r="H30" s="30">
        <v>54.654442877291956</v>
      </c>
      <c r="I30" s="8">
        <v>0</v>
      </c>
      <c r="J30" s="31">
        <v>1</v>
      </c>
      <c r="K30" s="31">
        <v>0</v>
      </c>
      <c r="L30" s="31">
        <v>0</v>
      </c>
      <c r="M30" s="31">
        <v>0</v>
      </c>
      <c r="N30" s="31">
        <v>0</v>
      </c>
      <c r="O30" s="31">
        <v>0</v>
      </c>
      <c r="P30" s="31">
        <v>0</v>
      </c>
      <c r="Q30" s="31">
        <v>0</v>
      </c>
      <c r="R30" s="31">
        <v>0</v>
      </c>
      <c r="S30" s="31">
        <v>0</v>
      </c>
      <c r="T30" s="21" t="str" cm="1">
        <f t="array" aca="1" ref="T30" ca="1">+fair_value_gap(OFFSET(S29,0,0,-1*$I$5,-1*$Z$1),OFFSET(E29,0,0,-1*$I$5,1),F30:S30,0)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30" s="7" t="str" cm="1">
        <f t="array" aca="1" ref="U30" ca="1">z_score_diff(OFFSET(T30,0,0,$I$5*-1,1),OFFSET(E30,0,0,$I$5*-1,1))</f>
        <v/>
      </c>
      <c r="V30" s="7" t="str">
        <f t="shared" ca="1" si="7"/>
        <v/>
      </c>
      <c r="W30" s="14">
        <f t="shared" ca="1" si="0"/>
        <v>8.0969607035680569E-2</v>
      </c>
      <c r="X30" s="10">
        <f t="shared" ref="X30:Y30" ca="1" si="31">+X29</f>
        <v>0</v>
      </c>
      <c r="Y30" s="10">
        <f t="shared" ca="1" si="31"/>
        <v>0</v>
      </c>
      <c r="Z30" t="str">
        <f t="shared" ca="1" si="9"/>
        <v/>
      </c>
      <c r="AA30" t="str">
        <f t="shared" ca="1" si="10"/>
        <v/>
      </c>
      <c r="AB30" s="19" t="str">
        <f t="shared" ca="1" si="11"/>
        <v/>
      </c>
      <c r="AC30" s="19" t="str">
        <f t="shared" ca="1" si="12"/>
        <v/>
      </c>
    </row>
    <row r="31" spans="2:29" x14ac:dyDescent="0.25">
      <c r="B31" s="10"/>
      <c r="C31" s="4">
        <v>24</v>
      </c>
      <c r="D31" s="28">
        <v>42040</v>
      </c>
      <c r="E31" s="30">
        <v>21.373999999999999</v>
      </c>
      <c r="F31" s="30">
        <v>49.298474945533769</v>
      </c>
      <c r="G31" s="30">
        <v>6.461873638344227</v>
      </c>
      <c r="H31" s="30">
        <v>54.161220043572982</v>
      </c>
      <c r="I31" s="8">
        <v>0</v>
      </c>
      <c r="J31" s="31">
        <v>1</v>
      </c>
      <c r="K31" s="31">
        <v>0</v>
      </c>
      <c r="L31" s="31">
        <v>0</v>
      </c>
      <c r="M31" s="31">
        <v>0</v>
      </c>
      <c r="N31" s="31">
        <v>0</v>
      </c>
      <c r="O31" s="31">
        <v>0</v>
      </c>
      <c r="P31" s="31">
        <v>0</v>
      </c>
      <c r="Q31" s="31">
        <v>0</v>
      </c>
      <c r="R31" s="31">
        <v>0</v>
      </c>
      <c r="S31" s="31">
        <v>0</v>
      </c>
      <c r="T31" s="21" t="str" cm="1">
        <f t="array" aca="1" ref="T31" ca="1">+fair_value_gap(OFFSET(S30,0,0,-1*$I$5,-1*$Z$1),OFFSET(E30,0,0,-1*$I$5,1),F31:S31,0)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31" s="7" t="str" cm="1">
        <f t="array" aca="1" ref="U31" ca="1">z_score_diff(OFFSET(T31,0,0,$I$5*-1,1),OFFSET(E31,0,0,$I$5*-1,1))</f>
        <v/>
      </c>
      <c r="V31" s="7" t="str">
        <f t="shared" ca="1" si="7"/>
        <v/>
      </c>
      <c r="W31" s="14">
        <f t="shared" ca="1" si="0"/>
        <v>2.8032161881003954E-3</v>
      </c>
      <c r="X31" s="10">
        <f t="shared" ref="X31:Y31" ca="1" si="32">+X30</f>
        <v>0</v>
      </c>
      <c r="Y31" s="10">
        <f t="shared" ca="1" si="32"/>
        <v>0</v>
      </c>
      <c r="Z31" t="str">
        <f t="shared" ca="1" si="9"/>
        <v/>
      </c>
      <c r="AA31" t="str">
        <f t="shared" ca="1" si="10"/>
        <v/>
      </c>
      <c r="AB31" s="19" t="str">
        <f t="shared" ca="1" si="11"/>
        <v/>
      </c>
      <c r="AC31" s="19" t="str">
        <f t="shared" ca="1" si="12"/>
        <v/>
      </c>
    </row>
    <row r="32" spans="2:29" x14ac:dyDescent="0.25">
      <c r="B32" s="10"/>
      <c r="C32" s="4">
        <v>25</v>
      </c>
      <c r="D32" s="28">
        <v>42041</v>
      </c>
      <c r="E32" s="30">
        <v>21.009</v>
      </c>
      <c r="F32" s="30">
        <v>51.091664456819586</v>
      </c>
      <c r="G32" s="30">
        <v>6.558826129231857</v>
      </c>
      <c r="H32" s="30">
        <v>54.848404490409266</v>
      </c>
      <c r="I32" s="8">
        <v>0</v>
      </c>
      <c r="J32" s="31">
        <v>1</v>
      </c>
      <c r="K32" s="31">
        <v>0</v>
      </c>
      <c r="L32" s="31">
        <v>0</v>
      </c>
      <c r="M32" s="31">
        <v>0</v>
      </c>
      <c r="N32" s="31">
        <v>0</v>
      </c>
      <c r="O32" s="31">
        <v>0</v>
      </c>
      <c r="P32" s="31">
        <v>0</v>
      </c>
      <c r="Q32" s="31">
        <v>0</v>
      </c>
      <c r="R32" s="31">
        <v>0</v>
      </c>
      <c r="S32" s="31">
        <v>0</v>
      </c>
      <c r="T32" s="21" t="str" cm="1">
        <f t="array" aca="1" ref="T32" ca="1">+fair_value_gap(OFFSET(S31,0,0,-1*$I$5,-1*$Z$1),OFFSET(E31,0,0,-1*$I$5,1),F32:S32,0)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32" s="7" t="str" cm="1">
        <f t="array" aca="1" ref="U32" ca="1">z_score_diff(OFFSET(T32,0,0,$I$5*-1,1),OFFSET(E32,0,0,$I$5*-1,1))</f>
        <v/>
      </c>
      <c r="V32" s="7" t="str">
        <f t="shared" ca="1" si="7"/>
        <v/>
      </c>
      <c r="W32" s="14">
        <f t="shared" ca="1" si="0"/>
        <v>-4.7609979950934134E-4</v>
      </c>
      <c r="X32" s="10">
        <f t="shared" ref="X32:Y32" ca="1" si="33">+X31</f>
        <v>0</v>
      </c>
      <c r="Y32" s="10">
        <f t="shared" ca="1" si="33"/>
        <v>0</v>
      </c>
      <c r="Z32" t="str">
        <f t="shared" ca="1" si="9"/>
        <v/>
      </c>
      <c r="AA32" t="str">
        <f t="shared" ca="1" si="10"/>
        <v/>
      </c>
      <c r="AB32" s="19" t="str">
        <f t="shared" ca="1" si="11"/>
        <v/>
      </c>
      <c r="AC32" s="19" t="str">
        <f t="shared" ca="1" si="12"/>
        <v/>
      </c>
    </row>
    <row r="33" spans="2:29" x14ac:dyDescent="0.25">
      <c r="B33" s="10"/>
      <c r="C33" s="4">
        <v>26</v>
      </c>
      <c r="D33" s="28">
        <v>42044</v>
      </c>
      <c r="E33" s="30">
        <v>21.600999999999999</v>
      </c>
      <c r="F33" s="30">
        <v>51.523447849509843</v>
      </c>
      <c r="G33" s="30">
        <v>6.5618652300627032</v>
      </c>
      <c r="H33" s="30">
        <v>55.859754482027725</v>
      </c>
      <c r="I33" s="8">
        <v>0</v>
      </c>
      <c r="J33" s="31">
        <v>1</v>
      </c>
      <c r="K33" s="31">
        <v>0</v>
      </c>
      <c r="L33" s="31">
        <v>0</v>
      </c>
      <c r="M33" s="31">
        <v>0</v>
      </c>
      <c r="N33" s="31">
        <v>0</v>
      </c>
      <c r="O33" s="31">
        <v>0</v>
      </c>
      <c r="P33" s="31">
        <v>0</v>
      </c>
      <c r="Q33" s="31">
        <v>0</v>
      </c>
      <c r="R33" s="31">
        <v>0</v>
      </c>
      <c r="S33" s="31">
        <v>0</v>
      </c>
      <c r="T33" s="21" t="str" cm="1">
        <f t="array" aca="1" ref="T33" ca="1">+fair_value_gap(OFFSET(S32,0,0,-1*$I$5,-1*$Z$1),OFFSET(E32,0,0,-1*$I$5,1),F33:S33,0)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33" s="7" t="str" cm="1">
        <f t="array" aca="1" ref="U33" ca="1">z_score_diff(OFFSET(T33,0,0,$I$5*-1,1),OFFSET(E33,0,0,$I$5*-1,1))</f>
        <v/>
      </c>
      <c r="V33" s="7" t="str">
        <f t="shared" ca="1" si="7"/>
        <v/>
      </c>
      <c r="W33" s="14">
        <f t="shared" ca="1" si="0"/>
        <v>3.37377558602827E-3</v>
      </c>
      <c r="X33" s="10">
        <f t="shared" ref="X33:Y33" ca="1" si="34">+X32</f>
        <v>0</v>
      </c>
      <c r="Y33" s="10">
        <f t="shared" ca="1" si="34"/>
        <v>0</v>
      </c>
      <c r="Z33" t="str">
        <f t="shared" ca="1" si="9"/>
        <v/>
      </c>
      <c r="AA33" t="str">
        <f t="shared" ca="1" si="10"/>
        <v/>
      </c>
      <c r="AB33" s="19" t="str">
        <f t="shared" ca="1" si="11"/>
        <v/>
      </c>
      <c r="AC33" s="19" t="str">
        <f t="shared" ca="1" si="12"/>
        <v/>
      </c>
    </row>
    <row r="34" spans="2:29" x14ac:dyDescent="0.25">
      <c r="B34" s="10"/>
      <c r="C34" s="4">
        <v>27</v>
      </c>
      <c r="D34" s="28">
        <v>42045</v>
      </c>
      <c r="E34" s="30">
        <v>22.344000000000001</v>
      </c>
      <c r="F34" s="30">
        <v>49.854227405247819</v>
      </c>
      <c r="G34" s="30">
        <v>6.5641841152045233</v>
      </c>
      <c r="H34" s="30">
        <v>56.100362222811206</v>
      </c>
      <c r="I34" s="8">
        <v>0</v>
      </c>
      <c r="J34" s="31">
        <v>1</v>
      </c>
      <c r="K34" s="31">
        <v>0</v>
      </c>
      <c r="L34" s="31">
        <v>0</v>
      </c>
      <c r="M34" s="31">
        <v>0</v>
      </c>
      <c r="N34" s="31">
        <v>0</v>
      </c>
      <c r="O34" s="31">
        <v>0</v>
      </c>
      <c r="P34" s="31">
        <v>0</v>
      </c>
      <c r="Q34" s="31">
        <v>0</v>
      </c>
      <c r="R34" s="31">
        <v>0</v>
      </c>
      <c r="S34" s="31">
        <v>0</v>
      </c>
      <c r="T34" s="21" t="str" cm="1">
        <f t="array" aca="1" ref="T34" ca="1">+fair_value_gap(OFFSET(S33,0,0,-1*$I$5,-1*$Z$1),OFFSET(E33,0,0,-1*$I$5,1),F34:S34,0)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34" s="7" t="str" cm="1">
        <f t="array" aca="1" ref="U34" ca="1">z_score_diff(OFFSET(T34,0,0,$I$5*-1,1),OFFSET(E34,0,0,$I$5*-1,1))</f>
        <v/>
      </c>
      <c r="V34" s="7" t="str">
        <f t="shared" ca="1" si="7"/>
        <v/>
      </c>
      <c r="W34" s="14">
        <f t="shared" ca="1" si="0"/>
        <v>-3.451287223972116E-2</v>
      </c>
      <c r="X34" s="10">
        <f t="shared" ref="X34:Y34" ca="1" si="35">+X33</f>
        <v>0</v>
      </c>
      <c r="Y34" s="10">
        <f t="shared" ca="1" si="35"/>
        <v>0</v>
      </c>
      <c r="Z34" t="str">
        <f t="shared" ca="1" si="9"/>
        <v/>
      </c>
      <c r="AA34" t="str">
        <f t="shared" ca="1" si="10"/>
        <v/>
      </c>
      <c r="AB34" s="19" t="str">
        <f t="shared" ca="1" si="11"/>
        <v/>
      </c>
      <c r="AC34" s="19" t="str">
        <f t="shared" ca="1" si="12"/>
        <v/>
      </c>
    </row>
    <row r="35" spans="2:29" x14ac:dyDescent="0.25">
      <c r="B35" s="10"/>
      <c r="C35" s="4">
        <v>28</v>
      </c>
      <c r="D35" s="28">
        <v>42046</v>
      </c>
      <c r="E35" s="30">
        <v>22.878</v>
      </c>
      <c r="F35" s="30">
        <v>48.239343394228221</v>
      </c>
      <c r="G35" s="30">
        <v>6.557232371370576</v>
      </c>
      <c r="H35" s="30">
        <v>56.482216927014385</v>
      </c>
      <c r="I35" s="8">
        <v>0</v>
      </c>
      <c r="J35" s="31">
        <v>1</v>
      </c>
      <c r="K35" s="31">
        <v>0</v>
      </c>
      <c r="L35" s="31">
        <v>0</v>
      </c>
      <c r="M35" s="31">
        <v>0</v>
      </c>
      <c r="N35" s="31">
        <v>0</v>
      </c>
      <c r="O35" s="31">
        <v>0</v>
      </c>
      <c r="P35" s="31">
        <v>0</v>
      </c>
      <c r="Q35" s="31">
        <v>0</v>
      </c>
      <c r="R35" s="31">
        <v>0</v>
      </c>
      <c r="S35" s="31">
        <v>0</v>
      </c>
      <c r="T35" s="21" t="str" cm="1">
        <f t="array" aca="1" ref="T35" ca="1">+fair_value_gap(OFFSET(S34,0,0,-1*$I$5,-1*$Z$1),OFFSET(E34,0,0,-1*$I$5,1),F35:S35,0)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35" s="7" t="str" cm="1">
        <f t="array" aca="1" ref="U35" ca="1">z_score_diff(OFFSET(T35,0,0,$I$5*-1,1),OFFSET(E35,0,0,$I$5*-1,1))</f>
        <v/>
      </c>
      <c r="V35" s="7" t="str">
        <f t="shared" ca="1" si="7"/>
        <v/>
      </c>
      <c r="W35" s="14">
        <f t="shared" ca="1" si="0"/>
        <v>-3.3693573449347633E-2</v>
      </c>
      <c r="X35" s="10">
        <f t="shared" ref="X35:Y35" ca="1" si="36">+X34</f>
        <v>0</v>
      </c>
      <c r="Y35" s="10">
        <f t="shared" ca="1" si="36"/>
        <v>0</v>
      </c>
      <c r="Z35" t="str">
        <f t="shared" ca="1" si="9"/>
        <v/>
      </c>
      <c r="AA35" t="str">
        <f t="shared" ca="1" si="10"/>
        <v/>
      </c>
      <c r="AB35" s="19" t="str">
        <f t="shared" ca="1" si="11"/>
        <v/>
      </c>
      <c r="AC35" s="19" t="str">
        <f t="shared" ca="1" si="12"/>
        <v/>
      </c>
    </row>
    <row r="36" spans="2:29" x14ac:dyDescent="0.25">
      <c r="B36" s="10"/>
      <c r="C36" s="4">
        <v>29</v>
      </c>
      <c r="D36" s="28">
        <v>42047</v>
      </c>
      <c r="E36" s="30">
        <v>24.102</v>
      </c>
      <c r="F36" s="30">
        <v>50.035081564637778</v>
      </c>
      <c r="G36" s="30">
        <v>6.5164006314681631</v>
      </c>
      <c r="H36" s="30">
        <v>56.48131906683038</v>
      </c>
      <c r="I36" s="8">
        <v>0</v>
      </c>
      <c r="J36" s="31">
        <v>1</v>
      </c>
      <c r="K36" s="31">
        <v>0</v>
      </c>
      <c r="L36" s="31">
        <v>0</v>
      </c>
      <c r="M36" s="31">
        <v>0</v>
      </c>
      <c r="N36" s="31">
        <v>0</v>
      </c>
      <c r="O36" s="31">
        <v>0</v>
      </c>
      <c r="P36" s="31">
        <v>0</v>
      </c>
      <c r="Q36" s="31">
        <v>0</v>
      </c>
      <c r="R36" s="31">
        <v>0</v>
      </c>
      <c r="S36" s="31">
        <v>0</v>
      </c>
      <c r="T36" s="21" t="str" cm="1">
        <f t="array" aca="1" ref="T36" ca="1">+fair_value_gap(OFFSET(S35,0,0,-1*$I$5,-1*$Z$1),OFFSET(E35,0,0,-1*$I$5,1),F36:S36,0)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36" s="7" t="str" cm="1">
        <f t="array" aca="1" ref="U36" ca="1">z_score_diff(OFFSET(T36,0,0,$I$5*-1,1),OFFSET(E36,0,0,$I$5*-1,1))</f>
        <v/>
      </c>
      <c r="V36" s="7" t="str">
        <f t="shared" ca="1" si="7"/>
        <v/>
      </c>
      <c r="W36" s="14">
        <f t="shared" ca="1" si="0"/>
        <v>-9.6904679120673812E-2</v>
      </c>
      <c r="X36" s="10">
        <f t="shared" ref="X36:Y36" ca="1" si="37">+X35</f>
        <v>0</v>
      </c>
      <c r="Y36" s="10">
        <f t="shared" ca="1" si="37"/>
        <v>0</v>
      </c>
      <c r="Z36" t="str">
        <f t="shared" ca="1" si="9"/>
        <v/>
      </c>
      <c r="AA36" t="str">
        <f t="shared" ca="1" si="10"/>
        <v/>
      </c>
      <c r="AB36" s="19" t="str">
        <f t="shared" ca="1" si="11"/>
        <v/>
      </c>
      <c r="AC36" s="19" t="str">
        <f t="shared" ca="1" si="12"/>
        <v/>
      </c>
    </row>
    <row r="37" spans="2:29" x14ac:dyDescent="0.25">
      <c r="B37" s="10"/>
      <c r="C37" s="4">
        <v>30</v>
      </c>
      <c r="D37" s="28">
        <v>42048</v>
      </c>
      <c r="E37" s="30">
        <v>23.55</v>
      </c>
      <c r="F37" s="30">
        <v>54.045506456997273</v>
      </c>
      <c r="G37" s="30">
        <v>6.5272775191074404</v>
      </c>
      <c r="H37" s="30">
        <v>56.443819731178067</v>
      </c>
      <c r="I37" s="8">
        <v>0</v>
      </c>
      <c r="J37" s="31">
        <v>1</v>
      </c>
      <c r="K37" s="31">
        <v>0</v>
      </c>
      <c r="L37" s="31">
        <v>0</v>
      </c>
      <c r="M37" s="31">
        <v>0</v>
      </c>
      <c r="N37" s="31">
        <v>0</v>
      </c>
      <c r="O37" s="31">
        <v>0</v>
      </c>
      <c r="P37" s="31">
        <v>0</v>
      </c>
      <c r="Q37" s="31">
        <v>0</v>
      </c>
      <c r="R37" s="31">
        <v>0</v>
      </c>
      <c r="S37" s="31">
        <v>0</v>
      </c>
      <c r="T37" s="21" t="str" cm="1">
        <f t="array" aca="1" ref="T37" ca="1">+fair_value_gap(OFFSET(S36,0,0,-1*$I$5,-1*$Z$1),OFFSET(E36,0,0,-1*$I$5,1),F37:S37,0)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37" s="7" t="str" cm="1">
        <f t="array" aca="1" ref="U37" ca="1">z_score_diff(OFFSET(T37,0,0,$I$5*-1,1),OFFSET(E37,0,0,$I$5*-1,1))</f>
        <v/>
      </c>
      <c r="V37" s="7" t="str">
        <f t="shared" ca="1" si="7"/>
        <v/>
      </c>
      <c r="W37" s="14">
        <f t="shared" ca="1" si="0"/>
        <v>-8.5137048942668367E-2</v>
      </c>
      <c r="X37" s="10">
        <f t="shared" ref="X37:Y37" ca="1" si="38">+X36</f>
        <v>0</v>
      </c>
      <c r="Y37" s="10">
        <f t="shared" ca="1" si="38"/>
        <v>0</v>
      </c>
      <c r="Z37" t="str">
        <f t="shared" ca="1" si="9"/>
        <v/>
      </c>
      <c r="AA37" t="str">
        <f t="shared" ca="1" si="10"/>
        <v/>
      </c>
      <c r="AB37" s="19" t="str">
        <f t="shared" ca="1" si="11"/>
        <v/>
      </c>
      <c r="AC37" s="19" t="str">
        <f t="shared" ca="1" si="12"/>
        <v/>
      </c>
    </row>
    <row r="38" spans="2:29" x14ac:dyDescent="0.25">
      <c r="B38" s="10"/>
      <c r="C38" s="4">
        <v>31</v>
      </c>
      <c r="D38" s="28">
        <v>42051</v>
      </c>
      <c r="E38" s="30">
        <v>22.806999999999999</v>
      </c>
      <c r="F38" s="30">
        <v>54.087385482734319</v>
      </c>
      <c r="G38" s="30">
        <v>6.5451021846370683</v>
      </c>
      <c r="H38" s="30">
        <v>56.597956307258634</v>
      </c>
      <c r="I38" s="8">
        <v>0</v>
      </c>
      <c r="J38" s="31">
        <v>1</v>
      </c>
      <c r="K38" s="31">
        <v>0</v>
      </c>
      <c r="L38" s="31">
        <v>0</v>
      </c>
      <c r="M38" s="31">
        <v>0</v>
      </c>
      <c r="N38" s="31">
        <v>0</v>
      </c>
      <c r="O38" s="31">
        <v>0</v>
      </c>
      <c r="P38" s="31">
        <v>0</v>
      </c>
      <c r="Q38" s="31">
        <v>0</v>
      </c>
      <c r="R38" s="31">
        <v>0</v>
      </c>
      <c r="S38" s="31">
        <v>0</v>
      </c>
      <c r="T38" s="21" t="str" cm="1">
        <f t="array" aca="1" ref="T38" ca="1">+fair_value_gap(OFFSET(S37,0,0,-1*$I$5,-1*$Z$1),OFFSET(E37,0,0,-1*$I$5,1),F38:S38,0)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38" s="7" t="str" cm="1">
        <f t="array" aca="1" ref="U38" ca="1">z_score_diff(OFFSET(T38,0,0,$I$5*-1,1),OFFSET(E38,0,0,$I$5*-1,1))</f>
        <v/>
      </c>
      <c r="V38" s="7" t="str">
        <f t="shared" ca="1" si="7"/>
        <v/>
      </c>
      <c r="W38" s="14">
        <f t="shared" ca="1" si="0"/>
        <v>-6.5313437288024564E-2</v>
      </c>
      <c r="X38" s="10">
        <f t="shared" ref="X38:Y38" ca="1" si="39">+X37</f>
        <v>0</v>
      </c>
      <c r="Y38" s="10">
        <f t="shared" ca="1" si="39"/>
        <v>0</v>
      </c>
      <c r="Z38" t="str">
        <f t="shared" ca="1" si="9"/>
        <v/>
      </c>
      <c r="AA38" t="str">
        <f t="shared" ca="1" si="10"/>
        <v/>
      </c>
      <c r="AB38" s="19" t="str">
        <f t="shared" ca="1" si="11"/>
        <v/>
      </c>
      <c r="AC38" s="19" t="str">
        <f t="shared" ca="1" si="12"/>
        <v/>
      </c>
    </row>
    <row r="39" spans="2:29" x14ac:dyDescent="0.25">
      <c r="C39" s="4">
        <v>32</v>
      </c>
      <c r="D39" s="28">
        <v>42052</v>
      </c>
      <c r="E39" s="30">
        <v>22.684000000000001</v>
      </c>
      <c r="F39" s="30">
        <v>54.802804557405786</v>
      </c>
      <c r="G39" s="30">
        <v>5.8939526730937768</v>
      </c>
      <c r="H39" s="30">
        <v>56.397896581945659</v>
      </c>
      <c r="I39" s="8">
        <v>0</v>
      </c>
      <c r="J39" s="31">
        <v>1</v>
      </c>
      <c r="K39" s="31">
        <v>0</v>
      </c>
      <c r="L39" s="31">
        <v>0</v>
      </c>
      <c r="M39" s="31">
        <v>0</v>
      </c>
      <c r="N39" s="31">
        <v>0</v>
      </c>
      <c r="O39" s="31">
        <v>0</v>
      </c>
      <c r="P39" s="31">
        <v>0</v>
      </c>
      <c r="Q39" s="31">
        <v>0</v>
      </c>
      <c r="R39" s="31">
        <v>0</v>
      </c>
      <c r="S39" s="31">
        <v>0</v>
      </c>
      <c r="T39" s="21" t="str" cm="1">
        <f t="array" aca="1" ref="T39" ca="1">+fair_value_gap(OFFSET(S38,0,0,-1*$I$5,-1*$Z$1),OFFSET(E38,0,0,-1*$I$5,1),F39:S39,0)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39" s="7" t="str" cm="1">
        <f t="array" aca="1" ref="U39" ca="1">z_score_diff(OFFSET(T39,0,0,$I$5*-1,1),OFFSET(E39,0,0,$I$5*-1,1))</f>
        <v/>
      </c>
      <c r="V39" s="7" t="str">
        <f t="shared" ca="1" si="7"/>
        <v/>
      </c>
      <c r="W39" s="14">
        <f t="shared" ca="1" si="0"/>
        <v>-7.0256359227329701E-2</v>
      </c>
      <c r="X39" s="10">
        <f t="shared" ref="X39:Y39" ca="1" si="40">+X38</f>
        <v>0</v>
      </c>
      <c r="Y39" s="10">
        <f t="shared" ca="1" si="40"/>
        <v>0</v>
      </c>
      <c r="Z39" t="str">
        <f t="shared" ca="1" si="9"/>
        <v/>
      </c>
      <c r="AA39" t="str">
        <f t="shared" ca="1" si="10"/>
        <v/>
      </c>
      <c r="AB39" s="19" t="str">
        <f t="shared" ca="1" si="11"/>
        <v/>
      </c>
      <c r="AC39" s="19" t="str">
        <f t="shared" ca="1" si="12"/>
        <v/>
      </c>
    </row>
    <row r="40" spans="2:29" x14ac:dyDescent="0.25">
      <c r="C40" s="4">
        <v>33</v>
      </c>
      <c r="D40" s="28">
        <v>42053</v>
      </c>
      <c r="E40" s="30">
        <v>22.654</v>
      </c>
      <c r="F40" s="30">
        <v>53.119789381307591</v>
      </c>
      <c r="G40" s="30">
        <v>5.9017112768758224</v>
      </c>
      <c r="H40" s="30">
        <v>56.12110574813515</v>
      </c>
      <c r="I40" s="8">
        <v>0</v>
      </c>
      <c r="J40" s="31">
        <v>1</v>
      </c>
      <c r="K40" s="31">
        <v>0</v>
      </c>
      <c r="L40" s="31">
        <v>0</v>
      </c>
      <c r="M40" s="31">
        <v>0</v>
      </c>
      <c r="N40" s="31">
        <v>0</v>
      </c>
      <c r="O40" s="31">
        <v>0</v>
      </c>
      <c r="P40" s="31">
        <v>0</v>
      </c>
      <c r="Q40" s="31">
        <v>0</v>
      </c>
      <c r="R40" s="31">
        <v>0</v>
      </c>
      <c r="S40" s="31">
        <v>0</v>
      </c>
      <c r="T40" s="21" t="str" cm="1">
        <f t="array" aca="1" ref="T40" ca="1">+fair_value_gap(OFFSET(S39,0,0,-1*$I$5,-1*$Z$1),OFFSET(E39,0,0,-1*$I$5,1),F40:S40,0)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40" s="7" t="str" cm="1">
        <f t="array" aca="1" ref="U40" ca="1">z_score_diff(OFFSET(T40,0,0,$I$5*-1,1),OFFSET(E40,0,0,$I$5*-1,1))</f>
        <v/>
      </c>
      <c r="V40" s="7" t="str">
        <f t="shared" ca="1" si="7"/>
        <v/>
      </c>
      <c r="W40" s="14">
        <f t="shared" ca="1" si="0"/>
        <v>-6.1347713589515955E-2</v>
      </c>
      <c r="X40" s="10">
        <f t="shared" ref="X40:Y40" ca="1" si="41">+X39</f>
        <v>0</v>
      </c>
      <c r="Y40" s="10">
        <f t="shared" ca="1" si="41"/>
        <v>0</v>
      </c>
      <c r="Z40" t="str">
        <f t="shared" ca="1" si="9"/>
        <v/>
      </c>
      <c r="AA40" t="str">
        <f t="shared" ca="1" si="10"/>
        <v/>
      </c>
      <c r="AB40" s="19" t="str">
        <f t="shared" ca="1" si="11"/>
        <v/>
      </c>
      <c r="AC40" s="19" t="str">
        <f t="shared" ca="1" si="12"/>
        <v/>
      </c>
    </row>
    <row r="41" spans="2:29" x14ac:dyDescent="0.25">
      <c r="C41" s="4">
        <v>34</v>
      </c>
      <c r="D41" s="28">
        <v>42054</v>
      </c>
      <c r="E41" s="30">
        <v>21.876999999999999</v>
      </c>
      <c r="F41" s="30">
        <v>52.973781453457676</v>
      </c>
      <c r="G41" s="30">
        <v>5.9167693119831073</v>
      </c>
      <c r="H41" s="30">
        <v>55.824388527186343</v>
      </c>
      <c r="I41" s="8">
        <v>0</v>
      </c>
      <c r="J41" s="31">
        <v>1</v>
      </c>
      <c r="K41" s="31">
        <v>0</v>
      </c>
      <c r="L41" s="31">
        <v>0</v>
      </c>
      <c r="M41" s="31">
        <v>0</v>
      </c>
      <c r="N41" s="31">
        <v>0</v>
      </c>
      <c r="O41" s="31">
        <v>0</v>
      </c>
      <c r="P41" s="31">
        <v>0</v>
      </c>
      <c r="Q41" s="31">
        <v>0</v>
      </c>
      <c r="R41" s="31">
        <v>0</v>
      </c>
      <c r="S41" s="31">
        <v>0</v>
      </c>
      <c r="T41" s="21" t="str" cm="1">
        <f t="array" aca="1" ref="T41" ca="1">+fair_value_gap(OFFSET(S40,0,0,-1*$I$5,-1*$Z$1),OFFSET(E40,0,0,-1*$I$5,1),F41:S41,0)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41" s="7" t="str" cm="1">
        <f t="array" aca="1" ref="U41" ca="1">z_score_diff(OFFSET(T41,0,0,$I$5*-1,1),OFFSET(E41,0,0,$I$5*-1,1))</f>
        <v/>
      </c>
      <c r="V41" s="7" t="str">
        <f t="shared" ca="1" si="7"/>
        <v/>
      </c>
      <c r="W41" s="14">
        <f t="shared" ca="1" si="0"/>
        <v>-2.9690913175607781E-2</v>
      </c>
      <c r="X41" s="10">
        <f t="shared" ref="X41:Y41" ca="1" si="42">+X40</f>
        <v>0</v>
      </c>
      <c r="Y41" s="10">
        <f t="shared" ca="1" si="42"/>
        <v>0</v>
      </c>
      <c r="Z41" t="str">
        <f t="shared" ca="1" si="9"/>
        <v/>
      </c>
      <c r="AA41" t="str">
        <f t="shared" ca="1" si="10"/>
        <v/>
      </c>
      <c r="AB41" s="19" t="str">
        <f t="shared" ca="1" si="11"/>
        <v/>
      </c>
      <c r="AC41" s="19" t="str">
        <f t="shared" ca="1" si="12"/>
        <v/>
      </c>
    </row>
    <row r="42" spans="2:29" x14ac:dyDescent="0.25">
      <c r="C42" s="4">
        <v>35</v>
      </c>
      <c r="D42" s="28">
        <v>42055</v>
      </c>
      <c r="E42" s="30">
        <v>22.202999999999999</v>
      </c>
      <c r="F42" s="30">
        <v>52.926700650377924</v>
      </c>
      <c r="G42" s="30">
        <v>5.9105290912286872</v>
      </c>
      <c r="H42" s="30">
        <v>55.63367902970645</v>
      </c>
      <c r="I42" s="8">
        <v>0</v>
      </c>
      <c r="J42" s="31">
        <v>1</v>
      </c>
      <c r="K42" s="31">
        <v>0</v>
      </c>
      <c r="L42" s="31">
        <v>0</v>
      </c>
      <c r="M42" s="31">
        <v>0</v>
      </c>
      <c r="N42" s="31">
        <v>0</v>
      </c>
      <c r="O42" s="31">
        <v>0</v>
      </c>
      <c r="P42" s="31">
        <v>0</v>
      </c>
      <c r="Q42" s="31">
        <v>0</v>
      </c>
      <c r="R42" s="31">
        <v>0</v>
      </c>
      <c r="S42" s="31">
        <v>0</v>
      </c>
      <c r="T42" s="21" t="str" cm="1">
        <f t="array" aca="1" ref="T42" ca="1">+fair_value_gap(OFFSET(S41,0,0,-1*$I$5,-1*$Z$1),OFFSET(E41,0,0,-1*$I$5,1),F42:S42,0)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42" s="7" t="str" cm="1">
        <f t="array" aca="1" ref="U42" ca="1">z_score_diff(OFFSET(T42,0,0,$I$5*-1,1),OFFSET(E42,0,0,$I$5*-1,1))</f>
        <v/>
      </c>
      <c r="V42" s="7" t="str">
        <f t="shared" ca="1" si="7"/>
        <v/>
      </c>
      <c r="W42" s="14">
        <f t="shared" ca="1" si="0"/>
        <v>-5.2519579739105801E-2</v>
      </c>
      <c r="X42" s="10">
        <f t="shared" ref="X42:Y42" ca="1" si="43">+X41</f>
        <v>0</v>
      </c>
      <c r="Y42" s="10">
        <f t="shared" ca="1" si="43"/>
        <v>0</v>
      </c>
      <c r="Z42" t="str">
        <f t="shared" ca="1" si="9"/>
        <v/>
      </c>
      <c r="AA42" t="str">
        <f t="shared" ca="1" si="10"/>
        <v/>
      </c>
      <c r="AB42" s="19" t="str">
        <f t="shared" ca="1" si="11"/>
        <v/>
      </c>
      <c r="AC42" s="19" t="str">
        <f t="shared" ca="1" si="12"/>
        <v/>
      </c>
    </row>
    <row r="43" spans="2:29" x14ac:dyDescent="0.25">
      <c r="C43" s="4">
        <v>36</v>
      </c>
      <c r="D43" s="28">
        <v>42058</v>
      </c>
      <c r="E43" s="30">
        <v>21.876999999999999</v>
      </c>
      <c r="F43" s="30">
        <v>51.985878199470434</v>
      </c>
      <c r="G43" s="30">
        <v>6.0812003530450127</v>
      </c>
      <c r="H43" s="30">
        <v>55.648720211827005</v>
      </c>
      <c r="I43" s="8">
        <v>0</v>
      </c>
      <c r="J43" s="31">
        <v>1</v>
      </c>
      <c r="K43" s="31">
        <v>0</v>
      </c>
      <c r="L43" s="31">
        <v>0</v>
      </c>
      <c r="M43" s="31">
        <v>0</v>
      </c>
      <c r="N43" s="31">
        <v>0</v>
      </c>
      <c r="O43" s="31">
        <v>0</v>
      </c>
      <c r="P43" s="31">
        <v>0</v>
      </c>
      <c r="Q43" s="31">
        <v>0</v>
      </c>
      <c r="R43" s="31">
        <v>0</v>
      </c>
      <c r="S43" s="31">
        <v>0</v>
      </c>
      <c r="T43" s="21" t="str" cm="1">
        <f t="array" aca="1" ref="T43" ca="1">+fair_value_gap(OFFSET(S42,0,0,-1*$I$5,-1*$Z$1),OFFSET(E42,0,0,-1*$I$5,1),F43:S43,0)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43" s="7" t="str" cm="1">
        <f t="array" aca="1" ref="U43" ca="1">z_score_diff(OFFSET(T43,0,0,$I$5*-1,1),OFFSET(E43,0,0,$I$5*-1,1))</f>
        <v/>
      </c>
      <c r="V43" s="7" t="str">
        <f t="shared" ca="1" si="7"/>
        <v/>
      </c>
      <c r="W43" s="14">
        <f t="shared" ca="1" si="0"/>
        <v>-4.4156768125808203E-2</v>
      </c>
      <c r="X43" s="10">
        <f t="shared" ref="X43:Y43" ca="1" si="44">+X42</f>
        <v>0</v>
      </c>
      <c r="Y43" s="10">
        <f t="shared" ca="1" si="44"/>
        <v>0</v>
      </c>
      <c r="Z43" t="str">
        <f t="shared" ca="1" si="9"/>
        <v/>
      </c>
      <c r="AA43" t="str">
        <f t="shared" ca="1" si="10"/>
        <v/>
      </c>
      <c r="AB43" s="19" t="str">
        <f t="shared" ca="1" si="11"/>
        <v/>
      </c>
      <c r="AC43" s="19" t="str">
        <f t="shared" ca="1" si="12"/>
        <v/>
      </c>
    </row>
    <row r="44" spans="2:29" x14ac:dyDescent="0.25">
      <c r="C44" s="4">
        <v>37</v>
      </c>
      <c r="D44" s="28">
        <v>42059</v>
      </c>
      <c r="E44" s="30">
        <v>22.308</v>
      </c>
      <c r="F44" s="30">
        <v>51.73295705088632</v>
      </c>
      <c r="G44" s="30">
        <v>6.0763735779169243</v>
      </c>
      <c r="H44" s="30">
        <v>55.428168268806779</v>
      </c>
      <c r="I44" s="8">
        <v>0</v>
      </c>
      <c r="J44" s="31">
        <v>1</v>
      </c>
      <c r="K44" s="31">
        <v>0</v>
      </c>
      <c r="L44" s="31">
        <v>0</v>
      </c>
      <c r="M44" s="31">
        <v>0</v>
      </c>
      <c r="N44" s="31">
        <v>0</v>
      </c>
      <c r="O44" s="31">
        <v>0</v>
      </c>
      <c r="P44" s="31">
        <v>0</v>
      </c>
      <c r="Q44" s="31">
        <v>0</v>
      </c>
      <c r="R44" s="31">
        <v>0</v>
      </c>
      <c r="S44" s="31">
        <v>0</v>
      </c>
      <c r="T44" s="21" t="str" cm="1">
        <f t="array" aca="1" ref="T44" ca="1">+fair_value_gap(OFFSET(S43,0,0,-1*$I$5,-1*$Z$1),OFFSET(E43,0,0,-1*$I$5,1),F44:S44,0)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44" s="7" t="str" cm="1">
        <f t="array" aca="1" ref="U44" ca="1">z_score_diff(OFFSET(T44,0,0,$I$5*-1,1),OFFSET(E44,0,0,$I$5*-1,1))</f>
        <v/>
      </c>
      <c r="V44" s="7" t="str">
        <f t="shared" ca="1" si="7"/>
        <v/>
      </c>
      <c r="W44" s="14">
        <f t="shared" ca="1" si="0"/>
        <v>-5.1604772353002953E-2</v>
      </c>
      <c r="X44" s="10">
        <f t="shared" ref="X44:Y44" ca="1" si="45">+X43</f>
        <v>0</v>
      </c>
      <c r="Y44" s="10">
        <f t="shared" ca="1" si="45"/>
        <v>0</v>
      </c>
      <c r="Z44" t="str">
        <f t="shared" ca="1" si="9"/>
        <v/>
      </c>
      <c r="AA44" t="str">
        <f t="shared" ca="1" si="10"/>
        <v/>
      </c>
      <c r="AB44" s="19" t="str">
        <f t="shared" ca="1" si="11"/>
        <v/>
      </c>
      <c r="AC44" s="19" t="str">
        <f t="shared" ca="1" si="12"/>
        <v/>
      </c>
    </row>
    <row r="45" spans="2:29" x14ac:dyDescent="0.25">
      <c r="C45" s="4">
        <v>38</v>
      </c>
      <c r="D45" s="28">
        <v>42060</v>
      </c>
      <c r="E45" s="30">
        <v>23.015999999999998</v>
      </c>
      <c r="F45" s="30">
        <v>54.246985300589735</v>
      </c>
      <c r="G45" s="30">
        <v>6.1438253674852561</v>
      </c>
      <c r="H45" s="30">
        <v>55.36484464395739</v>
      </c>
      <c r="I45" s="8">
        <v>0</v>
      </c>
      <c r="J45" s="31">
        <v>1</v>
      </c>
      <c r="K45" s="31">
        <v>0</v>
      </c>
      <c r="L45" s="31">
        <v>0</v>
      </c>
      <c r="M45" s="31">
        <v>0</v>
      </c>
      <c r="N45" s="31">
        <v>0</v>
      </c>
      <c r="O45" s="31">
        <v>0</v>
      </c>
      <c r="P45" s="31">
        <v>0</v>
      </c>
      <c r="Q45" s="31">
        <v>0</v>
      </c>
      <c r="R45" s="31">
        <v>0</v>
      </c>
      <c r="S45" s="31">
        <v>0</v>
      </c>
      <c r="T45" s="21" t="str" cm="1">
        <f t="array" aca="1" ref="T45" ca="1">+fair_value_gap(OFFSET(S44,0,0,-1*$I$5,-1*$Z$1),OFFSET(E44,0,0,-1*$I$5,1),F45:S45,0)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45" s="7" t="str" cm="1">
        <f t="array" aca="1" ref="U45" ca="1">z_score_diff(OFFSET(T45,0,0,$I$5*-1,1),OFFSET(E45,0,0,$I$5*-1,1))</f>
        <v/>
      </c>
      <c r="V45" s="7" t="str">
        <f t="shared" ca="1" si="7"/>
        <v/>
      </c>
      <c r="W45" s="14">
        <f t="shared" ca="1" si="0"/>
        <v>-8.63953945967251E-2</v>
      </c>
      <c r="X45" s="10">
        <f t="shared" ref="X45:Y45" ca="1" si="46">+X44</f>
        <v>0</v>
      </c>
      <c r="Y45" s="10">
        <f t="shared" ca="1" si="46"/>
        <v>0</v>
      </c>
      <c r="Z45" t="str">
        <f t="shared" ca="1" si="9"/>
        <v/>
      </c>
      <c r="AA45" t="str">
        <f t="shared" ca="1" si="10"/>
        <v/>
      </c>
      <c r="AB45" s="19" t="str">
        <f t="shared" ca="1" si="11"/>
        <v/>
      </c>
      <c r="AC45" s="19" t="str">
        <f t="shared" ca="1" si="12"/>
        <v/>
      </c>
    </row>
    <row r="46" spans="2:29" x14ac:dyDescent="0.25">
      <c r="C46" s="4">
        <v>39</v>
      </c>
      <c r="D46" s="28">
        <v>42061</v>
      </c>
      <c r="E46" s="30">
        <v>23.756</v>
      </c>
      <c r="F46" s="30">
        <v>53.635226866738122</v>
      </c>
      <c r="G46" s="30">
        <v>6.296891747052519</v>
      </c>
      <c r="H46" s="30">
        <v>56.359414076455884</v>
      </c>
      <c r="I46" s="8">
        <v>0</v>
      </c>
      <c r="J46" s="31">
        <v>1</v>
      </c>
      <c r="K46" s="31">
        <v>0</v>
      </c>
      <c r="L46" s="31">
        <v>0</v>
      </c>
      <c r="M46" s="31">
        <v>0</v>
      </c>
      <c r="N46" s="31">
        <v>0</v>
      </c>
      <c r="O46" s="31">
        <v>0</v>
      </c>
      <c r="P46" s="31">
        <v>0</v>
      </c>
      <c r="Q46" s="31">
        <v>0</v>
      </c>
      <c r="R46" s="31">
        <v>0</v>
      </c>
      <c r="S46" s="31">
        <v>0</v>
      </c>
      <c r="T46" s="21" t="str" cm="1">
        <f t="array" aca="1" ref="T46" ca="1">+fair_value_gap(OFFSET(S45,0,0,-1*$I$5,-1*$Z$1),OFFSET(E45,0,0,-1*$I$5,1),F46:S46,0)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46" s="7" t="str" cm="1">
        <f t="array" aca="1" ref="U46" ca="1">z_score_diff(OFFSET(T46,0,0,$I$5*-1,1),OFFSET(E46,0,0,$I$5*-1,1))</f>
        <v/>
      </c>
      <c r="V46" s="7" t="str">
        <f t="shared" ca="1" si="7"/>
        <v/>
      </c>
      <c r="W46" s="14">
        <f t="shared" ca="1" si="0"/>
        <v>-9.0200340979988539E-2</v>
      </c>
      <c r="X46" s="10">
        <f t="shared" ref="X46:Y46" ca="1" si="47">+X45</f>
        <v>0</v>
      </c>
      <c r="Y46" s="10">
        <f t="shared" ca="1" si="47"/>
        <v>0</v>
      </c>
      <c r="Z46" t="str">
        <f t="shared" ca="1" si="9"/>
        <v/>
      </c>
      <c r="AA46" t="str">
        <f t="shared" ca="1" si="10"/>
        <v/>
      </c>
      <c r="AB46" s="19" t="str">
        <f t="shared" ca="1" si="11"/>
        <v/>
      </c>
      <c r="AC46" s="19" t="str">
        <f t="shared" ca="1" si="12"/>
        <v/>
      </c>
    </row>
    <row r="47" spans="2:29" x14ac:dyDescent="0.25">
      <c r="C47" s="4">
        <v>40</v>
      </c>
      <c r="D47" s="28">
        <v>42062</v>
      </c>
      <c r="E47" s="30">
        <v>23.056000000000001</v>
      </c>
      <c r="F47" s="30">
        <v>55.909943714821765</v>
      </c>
      <c r="G47" s="30">
        <v>6.4325917984454577</v>
      </c>
      <c r="H47" s="30">
        <v>56.329849012775838</v>
      </c>
      <c r="I47" s="8">
        <v>0</v>
      </c>
      <c r="J47" s="31">
        <v>1</v>
      </c>
      <c r="K47" s="31">
        <v>0</v>
      </c>
      <c r="L47" s="31">
        <v>0</v>
      </c>
      <c r="M47" s="31">
        <v>0</v>
      </c>
      <c r="N47" s="31">
        <v>0</v>
      </c>
      <c r="O47" s="31">
        <v>0</v>
      </c>
      <c r="P47" s="31">
        <v>0</v>
      </c>
      <c r="Q47" s="31">
        <v>0</v>
      </c>
      <c r="R47" s="31">
        <v>0</v>
      </c>
      <c r="S47" s="31">
        <v>0</v>
      </c>
      <c r="T47" s="21" t="str" cm="1">
        <f t="array" aca="1" ref="T47" ca="1">+fair_value_gap(OFFSET(S46,0,0,-1*$I$5,-1*$Z$1),OFFSET(E46,0,0,-1*$I$5,1),F47:S47,0)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47" s="7" t="str" cm="1">
        <f t="array" aca="1" ref="U47" ca="1">z_score_diff(OFFSET(T47,0,0,$I$5*-1,1),OFFSET(E47,0,0,$I$5*-1,1))</f>
        <v/>
      </c>
      <c r="V47" s="7" t="str">
        <f t="shared" ca="1" si="7"/>
        <v/>
      </c>
      <c r="W47" s="14">
        <f t="shared" ca="1" si="0"/>
        <v>-5.5603310622077205E-2</v>
      </c>
      <c r="X47" s="10">
        <f t="shared" ref="X47:Y47" ca="1" si="48">+X46</f>
        <v>0</v>
      </c>
      <c r="Y47" s="10">
        <f t="shared" ca="1" si="48"/>
        <v>0</v>
      </c>
      <c r="Z47" t="str">
        <f t="shared" ca="1" si="9"/>
        <v/>
      </c>
      <c r="AA47" t="str">
        <f t="shared" ca="1" si="10"/>
        <v/>
      </c>
      <c r="AB47" s="19" t="str">
        <f t="shared" ca="1" si="11"/>
        <v/>
      </c>
      <c r="AC47" s="19" t="str">
        <f t="shared" ca="1" si="12"/>
        <v/>
      </c>
    </row>
    <row r="48" spans="2:29" x14ac:dyDescent="0.25">
      <c r="C48" s="4">
        <v>41</v>
      </c>
      <c r="D48" s="28">
        <v>42065</v>
      </c>
      <c r="E48" s="30">
        <v>22.4</v>
      </c>
      <c r="F48" s="30">
        <v>53.24152731825091</v>
      </c>
      <c r="G48" s="30">
        <v>6.5277653581328794</v>
      </c>
      <c r="H48" s="30">
        <v>56.827327193060889</v>
      </c>
      <c r="I48" s="8">
        <v>0</v>
      </c>
      <c r="J48" s="31">
        <v>0</v>
      </c>
      <c r="K48" s="31">
        <v>1</v>
      </c>
      <c r="L48" s="31">
        <v>0</v>
      </c>
      <c r="M48" s="31">
        <v>0</v>
      </c>
      <c r="N48" s="31">
        <v>0</v>
      </c>
      <c r="O48" s="31">
        <v>0</v>
      </c>
      <c r="P48" s="31">
        <v>0</v>
      </c>
      <c r="Q48" s="31">
        <v>0</v>
      </c>
      <c r="R48" s="31">
        <v>0</v>
      </c>
      <c r="S48" s="31">
        <v>0</v>
      </c>
      <c r="T48" s="21" t="str" cm="1">
        <f t="array" aca="1" ref="T48" ca="1">+fair_value_gap(OFFSET(S47,0,0,-1*$I$5,-1*$Z$1),OFFSET(E47,0,0,-1*$I$5,1),F48:S48,0)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48" s="7" t="str" cm="1">
        <f t="array" aca="1" ref="U48" ca="1">z_score_diff(OFFSET(T48,0,0,$I$5*-1,1),OFFSET(E48,0,0,$I$5*-1,1))</f>
        <v/>
      </c>
      <c r="V48" s="7" t="str">
        <f t="shared" ca="1" si="7"/>
        <v/>
      </c>
      <c r="W48" s="14">
        <f t="shared" ca="1" si="0"/>
        <v>-2.8390288790812217E-2</v>
      </c>
      <c r="X48" s="10">
        <f t="shared" ref="X48:Y48" ca="1" si="49">+X47</f>
        <v>0</v>
      </c>
      <c r="Y48" s="10">
        <f t="shared" ca="1" si="49"/>
        <v>0</v>
      </c>
      <c r="Z48" t="str">
        <f t="shared" ca="1" si="9"/>
        <v/>
      </c>
      <c r="AA48" t="str">
        <f t="shared" ca="1" si="10"/>
        <v/>
      </c>
      <c r="AB48" s="19" t="str">
        <f t="shared" ca="1" si="11"/>
        <v/>
      </c>
      <c r="AC48" s="19" t="str">
        <f t="shared" ca="1" si="12"/>
        <v/>
      </c>
    </row>
    <row r="49" spans="3:29" x14ac:dyDescent="0.25">
      <c r="C49" s="4">
        <v>42</v>
      </c>
      <c r="D49" s="28">
        <v>42066</v>
      </c>
      <c r="E49" s="30">
        <v>21.902000000000001</v>
      </c>
      <c r="F49" s="30">
        <v>54.608913549310905</v>
      </c>
      <c r="G49" s="30">
        <v>6.524073742616789</v>
      </c>
      <c r="H49" s="30">
        <v>56.201897261499909</v>
      </c>
      <c r="I49" s="8">
        <v>0</v>
      </c>
      <c r="J49" s="31">
        <v>0</v>
      </c>
      <c r="K49" s="31">
        <v>1</v>
      </c>
      <c r="L49" s="31">
        <v>0</v>
      </c>
      <c r="M49" s="31">
        <v>0</v>
      </c>
      <c r="N49" s="31">
        <v>0</v>
      </c>
      <c r="O49" s="31">
        <v>0</v>
      </c>
      <c r="P49" s="31">
        <v>0</v>
      </c>
      <c r="Q49" s="31">
        <v>0</v>
      </c>
      <c r="R49" s="31">
        <v>0</v>
      </c>
      <c r="S49" s="31">
        <v>0</v>
      </c>
      <c r="T49" s="21" t="str" cm="1">
        <f t="array" aca="1" ref="T49" ca="1">+fair_value_gap(OFFSET(S48,0,0,-1*$I$5,-1*$Z$1),OFFSET(E48,0,0,-1*$I$5,1),F49:S49,0)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49" s="7" t="str" cm="1">
        <f t="array" aca="1" ref="U49" ca="1">z_score_diff(OFFSET(T49,0,0,$I$5*-1,1),OFFSET(E49,0,0,$I$5*-1,1))</f>
        <v/>
      </c>
      <c r="V49" s="7" t="str">
        <f t="shared" ca="1" si="7"/>
        <v/>
      </c>
      <c r="W49" s="14">
        <f t="shared" ca="1" si="0"/>
        <v>-1.5413588183723312E-2</v>
      </c>
      <c r="X49" s="10">
        <f t="shared" ref="X49:Y49" ca="1" si="50">+X48</f>
        <v>0</v>
      </c>
      <c r="Y49" s="10">
        <f t="shared" ca="1" si="50"/>
        <v>0</v>
      </c>
      <c r="Z49" t="str">
        <f t="shared" ca="1" si="9"/>
        <v/>
      </c>
      <c r="AA49" t="str">
        <f t="shared" ca="1" si="10"/>
        <v/>
      </c>
      <c r="AB49" s="19" t="str">
        <f t="shared" ca="1" si="11"/>
        <v/>
      </c>
      <c r="AC49" s="19" t="str">
        <f t="shared" ca="1" si="12"/>
        <v/>
      </c>
    </row>
    <row r="50" spans="3:29" x14ac:dyDescent="0.25">
      <c r="C50" s="4">
        <v>43</v>
      </c>
      <c r="D50" s="28">
        <v>42067</v>
      </c>
      <c r="E50" s="30">
        <v>22.126999999999999</v>
      </c>
      <c r="F50" s="30">
        <v>54.662814841563602</v>
      </c>
      <c r="G50" s="30">
        <v>6.5721765821070699</v>
      </c>
      <c r="H50" s="30">
        <v>56.694050735758779</v>
      </c>
      <c r="I50" s="8">
        <v>0</v>
      </c>
      <c r="J50" s="31">
        <v>0</v>
      </c>
      <c r="K50" s="31">
        <v>1</v>
      </c>
      <c r="L50" s="31">
        <v>0</v>
      </c>
      <c r="M50" s="31">
        <v>0</v>
      </c>
      <c r="N50" s="31">
        <v>0</v>
      </c>
      <c r="O50" s="31">
        <v>0</v>
      </c>
      <c r="P50" s="31">
        <v>0</v>
      </c>
      <c r="Q50" s="31">
        <v>0</v>
      </c>
      <c r="R50" s="31">
        <v>0</v>
      </c>
      <c r="S50" s="31">
        <v>0</v>
      </c>
      <c r="T50" s="21" t="str" cm="1">
        <f t="array" aca="1" ref="T50" ca="1">+fair_value_gap(OFFSET(S49,0,0,-1*$I$5,-1*$Z$1),OFFSET(E49,0,0,-1*$I$5,1),F50:S50,0)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50" s="7" t="str" cm="1">
        <f t="array" aca="1" ref="U50" ca="1">z_score_diff(OFFSET(T50,0,0,$I$5*-1,1),OFFSET(E50,0,0,$I$5*-1,1))</f>
        <v/>
      </c>
      <c r="V50" s="7" t="str">
        <f t="shared" ca="1" si="7"/>
        <v/>
      </c>
      <c r="W50" s="14">
        <f t="shared" ca="1" si="0"/>
        <v>-8.8974212634259503E-3</v>
      </c>
      <c r="X50" s="10">
        <f t="shared" ref="X50:Y50" ca="1" si="51">+X49</f>
        <v>0</v>
      </c>
      <c r="Y50" s="10">
        <f t="shared" ca="1" si="51"/>
        <v>0</v>
      </c>
      <c r="Z50" t="str">
        <f t="shared" ca="1" si="9"/>
        <v/>
      </c>
      <c r="AA50" t="str">
        <f t="shared" ca="1" si="10"/>
        <v/>
      </c>
      <c r="AB50" s="19" t="str">
        <f t="shared" ca="1" si="11"/>
        <v/>
      </c>
      <c r="AC50" s="19" t="str">
        <f t="shared" ca="1" si="12"/>
        <v/>
      </c>
    </row>
    <row r="51" spans="3:29" x14ac:dyDescent="0.25">
      <c r="C51" s="4">
        <v>44</v>
      </c>
      <c r="D51" s="28">
        <v>42068</v>
      </c>
      <c r="E51" s="30">
        <v>21.434000000000001</v>
      </c>
      <c r="F51" s="30">
        <v>54.842219804134928</v>
      </c>
      <c r="G51" s="30">
        <v>6.5923104824084149</v>
      </c>
      <c r="H51" s="30">
        <v>56.764599202031192</v>
      </c>
      <c r="I51" s="8">
        <v>0</v>
      </c>
      <c r="J51" s="31">
        <v>0</v>
      </c>
      <c r="K51" s="31">
        <v>1</v>
      </c>
      <c r="L51" s="31">
        <v>0</v>
      </c>
      <c r="M51" s="31">
        <v>0</v>
      </c>
      <c r="N51" s="31">
        <v>0</v>
      </c>
      <c r="O51" s="31">
        <v>0</v>
      </c>
      <c r="P51" s="31">
        <v>0</v>
      </c>
      <c r="Q51" s="31">
        <v>0</v>
      </c>
      <c r="R51" s="31">
        <v>0</v>
      </c>
      <c r="S51" s="31">
        <v>0</v>
      </c>
      <c r="T51" s="21" t="str" cm="1">
        <f t="array" aca="1" ref="T51" ca="1">+fair_value_gap(OFFSET(S50,0,0,-1*$I$5,-1*$Z$1),OFFSET(E50,0,0,-1*$I$5,1),F51:S51,0)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51" s="7" t="str" cm="1">
        <f t="array" aca="1" ref="U51" ca="1">z_score_diff(OFFSET(T51,0,0,$I$5*-1,1),OFFSET(E51,0,0,$I$5*-1,1))</f>
        <v/>
      </c>
      <c r="V51" s="7" t="str">
        <f t="shared" ca="1" si="7"/>
        <v/>
      </c>
      <c r="W51" s="14">
        <f t="shared" ca="1" si="0"/>
        <v>2.0457410344964108E-2</v>
      </c>
      <c r="X51" s="10">
        <f t="shared" ref="X51:Y51" ca="1" si="52">+X50</f>
        <v>0</v>
      </c>
      <c r="Y51" s="10">
        <f t="shared" ca="1" si="52"/>
        <v>0</v>
      </c>
      <c r="Z51" t="str">
        <f t="shared" ca="1" si="9"/>
        <v/>
      </c>
      <c r="AA51" t="str">
        <f t="shared" ca="1" si="10"/>
        <v/>
      </c>
      <c r="AB51" s="19" t="str">
        <f t="shared" ca="1" si="11"/>
        <v/>
      </c>
      <c r="AC51" s="19" t="str">
        <f t="shared" ca="1" si="12"/>
        <v/>
      </c>
    </row>
    <row r="52" spans="3:29" x14ac:dyDescent="0.25">
      <c r="C52" s="4">
        <v>45</v>
      </c>
      <c r="D52" s="28">
        <v>42069</v>
      </c>
      <c r="E52" s="30">
        <v>20.998999999999999</v>
      </c>
      <c r="F52" s="30">
        <v>55.08623074794798</v>
      </c>
      <c r="G52" s="30">
        <v>6.64022871898921</v>
      </c>
      <c r="H52" s="30">
        <v>56.488056810845706</v>
      </c>
      <c r="I52" s="8">
        <v>0</v>
      </c>
      <c r="J52" s="31">
        <v>0</v>
      </c>
      <c r="K52" s="31">
        <v>1</v>
      </c>
      <c r="L52" s="31">
        <v>0</v>
      </c>
      <c r="M52" s="31">
        <v>0</v>
      </c>
      <c r="N52" s="31">
        <v>0</v>
      </c>
      <c r="O52" s="31">
        <v>0</v>
      </c>
      <c r="P52" s="31">
        <v>0</v>
      </c>
      <c r="Q52" s="31">
        <v>0</v>
      </c>
      <c r="R52" s="31">
        <v>0</v>
      </c>
      <c r="S52" s="31">
        <v>0</v>
      </c>
      <c r="T52" s="21" t="str" cm="1">
        <f t="array" aca="1" ref="T52" ca="1">+fair_value_gap(OFFSET(S51,0,0,-1*$I$5,-1*$Z$1),OFFSET(E51,0,0,-1*$I$5,1),F52:S52,0)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52" s="7" t="str" cm="1">
        <f t="array" aca="1" ref="U52" ca="1">z_score_diff(OFFSET(T52,0,0,$I$5*-1,1),OFFSET(E52,0,0,$I$5*-1,1))</f>
        <v/>
      </c>
      <c r="V52" s="7" t="str">
        <f t="shared" ca="1" si="7"/>
        <v/>
      </c>
      <c r="W52" s="14">
        <f t="shared" ca="1" si="0"/>
        <v>2.3019822238900582E-2</v>
      </c>
      <c r="X52" s="10">
        <f t="shared" ref="X52:Y52" ca="1" si="53">+X51</f>
        <v>0</v>
      </c>
      <c r="Y52" s="10">
        <f t="shared" ca="1" si="53"/>
        <v>0</v>
      </c>
      <c r="Z52" t="str">
        <f t="shared" ca="1" si="9"/>
        <v/>
      </c>
      <c r="AA52" t="str">
        <f t="shared" ca="1" si="10"/>
        <v/>
      </c>
      <c r="AB52" s="19" t="str">
        <f t="shared" ca="1" si="11"/>
        <v/>
      </c>
      <c r="AC52" s="19" t="str">
        <f t="shared" ca="1" si="12"/>
        <v/>
      </c>
    </row>
    <row r="53" spans="3:29" x14ac:dyDescent="0.25">
      <c r="C53" s="4">
        <v>46</v>
      </c>
      <c r="D53" s="28">
        <v>42072</v>
      </c>
      <c r="E53" s="30">
        <v>21.673999999999999</v>
      </c>
      <c r="F53" s="30">
        <v>53.944700460829495</v>
      </c>
      <c r="G53" s="30">
        <v>6.6866359447004609</v>
      </c>
      <c r="H53" s="30">
        <v>56.912442396313367</v>
      </c>
      <c r="I53" s="8">
        <v>0</v>
      </c>
      <c r="J53" s="31">
        <v>0</v>
      </c>
      <c r="K53" s="31">
        <v>1</v>
      </c>
      <c r="L53" s="31">
        <v>0</v>
      </c>
      <c r="M53" s="31">
        <v>0</v>
      </c>
      <c r="N53" s="31">
        <v>0</v>
      </c>
      <c r="O53" s="31">
        <v>0</v>
      </c>
      <c r="P53" s="31">
        <v>0</v>
      </c>
      <c r="Q53" s="31">
        <v>0</v>
      </c>
      <c r="R53" s="31">
        <v>0</v>
      </c>
      <c r="S53" s="31">
        <v>0</v>
      </c>
      <c r="T53" s="21" t="str" cm="1">
        <f t="array" aca="1" ref="T53" ca="1">+fair_value_gap(OFFSET(S52,0,0,-1*$I$5,-1*$Z$1),OFFSET(E52,0,0,-1*$I$5,1),F53:S53,0)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53" s="7" t="str" cm="1">
        <f t="array" aca="1" ref="U53" ca="1">z_score_diff(OFFSET(T53,0,0,$I$5*-1,1),OFFSET(E53,0,0,$I$5*-1,1))</f>
        <v/>
      </c>
      <c r="V53" s="7" t="str">
        <f t="shared" ca="1" si="7"/>
        <v/>
      </c>
      <c r="W53" s="14">
        <f t="shared" ca="1" si="0"/>
        <v>-1.5237218693180199E-3</v>
      </c>
      <c r="X53" s="10">
        <f t="shared" ref="X53:Y53" ca="1" si="54">+X52</f>
        <v>0</v>
      </c>
      <c r="Y53" s="10">
        <f t="shared" ca="1" si="54"/>
        <v>0</v>
      </c>
      <c r="Z53" t="str">
        <f t="shared" ca="1" si="9"/>
        <v/>
      </c>
      <c r="AA53" t="str">
        <f t="shared" ca="1" si="10"/>
        <v/>
      </c>
      <c r="AB53" s="19" t="str">
        <f t="shared" ca="1" si="11"/>
        <v/>
      </c>
      <c r="AC53" s="19" t="str">
        <f t="shared" ca="1" si="12"/>
        <v/>
      </c>
    </row>
    <row r="54" spans="3:29" x14ac:dyDescent="0.25">
      <c r="C54" s="4">
        <v>47</v>
      </c>
      <c r="D54" s="28">
        <v>42073</v>
      </c>
      <c r="E54" s="30">
        <v>21.585999999999999</v>
      </c>
      <c r="F54" s="30">
        <v>52.715714686360656</v>
      </c>
      <c r="G54" s="30">
        <v>6.7916238197625489</v>
      </c>
      <c r="H54" s="30">
        <v>57.960175750210333</v>
      </c>
      <c r="I54" s="8">
        <v>0</v>
      </c>
      <c r="J54" s="31">
        <v>0</v>
      </c>
      <c r="K54" s="31">
        <v>1</v>
      </c>
      <c r="L54" s="31">
        <v>0</v>
      </c>
      <c r="M54" s="31">
        <v>0</v>
      </c>
      <c r="N54" s="31">
        <v>0</v>
      </c>
      <c r="O54" s="31">
        <v>0</v>
      </c>
      <c r="P54" s="31">
        <v>0</v>
      </c>
      <c r="Q54" s="31">
        <v>0</v>
      </c>
      <c r="R54" s="31">
        <v>0</v>
      </c>
      <c r="S54" s="31">
        <v>0</v>
      </c>
      <c r="T54" s="21" t="str" cm="1">
        <f t="array" aca="1" ref="T54" ca="1">+fair_value_gap(OFFSET(S53,0,0,-1*$I$5,-1*$Z$1),OFFSET(E53,0,0,-1*$I$5,1),F54:S54,0)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54" s="7" t="str" cm="1">
        <f t="array" aca="1" ref="U54" ca="1">z_score_diff(OFFSET(T54,0,0,$I$5*-1,1),OFFSET(E54,0,0,$I$5*-1,1))</f>
        <v/>
      </c>
      <c r="V54" s="7" t="str">
        <f t="shared" ca="1" si="7"/>
        <v/>
      </c>
      <c r="W54" s="14">
        <f t="shared" ca="1" si="0"/>
        <v>1.1743980971119691E-2</v>
      </c>
      <c r="X54" s="10">
        <f t="shared" ref="X54:Y54" ca="1" si="55">+X53</f>
        <v>0</v>
      </c>
      <c r="Y54" s="10">
        <f t="shared" ca="1" si="55"/>
        <v>0</v>
      </c>
      <c r="Z54" t="str">
        <f t="shared" ca="1" si="9"/>
        <v/>
      </c>
      <c r="AA54" t="str">
        <f t="shared" ca="1" si="10"/>
        <v/>
      </c>
      <c r="AB54" s="19" t="str">
        <f t="shared" ca="1" si="11"/>
        <v/>
      </c>
      <c r="AC54" s="19" t="str">
        <f t="shared" ca="1" si="12"/>
        <v/>
      </c>
    </row>
    <row r="55" spans="3:29" x14ac:dyDescent="0.25">
      <c r="C55" s="4">
        <v>48</v>
      </c>
      <c r="D55" s="28">
        <v>42074</v>
      </c>
      <c r="E55" s="30">
        <v>22.12</v>
      </c>
      <c r="F55" s="30">
        <v>54.566145092460879</v>
      </c>
      <c r="G55" s="30">
        <v>6.9037458511142722</v>
      </c>
      <c r="H55" s="30">
        <v>59.364627785680419</v>
      </c>
      <c r="I55" s="8">
        <v>0</v>
      </c>
      <c r="J55" s="31">
        <v>0</v>
      </c>
      <c r="K55" s="31">
        <v>1</v>
      </c>
      <c r="L55" s="31">
        <v>0</v>
      </c>
      <c r="M55" s="31">
        <v>0</v>
      </c>
      <c r="N55" s="31">
        <v>0</v>
      </c>
      <c r="O55" s="31">
        <v>0</v>
      </c>
      <c r="P55" s="31">
        <v>0</v>
      </c>
      <c r="Q55" s="31">
        <v>0</v>
      </c>
      <c r="R55" s="31">
        <v>0</v>
      </c>
      <c r="S55" s="31">
        <v>0</v>
      </c>
      <c r="T55" s="21" t="str" cm="1">
        <f t="array" aca="1" ref="T55" ca="1">+fair_value_gap(OFFSET(S54,0,0,-1*$I$5,-1*$Z$1),OFFSET(E54,0,0,-1*$I$5,1),F55:S55,0)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55" s="7" t="str" cm="1">
        <f t="array" aca="1" ref="U55" ca="1">z_score_diff(OFFSET(T55,0,0,$I$5*-1,1),OFFSET(E55,0,0,$I$5*-1,1))</f>
        <v/>
      </c>
      <c r="V55" s="7" t="str">
        <f t="shared" ca="1" si="7"/>
        <v/>
      </c>
      <c r="W55" s="14">
        <f t="shared" ca="1" si="0"/>
        <v>-1.903167681528525E-2</v>
      </c>
      <c r="X55" s="10">
        <f t="shared" ref="X55:Y55" ca="1" si="56">+X54</f>
        <v>0</v>
      </c>
      <c r="Y55" s="10">
        <f t="shared" ca="1" si="56"/>
        <v>0</v>
      </c>
      <c r="Z55" t="str">
        <f t="shared" ca="1" si="9"/>
        <v/>
      </c>
      <c r="AA55" t="str">
        <f t="shared" ca="1" si="10"/>
        <v/>
      </c>
      <c r="AB55" s="19" t="str">
        <f t="shared" ca="1" si="11"/>
        <v/>
      </c>
      <c r="AC55" s="19" t="str">
        <f t="shared" ca="1" si="12"/>
        <v/>
      </c>
    </row>
    <row r="56" spans="3:29" x14ac:dyDescent="0.25">
      <c r="C56" s="4">
        <v>49</v>
      </c>
      <c r="D56" s="28">
        <v>42075</v>
      </c>
      <c r="E56" s="30">
        <v>21.876000000000001</v>
      </c>
      <c r="F56" s="30">
        <v>53.671838269863663</v>
      </c>
      <c r="G56" s="30">
        <v>6.8453220498354499</v>
      </c>
      <c r="H56" s="30">
        <v>58.533145275035267</v>
      </c>
      <c r="I56" s="8">
        <v>0</v>
      </c>
      <c r="J56" s="31">
        <v>0</v>
      </c>
      <c r="K56" s="31">
        <v>1</v>
      </c>
      <c r="L56" s="31">
        <v>0</v>
      </c>
      <c r="M56" s="31">
        <v>0</v>
      </c>
      <c r="N56" s="31">
        <v>0</v>
      </c>
      <c r="O56" s="31">
        <v>0</v>
      </c>
      <c r="P56" s="31">
        <v>0</v>
      </c>
      <c r="Q56" s="31">
        <v>0</v>
      </c>
      <c r="R56" s="31">
        <v>0</v>
      </c>
      <c r="S56" s="31">
        <v>0</v>
      </c>
      <c r="T56" s="21" t="str" cm="1">
        <f t="array" aca="1" ref="T56" ca="1">+fair_value_gap(OFFSET(S55,0,0,-1*$I$5,-1*$Z$1),OFFSET(E55,0,0,-1*$I$5,1),F56:S56,0)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56" s="7" t="str" cm="1">
        <f t="array" aca="1" ref="U56" ca="1">z_score_diff(OFFSET(T56,0,0,$I$5*-1,1),OFFSET(E56,0,0,$I$5*-1,1))</f>
        <v/>
      </c>
      <c r="V56" s="7" t="str">
        <f t="shared" ca="1" si="7"/>
        <v/>
      </c>
      <c r="W56" s="14">
        <f t="shared" ca="1" si="0"/>
        <v>4.5152980867144725E-3</v>
      </c>
      <c r="X56" s="10">
        <f t="shared" ref="X56:Y56" ca="1" si="57">+X55</f>
        <v>0</v>
      </c>
      <c r="Y56" s="10">
        <f t="shared" ca="1" si="57"/>
        <v>0</v>
      </c>
      <c r="Z56" t="str">
        <f t="shared" ca="1" si="9"/>
        <v/>
      </c>
      <c r="AA56" t="str">
        <f t="shared" ca="1" si="10"/>
        <v/>
      </c>
      <c r="AB56" s="19" t="str">
        <f t="shared" ca="1" si="11"/>
        <v/>
      </c>
      <c r="AC56" s="19" t="str">
        <f t="shared" ca="1" si="12"/>
        <v/>
      </c>
    </row>
    <row r="57" spans="3:29" x14ac:dyDescent="0.25">
      <c r="C57" s="4">
        <v>50</v>
      </c>
      <c r="D57" s="28">
        <v>42076</v>
      </c>
      <c r="E57" s="30">
        <v>21.628</v>
      </c>
      <c r="F57" s="30">
        <v>52.101400933955979</v>
      </c>
      <c r="G57" s="30">
        <v>6.937958639092729</v>
      </c>
      <c r="H57" s="30">
        <v>59.372915276851238</v>
      </c>
      <c r="I57" s="8">
        <v>0</v>
      </c>
      <c r="J57" s="31">
        <v>0</v>
      </c>
      <c r="K57" s="31">
        <v>1</v>
      </c>
      <c r="L57" s="31">
        <v>0</v>
      </c>
      <c r="M57" s="31">
        <v>0</v>
      </c>
      <c r="N57" s="31">
        <v>0</v>
      </c>
      <c r="O57" s="31">
        <v>0</v>
      </c>
      <c r="P57" s="31">
        <v>0</v>
      </c>
      <c r="Q57" s="31">
        <v>0</v>
      </c>
      <c r="R57" s="31">
        <v>0</v>
      </c>
      <c r="S57" s="31">
        <v>0</v>
      </c>
      <c r="T57" s="21" t="str" cm="1">
        <f t="array" aca="1" ref="T57" ca="1">+fair_value_gap(OFFSET(S56,0,0,-1*$I$5,-1*$Z$1),OFFSET(E56,0,0,-1*$I$5,1),F57:S57,0)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57" s="7" t="str" cm="1">
        <f t="array" aca="1" ref="U57" ca="1">z_score_diff(OFFSET(T57,0,0,$I$5*-1,1),OFFSET(E57,0,0,$I$5*-1,1))</f>
        <v/>
      </c>
      <c r="V57" s="7" t="str">
        <f t="shared" ca="1" si="7"/>
        <v/>
      </c>
      <c r="W57" s="14">
        <f t="shared" ca="1" si="0"/>
        <v>-3.2370690934477455E-4</v>
      </c>
      <c r="X57" s="10">
        <f t="shared" ref="X57:Y57" ca="1" si="58">+X56</f>
        <v>0</v>
      </c>
      <c r="Y57" s="10">
        <f t="shared" ca="1" si="58"/>
        <v>0</v>
      </c>
      <c r="Z57" t="str">
        <f t="shared" ca="1" si="9"/>
        <v/>
      </c>
      <c r="AA57" t="str">
        <f t="shared" ca="1" si="10"/>
        <v/>
      </c>
      <c r="AB57" s="19" t="str">
        <f t="shared" ca="1" si="11"/>
        <v/>
      </c>
      <c r="AC57" s="19" t="str">
        <f t="shared" ca="1" si="12"/>
        <v/>
      </c>
    </row>
    <row r="58" spans="3:29" x14ac:dyDescent="0.25">
      <c r="C58" s="4">
        <v>51</v>
      </c>
      <c r="D58" s="28">
        <v>42079</v>
      </c>
      <c r="E58" s="30">
        <v>21.364999999999998</v>
      </c>
      <c r="F58" s="30">
        <v>50.577323490441039</v>
      </c>
      <c r="G58" s="30">
        <v>7.216543630512966</v>
      </c>
      <c r="H58" s="30">
        <v>58.394851410183612</v>
      </c>
      <c r="I58" s="8">
        <v>0</v>
      </c>
      <c r="J58" s="31">
        <v>0</v>
      </c>
      <c r="K58" s="31">
        <v>1</v>
      </c>
      <c r="L58" s="31">
        <v>0</v>
      </c>
      <c r="M58" s="31">
        <v>0</v>
      </c>
      <c r="N58" s="31">
        <v>0</v>
      </c>
      <c r="O58" s="31">
        <v>0</v>
      </c>
      <c r="P58" s="31">
        <v>0</v>
      </c>
      <c r="Q58" s="31">
        <v>0</v>
      </c>
      <c r="R58" s="31">
        <v>0</v>
      </c>
      <c r="S58" s="31">
        <v>0</v>
      </c>
      <c r="T58" s="21" t="str" cm="1">
        <f t="array" aca="1" ref="T58" ca="1">+fair_value_gap(OFFSET(S57,0,0,-1*$I$5,-1*$Z$1),OFFSET(E57,0,0,-1*$I$5,1),F58:S58,0)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58" s="7" t="str" cm="1">
        <f t="array" aca="1" ref="U58" ca="1">z_score_diff(OFFSET(T58,0,0,$I$5*-1,1),OFFSET(E58,0,0,$I$5*-1,1))</f>
        <v/>
      </c>
      <c r="V58" s="7" t="str">
        <f t="shared" ca="1" si="7"/>
        <v/>
      </c>
      <c r="W58" s="14">
        <f t="shared" ca="1" si="0"/>
        <v>2.0431092188201945E-2</v>
      </c>
      <c r="X58" s="10">
        <f t="shared" ref="X58:Y58" ca="1" si="59">+X57</f>
        <v>0</v>
      </c>
      <c r="Y58" s="10">
        <f t="shared" ca="1" si="59"/>
        <v>0</v>
      </c>
      <c r="Z58" t="str">
        <f t="shared" ca="1" si="9"/>
        <v/>
      </c>
      <c r="AA58" t="str">
        <f t="shared" ca="1" si="10"/>
        <v/>
      </c>
      <c r="AB58" s="19" t="str">
        <f t="shared" ca="1" si="11"/>
        <v/>
      </c>
      <c r="AC58" s="19" t="str">
        <f t="shared" ca="1" si="12"/>
        <v/>
      </c>
    </row>
    <row r="59" spans="3:29" x14ac:dyDescent="0.25">
      <c r="C59" s="4">
        <v>52</v>
      </c>
      <c r="D59" s="28">
        <v>42080</v>
      </c>
      <c r="E59" s="30">
        <v>21.145</v>
      </c>
      <c r="F59" s="30">
        <v>50.495423232990461</v>
      </c>
      <c r="G59" s="30">
        <v>7.2850806832122288</v>
      </c>
      <c r="H59" s="30">
        <v>58.129659337548361</v>
      </c>
      <c r="I59" s="8">
        <v>0</v>
      </c>
      <c r="J59" s="31">
        <v>0</v>
      </c>
      <c r="K59" s="31">
        <v>1</v>
      </c>
      <c r="L59" s="31">
        <v>0</v>
      </c>
      <c r="M59" s="31">
        <v>0</v>
      </c>
      <c r="N59" s="31">
        <v>0</v>
      </c>
      <c r="O59" s="31">
        <v>0</v>
      </c>
      <c r="P59" s="31">
        <v>0</v>
      </c>
      <c r="Q59" s="31">
        <v>0</v>
      </c>
      <c r="R59" s="31">
        <v>0</v>
      </c>
      <c r="S59" s="31">
        <v>0</v>
      </c>
      <c r="T59" s="21" t="str" cm="1">
        <f t="array" aca="1" ref="T59" ca="1">+fair_value_gap(OFFSET(S58,0,0,-1*$I$5,-1*$Z$1),OFFSET(E58,0,0,-1*$I$5,1),F59:S59,0)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59" s="7" t="str" cm="1">
        <f t="array" aca="1" ref="U59" ca="1">z_score_diff(OFFSET(T59,0,0,$I$5*-1,1),OFFSET(E59,0,0,$I$5*-1,1))</f>
        <v/>
      </c>
      <c r="V59" s="7" t="str">
        <f t="shared" ca="1" si="7"/>
        <v/>
      </c>
      <c r="W59" s="14">
        <f t="shared" ca="1" si="0"/>
        <v>1.9111547073224676E-2</v>
      </c>
      <c r="X59" s="10">
        <f t="shared" ref="X59:Y59" ca="1" si="60">+X58</f>
        <v>0</v>
      </c>
      <c r="Y59" s="10">
        <f t="shared" ca="1" si="60"/>
        <v>0</v>
      </c>
      <c r="Z59" t="str">
        <f t="shared" ca="1" si="9"/>
        <v/>
      </c>
      <c r="AA59" t="str">
        <f t="shared" ca="1" si="10"/>
        <v/>
      </c>
      <c r="AB59" s="19" t="str">
        <f t="shared" ca="1" si="11"/>
        <v/>
      </c>
      <c r="AC59" s="19" t="str">
        <f t="shared" ca="1" si="12"/>
        <v/>
      </c>
    </row>
    <row r="60" spans="3:29" x14ac:dyDescent="0.25">
      <c r="C60" s="4">
        <v>53</v>
      </c>
      <c r="D60" s="28">
        <v>42081</v>
      </c>
      <c r="E60" s="30">
        <v>21.306000000000001</v>
      </c>
      <c r="F60" s="30">
        <v>51.458812701334558</v>
      </c>
      <c r="G60" s="30">
        <v>7.1053842613897835</v>
      </c>
      <c r="H60" s="30">
        <v>56.741831569259084</v>
      </c>
      <c r="I60" s="8">
        <v>0</v>
      </c>
      <c r="J60" s="31">
        <v>0</v>
      </c>
      <c r="K60" s="31">
        <v>1</v>
      </c>
      <c r="L60" s="31">
        <v>0</v>
      </c>
      <c r="M60" s="31">
        <v>0</v>
      </c>
      <c r="N60" s="31">
        <v>0</v>
      </c>
      <c r="O60" s="31">
        <v>0</v>
      </c>
      <c r="P60" s="31">
        <v>0</v>
      </c>
      <c r="Q60" s="31">
        <v>0</v>
      </c>
      <c r="R60" s="31">
        <v>0</v>
      </c>
      <c r="S60" s="31">
        <v>0</v>
      </c>
      <c r="T60" s="21" t="str" cm="1">
        <f t="array" aca="1" ref="T60" ca="1">+fair_value_gap(OFFSET(S59,0,0,-1*$I$5,-1*$Z$1),OFFSET(E59,0,0,-1*$I$5,1),F60:S60,0)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60" s="7" t="str" cm="1">
        <f t="array" aca="1" ref="U60" ca="1">z_score_diff(OFFSET(T60,0,0,$I$5*-1,1),OFFSET(E60,0,0,$I$5*-1,1))</f>
        <v/>
      </c>
      <c r="V60" s="7" t="str">
        <f t="shared" ca="1" si="7"/>
        <v/>
      </c>
      <c r="W60" s="14">
        <f t="shared" ca="1" si="0"/>
        <v>-7.4906717291577376E-3</v>
      </c>
      <c r="X60" s="10">
        <f t="shared" ref="X60:Y60" ca="1" si="61">+X59</f>
        <v>0</v>
      </c>
      <c r="Y60" s="10">
        <f t="shared" ca="1" si="61"/>
        <v>0</v>
      </c>
      <c r="Z60" t="str">
        <f t="shared" ca="1" si="9"/>
        <v/>
      </c>
      <c r="AA60" t="str">
        <f t="shared" ca="1" si="10"/>
        <v/>
      </c>
      <c r="AB60" s="19" t="str">
        <f t="shared" ca="1" si="11"/>
        <v/>
      </c>
      <c r="AC60" s="19" t="str">
        <f t="shared" ca="1" si="12"/>
        <v/>
      </c>
    </row>
    <row r="61" spans="3:29" x14ac:dyDescent="0.25">
      <c r="C61" s="4">
        <v>54</v>
      </c>
      <c r="D61" s="28">
        <v>42082</v>
      </c>
      <c r="E61" s="30">
        <v>21.236999999999998</v>
      </c>
      <c r="F61" s="30">
        <v>51.064827845013603</v>
      </c>
      <c r="G61" s="30">
        <v>7.2427056947180777</v>
      </c>
      <c r="H61" s="30">
        <v>57.463176658223091</v>
      </c>
      <c r="I61" s="8">
        <v>0</v>
      </c>
      <c r="J61" s="31">
        <v>0</v>
      </c>
      <c r="K61" s="31">
        <v>1</v>
      </c>
      <c r="L61" s="31">
        <v>0</v>
      </c>
      <c r="M61" s="31">
        <v>0</v>
      </c>
      <c r="N61" s="31">
        <v>0</v>
      </c>
      <c r="O61" s="31">
        <v>0</v>
      </c>
      <c r="P61" s="31">
        <v>0</v>
      </c>
      <c r="Q61" s="31">
        <v>0</v>
      </c>
      <c r="R61" s="31">
        <v>0</v>
      </c>
      <c r="S61" s="31">
        <v>0</v>
      </c>
      <c r="T61" s="21" t="str" cm="1">
        <f t="array" aca="1" ref="T61" ca="1">+fair_value_gap(OFFSET(S60,0,0,-1*$I$5,-1*$Z$1),OFFSET(E60,0,0,-1*$I$5,1),F61:S61,0)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61" s="7" t="str" cm="1">
        <f t="array" aca="1" ref="U61" ca="1">z_score_diff(OFFSET(T61,0,0,$I$5*-1,1),OFFSET(E61,0,0,$I$5*-1,1))</f>
        <v/>
      </c>
      <c r="V61" s="7" t="str">
        <f t="shared" ca="1" si="7"/>
        <v/>
      </c>
      <c r="W61" s="14">
        <f t="shared" ca="1" si="0"/>
        <v>-5.0511118321964876E-3</v>
      </c>
      <c r="X61" s="10">
        <f t="shared" ref="X61:Y61" ca="1" si="62">+X60</f>
        <v>0</v>
      </c>
      <c r="Y61" s="10">
        <f t="shared" ca="1" si="62"/>
        <v>0</v>
      </c>
      <c r="Z61" t="str">
        <f t="shared" ca="1" si="9"/>
        <v/>
      </c>
      <c r="AA61" t="str">
        <f t="shared" ca="1" si="10"/>
        <v/>
      </c>
      <c r="AB61" s="19" t="str">
        <f t="shared" ca="1" si="11"/>
        <v/>
      </c>
      <c r="AC61" s="19" t="str">
        <f t="shared" ca="1" si="12"/>
        <v/>
      </c>
    </row>
    <row r="62" spans="3:29" x14ac:dyDescent="0.25">
      <c r="C62" s="4">
        <v>55</v>
      </c>
      <c r="D62" s="28">
        <v>42083</v>
      </c>
      <c r="E62" s="30">
        <v>21.067</v>
      </c>
      <c r="F62" s="30">
        <v>51.127541589648793</v>
      </c>
      <c r="G62" s="30">
        <v>7.1349353049907576</v>
      </c>
      <c r="H62" s="30">
        <v>56.423290203327163</v>
      </c>
      <c r="I62" s="8">
        <v>0</v>
      </c>
      <c r="J62" s="31">
        <v>0</v>
      </c>
      <c r="K62" s="31">
        <v>1</v>
      </c>
      <c r="L62" s="31">
        <v>0</v>
      </c>
      <c r="M62" s="31">
        <v>0</v>
      </c>
      <c r="N62" s="31">
        <v>0</v>
      </c>
      <c r="O62" s="31">
        <v>0</v>
      </c>
      <c r="P62" s="31">
        <v>0</v>
      </c>
      <c r="Q62" s="31">
        <v>0</v>
      </c>
      <c r="R62" s="31">
        <v>0</v>
      </c>
      <c r="S62" s="31">
        <v>0</v>
      </c>
      <c r="T62" s="21" t="str" cm="1">
        <f t="array" aca="1" ref="T62" ca="1">+fair_value_gap(OFFSET(S61,0,0,-1*$I$5,-1*$Z$1),OFFSET(E61,0,0,-1*$I$5,1),F62:S62,0)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62" s="7" t="str" cm="1">
        <f t="array" aca="1" ref="U62" ca="1">z_score_diff(OFFSET(T62,0,0,$I$5*-1,1),OFFSET(E62,0,0,$I$5*-1,1))</f>
        <v/>
      </c>
      <c r="V62" s="7" t="str">
        <f t="shared" ca="1" si="7"/>
        <v/>
      </c>
      <c r="W62" s="14">
        <f t="shared" ca="1" si="0"/>
        <v>1.5636356819677618E-2</v>
      </c>
      <c r="X62" s="10">
        <f t="shared" ref="X62:Y62" ca="1" si="63">+X61</f>
        <v>0</v>
      </c>
      <c r="Y62" s="10">
        <f t="shared" ca="1" si="63"/>
        <v>0</v>
      </c>
      <c r="Z62" t="str">
        <f t="shared" ca="1" si="9"/>
        <v/>
      </c>
      <c r="AA62" t="str">
        <f t="shared" ca="1" si="10"/>
        <v/>
      </c>
      <c r="AB62" s="19" t="str">
        <f t="shared" ca="1" si="11"/>
        <v/>
      </c>
      <c r="AC62" s="19" t="str">
        <f t="shared" ca="1" si="12"/>
        <v/>
      </c>
    </row>
    <row r="63" spans="3:29" x14ac:dyDescent="0.25">
      <c r="C63" s="4">
        <v>56</v>
      </c>
      <c r="D63" s="28">
        <v>42086</v>
      </c>
      <c r="E63" s="30">
        <v>20.931999999999999</v>
      </c>
      <c r="F63" s="30">
        <v>51.091822750114204</v>
      </c>
      <c r="G63" s="30">
        <v>6.9483782549109181</v>
      </c>
      <c r="H63" s="30">
        <v>55.641845591594333</v>
      </c>
      <c r="I63" s="8">
        <v>0</v>
      </c>
      <c r="J63" s="31">
        <v>0</v>
      </c>
      <c r="K63" s="31">
        <v>1</v>
      </c>
      <c r="L63" s="31">
        <v>0</v>
      </c>
      <c r="M63" s="31">
        <v>0</v>
      </c>
      <c r="N63" s="31">
        <v>0</v>
      </c>
      <c r="O63" s="31">
        <v>0</v>
      </c>
      <c r="P63" s="31">
        <v>0</v>
      </c>
      <c r="Q63" s="31">
        <v>0</v>
      </c>
      <c r="R63" s="31">
        <v>0</v>
      </c>
      <c r="S63" s="31">
        <v>0</v>
      </c>
      <c r="T63" s="21" t="str" cm="1">
        <f t="array" aca="1" ref="T63" ca="1">+fair_value_gap(OFFSET(S62,0,0,-1*$I$5,-1*$Z$1),OFFSET(E62,0,0,-1*$I$5,1),F63:S63,0)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63" s="7" t="str" cm="1">
        <f t="array" aca="1" ref="U63" ca="1">z_score_diff(OFFSET(T63,0,0,$I$5*-1,1),OFFSET(E63,0,0,$I$5*-1,1))</f>
        <v/>
      </c>
      <c r="V63" s="7" t="str">
        <f t="shared" ca="1" si="7"/>
        <v/>
      </c>
      <c r="W63" s="14">
        <f t="shared" ca="1" si="0"/>
        <v>1.794428282522758E-2</v>
      </c>
      <c r="X63" s="10">
        <f t="shared" ref="X63:Y63" ca="1" si="64">+X62</f>
        <v>0</v>
      </c>
      <c r="Y63" s="10">
        <f t="shared" ca="1" si="64"/>
        <v>0</v>
      </c>
      <c r="Z63" t="str">
        <f t="shared" ca="1" si="9"/>
        <v/>
      </c>
      <c r="AA63" t="str">
        <f t="shared" ca="1" si="10"/>
        <v/>
      </c>
      <c r="AB63" s="19" t="str">
        <f t="shared" ca="1" si="11"/>
        <v/>
      </c>
      <c r="AC63" s="19" t="str">
        <f t="shared" ca="1" si="12"/>
        <v/>
      </c>
    </row>
    <row r="64" spans="3:29" x14ac:dyDescent="0.25">
      <c r="C64" s="4">
        <v>57</v>
      </c>
      <c r="D64" s="28">
        <v>42087</v>
      </c>
      <c r="E64" s="30">
        <v>21.186</v>
      </c>
      <c r="F64" s="30">
        <v>50.448553643354082</v>
      </c>
      <c r="G64" s="30">
        <v>6.9617356279751013</v>
      </c>
      <c r="H64" s="30">
        <v>55.748809959721711</v>
      </c>
      <c r="I64" s="8">
        <v>0</v>
      </c>
      <c r="J64" s="31">
        <v>0</v>
      </c>
      <c r="K64" s="31">
        <v>1</v>
      </c>
      <c r="L64" s="31">
        <v>0</v>
      </c>
      <c r="M64" s="31">
        <v>0</v>
      </c>
      <c r="N64" s="31">
        <v>0</v>
      </c>
      <c r="O64" s="31">
        <v>0</v>
      </c>
      <c r="P64" s="31">
        <v>0</v>
      </c>
      <c r="Q64" s="31">
        <v>0</v>
      </c>
      <c r="R64" s="31">
        <v>0</v>
      </c>
      <c r="S64" s="31">
        <v>0</v>
      </c>
      <c r="T64" s="21" t="str" cm="1">
        <f t="array" aca="1" ref="T64" ca="1">+fair_value_gap(OFFSET(S63,0,0,-1*$I$5,-1*$Z$1),OFFSET(E63,0,0,-1*$I$5,1),F64:S64,0)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64" s="7" t="str" cm="1">
        <f t="array" aca="1" ref="U64" ca="1">z_score_diff(OFFSET(T64,0,0,$I$5*-1,1),OFFSET(E64,0,0,$I$5*-1,1))</f>
        <v/>
      </c>
      <c r="V64" s="7" t="str">
        <f t="shared" ca="1" si="7"/>
        <v/>
      </c>
      <c r="W64" s="14">
        <f t="shared" ca="1" si="0"/>
        <v>-8.4848706607609219E-3</v>
      </c>
      <c r="X64" s="10">
        <f t="shared" ref="X64:Y64" ca="1" si="65">+X63</f>
        <v>0</v>
      </c>
      <c r="Y64" s="10">
        <f t="shared" ca="1" si="65"/>
        <v>0</v>
      </c>
      <c r="Z64" t="str">
        <f t="shared" ca="1" si="9"/>
        <v/>
      </c>
      <c r="AA64" t="str">
        <f t="shared" ca="1" si="10"/>
        <v/>
      </c>
      <c r="AB64" s="19" t="str">
        <f t="shared" ca="1" si="11"/>
        <v/>
      </c>
      <c r="AC64" s="19" t="str">
        <f t="shared" ca="1" si="12"/>
        <v/>
      </c>
    </row>
    <row r="65" spans="3:29" x14ac:dyDescent="0.25">
      <c r="C65" s="4">
        <v>58</v>
      </c>
      <c r="D65" s="28">
        <v>42088</v>
      </c>
      <c r="E65" s="30">
        <v>21.111000000000001</v>
      </c>
      <c r="F65" s="30">
        <v>51.490564317622386</v>
      </c>
      <c r="G65" s="30">
        <v>6.8693591029264294</v>
      </c>
      <c r="H65" s="30">
        <v>55.52010210593491</v>
      </c>
      <c r="I65" s="8">
        <v>0</v>
      </c>
      <c r="J65" s="31">
        <v>0</v>
      </c>
      <c r="K65" s="31">
        <v>1</v>
      </c>
      <c r="L65" s="31">
        <v>0</v>
      </c>
      <c r="M65" s="31">
        <v>0</v>
      </c>
      <c r="N65" s="31">
        <v>0</v>
      </c>
      <c r="O65" s="31">
        <v>0</v>
      </c>
      <c r="P65" s="31">
        <v>0</v>
      </c>
      <c r="Q65" s="31">
        <v>0</v>
      </c>
      <c r="R65" s="31">
        <v>0</v>
      </c>
      <c r="S65" s="31">
        <v>0</v>
      </c>
      <c r="T65" s="21" t="str" cm="1">
        <f t="array" aca="1" ref="T65" ca="1">+fair_value_gap(OFFSET(S64,0,0,-1*$I$5,-1*$Z$1),OFFSET(E64,0,0,-1*$I$5,1),F65:S65,0)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65" s="7" t="str" cm="1">
        <f t="array" aca="1" ref="U65" ca="1">z_score_diff(OFFSET(T65,0,0,$I$5*-1,1),OFFSET(E65,0,0,$I$5*-1,1))</f>
        <v/>
      </c>
      <c r="V65" s="7" t="str">
        <f t="shared" ca="1" si="7"/>
        <v/>
      </c>
      <c r="W65" s="14">
        <f t="shared" ca="1" si="0"/>
        <v>1.2781369346340273E-3</v>
      </c>
      <c r="X65" s="10">
        <f t="shared" ref="X65:Y65" ca="1" si="66">+X64</f>
        <v>0</v>
      </c>
      <c r="Y65" s="10">
        <f t="shared" ca="1" si="66"/>
        <v>0</v>
      </c>
      <c r="Z65" t="str">
        <f t="shared" ca="1" si="9"/>
        <v/>
      </c>
      <c r="AA65" t="str">
        <f t="shared" ca="1" si="10"/>
        <v/>
      </c>
      <c r="AB65" s="19" t="str">
        <f t="shared" ca="1" si="11"/>
        <v/>
      </c>
      <c r="AC65" s="19" t="str">
        <f t="shared" ca="1" si="12"/>
        <v/>
      </c>
    </row>
    <row r="66" spans="3:29" x14ac:dyDescent="0.25">
      <c r="C66" s="4">
        <v>59</v>
      </c>
      <c r="D66" s="28">
        <v>42089</v>
      </c>
      <c r="E66" s="30">
        <v>21.707000000000001</v>
      </c>
      <c r="F66" s="30">
        <v>54.387576954883762</v>
      </c>
      <c r="G66" s="30">
        <v>6.9236423780207659</v>
      </c>
      <c r="H66" s="30">
        <v>56.004778094275473</v>
      </c>
      <c r="I66" s="8">
        <v>0</v>
      </c>
      <c r="J66" s="31">
        <v>0</v>
      </c>
      <c r="K66" s="31">
        <v>1</v>
      </c>
      <c r="L66" s="31">
        <v>0</v>
      </c>
      <c r="M66" s="31">
        <v>0</v>
      </c>
      <c r="N66" s="31">
        <v>0</v>
      </c>
      <c r="O66" s="31">
        <v>0</v>
      </c>
      <c r="P66" s="31">
        <v>0</v>
      </c>
      <c r="Q66" s="31">
        <v>0</v>
      </c>
      <c r="R66" s="31">
        <v>0</v>
      </c>
      <c r="S66" s="31">
        <v>0</v>
      </c>
      <c r="T66" s="21" t="str" cm="1">
        <f t="array" aca="1" ref="T66" ca="1">+fair_value_gap(OFFSET(S65,0,0,-1*$I$5,-1*$Z$1),OFFSET(E65,0,0,-1*$I$5,1),F66:S66,0)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66" s="7" t="str" cm="1">
        <f t="array" aca="1" ref="U66" ca="1">z_score_diff(OFFSET(T66,0,0,$I$5*-1,1),OFFSET(E66,0,0,$I$5*-1,1))</f>
        <v/>
      </c>
      <c r="V66" s="7" t="str">
        <f t="shared" ca="1" si="7"/>
        <v/>
      </c>
      <c r="W66" s="14">
        <f t="shared" ca="1" si="0"/>
        <v>-3.2969504510454987E-2</v>
      </c>
      <c r="X66" s="10">
        <f t="shared" ref="X66:Y66" ca="1" si="67">+X65</f>
        <v>0</v>
      </c>
      <c r="Y66" s="10">
        <f t="shared" ca="1" si="67"/>
        <v>0</v>
      </c>
      <c r="Z66" t="str">
        <f t="shared" ca="1" si="9"/>
        <v/>
      </c>
      <c r="AA66" t="str">
        <f t="shared" ca="1" si="10"/>
        <v/>
      </c>
      <c r="AB66" s="19" t="str">
        <f t="shared" ca="1" si="11"/>
        <v/>
      </c>
      <c r="AC66" s="19" t="str">
        <f t="shared" ca="1" si="12"/>
        <v/>
      </c>
    </row>
    <row r="67" spans="3:29" x14ac:dyDescent="0.25">
      <c r="C67" s="4">
        <v>60</v>
      </c>
      <c r="D67" s="28">
        <v>42090</v>
      </c>
      <c r="E67" s="30">
        <v>21.809000000000001</v>
      </c>
      <c r="F67" s="30">
        <v>51.81409019932029</v>
      </c>
      <c r="G67" s="30">
        <v>6.9210985579131075</v>
      </c>
      <c r="H67" s="30">
        <v>55.938275006888951</v>
      </c>
      <c r="I67" s="8">
        <v>0</v>
      </c>
      <c r="J67" s="31">
        <v>0</v>
      </c>
      <c r="K67" s="31">
        <v>1</v>
      </c>
      <c r="L67" s="31">
        <v>0</v>
      </c>
      <c r="M67" s="31">
        <v>0</v>
      </c>
      <c r="N67" s="31">
        <v>0</v>
      </c>
      <c r="O67" s="31">
        <v>0</v>
      </c>
      <c r="P67" s="31">
        <v>0</v>
      </c>
      <c r="Q67" s="31">
        <v>0</v>
      </c>
      <c r="R67" s="31">
        <v>0</v>
      </c>
      <c r="S67" s="31">
        <v>0</v>
      </c>
      <c r="T67" s="21" t="str" cm="1">
        <f t="array" aca="1" ref="T67" ca="1">+fair_value_gap(OFFSET(S66,0,0,-1*$I$5,-1*$Z$1),OFFSET(E66,0,0,-1*$I$5,1),F67:S67,0)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67" s="7" t="str" cm="1">
        <f t="array" aca="1" ref="U67" ca="1">z_score_diff(OFFSET(T67,0,0,$I$5*-1,1),OFFSET(E67,0,0,$I$5*-1,1))</f>
        <v/>
      </c>
      <c r="V67" s="7" t="str">
        <f t="shared" ca="1" si="7"/>
        <v/>
      </c>
      <c r="W67" s="14">
        <f t="shared" ca="1" si="0"/>
        <v>-4.319577276190905E-2</v>
      </c>
      <c r="X67" s="10">
        <f t="shared" ref="X67:Y67" ca="1" si="68">+X66</f>
        <v>0</v>
      </c>
      <c r="Y67" s="10">
        <f t="shared" ca="1" si="68"/>
        <v>0</v>
      </c>
      <c r="Z67" t="str">
        <f t="shared" ca="1" si="9"/>
        <v/>
      </c>
      <c r="AA67" t="str">
        <f t="shared" ca="1" si="10"/>
        <v/>
      </c>
      <c r="AB67" s="19" t="str">
        <f t="shared" ca="1" si="11"/>
        <v/>
      </c>
      <c r="AC67" s="19" t="str">
        <f t="shared" ca="1" si="12"/>
        <v/>
      </c>
    </row>
    <row r="68" spans="3:29" x14ac:dyDescent="0.25">
      <c r="C68" s="4">
        <v>61</v>
      </c>
      <c r="D68" s="28">
        <v>42093</v>
      </c>
      <c r="E68" s="30">
        <v>21.773</v>
      </c>
      <c r="F68" s="30">
        <v>51.966395864106353</v>
      </c>
      <c r="G68" s="30">
        <v>6.9562407680945348</v>
      </c>
      <c r="H68" s="30">
        <v>54.468242245199413</v>
      </c>
      <c r="I68" s="8">
        <v>0</v>
      </c>
      <c r="J68" s="31">
        <v>0</v>
      </c>
      <c r="K68" s="31">
        <v>1</v>
      </c>
      <c r="L68" s="31">
        <v>0</v>
      </c>
      <c r="M68" s="31">
        <v>0</v>
      </c>
      <c r="N68" s="31">
        <v>0</v>
      </c>
      <c r="O68" s="31">
        <v>0</v>
      </c>
      <c r="P68" s="31">
        <v>0</v>
      </c>
      <c r="Q68" s="31">
        <v>0</v>
      </c>
      <c r="R68" s="31">
        <v>0</v>
      </c>
      <c r="S68" s="31">
        <v>0</v>
      </c>
      <c r="T68" s="21" t="str" cm="1">
        <f t="array" aca="1" ref="T68" ca="1">+fair_value_gap(OFFSET(S67,0,0,-1*$I$5,-1*$Z$1),OFFSET(E67,0,0,-1*$I$5,1),F68:S68,0)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68" s="7" t="str" cm="1">
        <f t="array" aca="1" ref="U68" ca="1">z_score_diff(OFFSET(T68,0,0,$I$5*-1,1),OFFSET(E68,0,0,$I$5*-1,1))</f>
        <v/>
      </c>
      <c r="V68" s="7" t="str">
        <f t="shared" ca="1" si="7"/>
        <v/>
      </c>
      <c r="W68" s="14">
        <f t="shared" ca="1" si="0"/>
        <v>-3.8722972719227811E-2</v>
      </c>
      <c r="X68" s="10">
        <f t="shared" ref="X68:Y68" ca="1" si="69">+X67</f>
        <v>0</v>
      </c>
      <c r="Y68" s="10">
        <f t="shared" ca="1" si="69"/>
        <v>0</v>
      </c>
      <c r="Z68" t="str">
        <f t="shared" ca="1" si="9"/>
        <v/>
      </c>
      <c r="AA68" t="str">
        <f t="shared" ca="1" si="10"/>
        <v/>
      </c>
      <c r="AB68" s="19" t="str">
        <f t="shared" ca="1" si="11"/>
        <v/>
      </c>
      <c r="AC68" s="19" t="str">
        <f t="shared" ca="1" si="12"/>
        <v/>
      </c>
    </row>
    <row r="69" spans="3:29" x14ac:dyDescent="0.25">
      <c r="C69" s="4">
        <v>62</v>
      </c>
      <c r="D69" s="28">
        <v>42094</v>
      </c>
      <c r="E69" s="30">
        <v>21.567</v>
      </c>
      <c r="F69" s="30">
        <v>51.36067101584343</v>
      </c>
      <c r="G69" s="30">
        <v>7.0130475302889099</v>
      </c>
      <c r="H69" s="30">
        <v>54.659832246039144</v>
      </c>
      <c r="I69" s="8">
        <v>0</v>
      </c>
      <c r="J69" s="31">
        <v>0</v>
      </c>
      <c r="K69" s="31">
        <v>1</v>
      </c>
      <c r="L69" s="31">
        <v>0</v>
      </c>
      <c r="M69" s="31">
        <v>0</v>
      </c>
      <c r="N69" s="31">
        <v>0</v>
      </c>
      <c r="O69" s="31">
        <v>0</v>
      </c>
      <c r="P69" s="31">
        <v>0</v>
      </c>
      <c r="Q69" s="31">
        <v>0</v>
      </c>
      <c r="R69" s="31">
        <v>0</v>
      </c>
      <c r="S69" s="31">
        <v>0</v>
      </c>
      <c r="T69" s="21" t="str" cm="1">
        <f t="array" aca="1" ref="T69" ca="1">+fair_value_gap(OFFSET(S68,0,0,-1*$I$5,-1*$Z$1),OFFSET(E68,0,0,-1*$I$5,1),F69:S69,0)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69" s="7" t="str" cm="1">
        <f t="array" aca="1" ref="U69" ca="1">z_score_diff(OFFSET(T69,0,0,$I$5*-1,1),OFFSET(E69,0,0,$I$5*-1,1))</f>
        <v/>
      </c>
      <c r="V69" s="7" t="str">
        <f t="shared" ca="1" si="7"/>
        <v/>
      </c>
      <c r="W69" s="14">
        <f t="shared" ca="1" si="0"/>
        <v>-5.1813229517219068E-2</v>
      </c>
      <c r="X69" s="10">
        <f t="shared" ref="X69:Y69" ca="1" si="70">+X68</f>
        <v>0</v>
      </c>
      <c r="Y69" s="10">
        <f t="shared" ca="1" si="70"/>
        <v>0</v>
      </c>
      <c r="Z69" t="str">
        <f t="shared" ca="1" si="9"/>
        <v/>
      </c>
      <c r="AA69" t="str">
        <f t="shared" ca="1" si="10"/>
        <v/>
      </c>
      <c r="AB69" s="19" t="str">
        <f t="shared" ca="1" si="11"/>
        <v/>
      </c>
      <c r="AC69" s="19" t="str">
        <f t="shared" ca="1" si="12"/>
        <v/>
      </c>
    </row>
    <row r="70" spans="3:29" x14ac:dyDescent="0.25">
      <c r="C70" s="4">
        <v>63</v>
      </c>
      <c r="D70" s="28">
        <v>42095</v>
      </c>
      <c r="E70" s="30">
        <v>21.931000000000001</v>
      </c>
      <c r="F70" s="30">
        <v>53.05705259245493</v>
      </c>
      <c r="G70" s="30">
        <v>6.9875487827541338</v>
      </c>
      <c r="H70" s="30">
        <v>54.729604162795013</v>
      </c>
      <c r="I70" s="8">
        <v>0</v>
      </c>
      <c r="J70" s="31">
        <v>0</v>
      </c>
      <c r="K70" s="31">
        <v>0</v>
      </c>
      <c r="L70" s="31">
        <v>1</v>
      </c>
      <c r="M70" s="31">
        <v>0</v>
      </c>
      <c r="N70" s="31">
        <v>0</v>
      </c>
      <c r="O70" s="31">
        <v>0</v>
      </c>
      <c r="P70" s="31">
        <v>0</v>
      </c>
      <c r="Q70" s="31">
        <v>0</v>
      </c>
      <c r="R70" s="31">
        <v>0</v>
      </c>
      <c r="S70" s="31">
        <v>0</v>
      </c>
      <c r="T70" s="21" t="str" cm="1">
        <f t="array" aca="1" ref="T70" ca="1">+fair_value_gap(OFFSET(S69,0,0,-1*$I$5,-1*$Z$1),OFFSET(E69,0,0,-1*$I$5,1),F70:S70,0)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70" s="7" t="str" cm="1">
        <f t="array" aca="1" ref="U70" ca="1">z_score_diff(OFFSET(T70,0,0,$I$5*-1,1),OFFSET(E70,0,0,$I$5*-1,1))</f>
        <v/>
      </c>
      <c r="V70" s="7" t="str">
        <f t="shared" ca="1" si="7"/>
        <v/>
      </c>
      <c r="W70" s="14">
        <f t="shared" ca="1" si="0"/>
        <v>-8.4051919369429531E-2</v>
      </c>
      <c r="X70" s="10">
        <f t="shared" ref="X70:Y70" ca="1" si="71">+X69</f>
        <v>0</v>
      </c>
      <c r="Y70" s="10">
        <f t="shared" ca="1" si="71"/>
        <v>0</v>
      </c>
      <c r="Z70" t="str">
        <f t="shared" ca="1" si="9"/>
        <v/>
      </c>
      <c r="AA70" t="str">
        <f t="shared" ca="1" si="10"/>
        <v/>
      </c>
      <c r="AB70" s="19" t="str">
        <f t="shared" ca="1" si="11"/>
        <v/>
      </c>
      <c r="AC70" s="19" t="str">
        <f t="shared" ca="1" si="12"/>
        <v/>
      </c>
    </row>
    <row r="71" spans="3:29" x14ac:dyDescent="0.25">
      <c r="C71" s="4">
        <v>64</v>
      </c>
      <c r="D71" s="28">
        <v>42096</v>
      </c>
      <c r="E71" s="30">
        <v>21.876999999999999</v>
      </c>
      <c r="F71" s="30">
        <v>50.500873081518243</v>
      </c>
      <c r="G71" s="30">
        <v>6.8467971693778145</v>
      </c>
      <c r="H71" s="30">
        <v>53.625585883650395</v>
      </c>
      <c r="I71" s="8">
        <v>0</v>
      </c>
      <c r="J71" s="31">
        <v>0</v>
      </c>
      <c r="K71" s="31">
        <v>0</v>
      </c>
      <c r="L71" s="31">
        <v>1</v>
      </c>
      <c r="M71" s="31">
        <v>0</v>
      </c>
      <c r="N71" s="31">
        <v>0</v>
      </c>
      <c r="O71" s="31">
        <v>0</v>
      </c>
      <c r="P71" s="31">
        <v>0</v>
      </c>
      <c r="Q71" s="31">
        <v>0</v>
      </c>
      <c r="R71" s="31">
        <v>0</v>
      </c>
      <c r="S71" s="31">
        <v>0</v>
      </c>
      <c r="T71" s="21" t="str" cm="1">
        <f t="array" aca="1" ref="T71" ca="1">+fair_value_gap(OFFSET(S70,0,0,-1*$I$5,-1*$Z$1),OFFSET(E70,0,0,-1*$I$5,1),F71:S71,0)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71" s="7" t="str" cm="1">
        <f t="array" aca="1" ref="U71" ca="1">z_score_diff(OFFSET(T71,0,0,$I$5*-1,1),OFFSET(E71,0,0,$I$5*-1,1))</f>
        <v/>
      </c>
      <c r="V71" s="7" t="str">
        <f t="shared" ca="1" si="7"/>
        <v/>
      </c>
      <c r="W71" s="14">
        <f t="shared" ref="W71:W134" ca="1" si="72">+LN(OFFSET(E71,$W$3,0,1,1)/E71)</f>
        <v>-8.1586614979831051E-2</v>
      </c>
      <c r="X71" s="10">
        <f t="shared" ref="X71:Y71" ca="1" si="73">+X70</f>
        <v>0</v>
      </c>
      <c r="Y71" s="10">
        <f t="shared" ca="1" si="73"/>
        <v>0</v>
      </c>
      <c r="Z71" t="str">
        <f t="shared" ca="1" si="9"/>
        <v/>
      </c>
      <c r="AA71" t="str">
        <f t="shared" ca="1" si="10"/>
        <v/>
      </c>
      <c r="AB71" s="19" t="str">
        <f t="shared" ca="1" si="11"/>
        <v/>
      </c>
      <c r="AC71" s="19" t="str">
        <f t="shared" ca="1" si="12"/>
        <v/>
      </c>
    </row>
    <row r="72" spans="3:29" x14ac:dyDescent="0.25">
      <c r="C72" s="4">
        <v>65</v>
      </c>
      <c r="D72" s="28">
        <v>42101</v>
      </c>
      <c r="E72" s="30">
        <v>21.488</v>
      </c>
      <c r="F72" s="30">
        <v>54.656432072505325</v>
      </c>
      <c r="G72" s="30">
        <v>6.8436141681309541</v>
      </c>
      <c r="H72" s="30">
        <v>53.454175529455284</v>
      </c>
      <c r="I72" s="8">
        <v>0</v>
      </c>
      <c r="J72" s="31">
        <v>0</v>
      </c>
      <c r="K72" s="31">
        <v>0</v>
      </c>
      <c r="L72" s="31">
        <v>1</v>
      </c>
      <c r="M72" s="31">
        <v>0</v>
      </c>
      <c r="N72" s="31">
        <v>0</v>
      </c>
      <c r="O72" s="31">
        <v>0</v>
      </c>
      <c r="P72" s="31">
        <v>0</v>
      </c>
      <c r="Q72" s="31">
        <v>0</v>
      </c>
      <c r="R72" s="31">
        <v>0</v>
      </c>
      <c r="S72" s="31">
        <v>0</v>
      </c>
      <c r="T72" s="21" t="str" cm="1">
        <f t="array" aca="1" ref="T72" ca="1">+fair_value_gap(OFFSET(S71,0,0,-1*$I$5,-1*$Z$1),OFFSET(E71,0,0,-1*$I$5,1),F72:S72,0)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72" s="7" t="str" cm="1">
        <f t="array" aca="1" ref="U72" ca="1">z_score_diff(OFFSET(T72,0,0,$I$5*-1,1),OFFSET(E72,0,0,$I$5*-1,1))</f>
        <v/>
      </c>
      <c r="V72" s="7" t="str">
        <f t="shared" ca="1" si="7"/>
        <v/>
      </c>
      <c r="W72" s="14">
        <f t="shared" ca="1" si="72"/>
        <v>-5.0637084611942419E-2</v>
      </c>
      <c r="X72" s="10">
        <f t="shared" ref="X72:Y72" ca="1" si="74">+X71</f>
        <v>0</v>
      </c>
      <c r="Y72" s="10">
        <f t="shared" ca="1" si="74"/>
        <v>0</v>
      </c>
      <c r="Z72" t="str">
        <f t="shared" ca="1" si="9"/>
        <v/>
      </c>
      <c r="AA72" t="str">
        <f t="shared" ca="1" si="10"/>
        <v/>
      </c>
      <c r="AB72" s="19" t="str">
        <f t="shared" ca="1" si="11"/>
        <v/>
      </c>
      <c r="AC72" s="19" t="str">
        <f t="shared" ca="1" si="12"/>
        <v/>
      </c>
    </row>
    <row r="73" spans="3:29" x14ac:dyDescent="0.25">
      <c r="C73" s="4">
        <v>66</v>
      </c>
      <c r="D73" s="28">
        <v>42102</v>
      </c>
      <c r="E73" s="30">
        <v>21.640999999999998</v>
      </c>
      <c r="F73" s="30">
        <v>51.535392893589382</v>
      </c>
      <c r="G73" s="30">
        <v>6.8652008535114577</v>
      </c>
      <c r="H73" s="30">
        <v>53.854717506262169</v>
      </c>
      <c r="I73" s="8">
        <v>0</v>
      </c>
      <c r="J73" s="31">
        <v>0</v>
      </c>
      <c r="K73" s="31">
        <v>0</v>
      </c>
      <c r="L73" s="31">
        <v>1</v>
      </c>
      <c r="M73" s="31">
        <v>0</v>
      </c>
      <c r="N73" s="31">
        <v>0</v>
      </c>
      <c r="O73" s="31">
        <v>0</v>
      </c>
      <c r="P73" s="31">
        <v>0</v>
      </c>
      <c r="Q73" s="31">
        <v>0</v>
      </c>
      <c r="R73" s="31">
        <v>0</v>
      </c>
      <c r="S73" s="31">
        <v>0</v>
      </c>
      <c r="T73" s="21" t="str" cm="1">
        <f t="array" aca="1" ref="T73" ca="1">+fair_value_gap(OFFSET(S72,0,0,-1*$I$5,-1*$Z$1),OFFSET(E72,0,0,-1*$I$5,1),F73:S73,0)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73" s="7" t="str" cm="1">
        <f t="array" aca="1" ref="U73" ca="1">z_score_diff(OFFSET(T73,0,0,$I$5*-1,1),OFFSET(E73,0,0,$I$5*-1,1))</f>
        <v/>
      </c>
      <c r="V73" s="7" t="str">
        <f t="shared" ca="1" si="7"/>
        <v/>
      </c>
      <c r="W73" s="14">
        <f t="shared" ca="1" si="72"/>
        <v>-6.1656182757719551E-2</v>
      </c>
      <c r="X73" s="10">
        <f t="shared" ref="X73:Y73" ca="1" si="75">+X72</f>
        <v>0</v>
      </c>
      <c r="Y73" s="10">
        <f t="shared" ca="1" si="75"/>
        <v>0</v>
      </c>
      <c r="Z73" t="str">
        <f t="shared" ca="1" si="9"/>
        <v/>
      </c>
      <c r="AA73" t="str">
        <f t="shared" ca="1" si="10"/>
        <v/>
      </c>
      <c r="AB73" s="19" t="str">
        <f t="shared" ca="1" si="11"/>
        <v/>
      </c>
      <c r="AC73" s="19" t="str">
        <f t="shared" ca="1" si="12"/>
        <v/>
      </c>
    </row>
    <row r="74" spans="3:29" x14ac:dyDescent="0.25">
      <c r="C74" s="4">
        <v>67</v>
      </c>
      <c r="D74" s="28">
        <v>42103</v>
      </c>
      <c r="E74" s="30">
        <v>21.841000000000001</v>
      </c>
      <c r="F74" s="30">
        <v>53.077500469131166</v>
      </c>
      <c r="G74" s="30">
        <v>6.933758678926627</v>
      </c>
      <c r="H74" s="30">
        <v>55.122912366297612</v>
      </c>
      <c r="I74" s="8">
        <v>0</v>
      </c>
      <c r="J74" s="31">
        <v>0</v>
      </c>
      <c r="K74" s="31">
        <v>0</v>
      </c>
      <c r="L74" s="31">
        <v>1</v>
      </c>
      <c r="M74" s="31">
        <v>0</v>
      </c>
      <c r="N74" s="31">
        <v>0</v>
      </c>
      <c r="O74" s="31">
        <v>0</v>
      </c>
      <c r="P74" s="31">
        <v>0</v>
      </c>
      <c r="Q74" s="31">
        <v>0</v>
      </c>
      <c r="R74" s="31">
        <v>0</v>
      </c>
      <c r="S74" s="31">
        <v>0</v>
      </c>
      <c r="T74" s="21" t="str" cm="1">
        <f t="array" aca="1" ref="T74" ca="1">+fair_value_gap(OFFSET(S73,0,0,-1*$I$5,-1*$Z$1),OFFSET(E73,0,0,-1*$I$5,1),F74:S74,0)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74" s="7" t="str" cm="1">
        <f t="array" aca="1" ref="U74" ca="1">z_score_diff(OFFSET(T74,0,0,$I$5*-1,1),OFFSET(E74,0,0,$I$5*-1,1))</f>
        <v/>
      </c>
      <c r="V74" s="7" t="str">
        <f t="shared" ca="1" si="7"/>
        <v/>
      </c>
      <c r="W74" s="14">
        <f t="shared" ca="1" si="72"/>
        <v>-8.1627376055379439E-2</v>
      </c>
      <c r="X74" s="10">
        <f t="shared" ref="X74:Y74" ca="1" si="76">+X73</f>
        <v>0</v>
      </c>
      <c r="Y74" s="10">
        <f t="shared" ca="1" si="76"/>
        <v>0</v>
      </c>
      <c r="Z74" t="str">
        <f t="shared" ca="1" si="9"/>
        <v/>
      </c>
      <c r="AA74" t="str">
        <f t="shared" ca="1" si="10"/>
        <v/>
      </c>
      <c r="AB74" s="19" t="str">
        <f t="shared" ca="1" si="11"/>
        <v/>
      </c>
      <c r="AC74" s="19" t="str">
        <f t="shared" ca="1" si="12"/>
        <v/>
      </c>
    </row>
    <row r="75" spans="3:29" x14ac:dyDescent="0.25">
      <c r="C75" s="4">
        <v>68</v>
      </c>
      <c r="D75" s="28">
        <v>42104</v>
      </c>
      <c r="E75" s="30">
        <v>21.702999999999999</v>
      </c>
      <c r="F75" s="30">
        <v>54.584040747028858</v>
      </c>
      <c r="G75" s="30">
        <v>6.9703829466138458</v>
      </c>
      <c r="H75" s="30">
        <v>55.083946425202789</v>
      </c>
      <c r="I75" s="8">
        <v>0</v>
      </c>
      <c r="J75" s="31">
        <v>0</v>
      </c>
      <c r="K75" s="31">
        <v>0</v>
      </c>
      <c r="L75" s="31">
        <v>1</v>
      </c>
      <c r="M75" s="31">
        <v>0</v>
      </c>
      <c r="N75" s="31">
        <v>0</v>
      </c>
      <c r="O75" s="31">
        <v>0</v>
      </c>
      <c r="P75" s="31">
        <v>0</v>
      </c>
      <c r="Q75" s="31">
        <v>0</v>
      </c>
      <c r="R75" s="31">
        <v>0</v>
      </c>
      <c r="S75" s="31">
        <v>0</v>
      </c>
      <c r="T75" s="21" t="str" cm="1">
        <f t="array" aca="1" ref="T75" ca="1">+fair_value_gap(OFFSET(S74,0,0,-1*$I$5,-1*$Z$1),OFFSET(E74,0,0,-1*$I$5,1),F75:S75,0)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75" s="7" t="str" cm="1">
        <f t="array" aca="1" ref="U75" ca="1">z_score_diff(OFFSET(T75,0,0,$I$5*-1,1),OFFSET(E75,0,0,$I$5*-1,1))</f>
        <v/>
      </c>
      <c r="V75" s="7" t="str">
        <f t="shared" ref="V75:V138" ca="1" si="77">+IF(ISERROR(AVERAGE(OFFSET(U75,0,0,$V$5*-1,1))),"",AVERAGE(OFFSET(U75,0,0,$V$5*-1,1)))</f>
        <v/>
      </c>
      <c r="W75" s="14">
        <f t="shared" ca="1" si="72"/>
        <v>-6.7075949547987707E-2</v>
      </c>
      <c r="X75" s="10">
        <f t="shared" ref="X75:Y75" ca="1" si="78">+X74</f>
        <v>0</v>
      </c>
      <c r="Y75" s="10">
        <f t="shared" ca="1" si="78"/>
        <v>0</v>
      </c>
      <c r="Z75" t="str">
        <f t="shared" ref="Z75:Z138" ca="1" si="79">+IF(V75="","",IF(V75&lt;X75,1,0))</f>
        <v/>
      </c>
      <c r="AA75" t="str">
        <f t="shared" ref="AA75:AA138" ca="1" si="80">+IF(V75="","",IF(V75&gt;Y75,1,0))</f>
        <v/>
      </c>
      <c r="AB75" s="19" t="str">
        <f t="shared" ref="AB75:AB138" ca="1" si="81">+IF(ISERROR(Z75*W75),"",Z75*W75)</f>
        <v/>
      </c>
      <c r="AC75" s="19" t="str">
        <f t="shared" ref="AC75:AC138" ca="1" si="82">+IF(ISERROR(AA75*W75),"",AA75*W75)</f>
        <v/>
      </c>
    </row>
    <row r="76" spans="3:29" x14ac:dyDescent="0.25">
      <c r="C76" s="4">
        <v>69</v>
      </c>
      <c r="D76" s="28">
        <v>42107</v>
      </c>
      <c r="E76" s="30">
        <v>21.975000000000001</v>
      </c>
      <c r="F76" s="30">
        <v>54.826802952867688</v>
      </c>
      <c r="G76" s="30">
        <v>6.9846678023850082</v>
      </c>
      <c r="H76" s="30">
        <v>55.697520348286957</v>
      </c>
      <c r="I76" s="8">
        <v>0</v>
      </c>
      <c r="J76" s="31">
        <v>0</v>
      </c>
      <c r="K76" s="31">
        <v>0</v>
      </c>
      <c r="L76" s="31">
        <v>1</v>
      </c>
      <c r="M76" s="31">
        <v>0</v>
      </c>
      <c r="N76" s="31">
        <v>0</v>
      </c>
      <c r="O76" s="31">
        <v>0</v>
      </c>
      <c r="P76" s="31">
        <v>0</v>
      </c>
      <c r="Q76" s="31">
        <v>0</v>
      </c>
      <c r="R76" s="31">
        <v>0</v>
      </c>
      <c r="S76" s="31">
        <v>0</v>
      </c>
      <c r="T76" s="21" t="str" cm="1">
        <f t="array" aca="1" ref="T76" ca="1">+fair_value_gap(OFFSET(S75,0,0,-1*$I$5,-1*$Z$1),OFFSET(E75,0,0,-1*$I$5,1),F76:S76,0)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76" s="7" t="str" cm="1">
        <f t="array" aca="1" ref="U76" ca="1">z_score_diff(OFFSET(T76,0,0,$I$5*-1,1),OFFSET(E76,0,0,$I$5*-1,1))</f>
        <v/>
      </c>
      <c r="V76" s="7" t="str">
        <f t="shared" ca="1" si="77"/>
        <v/>
      </c>
      <c r="W76" s="14">
        <f t="shared" ca="1" si="72"/>
        <v>-5.0156284600475477E-2</v>
      </c>
      <c r="X76" s="10">
        <f t="shared" ref="X76:Y76" ca="1" si="83">+X75</f>
        <v>0</v>
      </c>
      <c r="Y76" s="10">
        <f t="shared" ca="1" si="83"/>
        <v>0</v>
      </c>
      <c r="Z76" t="str">
        <f t="shared" ca="1" si="79"/>
        <v/>
      </c>
      <c r="AA76" t="str">
        <f t="shared" ca="1" si="80"/>
        <v/>
      </c>
      <c r="AB76" s="19" t="str">
        <f t="shared" ca="1" si="81"/>
        <v/>
      </c>
      <c r="AC76" s="19" t="str">
        <f t="shared" ca="1" si="82"/>
        <v/>
      </c>
    </row>
    <row r="77" spans="3:29" x14ac:dyDescent="0.25">
      <c r="C77" s="4">
        <v>70</v>
      </c>
      <c r="D77" s="28">
        <v>42108</v>
      </c>
      <c r="E77" s="30">
        <v>21.620999999999999</v>
      </c>
      <c r="F77" s="30">
        <v>54.853548629365378</v>
      </c>
      <c r="G77" s="30">
        <v>6.9282763800225311</v>
      </c>
      <c r="H77" s="30">
        <v>55.29478032294405</v>
      </c>
      <c r="I77" s="8">
        <v>0</v>
      </c>
      <c r="J77" s="31">
        <v>0</v>
      </c>
      <c r="K77" s="31">
        <v>0</v>
      </c>
      <c r="L77" s="31">
        <v>1</v>
      </c>
      <c r="M77" s="31">
        <v>0</v>
      </c>
      <c r="N77" s="31">
        <v>0</v>
      </c>
      <c r="O77" s="31">
        <v>0</v>
      </c>
      <c r="P77" s="31">
        <v>0</v>
      </c>
      <c r="Q77" s="31">
        <v>0</v>
      </c>
      <c r="R77" s="31">
        <v>0</v>
      </c>
      <c r="S77" s="31">
        <v>0</v>
      </c>
      <c r="T77" s="21" t="str" cm="1">
        <f t="array" aca="1" ref="T77" ca="1">+fair_value_gap(OFFSET(S76,0,0,-1*$I$5,-1*$Z$1),OFFSET(E76,0,0,-1*$I$5,1),F77:S77,0)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77" s="7" t="str" cm="1">
        <f t="array" aca="1" ref="U77" ca="1">z_score_diff(OFFSET(T77,0,0,$I$5*-1,1),OFFSET(E77,0,0,$I$5*-1,1))</f>
        <v/>
      </c>
      <c r="V77" s="7" t="str">
        <f t="shared" ca="1" si="77"/>
        <v/>
      </c>
      <c r="W77" s="14">
        <f t="shared" ca="1" si="72"/>
        <v>-3.876015598195056E-2</v>
      </c>
      <c r="X77" s="10">
        <f t="shared" ref="X77:Y77" ca="1" si="84">+X76</f>
        <v>0</v>
      </c>
      <c r="Y77" s="10">
        <f t="shared" ca="1" si="84"/>
        <v>0</v>
      </c>
      <c r="Z77" t="str">
        <f t="shared" ca="1" si="79"/>
        <v/>
      </c>
      <c r="AA77" t="str">
        <f t="shared" ca="1" si="80"/>
        <v/>
      </c>
      <c r="AB77" s="19" t="str">
        <f t="shared" ca="1" si="81"/>
        <v/>
      </c>
      <c r="AC77" s="19" t="str">
        <f t="shared" ca="1" si="82"/>
        <v/>
      </c>
    </row>
    <row r="78" spans="3:29" x14ac:dyDescent="0.25">
      <c r="C78" s="4">
        <v>71</v>
      </c>
      <c r="D78" s="28">
        <v>42109</v>
      </c>
      <c r="E78" s="30">
        <v>21.806000000000001</v>
      </c>
      <c r="F78" s="30">
        <v>56.458255335080494</v>
      </c>
      <c r="G78" s="30">
        <v>6.9075252714339195</v>
      </c>
      <c r="H78" s="30">
        <v>55.222763010108572</v>
      </c>
      <c r="I78" s="8">
        <v>0</v>
      </c>
      <c r="J78" s="31">
        <v>0</v>
      </c>
      <c r="K78" s="31">
        <v>0</v>
      </c>
      <c r="L78" s="31">
        <v>1</v>
      </c>
      <c r="M78" s="31">
        <v>0</v>
      </c>
      <c r="N78" s="31">
        <v>0</v>
      </c>
      <c r="O78" s="31">
        <v>0</v>
      </c>
      <c r="P78" s="31">
        <v>0</v>
      </c>
      <c r="Q78" s="31">
        <v>0</v>
      </c>
      <c r="R78" s="31">
        <v>0</v>
      </c>
      <c r="S78" s="31">
        <v>0</v>
      </c>
      <c r="T78" s="21" t="str" cm="1">
        <f t="array" aca="1" ref="T78" ca="1">+fair_value_gap(OFFSET(S77,0,0,-1*$I$5,-1*$Z$1),OFFSET(E77,0,0,-1*$I$5,1),F78:S78,0)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78" s="7" t="str" cm="1">
        <f t="array" aca="1" ref="U78" ca="1">z_score_diff(OFFSET(T78,0,0,$I$5*-1,1),OFFSET(E78,0,0,$I$5*-1,1))</f>
        <v/>
      </c>
      <c r="V78" s="7" t="str">
        <f t="shared" ca="1" si="77"/>
        <v/>
      </c>
      <c r="W78" s="14">
        <f t="shared" ca="1" si="72"/>
        <v>-4.9590722997632605E-2</v>
      </c>
      <c r="X78" s="10">
        <f t="shared" ref="X78:Y78" ca="1" si="85">+X77</f>
        <v>0</v>
      </c>
      <c r="Y78" s="10">
        <f t="shared" ca="1" si="85"/>
        <v>0</v>
      </c>
      <c r="Z78" t="str">
        <f t="shared" ca="1" si="79"/>
        <v/>
      </c>
      <c r="AA78" t="str">
        <f t="shared" ca="1" si="80"/>
        <v/>
      </c>
      <c r="AB78" s="19" t="str">
        <f t="shared" ca="1" si="81"/>
        <v/>
      </c>
      <c r="AC78" s="19" t="str">
        <f t="shared" ca="1" si="82"/>
        <v/>
      </c>
    </row>
    <row r="79" spans="3:29" x14ac:dyDescent="0.25">
      <c r="C79" s="4">
        <v>72</v>
      </c>
      <c r="D79" s="28">
        <v>42110</v>
      </c>
      <c r="E79" s="30">
        <v>21.553000000000001</v>
      </c>
      <c r="F79" s="30">
        <v>59.460966542750924</v>
      </c>
      <c r="G79" s="30">
        <v>6.3894052044609664</v>
      </c>
      <c r="H79" s="30">
        <v>55.065055762081784</v>
      </c>
      <c r="I79" s="8">
        <v>0</v>
      </c>
      <c r="J79" s="31">
        <v>0</v>
      </c>
      <c r="K79" s="31">
        <v>0</v>
      </c>
      <c r="L79" s="31">
        <v>1</v>
      </c>
      <c r="M79" s="31">
        <v>0</v>
      </c>
      <c r="N79" s="31">
        <v>0</v>
      </c>
      <c r="O79" s="31">
        <v>0</v>
      </c>
      <c r="P79" s="31">
        <v>0</v>
      </c>
      <c r="Q79" s="31">
        <v>0</v>
      </c>
      <c r="R79" s="31">
        <v>0</v>
      </c>
      <c r="S79" s="31">
        <v>0</v>
      </c>
      <c r="T79" s="21" t="str" cm="1">
        <f t="array" aca="1" ref="T79" ca="1">+fair_value_gap(OFFSET(S78,0,0,-1*$I$5,-1*$Z$1),OFFSET(E78,0,0,-1*$I$5,1),F79:S79,0)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79" s="7" t="str" cm="1">
        <f t="array" aca="1" ref="U79" ca="1">z_score_diff(OFFSET(T79,0,0,$I$5*-1,1),OFFSET(E79,0,0,$I$5*-1,1))</f>
        <v/>
      </c>
      <c r="V79" s="7" t="str">
        <f t="shared" ca="1" si="77"/>
        <v/>
      </c>
      <c r="W79" s="14">
        <f t="shared" ca="1" si="72"/>
        <v>-5.2532135508865915E-2</v>
      </c>
      <c r="X79" s="10">
        <f t="shared" ref="X79:Y79" ca="1" si="86">+X78</f>
        <v>0</v>
      </c>
      <c r="Y79" s="10">
        <f t="shared" ca="1" si="86"/>
        <v>0</v>
      </c>
      <c r="Z79" t="str">
        <f t="shared" ca="1" si="79"/>
        <v/>
      </c>
      <c r="AA79" t="str">
        <f t="shared" ca="1" si="80"/>
        <v/>
      </c>
      <c r="AB79" s="19" t="str">
        <f t="shared" ca="1" si="81"/>
        <v/>
      </c>
      <c r="AC79" s="19" t="str">
        <f t="shared" ca="1" si="82"/>
        <v/>
      </c>
    </row>
    <row r="80" spans="3:29" x14ac:dyDescent="0.25">
      <c r="C80" s="4">
        <v>73</v>
      </c>
      <c r="D80" s="28">
        <v>42111</v>
      </c>
      <c r="E80" s="30">
        <v>21.146999999999998</v>
      </c>
      <c r="F80" s="30">
        <v>58.722813512262846</v>
      </c>
      <c r="G80" s="30">
        <v>6.3627950023137432</v>
      </c>
      <c r="H80" s="30">
        <v>54.696899583526147</v>
      </c>
      <c r="I80" s="8">
        <v>0</v>
      </c>
      <c r="J80" s="31">
        <v>0</v>
      </c>
      <c r="K80" s="31">
        <v>0</v>
      </c>
      <c r="L80" s="31">
        <v>1</v>
      </c>
      <c r="M80" s="31">
        <v>0</v>
      </c>
      <c r="N80" s="31">
        <v>0</v>
      </c>
      <c r="O80" s="31">
        <v>0</v>
      </c>
      <c r="P80" s="31">
        <v>0</v>
      </c>
      <c r="Q80" s="31">
        <v>0</v>
      </c>
      <c r="R80" s="31">
        <v>0</v>
      </c>
      <c r="S80" s="31">
        <v>0</v>
      </c>
      <c r="T80" s="21" t="str" cm="1">
        <f t="array" aca="1" ref="T80" ca="1">+fair_value_gap(OFFSET(S79,0,0,-1*$I$5,-1*$Z$1),OFFSET(E79,0,0,-1*$I$5,1),F80:S80,0)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80" s="7" t="str" cm="1">
        <f t="array" aca="1" ref="U80" ca="1">z_score_diff(OFFSET(T80,0,0,$I$5*-1,1),OFFSET(E80,0,0,$I$5*-1,1))</f>
        <v/>
      </c>
      <c r="V80" s="7" t="str">
        <f t="shared" ca="1" si="77"/>
        <v/>
      </c>
      <c r="W80" s="14">
        <f t="shared" ca="1" si="72"/>
        <v>-3.185395785954425E-2</v>
      </c>
      <c r="X80" s="10">
        <f t="shared" ref="X80:Y80" ca="1" si="87">+X79</f>
        <v>0</v>
      </c>
      <c r="Y80" s="10">
        <f t="shared" ca="1" si="87"/>
        <v>0</v>
      </c>
      <c r="Z80" t="str">
        <f t="shared" ca="1" si="79"/>
        <v/>
      </c>
      <c r="AA80" t="str">
        <f t="shared" ca="1" si="80"/>
        <v/>
      </c>
      <c r="AB80" s="19" t="str">
        <f t="shared" ca="1" si="81"/>
        <v/>
      </c>
      <c r="AC80" s="19" t="str">
        <f t="shared" ca="1" si="82"/>
        <v/>
      </c>
    </row>
    <row r="81" spans="3:29" x14ac:dyDescent="0.25">
      <c r="C81" s="4">
        <v>74</v>
      </c>
      <c r="D81" s="28">
        <v>42114</v>
      </c>
      <c r="E81" s="30">
        <v>21.13</v>
      </c>
      <c r="F81" s="30">
        <v>59.100223546944854</v>
      </c>
      <c r="G81" s="30">
        <v>6.4036885245901631</v>
      </c>
      <c r="H81" s="30">
        <v>54.815573770491802</v>
      </c>
      <c r="I81" s="8">
        <v>0</v>
      </c>
      <c r="J81" s="31">
        <v>0</v>
      </c>
      <c r="K81" s="31">
        <v>0</v>
      </c>
      <c r="L81" s="31">
        <v>1</v>
      </c>
      <c r="M81" s="31">
        <v>0</v>
      </c>
      <c r="N81" s="31">
        <v>0</v>
      </c>
      <c r="O81" s="31">
        <v>0</v>
      </c>
      <c r="P81" s="31">
        <v>0</v>
      </c>
      <c r="Q81" s="31">
        <v>0</v>
      </c>
      <c r="R81" s="31">
        <v>0</v>
      </c>
      <c r="S81" s="31">
        <v>0</v>
      </c>
      <c r="T81" s="21" t="str" cm="1">
        <f t="array" aca="1" ref="T81" ca="1">+fair_value_gap(OFFSET(S80,0,0,-1*$I$5,-1*$Z$1),OFFSET(E80,0,0,-1*$I$5,1),F81:S81,0)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81" s="7" t="str" cm="1">
        <f t="array" aca="1" ref="U81" ca="1">z_score_diff(OFFSET(T81,0,0,$I$5*-1,1),OFFSET(E81,0,0,$I$5*-1,1))</f>
        <v/>
      </c>
      <c r="V81" s="7" t="str">
        <f t="shared" ca="1" si="77"/>
        <v/>
      </c>
      <c r="W81" s="14">
        <f t="shared" ca="1" si="72"/>
        <v>-3.9678934542817443E-2</v>
      </c>
      <c r="X81" s="10">
        <f t="shared" ref="X81:Y81" ca="1" si="88">+X80</f>
        <v>0</v>
      </c>
      <c r="Y81" s="10">
        <f t="shared" ca="1" si="88"/>
        <v>0</v>
      </c>
      <c r="Z81" t="str">
        <f t="shared" ca="1" si="79"/>
        <v/>
      </c>
      <c r="AA81" t="str">
        <f t="shared" ca="1" si="80"/>
        <v/>
      </c>
      <c r="AB81" s="19" t="str">
        <f t="shared" ca="1" si="81"/>
        <v/>
      </c>
      <c r="AC81" s="19" t="str">
        <f t="shared" ca="1" si="82"/>
        <v/>
      </c>
    </row>
    <row r="82" spans="3:29" x14ac:dyDescent="0.25">
      <c r="C82" s="4">
        <v>75</v>
      </c>
      <c r="D82" s="28">
        <v>42115</v>
      </c>
      <c r="E82" s="30">
        <v>21.399000000000001</v>
      </c>
      <c r="F82" s="30">
        <v>57.840305599552785</v>
      </c>
      <c r="G82" s="30">
        <v>6.4846734370632637</v>
      </c>
      <c r="H82" s="30">
        <v>55.017236560141619</v>
      </c>
      <c r="I82" s="8">
        <v>0</v>
      </c>
      <c r="J82" s="31">
        <v>0</v>
      </c>
      <c r="K82" s="31">
        <v>0</v>
      </c>
      <c r="L82" s="31">
        <v>1</v>
      </c>
      <c r="M82" s="31">
        <v>0</v>
      </c>
      <c r="N82" s="31">
        <v>0</v>
      </c>
      <c r="O82" s="31">
        <v>0</v>
      </c>
      <c r="P82" s="31">
        <v>0</v>
      </c>
      <c r="Q82" s="31">
        <v>0</v>
      </c>
      <c r="R82" s="31">
        <v>0</v>
      </c>
      <c r="S82" s="31">
        <v>0</v>
      </c>
      <c r="T82" s="21" t="str" cm="1">
        <f t="array" aca="1" ref="T82" ca="1">+fair_value_gap(OFFSET(S81,0,0,-1*$I$5,-1*$Z$1),OFFSET(E81,0,0,-1*$I$5,1),F82:S82,0)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82" s="7" t="str" cm="1">
        <f t="array" aca="1" ref="U82" ca="1">z_score_diff(OFFSET(T82,0,0,$I$5*-1,1),OFFSET(E82,0,0,$I$5*-1,1))</f>
        <v/>
      </c>
      <c r="V82" s="7" t="str">
        <f t="shared" ca="1" si="77"/>
        <v/>
      </c>
      <c r="W82" s="14">
        <f t="shared" ca="1" si="72"/>
        <v>-4.9968483237424539E-2</v>
      </c>
      <c r="X82" s="10">
        <f t="shared" ref="X82:Y82" ca="1" si="89">+X81</f>
        <v>0</v>
      </c>
      <c r="Y82" s="10">
        <f t="shared" ca="1" si="89"/>
        <v>0</v>
      </c>
      <c r="Z82" t="str">
        <f t="shared" ca="1" si="79"/>
        <v/>
      </c>
      <c r="AA82" t="str">
        <f t="shared" ca="1" si="80"/>
        <v/>
      </c>
      <c r="AB82" s="19" t="str">
        <f t="shared" ca="1" si="81"/>
        <v/>
      </c>
      <c r="AC82" s="19" t="str">
        <f t="shared" ca="1" si="82"/>
        <v/>
      </c>
    </row>
    <row r="83" spans="3:29" x14ac:dyDescent="0.25">
      <c r="C83" s="4">
        <v>76</v>
      </c>
      <c r="D83" s="28">
        <v>42116</v>
      </c>
      <c r="E83" s="30">
        <v>21.311</v>
      </c>
      <c r="F83" s="30">
        <v>58.489510489510486</v>
      </c>
      <c r="G83" s="30">
        <v>6.5081585081585089</v>
      </c>
      <c r="H83" s="30">
        <v>55.058275058275058</v>
      </c>
      <c r="I83" s="8">
        <v>0</v>
      </c>
      <c r="J83" s="31">
        <v>0</v>
      </c>
      <c r="K83" s="31">
        <v>0</v>
      </c>
      <c r="L83" s="31">
        <v>1</v>
      </c>
      <c r="M83" s="31">
        <v>0</v>
      </c>
      <c r="N83" s="31">
        <v>0</v>
      </c>
      <c r="O83" s="31">
        <v>0</v>
      </c>
      <c r="P83" s="31">
        <v>0</v>
      </c>
      <c r="Q83" s="31">
        <v>0</v>
      </c>
      <c r="R83" s="31">
        <v>0</v>
      </c>
      <c r="S83" s="31">
        <v>0</v>
      </c>
      <c r="T83" s="21" t="str" cm="1">
        <f t="array" aca="1" ref="T83" ca="1">+fair_value_gap(OFFSET(S82,0,0,-1*$I$5,-1*$Z$1),OFFSET(E82,0,0,-1*$I$5,1),F83:S83,0)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83" s="7" t="str" cm="1">
        <f t="array" aca="1" ref="U83" ca="1">z_score_diff(OFFSET(T83,0,0,$I$5*-1,1),OFFSET(E83,0,0,$I$5*-1,1))</f>
        <v/>
      </c>
      <c r="V83" s="7" t="str">
        <f t="shared" ca="1" si="77"/>
        <v/>
      </c>
      <c r="W83" s="14">
        <f t="shared" ca="1" si="72"/>
        <v>-4.1387198874271676E-2</v>
      </c>
      <c r="X83" s="10">
        <f t="shared" ref="X83:Y83" ca="1" si="90">+X82</f>
        <v>0</v>
      </c>
      <c r="Y83" s="10">
        <f t="shared" ca="1" si="90"/>
        <v>0</v>
      </c>
      <c r="Z83" t="str">
        <f t="shared" ca="1" si="79"/>
        <v/>
      </c>
      <c r="AA83" t="str">
        <f t="shared" ca="1" si="80"/>
        <v/>
      </c>
      <c r="AB83" s="19" t="str">
        <f t="shared" ca="1" si="81"/>
        <v/>
      </c>
      <c r="AC83" s="19" t="str">
        <f t="shared" ca="1" si="82"/>
        <v/>
      </c>
    </row>
    <row r="84" spans="3:29" x14ac:dyDescent="0.25">
      <c r="C84" s="4">
        <v>77</v>
      </c>
      <c r="D84" s="28">
        <v>42117</v>
      </c>
      <c r="E84" s="30">
        <v>21.007000000000001</v>
      </c>
      <c r="F84" s="30">
        <v>59.913155949741309</v>
      </c>
      <c r="G84" s="30">
        <v>6.4486326681448638</v>
      </c>
      <c r="H84" s="30">
        <v>54.600886917960089</v>
      </c>
      <c r="I84" s="8">
        <v>0</v>
      </c>
      <c r="J84" s="31">
        <v>0</v>
      </c>
      <c r="K84" s="31">
        <v>0</v>
      </c>
      <c r="L84" s="31">
        <v>1</v>
      </c>
      <c r="M84" s="31">
        <v>0</v>
      </c>
      <c r="N84" s="31">
        <v>0</v>
      </c>
      <c r="O84" s="31">
        <v>0</v>
      </c>
      <c r="P84" s="31">
        <v>0</v>
      </c>
      <c r="Q84" s="31">
        <v>0</v>
      </c>
      <c r="R84" s="31">
        <v>0</v>
      </c>
      <c r="S84" s="31">
        <v>0</v>
      </c>
      <c r="T84" s="21" t="str" cm="1">
        <f t="array" aca="1" ref="T84" ca="1">+fair_value_gap(OFFSET(S83,0,0,-1*$I$5,-1*$Z$1),OFFSET(E83,0,0,-1*$I$5,1),F84:S84,0)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84" s="7" t="str" cm="1">
        <f t="array" aca="1" ref="U84" ca="1">z_score_diff(OFFSET(T84,0,0,$I$5*-1,1),OFFSET(E84,0,0,$I$5*-1,1))</f>
        <v/>
      </c>
      <c r="V84" s="7" t="str">
        <f t="shared" ca="1" si="77"/>
        <v/>
      </c>
      <c r="W84" s="14">
        <f t="shared" ca="1" si="72"/>
        <v>-2.8683762722096457E-2</v>
      </c>
      <c r="X84" s="10">
        <f t="shared" ref="X84:Y84" ca="1" si="91">+X83</f>
        <v>0</v>
      </c>
      <c r="Y84" s="10">
        <f t="shared" ca="1" si="91"/>
        <v>0</v>
      </c>
      <c r="Z84" t="str">
        <f t="shared" ca="1" si="79"/>
        <v/>
      </c>
      <c r="AA84" t="str">
        <f t="shared" ca="1" si="80"/>
        <v/>
      </c>
      <c r="AB84" s="19" t="str">
        <f t="shared" ca="1" si="81"/>
        <v/>
      </c>
      <c r="AC84" s="19" t="str">
        <f t="shared" ca="1" si="82"/>
        <v/>
      </c>
    </row>
    <row r="85" spans="3:29" x14ac:dyDescent="0.25">
      <c r="C85" s="4">
        <v>78</v>
      </c>
      <c r="D85" s="28">
        <v>42118</v>
      </c>
      <c r="E85" s="30">
        <v>21.138000000000002</v>
      </c>
      <c r="F85" s="30">
        <v>60.044150110375277</v>
      </c>
      <c r="G85" s="30">
        <v>6.5213392200147169</v>
      </c>
      <c r="H85" s="30">
        <v>54.313833701250921</v>
      </c>
      <c r="I85" s="8">
        <v>0</v>
      </c>
      <c r="J85" s="31">
        <v>0</v>
      </c>
      <c r="K85" s="31">
        <v>0</v>
      </c>
      <c r="L85" s="31">
        <v>1</v>
      </c>
      <c r="M85" s="31">
        <v>0</v>
      </c>
      <c r="N85" s="31">
        <v>0</v>
      </c>
      <c r="O85" s="31">
        <v>0</v>
      </c>
      <c r="P85" s="31">
        <v>0</v>
      </c>
      <c r="Q85" s="31">
        <v>0</v>
      </c>
      <c r="R85" s="31">
        <v>0</v>
      </c>
      <c r="S85" s="31">
        <v>0</v>
      </c>
      <c r="T85" s="21" t="str" cm="1">
        <f t="array" aca="1" ref="T85" ca="1">+fair_value_gap(OFFSET(S84,0,0,-1*$I$5,-1*$Z$1),OFFSET(E84,0,0,-1*$I$5,1),F85:S85,0)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85" s="7" t="str" cm="1">
        <f t="array" aca="1" ref="U85" ca="1">z_score_diff(OFFSET(T85,0,0,$I$5*-1,1),OFFSET(E85,0,0,$I$5*-1,1))</f>
        <v/>
      </c>
      <c r="V85" s="7" t="str">
        <f t="shared" ca="1" si="77"/>
        <v/>
      </c>
      <c r="W85" s="14">
        <f t="shared" ca="1" si="72"/>
        <v>-3.651834079257698E-2</v>
      </c>
      <c r="X85" s="10">
        <f t="shared" ref="X85:Y85" ca="1" si="92">+X84</f>
        <v>0</v>
      </c>
      <c r="Y85" s="10">
        <f t="shared" ca="1" si="92"/>
        <v>0</v>
      </c>
      <c r="Z85" t="str">
        <f t="shared" ca="1" si="79"/>
        <v/>
      </c>
      <c r="AA85" t="str">
        <f t="shared" ca="1" si="80"/>
        <v/>
      </c>
      <c r="AB85" s="19" t="str">
        <f t="shared" ca="1" si="81"/>
        <v/>
      </c>
      <c r="AC85" s="19" t="str">
        <f t="shared" ca="1" si="82"/>
        <v/>
      </c>
    </row>
    <row r="86" spans="3:29" x14ac:dyDescent="0.25">
      <c r="C86" s="4">
        <v>79</v>
      </c>
      <c r="D86" s="28">
        <v>42121</v>
      </c>
      <c r="E86" s="30">
        <v>21.003</v>
      </c>
      <c r="F86" s="30">
        <v>59.553555024802499</v>
      </c>
      <c r="G86" s="30">
        <v>6.5129524159470877</v>
      </c>
      <c r="H86" s="30">
        <v>55.713760793679953</v>
      </c>
      <c r="I86" s="8">
        <v>0</v>
      </c>
      <c r="J86" s="31">
        <v>0</v>
      </c>
      <c r="K86" s="31">
        <v>0</v>
      </c>
      <c r="L86" s="31">
        <v>1</v>
      </c>
      <c r="M86" s="31">
        <v>0</v>
      </c>
      <c r="N86" s="31">
        <v>0</v>
      </c>
      <c r="O86" s="31">
        <v>0</v>
      </c>
      <c r="P86" s="31">
        <v>0</v>
      </c>
      <c r="Q86" s="31">
        <v>0</v>
      </c>
      <c r="R86" s="31">
        <v>0</v>
      </c>
      <c r="S86" s="31">
        <v>0</v>
      </c>
      <c r="T86" s="21" t="str" cm="1">
        <f t="array" aca="1" ref="T86" ca="1">+fair_value_gap(OFFSET(S85,0,0,-1*$I$5,-1*$Z$1),OFFSET(E85,0,0,-1*$I$5,1),F86:S86,0)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86" s="7" t="str" cm="1">
        <f t="array" aca="1" ref="U86" ca="1">z_score_diff(OFFSET(T86,0,0,$I$5*-1,1),OFFSET(E86,0,0,$I$5*-1,1))</f>
        <v/>
      </c>
      <c r="V86" s="7" t="str">
        <f t="shared" ca="1" si="77"/>
        <v/>
      </c>
      <c r="W86" s="14">
        <f t="shared" ca="1" si="72"/>
        <v>-3.0111256868591497E-2</v>
      </c>
      <c r="X86" s="10">
        <f t="shared" ref="X86:Y86" ca="1" si="93">+X85</f>
        <v>0</v>
      </c>
      <c r="Y86" s="10">
        <f t="shared" ca="1" si="93"/>
        <v>0</v>
      </c>
      <c r="Z86" t="str">
        <f t="shared" ca="1" si="79"/>
        <v/>
      </c>
      <c r="AA86" t="str">
        <f t="shared" ca="1" si="80"/>
        <v/>
      </c>
      <c r="AB86" s="19" t="str">
        <f t="shared" ca="1" si="81"/>
        <v/>
      </c>
      <c r="AC86" s="19" t="str">
        <f t="shared" ca="1" si="82"/>
        <v/>
      </c>
    </row>
    <row r="87" spans="3:29" x14ac:dyDescent="0.25">
      <c r="C87" s="4">
        <v>80</v>
      </c>
      <c r="D87" s="28">
        <v>42122</v>
      </c>
      <c r="E87" s="30">
        <v>20.887</v>
      </c>
      <c r="F87" s="30">
        <v>58.870673952641162</v>
      </c>
      <c r="G87" s="30">
        <v>6.4708561020036433</v>
      </c>
      <c r="H87" s="30">
        <v>55.191256830601091</v>
      </c>
      <c r="I87" s="8">
        <v>0</v>
      </c>
      <c r="J87" s="31">
        <v>0</v>
      </c>
      <c r="K87" s="31">
        <v>0</v>
      </c>
      <c r="L87" s="31">
        <v>1</v>
      </c>
      <c r="M87" s="31">
        <v>0</v>
      </c>
      <c r="N87" s="31">
        <v>0</v>
      </c>
      <c r="O87" s="31">
        <v>0</v>
      </c>
      <c r="P87" s="31">
        <v>0</v>
      </c>
      <c r="Q87" s="31">
        <v>0</v>
      </c>
      <c r="R87" s="31">
        <v>0</v>
      </c>
      <c r="S87" s="31">
        <v>0</v>
      </c>
      <c r="T87" s="21" t="str" cm="1">
        <f t="array" aca="1" ref="T87" ca="1">+fair_value_gap(OFFSET(S86,0,0,-1*$I$5,-1*$Z$1),OFFSET(E86,0,0,-1*$I$5,1),F87:S87,0)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87" s="7" t="str" cm="1">
        <f t="array" aca="1" ref="U87" ca="1">z_score_diff(OFFSET(T87,0,0,$I$5*-1,1),OFFSET(E87,0,0,$I$5*-1,1))</f>
        <v/>
      </c>
      <c r="V87" s="7" t="str">
        <f t="shared" ca="1" si="77"/>
        <v/>
      </c>
      <c r="W87" s="14">
        <f t="shared" ca="1" si="72"/>
        <v>-1.9434044874345677E-2</v>
      </c>
      <c r="X87" s="10">
        <f t="shared" ref="X87:Y87" ca="1" si="94">+X86</f>
        <v>0</v>
      </c>
      <c r="Y87" s="10">
        <f t="shared" ca="1" si="94"/>
        <v>0</v>
      </c>
      <c r="Z87" t="str">
        <f t="shared" ca="1" si="79"/>
        <v/>
      </c>
      <c r="AA87" t="str">
        <f t="shared" ca="1" si="80"/>
        <v/>
      </c>
      <c r="AB87" s="19" t="str">
        <f t="shared" ca="1" si="81"/>
        <v/>
      </c>
      <c r="AC87" s="19" t="str">
        <f t="shared" ca="1" si="82"/>
        <v/>
      </c>
    </row>
    <row r="88" spans="3:29" x14ac:dyDescent="0.25">
      <c r="C88" s="4">
        <v>81</v>
      </c>
      <c r="D88" s="28">
        <v>42123</v>
      </c>
      <c r="E88" s="30">
        <v>20.946000000000002</v>
      </c>
      <c r="F88" s="30">
        <v>59.160751190583163</v>
      </c>
      <c r="G88" s="30">
        <v>6.3842214035403009</v>
      </c>
      <c r="H88" s="30">
        <v>54.856680744002155</v>
      </c>
      <c r="I88" s="8">
        <v>0</v>
      </c>
      <c r="J88" s="31">
        <v>0</v>
      </c>
      <c r="K88" s="31">
        <v>0</v>
      </c>
      <c r="L88" s="31">
        <v>1</v>
      </c>
      <c r="M88" s="31">
        <v>0</v>
      </c>
      <c r="N88" s="31">
        <v>0</v>
      </c>
      <c r="O88" s="31">
        <v>0</v>
      </c>
      <c r="P88" s="31">
        <v>0</v>
      </c>
      <c r="Q88" s="31">
        <v>0</v>
      </c>
      <c r="R88" s="31">
        <v>0</v>
      </c>
      <c r="S88" s="31">
        <v>0</v>
      </c>
      <c r="T88" s="21" t="str" cm="1">
        <f t="array" aca="1" ref="T88" ca="1">+fair_value_gap(OFFSET(S87,0,0,-1*$I$5,-1*$Z$1),OFFSET(E87,0,0,-1*$I$5,1),F88:S88,0)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88" s="7" t="str" cm="1">
        <f t="array" aca="1" ref="U88" ca="1">z_score_diff(OFFSET(T88,0,0,$I$5*-1,1),OFFSET(E88,0,0,$I$5*-1,1))</f>
        <v/>
      </c>
      <c r="V88" s="7" t="str">
        <f t="shared" ca="1" si="77"/>
        <v/>
      </c>
      <c r="W88" s="14">
        <f t="shared" ca="1" si="72"/>
        <v>-2.1913131273998208E-2</v>
      </c>
      <c r="X88" s="10">
        <f t="shared" ref="X88:Y88" ca="1" si="95">+X87</f>
        <v>0</v>
      </c>
      <c r="Y88" s="10">
        <f t="shared" ca="1" si="95"/>
        <v>0</v>
      </c>
      <c r="Z88" t="str">
        <f t="shared" ca="1" si="79"/>
        <v/>
      </c>
      <c r="AA88" t="str">
        <f t="shared" ca="1" si="80"/>
        <v/>
      </c>
      <c r="AB88" s="19" t="str">
        <f t="shared" ca="1" si="81"/>
        <v/>
      </c>
      <c r="AC88" s="19" t="str">
        <f t="shared" ca="1" si="82"/>
        <v/>
      </c>
    </row>
    <row r="89" spans="3:29" x14ac:dyDescent="0.25">
      <c r="C89" s="4">
        <v>82</v>
      </c>
      <c r="D89" s="28">
        <v>42124</v>
      </c>
      <c r="E89" s="30">
        <v>20.478000000000002</v>
      </c>
      <c r="F89" s="30">
        <v>59.508109071466755</v>
      </c>
      <c r="G89" s="30">
        <v>6.317946890037426</v>
      </c>
      <c r="H89" s="30">
        <v>55.114952771342004</v>
      </c>
      <c r="I89" s="8">
        <v>0</v>
      </c>
      <c r="J89" s="31">
        <v>0</v>
      </c>
      <c r="K89" s="31">
        <v>0</v>
      </c>
      <c r="L89" s="31">
        <v>1</v>
      </c>
      <c r="M89" s="31">
        <v>0</v>
      </c>
      <c r="N89" s="31">
        <v>0</v>
      </c>
      <c r="O89" s="31">
        <v>0</v>
      </c>
      <c r="P89" s="31">
        <v>0</v>
      </c>
      <c r="Q89" s="31">
        <v>0</v>
      </c>
      <c r="R89" s="31">
        <v>0</v>
      </c>
      <c r="S89" s="31">
        <v>0</v>
      </c>
      <c r="T89" s="21" t="str" cm="1">
        <f t="array" aca="1" ref="T89" ca="1">+fair_value_gap(OFFSET(S88,0,0,-1*$I$5,-1*$Z$1),OFFSET(E88,0,0,-1*$I$5,1),F89:S89,0)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89" s="7" t="str" cm="1">
        <f t="array" aca="1" ref="U89" ca="1">z_score_diff(OFFSET(T89,0,0,$I$5*-1,1),OFFSET(E89,0,0,$I$5*-1,1))</f>
        <v/>
      </c>
      <c r="V89" s="7" t="str">
        <f t="shared" ca="1" si="77"/>
        <v/>
      </c>
      <c r="W89" s="14">
        <f t="shared" ca="1" si="72"/>
        <v>3.8503763909107304E-3</v>
      </c>
      <c r="X89" s="10">
        <f t="shared" ref="X89:Y89" ca="1" si="96">+X88</f>
        <v>0</v>
      </c>
      <c r="Y89" s="10">
        <f t="shared" ca="1" si="96"/>
        <v>0</v>
      </c>
      <c r="Z89" t="str">
        <f t="shared" ca="1" si="79"/>
        <v/>
      </c>
      <c r="AA89" t="str">
        <f t="shared" ca="1" si="80"/>
        <v/>
      </c>
      <c r="AB89" s="19" t="str">
        <f t="shared" ca="1" si="81"/>
        <v/>
      </c>
      <c r="AC89" s="19" t="str">
        <f t="shared" ca="1" si="82"/>
        <v/>
      </c>
    </row>
    <row r="90" spans="3:29" x14ac:dyDescent="0.25">
      <c r="C90" s="4">
        <v>83</v>
      </c>
      <c r="D90" s="28">
        <v>42125</v>
      </c>
      <c r="E90" s="30">
        <v>20.163</v>
      </c>
      <c r="F90" s="30">
        <v>59.339285714285701</v>
      </c>
      <c r="G90" s="30">
        <v>6.3303571428571423</v>
      </c>
      <c r="H90" s="30">
        <v>57.053571428571423</v>
      </c>
      <c r="I90" s="8">
        <v>0</v>
      </c>
      <c r="J90" s="31">
        <v>0</v>
      </c>
      <c r="K90" s="31">
        <v>0</v>
      </c>
      <c r="L90" s="31">
        <v>0</v>
      </c>
      <c r="M90" s="31">
        <v>1</v>
      </c>
      <c r="N90" s="31">
        <v>0</v>
      </c>
      <c r="O90" s="31">
        <v>0</v>
      </c>
      <c r="P90" s="31">
        <v>0</v>
      </c>
      <c r="Q90" s="31">
        <v>0</v>
      </c>
      <c r="R90" s="31">
        <v>0</v>
      </c>
      <c r="S90" s="31">
        <v>0</v>
      </c>
      <c r="T90" s="21" t="str" cm="1">
        <f t="array" aca="1" ref="T90" ca="1">+fair_value_gap(OFFSET(S89,0,0,-1*$I$5,-1*$Z$1),OFFSET(E89,0,0,-1*$I$5,1),F90:S90,0)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90" s="7" t="str" cm="1">
        <f t="array" aca="1" ref="U90" ca="1">z_score_diff(OFFSET(T90,0,0,$I$5*-1,1),OFFSET(E90,0,0,$I$5*-1,1))</f>
        <v/>
      </c>
      <c r="V90" s="7" t="str">
        <f t="shared" ca="1" si="77"/>
        <v/>
      </c>
      <c r="W90" s="14">
        <f t="shared" ca="1" si="72"/>
        <v>4.0092116958930649E-3</v>
      </c>
      <c r="X90" s="10">
        <f t="shared" ref="X90:Y90" ca="1" si="97">+X89</f>
        <v>0</v>
      </c>
      <c r="Y90" s="10">
        <f t="shared" ca="1" si="97"/>
        <v>0</v>
      </c>
      <c r="Z90" t="str">
        <f t="shared" ca="1" si="79"/>
        <v/>
      </c>
      <c r="AA90" t="str">
        <f t="shared" ca="1" si="80"/>
        <v/>
      </c>
      <c r="AB90" s="19" t="str">
        <f t="shared" ca="1" si="81"/>
        <v/>
      </c>
      <c r="AC90" s="19" t="str">
        <f t="shared" ca="1" si="82"/>
        <v/>
      </c>
    </row>
    <row r="91" spans="3:29" x14ac:dyDescent="0.25">
      <c r="C91" s="4">
        <v>84</v>
      </c>
      <c r="D91" s="28">
        <v>42128</v>
      </c>
      <c r="E91" s="30">
        <v>20.163</v>
      </c>
      <c r="F91" s="30">
        <v>59.628499641062454</v>
      </c>
      <c r="G91" s="30">
        <v>6.3666547020818376</v>
      </c>
      <c r="H91" s="30">
        <v>57.340272792534094</v>
      </c>
      <c r="I91" s="8">
        <v>0</v>
      </c>
      <c r="J91" s="31">
        <v>0</v>
      </c>
      <c r="K91" s="31">
        <v>0</v>
      </c>
      <c r="L91" s="31">
        <v>0</v>
      </c>
      <c r="M91" s="31">
        <v>1</v>
      </c>
      <c r="N91" s="31">
        <v>0</v>
      </c>
      <c r="O91" s="31">
        <v>0</v>
      </c>
      <c r="P91" s="31">
        <v>0</v>
      </c>
      <c r="Q91" s="31">
        <v>0</v>
      </c>
      <c r="R91" s="31">
        <v>0</v>
      </c>
      <c r="S91" s="31">
        <v>0</v>
      </c>
      <c r="T91" s="21" t="str" cm="1">
        <f t="array" aca="1" ref="T91" ca="1">+fair_value_gap(OFFSET(S90,0,0,-1*$I$5,-1*$Z$1),OFFSET(E90,0,0,-1*$I$5,1),F91:S91,0)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91" s="7" t="str" cm="1">
        <f t="array" aca="1" ref="U91" ca="1">z_score_diff(OFFSET(T91,0,0,$I$5*-1,1),OFFSET(E91,0,0,$I$5*-1,1))</f>
        <v/>
      </c>
      <c r="V91" s="7" t="str">
        <f t="shared" ca="1" si="77"/>
        <v/>
      </c>
      <c r="W91" s="14">
        <f t="shared" ca="1" si="72"/>
        <v>-1.0420544299856737E-3</v>
      </c>
      <c r="X91" s="10">
        <f t="shared" ref="X91:Y91" ca="1" si="98">+X90</f>
        <v>0</v>
      </c>
      <c r="Y91" s="10">
        <f t="shared" ca="1" si="98"/>
        <v>0</v>
      </c>
      <c r="Z91" t="str">
        <f t="shared" ca="1" si="79"/>
        <v/>
      </c>
      <c r="AA91" t="str">
        <f t="shared" ca="1" si="80"/>
        <v/>
      </c>
      <c r="AB91" s="19" t="str">
        <f t="shared" ca="1" si="81"/>
        <v/>
      </c>
      <c r="AC91" s="19" t="str">
        <f t="shared" ca="1" si="82"/>
        <v/>
      </c>
    </row>
    <row r="92" spans="3:29" x14ac:dyDescent="0.25">
      <c r="C92" s="4">
        <v>85</v>
      </c>
      <c r="D92" s="28">
        <v>42129</v>
      </c>
      <c r="E92" s="30">
        <v>20.427</v>
      </c>
      <c r="F92" s="30">
        <v>60.371959942775383</v>
      </c>
      <c r="G92" s="30">
        <v>6.2857653791130188</v>
      </c>
      <c r="H92" s="30">
        <v>57.358726752503578</v>
      </c>
      <c r="I92" s="8">
        <v>0</v>
      </c>
      <c r="J92" s="31">
        <v>0</v>
      </c>
      <c r="K92" s="31">
        <v>0</v>
      </c>
      <c r="L92" s="31">
        <v>0</v>
      </c>
      <c r="M92" s="31">
        <v>1</v>
      </c>
      <c r="N92" s="31">
        <v>0</v>
      </c>
      <c r="O92" s="31">
        <v>0</v>
      </c>
      <c r="P92" s="31">
        <v>0</v>
      </c>
      <c r="Q92" s="31">
        <v>0</v>
      </c>
      <c r="R92" s="31">
        <v>0</v>
      </c>
      <c r="S92" s="31">
        <v>0</v>
      </c>
      <c r="T92" s="21" t="str" cm="1">
        <f t="array" aca="1" ref="T92" ca="1">+fair_value_gap(OFFSET(S91,0,0,-1*$I$5,-1*$Z$1),OFFSET(E91,0,0,-1*$I$5,1),F92:S92,0)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92" s="7" t="str" cm="1">
        <f t="array" aca="1" ref="U92" ca="1">z_score_diff(OFFSET(T92,0,0,$I$5*-1,1),OFFSET(E92,0,0,$I$5*-1,1))</f>
        <v/>
      </c>
      <c r="V92" s="7" t="str">
        <f t="shared" ca="1" si="77"/>
        <v/>
      </c>
      <c r="W92" s="14">
        <f t="shared" ca="1" si="72"/>
        <v>-1.2661203202818806E-2</v>
      </c>
      <c r="X92" s="10">
        <f t="shared" ref="X92:Y92" ca="1" si="99">+X91</f>
        <v>0</v>
      </c>
      <c r="Y92" s="10">
        <f t="shared" ca="1" si="99"/>
        <v>0</v>
      </c>
      <c r="Z92" t="str">
        <f t="shared" ca="1" si="79"/>
        <v/>
      </c>
      <c r="AA92" t="str">
        <f t="shared" ca="1" si="80"/>
        <v/>
      </c>
      <c r="AB92" s="19" t="str">
        <f t="shared" ca="1" si="81"/>
        <v/>
      </c>
      <c r="AC92" s="19" t="str">
        <f t="shared" ca="1" si="82"/>
        <v/>
      </c>
    </row>
    <row r="93" spans="3:29" x14ac:dyDescent="0.25">
      <c r="C93" s="4">
        <v>86</v>
      </c>
      <c r="D93" s="28">
        <v>42130</v>
      </c>
      <c r="E93" s="30">
        <v>20.347000000000001</v>
      </c>
      <c r="F93" s="30">
        <v>59.703990837811645</v>
      </c>
      <c r="G93" s="30">
        <v>6.1932869350718001</v>
      </c>
      <c r="H93" s="30">
        <v>56.250550612280861</v>
      </c>
      <c r="I93" s="8">
        <v>0</v>
      </c>
      <c r="J93" s="31">
        <v>0</v>
      </c>
      <c r="K93" s="31">
        <v>0</v>
      </c>
      <c r="L93" s="31">
        <v>0</v>
      </c>
      <c r="M93" s="31">
        <v>1</v>
      </c>
      <c r="N93" s="31">
        <v>0</v>
      </c>
      <c r="O93" s="31">
        <v>0</v>
      </c>
      <c r="P93" s="31">
        <v>0</v>
      </c>
      <c r="Q93" s="31">
        <v>0</v>
      </c>
      <c r="R93" s="31">
        <v>0</v>
      </c>
      <c r="S93" s="31">
        <v>0</v>
      </c>
      <c r="T93" s="21" t="str" cm="1">
        <f t="array" aca="1" ref="T93" ca="1">+fair_value_gap(OFFSET(S92,0,0,-1*$I$5,-1*$Z$1),OFFSET(E92,0,0,-1*$I$5,1),F93:S93,0)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93" s="7" t="str" cm="1">
        <f t="array" aca="1" ref="U93" ca="1">z_score_diff(OFFSET(T93,0,0,$I$5*-1,1),OFFSET(E93,0,0,$I$5*-1,1))</f>
        <v/>
      </c>
      <c r="V93" s="7" t="str">
        <f t="shared" ca="1" si="77"/>
        <v/>
      </c>
      <c r="W93" s="14">
        <f t="shared" ca="1" si="72"/>
        <v>-9.6299418234567519E-3</v>
      </c>
      <c r="X93" s="10">
        <f t="shared" ref="X93:Y93" ca="1" si="100">+X92</f>
        <v>0</v>
      </c>
      <c r="Y93" s="10">
        <f t="shared" ca="1" si="100"/>
        <v>0</v>
      </c>
      <c r="Z93" t="str">
        <f t="shared" ca="1" si="79"/>
        <v/>
      </c>
      <c r="AA93" t="str">
        <f t="shared" ca="1" si="80"/>
        <v/>
      </c>
      <c r="AB93" s="19" t="str">
        <f t="shared" ca="1" si="81"/>
        <v/>
      </c>
      <c r="AC93" s="19" t="str">
        <f t="shared" ca="1" si="82"/>
        <v/>
      </c>
    </row>
    <row r="94" spans="3:29" x14ac:dyDescent="0.25">
      <c r="C94" s="4">
        <v>87</v>
      </c>
      <c r="D94" s="28">
        <v>42131</v>
      </c>
      <c r="E94" s="30">
        <v>20.129000000000001</v>
      </c>
      <c r="F94" s="30">
        <v>58.180204172214829</v>
      </c>
      <c r="G94" s="30">
        <v>6.2405681313803818</v>
      </c>
      <c r="H94" s="30">
        <v>55.747891699955609</v>
      </c>
      <c r="I94" s="8">
        <v>0</v>
      </c>
      <c r="J94" s="31">
        <v>0</v>
      </c>
      <c r="K94" s="31">
        <v>0</v>
      </c>
      <c r="L94" s="31">
        <v>0</v>
      </c>
      <c r="M94" s="31">
        <v>1</v>
      </c>
      <c r="N94" s="31">
        <v>0</v>
      </c>
      <c r="O94" s="31">
        <v>0</v>
      </c>
      <c r="P94" s="31">
        <v>0</v>
      </c>
      <c r="Q94" s="31">
        <v>0</v>
      </c>
      <c r="R94" s="31">
        <v>0</v>
      </c>
      <c r="S94" s="31">
        <v>0</v>
      </c>
      <c r="T94" s="21" t="str" cm="1">
        <f t="array" aca="1" ref="T94" ca="1">+fair_value_gap(OFFSET(S93,0,0,-1*$I$5,-1*$Z$1),OFFSET(E93,0,0,-1*$I$5,1),F94:S94,0)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94" s="7" t="str" cm="1">
        <f t="array" aca="1" ref="U94" ca="1">z_score_diff(OFFSET(T94,0,0,$I$5*-1,1),OFFSET(E94,0,0,$I$5*-1,1))</f>
        <v/>
      </c>
      <c r="V94" s="7" t="str">
        <f t="shared" ca="1" si="77"/>
        <v/>
      </c>
      <c r="W94" s="14">
        <f t="shared" ca="1" si="72"/>
        <v>-7.5298932089367596E-3</v>
      </c>
      <c r="X94" s="10">
        <f t="shared" ref="X94:Y94" ca="1" si="101">+X93</f>
        <v>0</v>
      </c>
      <c r="Y94" s="10">
        <f t="shared" ca="1" si="101"/>
        <v>0</v>
      </c>
      <c r="Z94" t="str">
        <f t="shared" ca="1" si="79"/>
        <v/>
      </c>
      <c r="AA94" t="str">
        <f t="shared" ca="1" si="80"/>
        <v/>
      </c>
      <c r="AB94" s="19" t="str">
        <f t="shared" ca="1" si="81"/>
        <v/>
      </c>
      <c r="AC94" s="19" t="str">
        <f t="shared" ca="1" si="82"/>
        <v/>
      </c>
    </row>
    <row r="95" spans="3:29" x14ac:dyDescent="0.25">
      <c r="C95" s="4">
        <v>88</v>
      </c>
      <c r="D95" s="28">
        <v>42132</v>
      </c>
      <c r="E95" s="30">
        <v>20.295000000000002</v>
      </c>
      <c r="F95" s="30">
        <v>58.368294206908857</v>
      </c>
      <c r="G95" s="30">
        <v>6.3018834240828339</v>
      </c>
      <c r="H95" s="30">
        <v>55.520842631438008</v>
      </c>
      <c r="I95" s="8">
        <v>0</v>
      </c>
      <c r="J95" s="31">
        <v>0</v>
      </c>
      <c r="K95" s="31">
        <v>0</v>
      </c>
      <c r="L95" s="31">
        <v>0</v>
      </c>
      <c r="M95" s="31">
        <v>1</v>
      </c>
      <c r="N95" s="31">
        <v>0</v>
      </c>
      <c r="O95" s="31">
        <v>0</v>
      </c>
      <c r="P95" s="31">
        <v>0</v>
      </c>
      <c r="Q95" s="31">
        <v>0</v>
      </c>
      <c r="R95" s="31">
        <v>0</v>
      </c>
      <c r="S95" s="31">
        <v>0</v>
      </c>
      <c r="T95" s="21" t="str" cm="1">
        <f t="array" aca="1" ref="T95" ca="1">+fair_value_gap(OFFSET(S94,0,0,-1*$I$5,-1*$Z$1),OFFSET(E94,0,0,-1*$I$5,1),F95:S95,0)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95" s="7" t="str" cm="1">
        <f t="array" aca="1" ref="U95" ca="1">z_score_diff(OFFSET(T95,0,0,$I$5*-1,1),OFFSET(E95,0,0,$I$5*-1,1))</f>
        <v/>
      </c>
      <c r="V95" s="7" t="str">
        <f t="shared" ca="1" si="77"/>
        <v/>
      </c>
      <c r="W95" s="14">
        <f t="shared" ca="1" si="72"/>
        <v>-9.3562723076326716E-3</v>
      </c>
      <c r="X95" s="10">
        <f t="shared" ref="X95:Y95" ca="1" si="102">+X94</f>
        <v>0</v>
      </c>
      <c r="Y95" s="10">
        <f t="shared" ca="1" si="102"/>
        <v>0</v>
      </c>
      <c r="Z95" t="str">
        <f t="shared" ca="1" si="79"/>
        <v/>
      </c>
      <c r="AA95" t="str">
        <f t="shared" ca="1" si="80"/>
        <v/>
      </c>
      <c r="AB95" s="19" t="str">
        <f t="shared" ca="1" si="81"/>
        <v/>
      </c>
      <c r="AC95" s="19" t="str">
        <f t="shared" ca="1" si="82"/>
        <v/>
      </c>
    </row>
    <row r="96" spans="3:29" x14ac:dyDescent="0.25">
      <c r="C96" s="4">
        <v>89</v>
      </c>
      <c r="D96" s="28">
        <v>42135</v>
      </c>
      <c r="E96" s="30">
        <v>20.9</v>
      </c>
      <c r="F96" s="30">
        <v>58.194369732831269</v>
      </c>
      <c r="G96" s="30">
        <v>6.3833602295140759</v>
      </c>
      <c r="H96" s="30">
        <v>56.661287430518207</v>
      </c>
      <c r="I96" s="8">
        <v>0</v>
      </c>
      <c r="J96" s="31">
        <v>0</v>
      </c>
      <c r="K96" s="31">
        <v>0</v>
      </c>
      <c r="L96" s="31">
        <v>0</v>
      </c>
      <c r="M96" s="31">
        <v>1</v>
      </c>
      <c r="N96" s="31">
        <v>0</v>
      </c>
      <c r="O96" s="31">
        <v>0</v>
      </c>
      <c r="P96" s="31">
        <v>0</v>
      </c>
      <c r="Q96" s="31">
        <v>0</v>
      </c>
      <c r="R96" s="31">
        <v>0</v>
      </c>
      <c r="S96" s="31">
        <v>0</v>
      </c>
      <c r="T96" s="21" t="str" cm="1">
        <f t="array" aca="1" ref="T96" ca="1">+fair_value_gap(OFFSET(S95,0,0,-1*$I$5,-1*$Z$1),OFFSET(E95,0,0,-1*$I$5,1),F96:S96,0)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96" s="7" t="str" cm="1">
        <f t="array" aca="1" ref="U96" ca="1">z_score_diff(OFFSET(T96,0,0,$I$5*-1,1),OFFSET(E96,0,0,$I$5*-1,1))</f>
        <v/>
      </c>
      <c r="V96" s="7" t="str">
        <f t="shared" ca="1" si="77"/>
        <v/>
      </c>
      <c r="W96" s="14">
        <f t="shared" ca="1" si="72"/>
        <v>-2.666824708216118E-2</v>
      </c>
      <c r="X96" s="10">
        <f t="shared" ref="X96:Y96" ca="1" si="103">+X95</f>
        <v>0</v>
      </c>
      <c r="Y96" s="10">
        <f t="shared" ca="1" si="103"/>
        <v>0</v>
      </c>
      <c r="Z96" t="str">
        <f t="shared" ca="1" si="79"/>
        <v/>
      </c>
      <c r="AA96" t="str">
        <f t="shared" ca="1" si="80"/>
        <v/>
      </c>
      <c r="AB96" s="19" t="str">
        <f t="shared" ca="1" si="81"/>
        <v/>
      </c>
      <c r="AC96" s="19" t="str">
        <f t="shared" ca="1" si="82"/>
        <v/>
      </c>
    </row>
    <row r="97" spans="3:29" x14ac:dyDescent="0.25">
      <c r="C97" s="4">
        <v>90</v>
      </c>
      <c r="D97" s="28">
        <v>42136</v>
      </c>
      <c r="E97" s="30">
        <v>20.798999999999999</v>
      </c>
      <c r="F97" s="30">
        <v>59.627218407205923</v>
      </c>
      <c r="G97" s="30">
        <v>6.349772585391956</v>
      </c>
      <c r="H97" s="30">
        <v>56.318558815660396</v>
      </c>
      <c r="I97" s="8">
        <v>0</v>
      </c>
      <c r="J97" s="31">
        <v>0</v>
      </c>
      <c r="K97" s="31">
        <v>0</v>
      </c>
      <c r="L97" s="31">
        <v>0</v>
      </c>
      <c r="M97" s="31">
        <v>1</v>
      </c>
      <c r="N97" s="31">
        <v>0</v>
      </c>
      <c r="O97" s="31">
        <v>0</v>
      </c>
      <c r="P97" s="31">
        <v>0</v>
      </c>
      <c r="Q97" s="31">
        <v>0</v>
      </c>
      <c r="R97" s="31">
        <v>0</v>
      </c>
      <c r="S97" s="31">
        <v>0</v>
      </c>
      <c r="T97" s="21" t="str" cm="1">
        <f t="array" aca="1" ref="T97" ca="1">+fair_value_gap(OFFSET(S96,0,0,-1*$I$5,-1*$Z$1),OFFSET(E96,0,0,-1*$I$5,1),F97:S97,0)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97" s="7" t="str" cm="1">
        <f t="array" aca="1" ref="U97" ca="1">z_score_diff(OFFSET(T97,0,0,$I$5*-1,1),OFFSET(E97,0,0,$I$5*-1,1))</f>
        <v/>
      </c>
      <c r="V97" s="7" t="str">
        <f t="shared" ca="1" si="77"/>
        <v/>
      </c>
      <c r="W97" s="14">
        <f t="shared" ca="1" si="72"/>
        <v>-2.2413851259517243E-2</v>
      </c>
      <c r="X97" s="10">
        <f t="shared" ref="X97:Y97" ca="1" si="104">+X96</f>
        <v>0</v>
      </c>
      <c r="Y97" s="10">
        <f t="shared" ca="1" si="104"/>
        <v>0</v>
      </c>
      <c r="Z97" t="str">
        <f t="shared" ca="1" si="79"/>
        <v/>
      </c>
      <c r="AA97" t="str">
        <f t="shared" ca="1" si="80"/>
        <v/>
      </c>
      <c r="AB97" s="19" t="str">
        <f t="shared" ca="1" si="81"/>
        <v/>
      </c>
      <c r="AC97" s="19" t="str">
        <f t="shared" ca="1" si="82"/>
        <v/>
      </c>
    </row>
    <row r="98" spans="3:29" x14ac:dyDescent="0.25">
      <c r="C98" s="4">
        <v>91</v>
      </c>
      <c r="D98" s="28">
        <v>42137</v>
      </c>
      <c r="E98" s="30">
        <v>20.751000000000001</v>
      </c>
      <c r="F98" s="30">
        <v>58.837516512549541</v>
      </c>
      <c r="G98" s="30">
        <v>6.2703654777631002</v>
      </c>
      <c r="H98" s="30">
        <v>55.834434169969178</v>
      </c>
      <c r="I98" s="8">
        <v>0</v>
      </c>
      <c r="J98" s="31">
        <v>0</v>
      </c>
      <c r="K98" s="31">
        <v>0</v>
      </c>
      <c r="L98" s="31">
        <v>0</v>
      </c>
      <c r="M98" s="31">
        <v>1</v>
      </c>
      <c r="N98" s="31">
        <v>0</v>
      </c>
      <c r="O98" s="31">
        <v>0</v>
      </c>
      <c r="P98" s="31">
        <v>0</v>
      </c>
      <c r="Q98" s="31">
        <v>0</v>
      </c>
      <c r="R98" s="31">
        <v>0</v>
      </c>
      <c r="S98" s="31">
        <v>0</v>
      </c>
      <c r="T98" s="21" t="str" cm="1">
        <f t="array" aca="1" ref="T98" ca="1">+fair_value_gap(OFFSET(S97,0,0,-1*$I$5,-1*$Z$1),OFFSET(E97,0,0,-1*$I$5,1),F98:S98,0)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98" s="7" t="str" cm="1">
        <f t="array" aca="1" ref="U98" ca="1">z_score_diff(OFFSET(T98,0,0,$I$5*-1,1),OFFSET(E98,0,0,$I$5*-1,1))</f>
        <v/>
      </c>
      <c r="V98" s="7" t="str">
        <f t="shared" ca="1" si="77"/>
        <v/>
      </c>
      <c r="W98" s="14">
        <f t="shared" ca="1" si="72"/>
        <v>-1.7059537436386794E-2</v>
      </c>
      <c r="X98" s="10">
        <f t="shared" ref="X98:Y98" ca="1" si="105">+X97</f>
        <v>0</v>
      </c>
      <c r="Y98" s="10">
        <f t="shared" ca="1" si="105"/>
        <v>0</v>
      </c>
      <c r="Z98" t="str">
        <f t="shared" ca="1" si="79"/>
        <v/>
      </c>
      <c r="AA98" t="str">
        <f t="shared" ca="1" si="80"/>
        <v/>
      </c>
      <c r="AB98" s="19" t="str">
        <f t="shared" ca="1" si="81"/>
        <v/>
      </c>
      <c r="AC98" s="19" t="str">
        <f t="shared" ca="1" si="82"/>
        <v/>
      </c>
    </row>
    <row r="99" spans="3:29" x14ac:dyDescent="0.25">
      <c r="C99" s="4">
        <v>92</v>
      </c>
      <c r="D99" s="28">
        <v>42138</v>
      </c>
      <c r="E99" s="30">
        <v>20.45</v>
      </c>
      <c r="F99" s="30">
        <v>58.371318373071531</v>
      </c>
      <c r="G99" s="30">
        <v>6.2368513323983166</v>
      </c>
      <c r="H99" s="30">
        <v>55.575035063113603</v>
      </c>
      <c r="I99" s="8">
        <v>0</v>
      </c>
      <c r="J99" s="31">
        <v>0</v>
      </c>
      <c r="K99" s="31">
        <v>0</v>
      </c>
      <c r="L99" s="31">
        <v>0</v>
      </c>
      <c r="M99" s="31">
        <v>1</v>
      </c>
      <c r="N99" s="31">
        <v>0</v>
      </c>
      <c r="O99" s="31">
        <v>0</v>
      </c>
      <c r="P99" s="31">
        <v>0</v>
      </c>
      <c r="Q99" s="31">
        <v>0</v>
      </c>
      <c r="R99" s="31">
        <v>0</v>
      </c>
      <c r="S99" s="31">
        <v>0</v>
      </c>
      <c r="T99" s="21" t="str" cm="1">
        <f t="array" aca="1" ref="T99" ca="1">+fair_value_gap(OFFSET(S98,0,0,-1*$I$5,-1*$Z$1),OFFSET(E98,0,0,-1*$I$5,1),F99:S99,0)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99" s="7" t="str" cm="1">
        <f t="array" aca="1" ref="U99" ca="1">z_score_diff(OFFSET(T99,0,0,$I$5*-1,1),OFFSET(E99,0,0,$I$5*-1,1))</f>
        <v/>
      </c>
      <c r="V99" s="7" t="str">
        <f t="shared" ca="1" si="77"/>
        <v/>
      </c>
      <c r="W99" s="14">
        <f t="shared" ca="1" si="72"/>
        <v>-1.9554247387077187E-2</v>
      </c>
      <c r="X99" s="10">
        <f t="shared" ref="X99:Y99" ca="1" si="106">+X98</f>
        <v>0</v>
      </c>
      <c r="Y99" s="10">
        <f t="shared" ca="1" si="106"/>
        <v>0</v>
      </c>
      <c r="Z99" t="str">
        <f t="shared" ca="1" si="79"/>
        <v/>
      </c>
      <c r="AA99" t="str">
        <f t="shared" ca="1" si="80"/>
        <v/>
      </c>
      <c r="AB99" s="19" t="str">
        <f t="shared" ca="1" si="81"/>
        <v/>
      </c>
      <c r="AC99" s="19" t="str">
        <f t="shared" ca="1" si="82"/>
        <v/>
      </c>
    </row>
    <row r="100" spans="3:29" x14ac:dyDescent="0.25">
      <c r="C100" s="4">
        <v>93</v>
      </c>
      <c r="D100" s="28">
        <v>42139</v>
      </c>
      <c r="E100" s="30">
        <v>20.484000000000002</v>
      </c>
      <c r="F100" s="30">
        <v>58.34424941053183</v>
      </c>
      <c r="G100" s="30">
        <v>6.2134311413850316</v>
      </c>
      <c r="H100" s="30">
        <v>55.410007859575586</v>
      </c>
      <c r="I100" s="8">
        <v>0</v>
      </c>
      <c r="J100" s="31">
        <v>0</v>
      </c>
      <c r="K100" s="31">
        <v>0</v>
      </c>
      <c r="L100" s="31">
        <v>0</v>
      </c>
      <c r="M100" s="31">
        <v>1</v>
      </c>
      <c r="N100" s="31">
        <v>0</v>
      </c>
      <c r="O100" s="31">
        <v>0</v>
      </c>
      <c r="P100" s="31">
        <v>0</v>
      </c>
      <c r="Q100" s="31">
        <v>0</v>
      </c>
      <c r="R100" s="31">
        <v>0</v>
      </c>
      <c r="S100" s="31">
        <v>0</v>
      </c>
      <c r="T100" s="21" t="str" cm="1">
        <f t="array" aca="1" ref="T100" ca="1">+fair_value_gap(OFFSET(S99,0,0,-1*$I$5,-1*$Z$1),OFFSET(E99,0,0,-1*$I$5,1),F100:S100,0)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00" s="7" t="str" cm="1">
        <f t="array" aca="1" ref="U100" ca="1">z_score_diff(OFFSET(T100,0,0,$I$5*-1,1),OFFSET(E100,0,0,$I$5*-1,1))</f>
        <v/>
      </c>
      <c r="V100" s="7" t="str">
        <f t="shared" ca="1" si="77"/>
        <v/>
      </c>
      <c r="W100" s="14">
        <f t="shared" ca="1" si="72"/>
        <v>-2.1664347505833556E-2</v>
      </c>
      <c r="X100" s="10">
        <f t="shared" ref="X100:Y100" ca="1" si="107">+X99</f>
        <v>0</v>
      </c>
      <c r="Y100" s="10">
        <f t="shared" ca="1" si="107"/>
        <v>0</v>
      </c>
      <c r="Z100" t="str">
        <f t="shared" ca="1" si="79"/>
        <v/>
      </c>
      <c r="AA100" t="str">
        <f t="shared" ca="1" si="80"/>
        <v/>
      </c>
      <c r="AB100" s="19" t="str">
        <f t="shared" ca="1" si="81"/>
        <v/>
      </c>
      <c r="AC100" s="19" t="str">
        <f t="shared" ca="1" si="82"/>
        <v/>
      </c>
    </row>
    <row r="101" spans="3:29" x14ac:dyDescent="0.25">
      <c r="C101" s="4">
        <v>94</v>
      </c>
      <c r="D101" s="28">
        <v>42142</v>
      </c>
      <c r="E101" s="30">
        <v>20.308</v>
      </c>
      <c r="F101" s="30">
        <v>58.57344882446526</v>
      </c>
      <c r="G101" s="30">
        <v>6.5626657238819162</v>
      </c>
      <c r="H101" s="30">
        <v>55.594838253491254</v>
      </c>
      <c r="I101" s="8">
        <v>0</v>
      </c>
      <c r="J101" s="31">
        <v>0</v>
      </c>
      <c r="K101" s="31">
        <v>0</v>
      </c>
      <c r="L101" s="31">
        <v>0</v>
      </c>
      <c r="M101" s="31">
        <v>1</v>
      </c>
      <c r="N101" s="31">
        <v>0</v>
      </c>
      <c r="O101" s="31">
        <v>0</v>
      </c>
      <c r="P101" s="31">
        <v>0</v>
      </c>
      <c r="Q101" s="31">
        <v>0</v>
      </c>
      <c r="R101" s="31">
        <v>0</v>
      </c>
      <c r="S101" s="31">
        <v>0</v>
      </c>
      <c r="T101" s="21" t="str" cm="1">
        <f t="array" aca="1" ref="T101" ca="1">+fair_value_gap(OFFSET(S100,0,0,-1*$I$5,-1*$Z$1),OFFSET(E100,0,0,-1*$I$5,1),F101:S101,0)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01" s="7" t="str" cm="1">
        <f t="array" aca="1" ref="U101" ca="1">z_score_diff(OFFSET(T101,0,0,$I$5*-1,1),OFFSET(E101,0,0,$I$5*-1,1))</f>
        <v/>
      </c>
      <c r="V101" s="7" t="str">
        <f t="shared" ca="1" si="77"/>
        <v/>
      </c>
      <c r="W101" s="14">
        <f t="shared" ca="1" si="72"/>
        <v>-1.3134931473697922E-2</v>
      </c>
      <c r="X101" s="10">
        <f t="shared" ref="X101:Y101" ca="1" si="108">+X100</f>
        <v>0</v>
      </c>
      <c r="Y101" s="10">
        <f t="shared" ca="1" si="108"/>
        <v>0</v>
      </c>
      <c r="Z101" t="str">
        <f t="shared" ca="1" si="79"/>
        <v/>
      </c>
      <c r="AA101" t="str">
        <f t="shared" ca="1" si="80"/>
        <v/>
      </c>
      <c r="AB101" s="19" t="str">
        <f t="shared" ca="1" si="81"/>
        <v/>
      </c>
      <c r="AC101" s="19" t="str">
        <f t="shared" ca="1" si="82"/>
        <v/>
      </c>
    </row>
    <row r="102" spans="3:29" x14ac:dyDescent="0.25">
      <c r="C102" s="4">
        <v>95</v>
      </c>
      <c r="D102" s="28">
        <v>42143</v>
      </c>
      <c r="E102" s="30">
        <v>20.356000000000002</v>
      </c>
      <c r="F102" s="30">
        <v>57.43249304745671</v>
      </c>
      <c r="G102" s="30">
        <v>6.6609850183905976</v>
      </c>
      <c r="H102" s="30">
        <v>56.203462815107201</v>
      </c>
      <c r="I102" s="8">
        <v>0</v>
      </c>
      <c r="J102" s="31">
        <v>0</v>
      </c>
      <c r="K102" s="31">
        <v>0</v>
      </c>
      <c r="L102" s="31">
        <v>0</v>
      </c>
      <c r="M102" s="31">
        <v>1</v>
      </c>
      <c r="N102" s="31">
        <v>0</v>
      </c>
      <c r="O102" s="31">
        <v>0</v>
      </c>
      <c r="P102" s="31">
        <v>0</v>
      </c>
      <c r="Q102" s="31">
        <v>0</v>
      </c>
      <c r="R102" s="31">
        <v>0</v>
      </c>
      <c r="S102" s="31">
        <v>0</v>
      </c>
      <c r="T102" s="21" t="str" cm="1">
        <f t="array" aca="1" ref="T102" ca="1">+fair_value_gap(OFFSET(S101,0,0,-1*$I$5,-1*$Z$1),OFFSET(E101,0,0,-1*$I$5,1),F102:S102,0)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02" s="7" t="str" cm="1">
        <f t="array" aca="1" ref="U102" ca="1">z_score_diff(OFFSET(T102,0,0,$I$5*-1,1),OFFSET(E102,0,0,$I$5*-1,1))</f>
        <v/>
      </c>
      <c r="V102" s="7" t="str">
        <f t="shared" ca="1" si="77"/>
        <v/>
      </c>
      <c r="W102" s="14">
        <f t="shared" ca="1" si="72"/>
        <v>-7.0002750741155941E-3</v>
      </c>
      <c r="X102" s="10">
        <f t="shared" ref="X102:Y102" ca="1" si="109">+X101</f>
        <v>0</v>
      </c>
      <c r="Y102" s="10">
        <f t="shared" ca="1" si="109"/>
        <v>0</v>
      </c>
      <c r="Z102" t="str">
        <f t="shared" ca="1" si="79"/>
        <v/>
      </c>
      <c r="AA102" t="str">
        <f t="shared" ca="1" si="80"/>
        <v/>
      </c>
      <c r="AB102" s="19" t="str">
        <f t="shared" ca="1" si="81"/>
        <v/>
      </c>
      <c r="AC102" s="19" t="str">
        <f t="shared" ca="1" si="82"/>
        <v/>
      </c>
    </row>
    <row r="103" spans="3:29" x14ac:dyDescent="0.25">
      <c r="C103" s="4">
        <v>96</v>
      </c>
      <c r="D103" s="28">
        <v>42144</v>
      </c>
      <c r="E103" s="30">
        <v>20.446999999999999</v>
      </c>
      <c r="F103" s="30">
        <v>58.633125957983957</v>
      </c>
      <c r="G103" s="30">
        <v>6.9876476422324405</v>
      </c>
      <c r="H103" s="30">
        <v>56.532323505545037</v>
      </c>
      <c r="I103" s="8">
        <v>0</v>
      </c>
      <c r="J103" s="31">
        <v>0</v>
      </c>
      <c r="K103" s="31">
        <v>0</v>
      </c>
      <c r="L103" s="31">
        <v>0</v>
      </c>
      <c r="M103" s="31">
        <v>1</v>
      </c>
      <c r="N103" s="31">
        <v>0</v>
      </c>
      <c r="O103" s="31">
        <v>0</v>
      </c>
      <c r="P103" s="31">
        <v>0</v>
      </c>
      <c r="Q103" s="31">
        <v>0</v>
      </c>
      <c r="R103" s="31">
        <v>0</v>
      </c>
      <c r="S103" s="31">
        <v>0</v>
      </c>
      <c r="T103" s="21" t="str" cm="1">
        <f t="array" aca="1" ref="T103" ca="1">+fair_value_gap(OFFSET(S102,0,0,-1*$I$5,-1*$Z$1),OFFSET(E102,0,0,-1*$I$5,1),F103:S103,0)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03" s="7" t="str" cm="1">
        <f t="array" aca="1" ref="U103" ca="1">z_score_diff(OFFSET(T103,0,0,$I$5*-1,1),OFFSET(E103,0,0,$I$5*-1,1))</f>
        <v/>
      </c>
      <c r="V103" s="7" t="str">
        <f t="shared" ca="1" si="77"/>
        <v/>
      </c>
      <c r="W103" s="14">
        <f t="shared" ca="1" si="72"/>
        <v>-1.8261291189475799E-2</v>
      </c>
      <c r="X103" s="10">
        <f t="shared" ref="X103:Y103" ca="1" si="110">+X102</f>
        <v>0</v>
      </c>
      <c r="Y103" s="10">
        <f t="shared" ca="1" si="110"/>
        <v>0</v>
      </c>
      <c r="Z103" t="str">
        <f t="shared" ca="1" si="79"/>
        <v/>
      </c>
      <c r="AA103" t="str">
        <f t="shared" ca="1" si="80"/>
        <v/>
      </c>
      <c r="AB103" s="19" t="str">
        <f t="shared" ca="1" si="81"/>
        <v/>
      </c>
      <c r="AC103" s="19" t="str">
        <f t="shared" ca="1" si="82"/>
        <v/>
      </c>
    </row>
    <row r="104" spans="3:29" x14ac:dyDescent="0.25">
      <c r="C104" s="4">
        <v>97</v>
      </c>
      <c r="D104" s="28">
        <v>42145</v>
      </c>
      <c r="E104" s="30">
        <v>20.413</v>
      </c>
      <c r="F104" s="30">
        <v>59.881209503239745</v>
      </c>
      <c r="G104" s="30">
        <v>6.9744420446364295</v>
      </c>
      <c r="H104" s="30">
        <v>56.515478761699065</v>
      </c>
      <c r="I104" s="8">
        <v>0</v>
      </c>
      <c r="J104" s="31">
        <v>0</v>
      </c>
      <c r="K104" s="31">
        <v>0</v>
      </c>
      <c r="L104" s="31">
        <v>0</v>
      </c>
      <c r="M104" s="31">
        <v>1</v>
      </c>
      <c r="N104" s="31">
        <v>0</v>
      </c>
      <c r="O104" s="31">
        <v>0</v>
      </c>
      <c r="P104" s="31">
        <v>0</v>
      </c>
      <c r="Q104" s="31">
        <v>0</v>
      </c>
      <c r="R104" s="31">
        <v>0</v>
      </c>
      <c r="S104" s="31">
        <v>0</v>
      </c>
      <c r="T104" s="21" t="str" cm="1">
        <f t="array" aca="1" ref="T104" ca="1">+fair_value_gap(OFFSET(S103,0,0,-1*$I$5,-1*$Z$1),OFFSET(E103,0,0,-1*$I$5,1),F104:S104,0)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04" s="7" t="str" cm="1">
        <f t="array" aca="1" ref="U104" ca="1">z_score_diff(OFFSET(T104,0,0,$I$5*-1,1),OFFSET(E104,0,0,$I$5*-1,1))</f>
        <v/>
      </c>
      <c r="V104" s="7" t="str">
        <f t="shared" ca="1" si="77"/>
        <v/>
      </c>
      <c r="W104" s="14">
        <f t="shared" ca="1" si="72"/>
        <v>-1.4507310584347835E-2</v>
      </c>
      <c r="X104" s="10">
        <f t="shared" ref="X104:Y104" ca="1" si="111">+X103</f>
        <v>0</v>
      </c>
      <c r="Y104" s="10">
        <f t="shared" ca="1" si="111"/>
        <v>0</v>
      </c>
      <c r="Z104" t="str">
        <f t="shared" ca="1" si="79"/>
        <v/>
      </c>
      <c r="AA104" t="str">
        <f t="shared" ca="1" si="80"/>
        <v/>
      </c>
      <c r="AB104" s="19" t="str">
        <f t="shared" ca="1" si="81"/>
        <v/>
      </c>
      <c r="AC104" s="19" t="str">
        <f t="shared" ca="1" si="82"/>
        <v/>
      </c>
    </row>
    <row r="105" spans="3:29" x14ac:dyDescent="0.25">
      <c r="C105" s="4">
        <v>98</v>
      </c>
      <c r="D105" s="28">
        <v>42146</v>
      </c>
      <c r="E105" s="30">
        <v>20.38</v>
      </c>
      <c r="F105" s="30">
        <v>59.346345891965512</v>
      </c>
      <c r="G105" s="30">
        <v>7.0358601906491156</v>
      </c>
      <c r="H105" s="30">
        <v>57.103949160236041</v>
      </c>
      <c r="I105" s="8">
        <v>0</v>
      </c>
      <c r="J105" s="31">
        <v>0</v>
      </c>
      <c r="K105" s="31">
        <v>0</v>
      </c>
      <c r="L105" s="31">
        <v>0</v>
      </c>
      <c r="M105" s="31">
        <v>1</v>
      </c>
      <c r="N105" s="31">
        <v>0</v>
      </c>
      <c r="O105" s="31">
        <v>0</v>
      </c>
      <c r="P105" s="31">
        <v>0</v>
      </c>
      <c r="Q105" s="31">
        <v>0</v>
      </c>
      <c r="R105" s="31">
        <v>0</v>
      </c>
      <c r="S105" s="31">
        <v>0</v>
      </c>
      <c r="T105" s="21" t="str" cm="1">
        <f t="array" aca="1" ref="T105" ca="1">+fair_value_gap(OFFSET(S104,0,0,-1*$I$5,-1*$Z$1),OFFSET(E104,0,0,-1*$I$5,1),F105:S105,0)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05" s="7" t="str" cm="1">
        <f t="array" aca="1" ref="U105" ca="1">z_score_diff(OFFSET(T105,0,0,$I$5*-1,1),OFFSET(E105,0,0,$I$5*-1,1))</f>
        <v/>
      </c>
      <c r="V105" s="7" t="str">
        <f t="shared" ca="1" si="77"/>
        <v/>
      </c>
      <c r="W105" s="14">
        <f t="shared" ca="1" si="72"/>
        <v>-4.573740975386347E-3</v>
      </c>
      <c r="X105" s="10">
        <f t="shared" ref="X105:Y105" ca="1" si="112">+X104</f>
        <v>0</v>
      </c>
      <c r="Y105" s="10">
        <f t="shared" ca="1" si="112"/>
        <v>0</v>
      </c>
      <c r="Z105" t="str">
        <f t="shared" ca="1" si="79"/>
        <v/>
      </c>
      <c r="AA105" t="str">
        <f t="shared" ca="1" si="80"/>
        <v/>
      </c>
      <c r="AB105" s="19" t="str">
        <f t="shared" ca="1" si="81"/>
        <v/>
      </c>
      <c r="AC105" s="19" t="str">
        <f t="shared" ca="1" si="82"/>
        <v/>
      </c>
    </row>
    <row r="106" spans="3:29" x14ac:dyDescent="0.25">
      <c r="C106" s="4">
        <v>99</v>
      </c>
      <c r="D106" s="28">
        <v>42149</v>
      </c>
      <c r="E106" s="30">
        <v>20.38</v>
      </c>
      <c r="F106" s="30">
        <v>59.699316628701595</v>
      </c>
      <c r="G106" s="30">
        <v>7.0615034168564925</v>
      </c>
      <c r="H106" s="30">
        <v>57.312072892938502</v>
      </c>
      <c r="I106" s="8">
        <v>0</v>
      </c>
      <c r="J106" s="31">
        <v>0</v>
      </c>
      <c r="K106" s="31">
        <v>0</v>
      </c>
      <c r="L106" s="31">
        <v>0</v>
      </c>
      <c r="M106" s="31">
        <v>1</v>
      </c>
      <c r="N106" s="31">
        <v>0</v>
      </c>
      <c r="O106" s="31">
        <v>0</v>
      </c>
      <c r="P106" s="31">
        <v>0</v>
      </c>
      <c r="Q106" s="31">
        <v>0</v>
      </c>
      <c r="R106" s="31">
        <v>0</v>
      </c>
      <c r="S106" s="31">
        <v>0</v>
      </c>
      <c r="T106" s="21" t="str" cm="1">
        <f t="array" aca="1" ref="T106" ca="1">+fair_value_gap(OFFSET(S105,0,0,-1*$I$5,-1*$Z$1),OFFSET(E105,0,0,-1*$I$5,1),F106:S106,0)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06" s="7" t="str" cm="1">
        <f t="array" aca="1" ref="U106" ca="1">z_score_diff(OFFSET(T106,0,0,$I$5*-1,1),OFFSET(E106,0,0,$I$5*-1,1))</f>
        <v/>
      </c>
      <c r="V106" s="7" t="str">
        <f t="shared" ca="1" si="77"/>
        <v/>
      </c>
      <c r="W106" s="14">
        <f t="shared" ca="1" si="72"/>
        <v>1.6110932299435044E-2</v>
      </c>
      <c r="X106" s="10">
        <f t="shared" ref="X106:Y106" ca="1" si="113">+X105</f>
        <v>0</v>
      </c>
      <c r="Y106" s="10">
        <f t="shared" ca="1" si="113"/>
        <v>0</v>
      </c>
      <c r="Z106" t="str">
        <f t="shared" ca="1" si="79"/>
        <v/>
      </c>
      <c r="AA106" t="str">
        <f t="shared" ca="1" si="80"/>
        <v/>
      </c>
      <c r="AB106" s="19" t="str">
        <f t="shared" ca="1" si="81"/>
        <v/>
      </c>
      <c r="AC106" s="19" t="str">
        <f t="shared" ca="1" si="82"/>
        <v/>
      </c>
    </row>
    <row r="107" spans="3:29" x14ac:dyDescent="0.25">
      <c r="C107" s="4">
        <v>100</v>
      </c>
      <c r="D107" s="28">
        <v>42150</v>
      </c>
      <c r="E107" s="30">
        <v>20.484999999999999</v>
      </c>
      <c r="F107" s="30">
        <v>58.603881173549162</v>
      </c>
      <c r="G107" s="30">
        <v>7.1277476317483677</v>
      </c>
      <c r="H107" s="30">
        <v>57.803734020049667</v>
      </c>
      <c r="I107" s="8">
        <v>0</v>
      </c>
      <c r="J107" s="31">
        <v>0</v>
      </c>
      <c r="K107" s="31">
        <v>0</v>
      </c>
      <c r="L107" s="31">
        <v>0</v>
      </c>
      <c r="M107" s="31">
        <v>1</v>
      </c>
      <c r="N107" s="31">
        <v>0</v>
      </c>
      <c r="O107" s="31">
        <v>0</v>
      </c>
      <c r="P107" s="31">
        <v>0</v>
      </c>
      <c r="Q107" s="31">
        <v>0</v>
      </c>
      <c r="R107" s="31">
        <v>0</v>
      </c>
      <c r="S107" s="31">
        <v>0</v>
      </c>
      <c r="T107" s="21" t="str" cm="1">
        <f t="array" aca="1" ref="T107" ca="1">+fair_value_gap(OFFSET(S106,0,0,-1*$I$5,-1*$Z$1),OFFSET(E106,0,0,-1*$I$5,1),F107:S107,0)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07" s="7" t="str" cm="1">
        <f t="array" aca="1" ref="U107" ca="1">z_score_diff(OFFSET(T107,0,0,$I$5*-1,1),OFFSET(E107,0,0,$I$5*-1,1))</f>
        <v/>
      </c>
      <c r="V107" s="7" t="str">
        <f t="shared" ca="1" si="77"/>
        <v/>
      </c>
      <c r="W107" s="14">
        <f t="shared" ca="1" si="72"/>
        <v>1.2178409171029747E-2</v>
      </c>
      <c r="X107" s="10">
        <f t="shared" ref="X107:Y107" ca="1" si="114">+X106</f>
        <v>0</v>
      </c>
      <c r="Y107" s="10">
        <f t="shared" ca="1" si="114"/>
        <v>0</v>
      </c>
      <c r="Z107" t="str">
        <f t="shared" ca="1" si="79"/>
        <v/>
      </c>
      <c r="AA107" t="str">
        <f t="shared" ca="1" si="80"/>
        <v/>
      </c>
      <c r="AB107" s="19" t="str">
        <f t="shared" ca="1" si="81"/>
        <v/>
      </c>
      <c r="AC107" s="19" t="str">
        <f t="shared" ca="1" si="82"/>
        <v/>
      </c>
    </row>
    <row r="108" spans="3:29" x14ac:dyDescent="0.25">
      <c r="C108" s="4">
        <v>101</v>
      </c>
      <c r="D108" s="28">
        <v>42151</v>
      </c>
      <c r="E108" s="30">
        <v>20.492000000000001</v>
      </c>
      <c r="F108" s="30">
        <v>56.920113730166008</v>
      </c>
      <c r="G108" s="30">
        <v>7.108135375584701</v>
      </c>
      <c r="H108" s="30">
        <v>57.690543887003571</v>
      </c>
      <c r="I108" s="8">
        <v>0</v>
      </c>
      <c r="J108" s="31">
        <v>0</v>
      </c>
      <c r="K108" s="31">
        <v>0</v>
      </c>
      <c r="L108" s="31">
        <v>0</v>
      </c>
      <c r="M108" s="31">
        <v>1</v>
      </c>
      <c r="N108" s="31">
        <v>0</v>
      </c>
      <c r="O108" s="31">
        <v>0</v>
      </c>
      <c r="P108" s="31">
        <v>0</v>
      </c>
      <c r="Q108" s="31">
        <v>0</v>
      </c>
      <c r="R108" s="31">
        <v>0</v>
      </c>
      <c r="S108" s="31">
        <v>0</v>
      </c>
      <c r="T108" s="21" t="str" cm="1">
        <f t="array" aca="1" ref="T108" ca="1">+fair_value_gap(OFFSET(S107,0,0,-1*$I$5,-1*$Z$1),OFFSET(E107,0,0,-1*$I$5,1),F108:S108,0)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08" s="7" t="str" cm="1">
        <f t="array" aca="1" ref="U108" ca="1">z_score_diff(OFFSET(T108,0,0,$I$5*-1,1),OFFSET(E108,0,0,$I$5*-1,1))</f>
        <v/>
      </c>
      <c r="V108" s="7" t="str">
        <f t="shared" ca="1" si="77"/>
        <v/>
      </c>
      <c r="W108" s="14">
        <f t="shared" ca="1" si="72"/>
        <v>6.7602329288529526E-3</v>
      </c>
      <c r="X108" s="10">
        <f t="shared" ref="X108:Y108" ca="1" si="115">+X107</f>
        <v>0</v>
      </c>
      <c r="Y108" s="10">
        <f t="shared" ca="1" si="115"/>
        <v>0</v>
      </c>
      <c r="Z108" t="str">
        <f t="shared" ca="1" si="79"/>
        <v/>
      </c>
      <c r="AA108" t="str">
        <f t="shared" ca="1" si="80"/>
        <v/>
      </c>
      <c r="AB108" s="19" t="str">
        <f t="shared" ca="1" si="81"/>
        <v/>
      </c>
      <c r="AC108" s="19" t="str">
        <f t="shared" ca="1" si="82"/>
        <v/>
      </c>
    </row>
    <row r="109" spans="3:29" x14ac:dyDescent="0.25">
      <c r="C109" s="4">
        <v>102</v>
      </c>
      <c r="D109" s="28">
        <v>42152</v>
      </c>
      <c r="E109" s="30">
        <v>20.556999999999999</v>
      </c>
      <c r="F109" s="30">
        <v>57.171569523113462</v>
      </c>
      <c r="G109" s="30">
        <v>7.0802119495706197</v>
      </c>
      <c r="H109" s="30">
        <v>57.509592545221999</v>
      </c>
      <c r="I109" s="8">
        <v>0</v>
      </c>
      <c r="J109" s="31">
        <v>0</v>
      </c>
      <c r="K109" s="31">
        <v>0</v>
      </c>
      <c r="L109" s="31">
        <v>0</v>
      </c>
      <c r="M109" s="31">
        <v>1</v>
      </c>
      <c r="N109" s="31">
        <v>0</v>
      </c>
      <c r="O109" s="31">
        <v>0</v>
      </c>
      <c r="P109" s="31">
        <v>0</v>
      </c>
      <c r="Q109" s="31">
        <v>0</v>
      </c>
      <c r="R109" s="31">
        <v>0</v>
      </c>
      <c r="S109" s="31">
        <v>0</v>
      </c>
      <c r="T109" s="21" t="str" cm="1">
        <f t="array" aca="1" ref="T109" ca="1">+fair_value_gap(OFFSET(S108,0,0,-1*$I$5,-1*$Z$1),OFFSET(E108,0,0,-1*$I$5,1),F109:S109,0)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09" s="7" t="str" cm="1">
        <f t="array" aca="1" ref="U109" ca="1">z_score_diff(OFFSET(T109,0,0,$I$5*-1,1),OFFSET(E109,0,0,$I$5*-1,1))</f>
        <v/>
      </c>
      <c r="V109" s="7" t="str">
        <f t="shared" ca="1" si="77"/>
        <v/>
      </c>
      <c r="W109" s="14">
        <f t="shared" ca="1" si="72"/>
        <v>-4.6320080867876178E-3</v>
      </c>
      <c r="X109" s="10">
        <f t="shared" ref="X109:Y109" ca="1" si="116">+X108</f>
        <v>0</v>
      </c>
      <c r="Y109" s="10">
        <f t="shared" ca="1" si="116"/>
        <v>0</v>
      </c>
      <c r="Z109" t="str">
        <f t="shared" ca="1" si="79"/>
        <v/>
      </c>
      <c r="AA109" t="str">
        <f t="shared" ca="1" si="80"/>
        <v/>
      </c>
      <c r="AB109" s="19" t="str">
        <f t="shared" ca="1" si="81"/>
        <v/>
      </c>
      <c r="AC109" s="19" t="str">
        <f t="shared" ca="1" si="82"/>
        <v/>
      </c>
    </row>
    <row r="110" spans="3:29" x14ac:dyDescent="0.25">
      <c r="C110" s="4">
        <v>103</v>
      </c>
      <c r="D110" s="28">
        <v>42153</v>
      </c>
      <c r="E110" s="30">
        <v>20.244</v>
      </c>
      <c r="F110" s="30">
        <v>59.670519705106038</v>
      </c>
      <c r="G110" s="30">
        <v>7.0310366797123871</v>
      </c>
      <c r="H110" s="30">
        <v>57.386001638299803</v>
      </c>
      <c r="I110" s="8">
        <v>0</v>
      </c>
      <c r="J110" s="31">
        <v>0</v>
      </c>
      <c r="K110" s="31">
        <v>0</v>
      </c>
      <c r="L110" s="31">
        <v>0</v>
      </c>
      <c r="M110" s="31">
        <v>1</v>
      </c>
      <c r="N110" s="31">
        <v>0</v>
      </c>
      <c r="O110" s="31">
        <v>0</v>
      </c>
      <c r="P110" s="31">
        <v>0</v>
      </c>
      <c r="Q110" s="31">
        <v>0</v>
      </c>
      <c r="R110" s="31">
        <v>0</v>
      </c>
      <c r="S110" s="31">
        <v>0</v>
      </c>
      <c r="T110" s="21" t="str" cm="1">
        <f t="array" aca="1" ref="T110" ca="1">+fair_value_gap(OFFSET(S109,0,0,-1*$I$5,-1*$Z$1),OFFSET(E109,0,0,-1*$I$5,1),F110:S110,0)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10" s="7" t="str" cm="1">
        <f t="array" aca="1" ref="U110" ca="1">z_score_diff(OFFSET(T110,0,0,$I$5*-1,1),OFFSET(E110,0,0,$I$5*-1,1))</f>
        <v/>
      </c>
      <c r="V110" s="7" t="str">
        <f t="shared" ca="1" si="77"/>
        <v/>
      </c>
      <c r="W110" s="14">
        <f t="shared" ca="1" si="72"/>
        <v>9.9777191090856237E-3</v>
      </c>
      <c r="X110" s="10">
        <f t="shared" ref="X110:Y110" ca="1" si="117">+X109</f>
        <v>0</v>
      </c>
      <c r="Y110" s="10">
        <f t="shared" ca="1" si="117"/>
        <v>0</v>
      </c>
      <c r="Z110" t="str">
        <f t="shared" ca="1" si="79"/>
        <v/>
      </c>
      <c r="AA110" t="str">
        <f t="shared" ca="1" si="80"/>
        <v/>
      </c>
      <c r="AB110" s="19" t="str">
        <f t="shared" ca="1" si="81"/>
        <v/>
      </c>
      <c r="AC110" s="19" t="str">
        <f t="shared" ca="1" si="82"/>
        <v/>
      </c>
    </row>
    <row r="111" spans="3:29" x14ac:dyDescent="0.25">
      <c r="C111" s="4">
        <v>104</v>
      </c>
      <c r="D111" s="28">
        <v>42156</v>
      </c>
      <c r="E111" s="30">
        <v>20.141999999999999</v>
      </c>
      <c r="F111" s="30">
        <v>59.386727688787182</v>
      </c>
      <c r="G111" s="30">
        <v>7.0709382151029745</v>
      </c>
      <c r="H111" s="30">
        <v>56.659038901601825</v>
      </c>
      <c r="I111" s="8">
        <v>0</v>
      </c>
      <c r="J111" s="31">
        <v>0</v>
      </c>
      <c r="K111" s="31">
        <v>0</v>
      </c>
      <c r="L111" s="31">
        <v>0</v>
      </c>
      <c r="M111" s="31">
        <v>0</v>
      </c>
      <c r="N111" s="31">
        <v>1</v>
      </c>
      <c r="O111" s="31">
        <v>0</v>
      </c>
      <c r="P111" s="31">
        <v>0</v>
      </c>
      <c r="Q111" s="31">
        <v>0</v>
      </c>
      <c r="R111" s="31">
        <v>0</v>
      </c>
      <c r="S111" s="31">
        <v>0</v>
      </c>
      <c r="T111" s="21" t="str" cm="1">
        <f t="array" aca="1" ref="T111" ca="1">+fair_value_gap(OFFSET(S110,0,0,-1*$I$5,-1*$Z$1),OFFSET(E110,0,0,-1*$I$5,1),F111:S111,0)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11" s="7" t="str" cm="1">
        <f t="array" aca="1" ref="U111" ca="1">z_score_diff(OFFSET(T111,0,0,$I$5*-1,1),OFFSET(E111,0,0,$I$5*-1,1))</f>
        <v/>
      </c>
      <c r="V111" s="7" t="str">
        <f t="shared" ca="1" si="77"/>
        <v/>
      </c>
      <c r="W111" s="14">
        <f t="shared" ca="1" si="72"/>
        <v>1.2629669602373637E-2</v>
      </c>
      <c r="X111" s="10">
        <f t="shared" ref="X111:Y111" ca="1" si="118">+X110</f>
        <v>0</v>
      </c>
      <c r="Y111" s="10">
        <f t="shared" ca="1" si="118"/>
        <v>0</v>
      </c>
      <c r="Z111" t="str">
        <f t="shared" ca="1" si="79"/>
        <v/>
      </c>
      <c r="AA111" t="str">
        <f t="shared" ca="1" si="80"/>
        <v/>
      </c>
      <c r="AB111" s="19" t="str">
        <f t="shared" ca="1" si="81"/>
        <v/>
      </c>
      <c r="AC111" s="19" t="str">
        <f t="shared" ca="1" si="82"/>
        <v/>
      </c>
    </row>
    <row r="112" spans="3:29" x14ac:dyDescent="0.25">
      <c r="C112" s="4">
        <v>105</v>
      </c>
      <c r="D112" s="28">
        <v>42157</v>
      </c>
      <c r="E112" s="30">
        <v>20.170000000000002</v>
      </c>
      <c r="F112" s="30">
        <v>58.724892395982778</v>
      </c>
      <c r="G112" s="30">
        <v>6.9270086083213771</v>
      </c>
      <c r="H112" s="30">
        <v>55.864418938307033</v>
      </c>
      <c r="I112" s="8">
        <v>0</v>
      </c>
      <c r="J112" s="31">
        <v>0</v>
      </c>
      <c r="K112" s="31">
        <v>0</v>
      </c>
      <c r="L112" s="31">
        <v>0</v>
      </c>
      <c r="M112" s="31">
        <v>0</v>
      </c>
      <c r="N112" s="31">
        <v>1</v>
      </c>
      <c r="O112" s="31">
        <v>0</v>
      </c>
      <c r="P112" s="31">
        <v>0</v>
      </c>
      <c r="Q112" s="31">
        <v>0</v>
      </c>
      <c r="R112" s="31">
        <v>0</v>
      </c>
      <c r="S112" s="31">
        <v>0</v>
      </c>
      <c r="T112" s="21" t="str" cm="1">
        <f t="array" aca="1" ref="T112" ca="1">+fair_value_gap(OFFSET(S111,0,0,-1*$I$5,-1*$Z$1),OFFSET(E111,0,0,-1*$I$5,1),F112:S112,0)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12" s="7" t="str" cm="1">
        <f t="array" aca="1" ref="U112" ca="1">z_score_diff(OFFSET(T112,0,0,$I$5*-1,1),OFFSET(E112,0,0,$I$5*-1,1))</f>
        <v/>
      </c>
      <c r="V112" s="7" t="str">
        <f t="shared" ca="1" si="77"/>
        <v/>
      </c>
      <c r="W112" s="14">
        <f t="shared" ca="1" si="72"/>
        <v>1.3982110417700642E-2</v>
      </c>
      <c r="X112" s="10">
        <f t="shared" ref="X112:Y112" ca="1" si="119">+X111</f>
        <v>0</v>
      </c>
      <c r="Y112" s="10">
        <f t="shared" ca="1" si="119"/>
        <v>0</v>
      </c>
      <c r="Z112" t="str">
        <f t="shared" ca="1" si="79"/>
        <v/>
      </c>
      <c r="AA112" t="str">
        <f t="shared" ca="1" si="80"/>
        <v/>
      </c>
      <c r="AB112" s="19" t="str">
        <f t="shared" ca="1" si="81"/>
        <v/>
      </c>
      <c r="AC112" s="19" t="str">
        <f t="shared" ca="1" si="82"/>
        <v/>
      </c>
    </row>
    <row r="113" spans="3:29" x14ac:dyDescent="0.25">
      <c r="C113" s="4">
        <v>106</v>
      </c>
      <c r="D113" s="28">
        <v>42158</v>
      </c>
      <c r="E113" s="30">
        <v>20.152000000000001</v>
      </c>
      <c r="F113" s="30">
        <v>56.590384956537164</v>
      </c>
      <c r="G113" s="30">
        <v>6.8121341138903668</v>
      </c>
      <c r="H113" s="30">
        <v>54.860741529182192</v>
      </c>
      <c r="I113" s="8">
        <v>0</v>
      </c>
      <c r="J113" s="31">
        <v>0</v>
      </c>
      <c r="K113" s="31">
        <v>0</v>
      </c>
      <c r="L113" s="31">
        <v>0</v>
      </c>
      <c r="M113" s="31">
        <v>0</v>
      </c>
      <c r="N113" s="31">
        <v>1</v>
      </c>
      <c r="O113" s="31">
        <v>0</v>
      </c>
      <c r="P113" s="31">
        <v>0</v>
      </c>
      <c r="Q113" s="31">
        <v>0</v>
      </c>
      <c r="R113" s="31">
        <v>0</v>
      </c>
      <c r="S113" s="31">
        <v>0</v>
      </c>
      <c r="T113" s="21" t="str" cm="1">
        <f t="array" aca="1" ref="T113" ca="1">+fair_value_gap(OFFSET(S112,0,0,-1*$I$5,-1*$Z$1),OFFSET(E112,0,0,-1*$I$5,1),F113:S113,0)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13" s="7" t="str" cm="1">
        <f t="array" aca="1" ref="U113" ca="1">z_score_diff(OFFSET(T113,0,0,$I$5*-1,1),OFFSET(E113,0,0,$I$5*-1,1))</f>
        <v/>
      </c>
      <c r="V113" s="7" t="str">
        <f t="shared" ca="1" si="77"/>
        <v/>
      </c>
      <c r="W113" s="14">
        <f t="shared" ca="1" si="72"/>
        <v>2.557333309598378E-2</v>
      </c>
      <c r="X113" s="10">
        <f t="shared" ref="X113:Y113" ca="1" si="120">+X112</f>
        <v>0</v>
      </c>
      <c r="Y113" s="10">
        <f t="shared" ca="1" si="120"/>
        <v>0</v>
      </c>
      <c r="Z113" t="str">
        <f t="shared" ca="1" si="79"/>
        <v/>
      </c>
      <c r="AA113" t="str">
        <f t="shared" ca="1" si="80"/>
        <v/>
      </c>
      <c r="AB113" s="19" t="str">
        <f t="shared" ca="1" si="81"/>
        <v/>
      </c>
      <c r="AC113" s="19" t="str">
        <f t="shared" ca="1" si="82"/>
        <v/>
      </c>
    </row>
    <row r="114" spans="3:29" x14ac:dyDescent="0.25">
      <c r="C114" s="4">
        <v>107</v>
      </c>
      <c r="D114" s="28">
        <v>42159</v>
      </c>
      <c r="E114" s="30">
        <v>19.978000000000002</v>
      </c>
      <c r="F114" s="30">
        <v>55.201566254338353</v>
      </c>
      <c r="G114" s="30">
        <v>6.8167660407582105</v>
      </c>
      <c r="H114" s="30">
        <v>54.907893565898377</v>
      </c>
      <c r="I114" s="8">
        <v>0</v>
      </c>
      <c r="J114" s="31">
        <v>0</v>
      </c>
      <c r="K114" s="31">
        <v>0</v>
      </c>
      <c r="L114" s="31">
        <v>0</v>
      </c>
      <c r="M114" s="31">
        <v>0</v>
      </c>
      <c r="N114" s="31">
        <v>1</v>
      </c>
      <c r="O114" s="31">
        <v>0</v>
      </c>
      <c r="P114" s="31">
        <v>0</v>
      </c>
      <c r="Q114" s="31">
        <v>0</v>
      </c>
      <c r="R114" s="31">
        <v>0</v>
      </c>
      <c r="S114" s="31">
        <v>0</v>
      </c>
      <c r="T114" s="21" t="str" cm="1">
        <f t="array" aca="1" ref="T114" ca="1">+fair_value_gap(OFFSET(S113,0,0,-1*$I$5,-1*$Z$1),OFFSET(E113,0,0,-1*$I$5,1),F114:S114,0)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14" s="7" t="str" cm="1">
        <f t="array" aca="1" ref="U114" ca="1">z_score_diff(OFFSET(T114,0,0,$I$5*-1,1),OFFSET(E114,0,0,$I$5*-1,1))</f>
        <v/>
      </c>
      <c r="V114" s="7" t="str">
        <f t="shared" ca="1" si="77"/>
        <v/>
      </c>
      <c r="W114" s="14">
        <f t="shared" ca="1" si="72"/>
        <v>4.3968505671208753E-2</v>
      </c>
      <c r="X114" s="10">
        <f t="shared" ref="X114:Y114" ca="1" si="121">+X113</f>
        <v>0</v>
      </c>
      <c r="Y114" s="10">
        <f t="shared" ca="1" si="121"/>
        <v>0</v>
      </c>
      <c r="Z114" t="str">
        <f t="shared" ca="1" si="79"/>
        <v/>
      </c>
      <c r="AA114" t="str">
        <f t="shared" ca="1" si="80"/>
        <v/>
      </c>
      <c r="AB114" s="19" t="str">
        <f t="shared" ca="1" si="81"/>
        <v/>
      </c>
      <c r="AC114" s="19" t="str">
        <f t="shared" ca="1" si="82"/>
        <v/>
      </c>
    </row>
    <row r="115" spans="3:29" x14ac:dyDescent="0.25">
      <c r="C115" s="4">
        <v>108</v>
      </c>
      <c r="D115" s="28">
        <v>42160</v>
      </c>
      <c r="E115" s="30">
        <v>20.106000000000002</v>
      </c>
      <c r="F115" s="30">
        <v>56.979569795697962</v>
      </c>
      <c r="G115" s="30">
        <v>6.8760687606876063</v>
      </c>
      <c r="H115" s="30">
        <v>55.440554405544056</v>
      </c>
      <c r="I115" s="8">
        <v>0</v>
      </c>
      <c r="J115" s="31">
        <v>0</v>
      </c>
      <c r="K115" s="31">
        <v>0</v>
      </c>
      <c r="L115" s="31">
        <v>0</v>
      </c>
      <c r="M115" s="31">
        <v>0</v>
      </c>
      <c r="N115" s="31">
        <v>1</v>
      </c>
      <c r="O115" s="31">
        <v>0</v>
      </c>
      <c r="P115" s="31">
        <v>0</v>
      </c>
      <c r="Q115" s="31">
        <v>0</v>
      </c>
      <c r="R115" s="31">
        <v>0</v>
      </c>
      <c r="S115" s="31">
        <v>0</v>
      </c>
      <c r="T115" s="21" t="str" cm="1">
        <f t="array" aca="1" ref="T115" ca="1">+fair_value_gap(OFFSET(S114,0,0,-1*$I$5,-1*$Z$1),OFFSET(E114,0,0,-1*$I$5,1),F115:S115,0)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15" s="7" t="str" cm="1">
        <f t="array" aca="1" ref="U115" ca="1">z_score_diff(OFFSET(T115,0,0,$I$5*-1,1),OFFSET(E115,0,0,$I$5*-1,1))</f>
        <v/>
      </c>
      <c r="V115" s="7" t="str">
        <f t="shared" ca="1" si="77"/>
        <v/>
      </c>
      <c r="W115" s="14">
        <f t="shared" ca="1" si="72"/>
        <v>3.5039867042327956E-2</v>
      </c>
      <c r="X115" s="10">
        <f t="shared" ref="X115:Y115" ca="1" si="122">+X114</f>
        <v>0</v>
      </c>
      <c r="Y115" s="10">
        <f t="shared" ca="1" si="122"/>
        <v>0</v>
      </c>
      <c r="Z115" t="str">
        <f t="shared" ca="1" si="79"/>
        <v/>
      </c>
      <c r="AA115" t="str">
        <f t="shared" ca="1" si="80"/>
        <v/>
      </c>
      <c r="AB115" s="19" t="str">
        <f t="shared" ca="1" si="81"/>
        <v/>
      </c>
      <c r="AC115" s="19" t="str">
        <f t="shared" ca="1" si="82"/>
        <v/>
      </c>
    </row>
    <row r="116" spans="3:29" x14ac:dyDescent="0.25">
      <c r="C116" s="4">
        <v>109</v>
      </c>
      <c r="D116" s="28">
        <v>42163</v>
      </c>
      <c r="E116" s="30">
        <v>20.350000000000001</v>
      </c>
      <c r="F116" s="30">
        <v>55.522097245593834</v>
      </c>
      <c r="G116" s="30">
        <v>6.7753077672482513</v>
      </c>
      <c r="H116" s="30">
        <v>54.556726596404218</v>
      </c>
      <c r="I116" s="8">
        <v>0</v>
      </c>
      <c r="J116" s="31">
        <v>0</v>
      </c>
      <c r="K116" s="31">
        <v>0</v>
      </c>
      <c r="L116" s="31">
        <v>0</v>
      </c>
      <c r="M116" s="31">
        <v>0</v>
      </c>
      <c r="N116" s="31">
        <v>1</v>
      </c>
      <c r="O116" s="31">
        <v>0</v>
      </c>
      <c r="P116" s="31">
        <v>0</v>
      </c>
      <c r="Q116" s="31">
        <v>0</v>
      </c>
      <c r="R116" s="31">
        <v>0</v>
      </c>
      <c r="S116" s="31">
        <v>0</v>
      </c>
      <c r="T116" s="21" t="str" cm="1">
        <f t="array" aca="1" ref="T116" ca="1">+fair_value_gap(OFFSET(S115,0,0,-1*$I$5,-1*$Z$1),OFFSET(E115,0,0,-1*$I$5,1),F116:S116,0)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16" s="7" t="str" cm="1">
        <f t="array" aca="1" ref="U116" ca="1">z_score_diff(OFFSET(T116,0,0,$I$5*-1,1),OFFSET(E116,0,0,$I$5*-1,1))</f>
        <v/>
      </c>
      <c r="V116" s="7" t="str">
        <f t="shared" ca="1" si="77"/>
        <v/>
      </c>
      <c r="W116" s="14">
        <f t="shared" ca="1" si="72"/>
        <v>1.8066766886341429E-2</v>
      </c>
      <c r="X116" s="10">
        <f t="shared" ref="X116:Y116" ca="1" si="123">+X115</f>
        <v>0</v>
      </c>
      <c r="Y116" s="10">
        <f t="shared" ca="1" si="123"/>
        <v>0</v>
      </c>
      <c r="Z116" t="str">
        <f t="shared" ca="1" si="79"/>
        <v/>
      </c>
      <c r="AA116" t="str">
        <f t="shared" ca="1" si="80"/>
        <v/>
      </c>
      <c r="AB116" s="19" t="str">
        <f t="shared" ca="1" si="81"/>
        <v/>
      </c>
      <c r="AC116" s="19" t="str">
        <f t="shared" ca="1" si="82"/>
        <v/>
      </c>
    </row>
    <row r="117" spans="3:29" x14ac:dyDescent="0.25">
      <c r="C117" s="4">
        <v>110</v>
      </c>
      <c r="D117" s="28">
        <v>42164</v>
      </c>
      <c r="E117" s="30">
        <v>20.338000000000001</v>
      </c>
      <c r="F117" s="30">
        <v>57.502437295045638</v>
      </c>
      <c r="G117" s="30">
        <v>6.7756802268900103</v>
      </c>
      <c r="H117" s="30">
        <v>54.063635557918992</v>
      </c>
      <c r="I117" s="8">
        <v>0</v>
      </c>
      <c r="J117" s="31">
        <v>0</v>
      </c>
      <c r="K117" s="31">
        <v>0</v>
      </c>
      <c r="L117" s="31">
        <v>0</v>
      </c>
      <c r="M117" s="31">
        <v>0</v>
      </c>
      <c r="N117" s="31">
        <v>1</v>
      </c>
      <c r="O117" s="31">
        <v>0</v>
      </c>
      <c r="P117" s="31">
        <v>0</v>
      </c>
      <c r="Q117" s="31">
        <v>0</v>
      </c>
      <c r="R117" s="31">
        <v>0</v>
      </c>
      <c r="S117" s="31">
        <v>0</v>
      </c>
      <c r="T117" s="21" t="str" cm="1">
        <f t="array" aca="1" ref="T117" ca="1">+fair_value_gap(OFFSET(S116,0,0,-1*$I$5,-1*$Z$1),OFFSET(E116,0,0,-1*$I$5,1),F117:S117,0)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17" s="7" t="str" cm="1">
        <f t="array" aca="1" ref="U117" ca="1">z_score_diff(OFFSET(T117,0,0,$I$5*-1,1),OFFSET(E117,0,0,$I$5*-1,1))</f>
        <v/>
      </c>
      <c r="V117" s="7" t="str">
        <f t="shared" ca="1" si="77"/>
        <v/>
      </c>
      <c r="W117" s="14">
        <f t="shared" ca="1" si="72"/>
        <v>1.5998780423217451E-2</v>
      </c>
      <c r="X117" s="10">
        <f t="shared" ref="X117:Y117" ca="1" si="124">+X116</f>
        <v>0</v>
      </c>
      <c r="Y117" s="10">
        <f t="shared" ca="1" si="124"/>
        <v>0</v>
      </c>
      <c r="Z117" t="str">
        <f t="shared" ca="1" si="79"/>
        <v/>
      </c>
      <c r="AA117" t="str">
        <f t="shared" ca="1" si="80"/>
        <v/>
      </c>
      <c r="AB117" s="19" t="str">
        <f t="shared" ca="1" si="81"/>
        <v/>
      </c>
      <c r="AC117" s="19" t="str">
        <f t="shared" ca="1" si="82"/>
        <v/>
      </c>
    </row>
    <row r="118" spans="3:29" x14ac:dyDescent="0.25">
      <c r="C118" s="4">
        <v>111</v>
      </c>
      <c r="D118" s="28">
        <v>42165</v>
      </c>
      <c r="E118" s="30">
        <v>20.399999999999999</v>
      </c>
      <c r="F118" s="30">
        <v>58.018368067820553</v>
      </c>
      <c r="G118" s="30">
        <v>6.7511480042387841</v>
      </c>
      <c r="H118" s="30">
        <v>53.867891204521364</v>
      </c>
      <c r="I118" s="8">
        <v>0</v>
      </c>
      <c r="J118" s="31">
        <v>0</v>
      </c>
      <c r="K118" s="31">
        <v>0</v>
      </c>
      <c r="L118" s="31">
        <v>0</v>
      </c>
      <c r="M118" s="31">
        <v>0</v>
      </c>
      <c r="N118" s="31">
        <v>1</v>
      </c>
      <c r="O118" s="31">
        <v>0</v>
      </c>
      <c r="P118" s="31">
        <v>0</v>
      </c>
      <c r="Q118" s="31">
        <v>0</v>
      </c>
      <c r="R118" s="31">
        <v>0</v>
      </c>
      <c r="S118" s="31">
        <v>0</v>
      </c>
      <c r="T118" s="21" t="str" cm="1">
        <f t="array" aca="1" ref="T118" ca="1">+fair_value_gap(OFFSET(S117,0,0,-1*$I$5,-1*$Z$1),OFFSET(E117,0,0,-1*$I$5,1),F118:S118,0)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18" s="7" t="str" cm="1">
        <f t="array" aca="1" ref="U118" ca="1">z_score_diff(OFFSET(T118,0,0,$I$5*-1,1),OFFSET(E118,0,0,$I$5*-1,1))</f>
        <v/>
      </c>
      <c r="V118" s="7" t="str">
        <f t="shared" ca="1" si="77"/>
        <v/>
      </c>
      <c r="W118" s="14">
        <f t="shared" ca="1" si="72"/>
        <v>3.0346066065776362E-3</v>
      </c>
      <c r="X118" s="10">
        <f t="shared" ref="X118:Y118" ca="1" si="125">+X117</f>
        <v>0</v>
      </c>
      <c r="Y118" s="10">
        <f t="shared" ca="1" si="125"/>
        <v>0</v>
      </c>
      <c r="Z118" t="str">
        <f t="shared" ca="1" si="79"/>
        <v/>
      </c>
      <c r="AA118" t="str">
        <f t="shared" ca="1" si="80"/>
        <v/>
      </c>
      <c r="AB118" s="19" t="str">
        <f t="shared" ca="1" si="81"/>
        <v/>
      </c>
      <c r="AC118" s="19" t="str">
        <f t="shared" ca="1" si="82"/>
        <v/>
      </c>
    </row>
    <row r="119" spans="3:29" x14ac:dyDescent="0.25">
      <c r="C119" s="4">
        <v>112</v>
      </c>
      <c r="D119" s="28">
        <v>42166</v>
      </c>
      <c r="E119" s="30">
        <v>20.053999999999998</v>
      </c>
      <c r="F119" s="30">
        <v>57.839566491960561</v>
      </c>
      <c r="G119" s="30">
        <v>6.769121435551213</v>
      </c>
      <c r="H119" s="30">
        <v>54.410588966865063</v>
      </c>
      <c r="I119" s="8">
        <v>0</v>
      </c>
      <c r="J119" s="31">
        <v>0</v>
      </c>
      <c r="K119" s="31">
        <v>0</v>
      </c>
      <c r="L119" s="31">
        <v>0</v>
      </c>
      <c r="M119" s="31">
        <v>0</v>
      </c>
      <c r="N119" s="31">
        <v>1</v>
      </c>
      <c r="O119" s="31">
        <v>0</v>
      </c>
      <c r="P119" s="31">
        <v>0</v>
      </c>
      <c r="Q119" s="31">
        <v>0</v>
      </c>
      <c r="R119" s="31">
        <v>0</v>
      </c>
      <c r="S119" s="31">
        <v>0</v>
      </c>
      <c r="T119" s="21" t="str" cm="1">
        <f t="array" aca="1" ref="T119" ca="1">+fair_value_gap(OFFSET(S118,0,0,-1*$I$5,-1*$Z$1),OFFSET(E118,0,0,-1*$I$5,1),F119:S119,0)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19" s="7" t="str" cm="1">
        <f t="array" aca="1" ref="U119" ca="1">z_score_diff(OFFSET(T119,0,0,$I$5*-1,1),OFFSET(E119,0,0,$I$5*-1,1))</f>
        <v/>
      </c>
      <c r="V119" s="7" t="str">
        <f t="shared" ca="1" si="77"/>
        <v/>
      </c>
      <c r="W119" s="14">
        <f t="shared" ca="1" si="72"/>
        <v>3.3394458596610985E-2</v>
      </c>
      <c r="X119" s="10">
        <f t="shared" ref="X119:Y119" ca="1" si="126">+X118</f>
        <v>0</v>
      </c>
      <c r="Y119" s="10">
        <f t="shared" ca="1" si="126"/>
        <v>0</v>
      </c>
      <c r="Z119" t="str">
        <f t="shared" ca="1" si="79"/>
        <v/>
      </c>
      <c r="AA119" t="str">
        <f t="shared" ca="1" si="80"/>
        <v/>
      </c>
      <c r="AB119" s="19" t="str">
        <f t="shared" ca="1" si="81"/>
        <v/>
      </c>
      <c r="AC119" s="19" t="str">
        <f t="shared" ca="1" si="82"/>
        <v/>
      </c>
    </row>
    <row r="120" spans="3:29" x14ac:dyDescent="0.25">
      <c r="C120" s="4">
        <v>113</v>
      </c>
      <c r="D120" s="28">
        <v>42167</v>
      </c>
      <c r="E120" s="30">
        <v>20.045000000000002</v>
      </c>
      <c r="F120" s="30">
        <v>56.682641107561231</v>
      </c>
      <c r="G120" s="30">
        <v>6.758075967341143</v>
      </c>
      <c r="H120" s="30">
        <v>54.357472488462903</v>
      </c>
      <c r="I120" s="8">
        <v>0</v>
      </c>
      <c r="J120" s="31">
        <v>0</v>
      </c>
      <c r="K120" s="31">
        <v>0</v>
      </c>
      <c r="L120" s="31">
        <v>0</v>
      </c>
      <c r="M120" s="31">
        <v>0</v>
      </c>
      <c r="N120" s="31">
        <v>1</v>
      </c>
      <c r="O120" s="31">
        <v>0</v>
      </c>
      <c r="P120" s="31">
        <v>0</v>
      </c>
      <c r="Q120" s="31">
        <v>0</v>
      </c>
      <c r="R120" s="31">
        <v>0</v>
      </c>
      <c r="S120" s="31">
        <v>0</v>
      </c>
      <c r="T120" s="21" t="str" cm="1">
        <f t="array" aca="1" ref="T120" ca="1">+fair_value_gap(OFFSET(S119,0,0,-1*$I$5,-1*$Z$1),OFFSET(E119,0,0,-1*$I$5,1),F120:S120,0)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20" s="7" t="str" cm="1">
        <f t="array" aca="1" ref="U120" ca="1">z_score_diff(OFFSET(T120,0,0,$I$5*-1,1),OFFSET(E120,0,0,$I$5*-1,1))</f>
        <v/>
      </c>
      <c r="V120" s="7" t="str">
        <f t="shared" ca="1" si="77"/>
        <v/>
      </c>
      <c r="W120" s="14">
        <f t="shared" ca="1" si="72"/>
        <v>4.042880173995686E-2</v>
      </c>
      <c r="X120" s="10">
        <f t="shared" ref="X120:Y120" ca="1" si="127">+X119</f>
        <v>0</v>
      </c>
      <c r="Y120" s="10">
        <f t="shared" ca="1" si="127"/>
        <v>0</v>
      </c>
      <c r="Z120" t="str">
        <f t="shared" ca="1" si="79"/>
        <v/>
      </c>
      <c r="AA120" t="str">
        <f t="shared" ca="1" si="80"/>
        <v/>
      </c>
      <c r="AB120" s="19" t="str">
        <f t="shared" ca="1" si="81"/>
        <v/>
      </c>
      <c r="AC120" s="19" t="str">
        <f t="shared" ca="1" si="82"/>
        <v/>
      </c>
    </row>
    <row r="121" spans="3:29" x14ac:dyDescent="0.25">
      <c r="C121" s="4">
        <v>114</v>
      </c>
      <c r="D121" s="28">
        <v>42170</v>
      </c>
      <c r="E121" s="30">
        <v>20.042999999999999</v>
      </c>
      <c r="F121" s="30">
        <v>55.49056102100505</v>
      </c>
      <c r="G121" s="30">
        <v>6.7490915536648055</v>
      </c>
      <c r="H121" s="30">
        <v>54.595409022423112</v>
      </c>
      <c r="I121" s="8">
        <v>0</v>
      </c>
      <c r="J121" s="31">
        <v>0</v>
      </c>
      <c r="K121" s="31">
        <v>0</v>
      </c>
      <c r="L121" s="31">
        <v>0</v>
      </c>
      <c r="M121" s="31">
        <v>0</v>
      </c>
      <c r="N121" s="31">
        <v>1</v>
      </c>
      <c r="O121" s="31">
        <v>0</v>
      </c>
      <c r="P121" s="31">
        <v>0</v>
      </c>
      <c r="Q121" s="31">
        <v>0</v>
      </c>
      <c r="R121" s="31">
        <v>0</v>
      </c>
      <c r="S121" s="31">
        <v>0</v>
      </c>
      <c r="T121" s="21" t="str" cm="1">
        <f t="array" aca="1" ref="T121" ca="1">+fair_value_gap(OFFSET(S120,0,0,-1*$I$5,-1*$Z$1),OFFSET(E120,0,0,-1*$I$5,1),F121:S121,0)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21" s="7" t="str" cm="1">
        <f t="array" aca="1" ref="U121" ca="1">z_score_diff(OFFSET(T121,0,0,$I$5*-1,1),OFFSET(E121,0,0,$I$5*-1,1))</f>
        <v/>
      </c>
      <c r="V121" s="7" t="str">
        <f t="shared" ca="1" si="77"/>
        <v/>
      </c>
      <c r="W121" s="14">
        <f t="shared" ca="1" si="72"/>
        <v>4.5689637356701111E-2</v>
      </c>
      <c r="X121" s="10">
        <f t="shared" ref="X121:Y121" ca="1" si="128">+X120</f>
        <v>0</v>
      </c>
      <c r="Y121" s="10">
        <f t="shared" ca="1" si="128"/>
        <v>0</v>
      </c>
      <c r="Z121" t="str">
        <f t="shared" ca="1" si="79"/>
        <v/>
      </c>
      <c r="AA121" t="str">
        <f t="shared" ca="1" si="80"/>
        <v/>
      </c>
      <c r="AB121" s="19" t="str">
        <f t="shared" ca="1" si="81"/>
        <v/>
      </c>
      <c r="AC121" s="19" t="str">
        <f t="shared" ca="1" si="82"/>
        <v/>
      </c>
    </row>
    <row r="122" spans="3:29" x14ac:dyDescent="0.25">
      <c r="C122" s="4">
        <v>115</v>
      </c>
      <c r="D122" s="28">
        <v>42171</v>
      </c>
      <c r="E122" s="30">
        <v>20.213999999999999</v>
      </c>
      <c r="F122" s="30">
        <v>56.642361728614617</v>
      </c>
      <c r="G122" s="30">
        <v>6.4022763649297527</v>
      </c>
      <c r="H122" s="30">
        <v>54.77503112217677</v>
      </c>
      <c r="I122" s="8">
        <v>0</v>
      </c>
      <c r="J122" s="31">
        <v>0</v>
      </c>
      <c r="K122" s="31">
        <v>0</v>
      </c>
      <c r="L122" s="31">
        <v>0</v>
      </c>
      <c r="M122" s="31">
        <v>0</v>
      </c>
      <c r="N122" s="31">
        <v>1</v>
      </c>
      <c r="O122" s="31">
        <v>0</v>
      </c>
      <c r="P122" s="31">
        <v>0</v>
      </c>
      <c r="Q122" s="31">
        <v>0</v>
      </c>
      <c r="R122" s="31">
        <v>0</v>
      </c>
      <c r="S122" s="31">
        <v>0</v>
      </c>
      <c r="T122" s="21" t="str" cm="1">
        <f t="array" aca="1" ref="T122" ca="1">+fair_value_gap(OFFSET(S121,0,0,-1*$I$5,-1*$Z$1),OFFSET(E121,0,0,-1*$I$5,1),F122:S122,0)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22" s="7" t="str" cm="1">
        <f t="array" aca="1" ref="U122" ca="1">z_score_diff(OFFSET(T122,0,0,$I$5*-1,1),OFFSET(E122,0,0,$I$5*-1,1))</f>
        <v/>
      </c>
      <c r="V122" s="7" t="str">
        <f t="shared" ca="1" si="77"/>
        <v/>
      </c>
      <c r="W122" s="14">
        <f t="shared" ca="1" si="72"/>
        <v>3.0306826230474187E-2</v>
      </c>
      <c r="X122" s="10">
        <f t="shared" ref="X122:Y122" ca="1" si="129">+X121</f>
        <v>0</v>
      </c>
      <c r="Y122" s="10">
        <f t="shared" ca="1" si="129"/>
        <v>0</v>
      </c>
      <c r="Z122" t="str">
        <f t="shared" ca="1" si="79"/>
        <v/>
      </c>
      <c r="AA122" t="str">
        <f t="shared" ca="1" si="80"/>
        <v/>
      </c>
      <c r="AB122" s="19" t="str">
        <f t="shared" ca="1" si="81"/>
        <v/>
      </c>
      <c r="AC122" s="19" t="str">
        <f t="shared" ca="1" si="82"/>
        <v/>
      </c>
    </row>
    <row r="123" spans="3:29" x14ac:dyDescent="0.25">
      <c r="C123" s="4">
        <v>116</v>
      </c>
      <c r="D123" s="28">
        <v>42172</v>
      </c>
      <c r="E123" s="30">
        <v>20.077000000000002</v>
      </c>
      <c r="F123" s="30">
        <v>56.347595941773271</v>
      </c>
      <c r="G123" s="30">
        <v>6.3520070577856202</v>
      </c>
      <c r="H123" s="30">
        <v>54.212615791795329</v>
      </c>
      <c r="I123" s="8">
        <v>0</v>
      </c>
      <c r="J123" s="31">
        <v>0</v>
      </c>
      <c r="K123" s="31">
        <v>0</v>
      </c>
      <c r="L123" s="31">
        <v>0</v>
      </c>
      <c r="M123" s="31">
        <v>0</v>
      </c>
      <c r="N123" s="31">
        <v>1</v>
      </c>
      <c r="O123" s="31">
        <v>0</v>
      </c>
      <c r="P123" s="31">
        <v>0</v>
      </c>
      <c r="Q123" s="31">
        <v>0</v>
      </c>
      <c r="R123" s="31">
        <v>0</v>
      </c>
      <c r="S123" s="31">
        <v>0</v>
      </c>
      <c r="T123" s="21" t="str" cm="1">
        <f t="array" aca="1" ref="T123" ca="1">+fair_value_gap(OFFSET(S122,0,0,-1*$I$5,-1*$Z$1),OFFSET(E122,0,0,-1*$I$5,1),F123:S123,0)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23" s="7" t="str" cm="1">
        <f t="array" aca="1" ref="U123" ca="1">z_score_diff(OFFSET(T123,0,0,$I$5*-1,1),OFFSET(E123,0,0,$I$5*-1,1))</f>
        <v/>
      </c>
      <c r="V123" s="7" t="str">
        <f t="shared" ca="1" si="77"/>
        <v/>
      </c>
      <c r="W123" s="14">
        <f t="shared" ca="1" si="72"/>
        <v>4.093953505444281E-2</v>
      </c>
      <c r="X123" s="10">
        <f t="shared" ref="X123:Y123" ca="1" si="130">+X122</f>
        <v>0</v>
      </c>
      <c r="Y123" s="10">
        <f t="shared" ca="1" si="130"/>
        <v>0</v>
      </c>
      <c r="Z123" t="str">
        <f t="shared" ca="1" si="79"/>
        <v/>
      </c>
      <c r="AA123" t="str">
        <f t="shared" ca="1" si="80"/>
        <v/>
      </c>
      <c r="AB123" s="19" t="str">
        <f t="shared" ca="1" si="81"/>
        <v/>
      </c>
      <c r="AC123" s="19" t="str">
        <f t="shared" ca="1" si="82"/>
        <v/>
      </c>
    </row>
    <row r="124" spans="3:29" x14ac:dyDescent="0.25">
      <c r="C124" s="4">
        <v>117</v>
      </c>
      <c r="D124" s="28">
        <v>42173</v>
      </c>
      <c r="E124" s="30">
        <v>20.119</v>
      </c>
      <c r="F124" s="30">
        <v>56.576862123613317</v>
      </c>
      <c r="G124" s="30">
        <v>6.3391442155309043</v>
      </c>
      <c r="H124" s="30">
        <v>54.058813171332986</v>
      </c>
      <c r="I124" s="8">
        <v>0</v>
      </c>
      <c r="J124" s="31">
        <v>0</v>
      </c>
      <c r="K124" s="31">
        <v>0</v>
      </c>
      <c r="L124" s="31">
        <v>0</v>
      </c>
      <c r="M124" s="31">
        <v>0</v>
      </c>
      <c r="N124" s="31">
        <v>1</v>
      </c>
      <c r="O124" s="31">
        <v>0</v>
      </c>
      <c r="P124" s="31">
        <v>0</v>
      </c>
      <c r="Q124" s="31">
        <v>0</v>
      </c>
      <c r="R124" s="31">
        <v>0</v>
      </c>
      <c r="S124" s="31">
        <v>0</v>
      </c>
      <c r="T124" s="21" t="str" cm="1">
        <f t="array" aca="1" ref="T124" ca="1">+fair_value_gap(OFFSET(S123,0,0,-1*$I$5,-1*$Z$1),OFFSET(E123,0,0,-1*$I$5,1),F124:S124,0)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24" s="7" t="str" cm="1">
        <f t="array" aca="1" ref="U124" ca="1">z_score_diff(OFFSET(T124,0,0,$I$5*-1,1),OFFSET(E124,0,0,$I$5*-1,1))</f>
        <v/>
      </c>
      <c r="V124" s="7" t="str">
        <f t="shared" ca="1" si="77"/>
        <v/>
      </c>
      <c r="W124" s="14">
        <f t="shared" ca="1" si="72"/>
        <v>4.6327958007976726E-2</v>
      </c>
      <c r="X124" s="10">
        <f t="shared" ref="X124:Y124" ca="1" si="131">+X123</f>
        <v>0</v>
      </c>
      <c r="Y124" s="10">
        <f t="shared" ca="1" si="131"/>
        <v>0</v>
      </c>
      <c r="Z124" t="str">
        <f t="shared" ca="1" si="79"/>
        <v/>
      </c>
      <c r="AA124" t="str">
        <f t="shared" ca="1" si="80"/>
        <v/>
      </c>
      <c r="AB124" s="19" t="str">
        <f t="shared" ca="1" si="81"/>
        <v/>
      </c>
      <c r="AC124" s="19" t="str">
        <f t="shared" ca="1" si="82"/>
        <v/>
      </c>
    </row>
    <row r="125" spans="3:29" x14ac:dyDescent="0.25">
      <c r="C125" s="4">
        <v>118</v>
      </c>
      <c r="D125" s="28">
        <v>42174</v>
      </c>
      <c r="E125" s="30">
        <v>20.286999999999999</v>
      </c>
      <c r="F125" s="30">
        <v>55.514446793516562</v>
      </c>
      <c r="G125" s="30">
        <v>6.4305849189570123</v>
      </c>
      <c r="H125" s="30">
        <v>54.131430584918959</v>
      </c>
      <c r="I125" s="8">
        <v>0</v>
      </c>
      <c r="J125" s="31">
        <v>0</v>
      </c>
      <c r="K125" s="31">
        <v>0</v>
      </c>
      <c r="L125" s="31">
        <v>0</v>
      </c>
      <c r="M125" s="31">
        <v>0</v>
      </c>
      <c r="N125" s="31">
        <v>1</v>
      </c>
      <c r="O125" s="31">
        <v>0</v>
      </c>
      <c r="P125" s="31">
        <v>0</v>
      </c>
      <c r="Q125" s="31">
        <v>0</v>
      </c>
      <c r="R125" s="31">
        <v>0</v>
      </c>
      <c r="S125" s="31">
        <v>0</v>
      </c>
      <c r="T125" s="21" t="str" cm="1">
        <f t="array" aca="1" ref="T125" ca="1">+fair_value_gap(OFFSET(S124,0,0,-1*$I$5,-1*$Z$1),OFFSET(E124,0,0,-1*$I$5,1),F125:S125,0)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25" s="7" t="str" cm="1">
        <f t="array" aca="1" ref="U125" ca="1">z_score_diff(OFFSET(T125,0,0,$I$5*-1,1),OFFSET(E125,0,0,$I$5*-1,1))</f>
        <v/>
      </c>
      <c r="V125" s="7" t="str">
        <f t="shared" ca="1" si="77"/>
        <v/>
      </c>
      <c r="W125" s="14">
        <f t="shared" ca="1" si="72"/>
        <v>3.1919667579805869E-2</v>
      </c>
      <c r="X125" s="10">
        <f t="shared" ref="X125:Y125" ca="1" si="132">+X124</f>
        <v>0</v>
      </c>
      <c r="Y125" s="10">
        <f t="shared" ca="1" si="132"/>
        <v>0</v>
      </c>
      <c r="Z125" t="str">
        <f t="shared" ca="1" si="79"/>
        <v/>
      </c>
      <c r="AA125" t="str">
        <f t="shared" ca="1" si="80"/>
        <v/>
      </c>
      <c r="AB125" s="19" t="str">
        <f t="shared" ca="1" si="81"/>
        <v/>
      </c>
      <c r="AC125" s="19" t="str">
        <f t="shared" ca="1" si="82"/>
        <v/>
      </c>
    </row>
    <row r="126" spans="3:29" x14ac:dyDescent="0.25">
      <c r="C126" s="4">
        <v>119</v>
      </c>
      <c r="D126" s="28">
        <v>42177</v>
      </c>
      <c r="E126" s="30">
        <v>20.710999999999999</v>
      </c>
      <c r="F126" s="30">
        <v>55.855379188712533</v>
      </c>
      <c r="G126" s="30">
        <v>6.4814814814814818</v>
      </c>
      <c r="H126" s="30">
        <v>54.100529100529108</v>
      </c>
      <c r="I126" s="8">
        <v>0</v>
      </c>
      <c r="J126" s="31">
        <v>0</v>
      </c>
      <c r="K126" s="31">
        <v>0</v>
      </c>
      <c r="L126" s="31">
        <v>0</v>
      </c>
      <c r="M126" s="31">
        <v>0</v>
      </c>
      <c r="N126" s="31">
        <v>1</v>
      </c>
      <c r="O126" s="31">
        <v>0</v>
      </c>
      <c r="P126" s="31">
        <v>0</v>
      </c>
      <c r="Q126" s="31">
        <v>0</v>
      </c>
      <c r="R126" s="31">
        <v>0</v>
      </c>
      <c r="S126" s="31">
        <v>0</v>
      </c>
      <c r="T126" s="21" t="str" cm="1">
        <f t="array" aca="1" ref="T126" ca="1">+fair_value_gap(OFFSET(S125,0,0,-1*$I$5,-1*$Z$1),OFFSET(E125,0,0,-1*$I$5,1),F126:S126,0)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26" s="7" t="str" cm="1">
        <f t="array" aca="1" ref="U126" ca="1">z_score_diff(OFFSET(T126,0,0,$I$5*-1,1),OFFSET(E126,0,0,$I$5*-1,1))</f>
        <v/>
      </c>
      <c r="V126" s="7" t="str">
        <f t="shared" ca="1" si="77"/>
        <v/>
      </c>
      <c r="W126" s="14">
        <f t="shared" ca="1" si="72"/>
        <v>1.3428814337855652E-2</v>
      </c>
      <c r="X126" s="10">
        <f t="shared" ref="X126:Y126" ca="1" si="133">+X125</f>
        <v>0</v>
      </c>
      <c r="Y126" s="10">
        <f t="shared" ca="1" si="133"/>
        <v>0</v>
      </c>
      <c r="Z126" t="str">
        <f t="shared" ca="1" si="79"/>
        <v/>
      </c>
      <c r="AA126" t="str">
        <f t="shared" ca="1" si="80"/>
        <v/>
      </c>
      <c r="AB126" s="19" t="str">
        <f t="shared" ca="1" si="81"/>
        <v/>
      </c>
      <c r="AC126" s="19" t="str">
        <f t="shared" ca="1" si="82"/>
        <v/>
      </c>
    </row>
    <row r="127" spans="3:29" x14ac:dyDescent="0.25">
      <c r="C127" s="4">
        <v>120</v>
      </c>
      <c r="D127" s="28">
        <v>42178</v>
      </c>
      <c r="E127" s="30">
        <v>20.736000000000001</v>
      </c>
      <c r="F127" s="30">
        <v>57.704360282925961</v>
      </c>
      <c r="G127" s="30">
        <v>6.58071447757185</v>
      </c>
      <c r="H127" s="30">
        <v>54.794520547945211</v>
      </c>
      <c r="I127" s="8">
        <v>0</v>
      </c>
      <c r="J127" s="31">
        <v>0</v>
      </c>
      <c r="K127" s="31">
        <v>0</v>
      </c>
      <c r="L127" s="31">
        <v>0</v>
      </c>
      <c r="M127" s="31">
        <v>0</v>
      </c>
      <c r="N127" s="31">
        <v>1</v>
      </c>
      <c r="O127" s="31">
        <v>0</v>
      </c>
      <c r="P127" s="31">
        <v>0</v>
      </c>
      <c r="Q127" s="31">
        <v>0</v>
      </c>
      <c r="R127" s="31">
        <v>0</v>
      </c>
      <c r="S127" s="31">
        <v>0</v>
      </c>
      <c r="T127" s="21" t="str" cm="1">
        <f t="array" aca="1" ref="T127" ca="1">+fair_value_gap(OFFSET(S126,0,0,-1*$I$5,-1*$Z$1),OFFSET(E126,0,0,-1*$I$5,1),F127:S127,0)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27" s="7" t="str" cm="1">
        <f t="array" aca="1" ref="U127" ca="1">z_score_diff(OFFSET(T127,0,0,$I$5*-1,1),OFFSET(E127,0,0,$I$5*-1,1))</f>
        <v/>
      </c>
      <c r="V127" s="7" t="str">
        <f t="shared" ca="1" si="77"/>
        <v/>
      </c>
      <c r="W127" s="14">
        <f t="shared" ca="1" si="72"/>
        <v>6.1538655743782859E-3</v>
      </c>
      <c r="X127" s="10">
        <f t="shared" ref="X127:Y127" ca="1" si="134">+X126</f>
        <v>0</v>
      </c>
      <c r="Y127" s="10">
        <f t="shared" ca="1" si="134"/>
        <v>0</v>
      </c>
      <c r="Z127" t="str">
        <f t="shared" ca="1" si="79"/>
        <v/>
      </c>
      <c r="AA127" t="str">
        <f t="shared" ca="1" si="80"/>
        <v/>
      </c>
      <c r="AB127" s="19" t="str">
        <f t="shared" ca="1" si="81"/>
        <v/>
      </c>
      <c r="AC127" s="19" t="str">
        <f t="shared" ca="1" si="82"/>
        <v/>
      </c>
    </row>
    <row r="128" spans="3:29" x14ac:dyDescent="0.25">
      <c r="C128" s="4">
        <v>121</v>
      </c>
      <c r="D128" s="28">
        <v>42179</v>
      </c>
      <c r="E128" s="30">
        <v>20.631</v>
      </c>
      <c r="F128" s="30">
        <v>56.662204373047743</v>
      </c>
      <c r="G128" s="30">
        <v>6.5595716198125826</v>
      </c>
      <c r="H128" s="30">
        <v>54.529228023203927</v>
      </c>
      <c r="I128" s="8">
        <v>0</v>
      </c>
      <c r="J128" s="31">
        <v>0</v>
      </c>
      <c r="K128" s="31">
        <v>0</v>
      </c>
      <c r="L128" s="31">
        <v>0</v>
      </c>
      <c r="M128" s="31">
        <v>0</v>
      </c>
      <c r="N128" s="31">
        <v>1</v>
      </c>
      <c r="O128" s="31">
        <v>0</v>
      </c>
      <c r="P128" s="31">
        <v>0</v>
      </c>
      <c r="Q128" s="31">
        <v>0</v>
      </c>
      <c r="R128" s="31">
        <v>0</v>
      </c>
      <c r="S128" s="31">
        <v>0</v>
      </c>
      <c r="T128" s="21" t="str" cm="1">
        <f t="array" aca="1" ref="T128" ca="1">+fair_value_gap(OFFSET(S127,0,0,-1*$I$5,-1*$Z$1),OFFSET(E127,0,0,-1*$I$5,1),F128:S128,0)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28" s="7" t="str" cm="1">
        <f t="array" aca="1" ref="U128" ca="1">z_score_diff(OFFSET(T128,0,0,$I$5*-1,1),OFFSET(E128,0,0,$I$5*-1,1))</f>
        <v/>
      </c>
      <c r="V128" s="7" t="str">
        <f t="shared" ca="1" si="77"/>
        <v/>
      </c>
      <c r="W128" s="14">
        <f t="shared" ca="1" si="72"/>
        <v>1.1626218429191309E-3</v>
      </c>
      <c r="X128" s="10">
        <f t="shared" ref="X128:Y128" ca="1" si="135">+X127</f>
        <v>0</v>
      </c>
      <c r="Y128" s="10">
        <f t="shared" ca="1" si="135"/>
        <v>0</v>
      </c>
      <c r="Z128" t="str">
        <f t="shared" ca="1" si="79"/>
        <v/>
      </c>
      <c r="AA128" t="str">
        <f t="shared" ca="1" si="80"/>
        <v/>
      </c>
      <c r="AB128" s="19" t="str">
        <f t="shared" ca="1" si="81"/>
        <v/>
      </c>
      <c r="AC128" s="19" t="str">
        <f t="shared" ca="1" si="82"/>
        <v/>
      </c>
    </row>
    <row r="129" spans="3:29" x14ac:dyDescent="0.25">
      <c r="C129" s="4">
        <v>122</v>
      </c>
      <c r="D129" s="28">
        <v>42180</v>
      </c>
      <c r="E129" s="30">
        <v>20.462</v>
      </c>
      <c r="F129" s="30">
        <v>56.408425562299179</v>
      </c>
      <c r="G129" s="30">
        <v>6.5601570867547299</v>
      </c>
      <c r="H129" s="30">
        <v>54.578721885041055</v>
      </c>
      <c r="I129" s="8">
        <v>0</v>
      </c>
      <c r="J129" s="31">
        <v>0</v>
      </c>
      <c r="K129" s="31">
        <v>0</v>
      </c>
      <c r="L129" s="31">
        <v>0</v>
      </c>
      <c r="M129" s="31">
        <v>0</v>
      </c>
      <c r="N129" s="31">
        <v>1</v>
      </c>
      <c r="O129" s="31">
        <v>0</v>
      </c>
      <c r="P129" s="31">
        <v>0</v>
      </c>
      <c r="Q129" s="31">
        <v>0</v>
      </c>
      <c r="R129" s="31">
        <v>0</v>
      </c>
      <c r="S129" s="31">
        <v>0</v>
      </c>
      <c r="T129" s="21" t="str" cm="1">
        <f t="array" aca="1" ref="T129" ca="1">+fair_value_gap(OFFSET(S128,0,0,-1*$I$5,-1*$Z$1),OFFSET(E128,0,0,-1*$I$5,1),F129:S129,0)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29" s="7" t="str" cm="1">
        <f t="array" aca="1" ref="U129" ca="1">z_score_diff(OFFSET(T129,0,0,$I$5*-1,1),OFFSET(E129,0,0,$I$5*-1,1))</f>
        <v/>
      </c>
      <c r="V129" s="7" t="str">
        <f t="shared" ca="1" si="77"/>
        <v/>
      </c>
      <c r="W129" s="14">
        <f t="shared" ca="1" si="72"/>
        <v>5.507239106385362E-3</v>
      </c>
      <c r="X129" s="10">
        <f t="shared" ref="X129:Y129" ca="1" si="136">+X128</f>
        <v>0</v>
      </c>
      <c r="Y129" s="10">
        <f t="shared" ca="1" si="136"/>
        <v>0</v>
      </c>
      <c r="Z129" t="str">
        <f t="shared" ca="1" si="79"/>
        <v/>
      </c>
      <c r="AA129" t="str">
        <f t="shared" ca="1" si="80"/>
        <v/>
      </c>
      <c r="AB129" s="19" t="str">
        <f t="shared" ca="1" si="81"/>
        <v/>
      </c>
      <c r="AC129" s="19" t="str">
        <f t="shared" ca="1" si="82"/>
        <v/>
      </c>
    </row>
    <row r="130" spans="3:29" x14ac:dyDescent="0.25">
      <c r="C130" s="4">
        <v>123</v>
      </c>
      <c r="D130" s="28">
        <v>42181</v>
      </c>
      <c r="E130" s="30">
        <v>20.446999999999999</v>
      </c>
      <c r="F130" s="30">
        <v>56.664278036546037</v>
      </c>
      <c r="G130" s="30">
        <v>6.5836617699749187</v>
      </c>
      <c r="H130" s="30">
        <v>54.729487638839124</v>
      </c>
      <c r="I130" s="8">
        <v>0</v>
      </c>
      <c r="J130" s="31">
        <v>0</v>
      </c>
      <c r="K130" s="31">
        <v>0</v>
      </c>
      <c r="L130" s="31">
        <v>0</v>
      </c>
      <c r="M130" s="31">
        <v>0</v>
      </c>
      <c r="N130" s="31">
        <v>1</v>
      </c>
      <c r="O130" s="31">
        <v>0</v>
      </c>
      <c r="P130" s="31">
        <v>0</v>
      </c>
      <c r="Q130" s="31">
        <v>0</v>
      </c>
      <c r="R130" s="31">
        <v>0</v>
      </c>
      <c r="S130" s="31">
        <v>0</v>
      </c>
      <c r="T130" s="21" t="str" cm="1">
        <f t="array" aca="1" ref="T130" ca="1">+fair_value_gap(OFFSET(S129,0,0,-1*$I$5,-1*$Z$1),OFFSET(E129,0,0,-1*$I$5,1),F130:S130,0)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30" s="7" t="str" cm="1">
        <f t="array" aca="1" ref="U130" ca="1">z_score_diff(OFFSET(T130,0,0,$I$5*-1,1),OFFSET(E130,0,0,$I$5*-1,1))</f>
        <v/>
      </c>
      <c r="V130" s="7" t="str">
        <f t="shared" ca="1" si="77"/>
        <v/>
      </c>
      <c r="W130" s="14">
        <f t="shared" ca="1" si="72"/>
        <v>9.7809076760413833E-5</v>
      </c>
      <c r="X130" s="10">
        <f t="shared" ref="X130:Y130" ca="1" si="137">+X129</f>
        <v>0</v>
      </c>
      <c r="Y130" s="10">
        <f t="shared" ca="1" si="137"/>
        <v>0</v>
      </c>
      <c r="Z130" t="str">
        <f t="shared" ca="1" si="79"/>
        <v/>
      </c>
      <c r="AA130" t="str">
        <f t="shared" ca="1" si="80"/>
        <v/>
      </c>
      <c r="AB130" s="19" t="str">
        <f t="shared" ca="1" si="81"/>
        <v/>
      </c>
      <c r="AC130" s="19" t="str">
        <f t="shared" ca="1" si="82"/>
        <v/>
      </c>
    </row>
    <row r="131" spans="3:29" x14ac:dyDescent="0.25">
      <c r="C131" s="4">
        <v>124</v>
      </c>
      <c r="D131" s="28">
        <v>42184</v>
      </c>
      <c r="E131" s="30">
        <v>20.398</v>
      </c>
      <c r="F131" s="30">
        <v>55.193591455273697</v>
      </c>
      <c r="G131" s="30">
        <v>6.5865598575878952</v>
      </c>
      <c r="H131" s="30">
        <v>52.870493991989321</v>
      </c>
      <c r="I131" s="8">
        <v>0</v>
      </c>
      <c r="J131" s="31">
        <v>0</v>
      </c>
      <c r="K131" s="31">
        <v>0</v>
      </c>
      <c r="L131" s="31">
        <v>0</v>
      </c>
      <c r="M131" s="31">
        <v>0</v>
      </c>
      <c r="N131" s="31">
        <v>1</v>
      </c>
      <c r="O131" s="31">
        <v>0</v>
      </c>
      <c r="P131" s="31">
        <v>0</v>
      </c>
      <c r="Q131" s="31">
        <v>0</v>
      </c>
      <c r="R131" s="31">
        <v>0</v>
      </c>
      <c r="S131" s="31">
        <v>0</v>
      </c>
      <c r="T131" s="21" t="str" cm="1">
        <f t="array" aca="1" ref="T131" ca="1">+fair_value_gap(OFFSET(S130,0,0,-1*$I$5,-1*$Z$1),OFFSET(E130,0,0,-1*$I$5,1),F131:S131,0)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31" s="7" t="str" cm="1">
        <f t="array" aca="1" ref="U131" ca="1">z_score_diff(OFFSET(T131,0,0,$I$5*-1,1),OFFSET(E131,0,0,$I$5*-1,1))</f>
        <v/>
      </c>
      <c r="V131" s="7" t="str">
        <f t="shared" ca="1" si="77"/>
        <v/>
      </c>
      <c r="W131" s="14">
        <f t="shared" ca="1" si="72"/>
        <v>4.1584169901921608E-3</v>
      </c>
      <c r="X131" s="10">
        <f t="shared" ref="X131:Y131" ca="1" si="138">+X130</f>
        <v>0</v>
      </c>
      <c r="Y131" s="10">
        <f t="shared" ca="1" si="138"/>
        <v>0</v>
      </c>
      <c r="Z131" t="str">
        <f t="shared" ca="1" si="79"/>
        <v/>
      </c>
      <c r="AA131" t="str">
        <f t="shared" ca="1" si="80"/>
        <v/>
      </c>
      <c r="AB131" s="19" t="str">
        <f t="shared" ca="1" si="81"/>
        <v/>
      </c>
      <c r="AC131" s="19" t="str">
        <f t="shared" ca="1" si="82"/>
        <v/>
      </c>
    </row>
    <row r="132" spans="3:29" x14ac:dyDescent="0.25">
      <c r="C132" s="4">
        <v>125</v>
      </c>
      <c r="D132" s="28">
        <v>42185</v>
      </c>
      <c r="E132" s="30">
        <v>20.454000000000001</v>
      </c>
      <c r="F132" s="30">
        <v>57.108217332734625</v>
      </c>
      <c r="G132" s="30">
        <v>6.6457117198024251</v>
      </c>
      <c r="H132" s="30">
        <v>54.153569824876513</v>
      </c>
      <c r="I132" s="8">
        <v>0</v>
      </c>
      <c r="J132" s="31">
        <v>0</v>
      </c>
      <c r="K132" s="31">
        <v>0</v>
      </c>
      <c r="L132" s="31">
        <v>0</v>
      </c>
      <c r="M132" s="31">
        <v>0</v>
      </c>
      <c r="N132" s="31">
        <v>1</v>
      </c>
      <c r="O132" s="31">
        <v>0</v>
      </c>
      <c r="P132" s="31">
        <v>0</v>
      </c>
      <c r="Q132" s="31">
        <v>0</v>
      </c>
      <c r="R132" s="31">
        <v>0</v>
      </c>
      <c r="S132" s="31">
        <v>0</v>
      </c>
      <c r="T132" s="21" t="str" cm="1">
        <f t="array" aca="1" ref="T132" ca="1">+fair_value_gap(OFFSET(S131,0,0,-1*$I$5,-1*$Z$1),OFFSET(E131,0,0,-1*$I$5,1),F132:S132,0)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32" s="7" t="str" cm="1">
        <f t="array" aca="1" ref="U132" ca="1">z_score_diff(OFFSET(T132,0,0,$I$5*-1,1),OFFSET(E132,0,0,$I$5*-1,1))</f>
        <v/>
      </c>
      <c r="V132" s="7" t="str">
        <f t="shared" ca="1" si="77"/>
        <v/>
      </c>
      <c r="W132" s="14">
        <f t="shared" ca="1" si="72"/>
        <v>1.2389926005627029E-2</v>
      </c>
      <c r="X132" s="10">
        <f t="shared" ref="X132:Y132" ca="1" si="139">+X131</f>
        <v>0</v>
      </c>
      <c r="Y132" s="10">
        <f t="shared" ca="1" si="139"/>
        <v>0</v>
      </c>
      <c r="Z132" t="str">
        <f t="shared" ca="1" si="79"/>
        <v/>
      </c>
      <c r="AA132" t="str">
        <f t="shared" ca="1" si="80"/>
        <v/>
      </c>
      <c r="AB132" s="19" t="str">
        <f t="shared" ca="1" si="81"/>
        <v/>
      </c>
      <c r="AC132" s="19" t="str">
        <f t="shared" ca="1" si="82"/>
        <v/>
      </c>
    </row>
    <row r="133" spans="3:29" x14ac:dyDescent="0.25">
      <c r="C133" s="4">
        <v>126</v>
      </c>
      <c r="D133" s="28">
        <v>42186</v>
      </c>
      <c r="E133" s="30">
        <v>20.673999999999999</v>
      </c>
      <c r="F133" s="30">
        <v>56.107491856677527</v>
      </c>
      <c r="G133" s="30">
        <v>6.6956207021353604</v>
      </c>
      <c r="H133" s="30">
        <v>54.017372421281223</v>
      </c>
      <c r="I133" s="8">
        <v>0</v>
      </c>
      <c r="J133" s="31">
        <v>0</v>
      </c>
      <c r="K133" s="31">
        <v>0</v>
      </c>
      <c r="L133" s="31">
        <v>0</v>
      </c>
      <c r="M133" s="31">
        <v>0</v>
      </c>
      <c r="N133" s="31">
        <v>0</v>
      </c>
      <c r="O133" s="31">
        <v>1</v>
      </c>
      <c r="P133" s="31">
        <v>0</v>
      </c>
      <c r="Q133" s="31">
        <v>0</v>
      </c>
      <c r="R133" s="31">
        <v>0</v>
      </c>
      <c r="S133" s="31">
        <v>0</v>
      </c>
      <c r="T133" s="21" t="str" cm="1">
        <f t="array" aca="1" ref="T133" ca="1">+fair_value_gap(OFFSET(S132,0,0,-1*$I$5,-1*$Z$1),OFFSET(E132,0,0,-1*$I$5,1),F133:S133,0)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33" s="7" t="str" cm="1">
        <f t="array" aca="1" ref="U133" ca="1">z_score_diff(OFFSET(T133,0,0,$I$5*-1,1),OFFSET(E133,0,0,$I$5*-1,1))</f>
        <v/>
      </c>
      <c r="V133" s="7" t="str">
        <f t="shared" ca="1" si="77"/>
        <v/>
      </c>
      <c r="W133" s="14">
        <f t="shared" ca="1" si="72"/>
        <v>2.463828875065703E-3</v>
      </c>
      <c r="X133" s="10">
        <f t="shared" ref="X133:Y133" ca="1" si="140">+X132</f>
        <v>0</v>
      </c>
      <c r="Y133" s="10">
        <f t="shared" ca="1" si="140"/>
        <v>0</v>
      </c>
      <c r="Z133" t="str">
        <f t="shared" ca="1" si="79"/>
        <v/>
      </c>
      <c r="AA133" t="str">
        <f t="shared" ca="1" si="80"/>
        <v/>
      </c>
      <c r="AB133" s="19" t="str">
        <f t="shared" ca="1" si="81"/>
        <v/>
      </c>
      <c r="AC133" s="19" t="str">
        <f t="shared" ca="1" si="82"/>
        <v/>
      </c>
    </row>
    <row r="134" spans="3:29" x14ac:dyDescent="0.25">
      <c r="C134" s="4">
        <v>127</v>
      </c>
      <c r="D134" s="28">
        <v>42187</v>
      </c>
      <c r="E134" s="30">
        <v>20.876000000000001</v>
      </c>
      <c r="F134" s="30">
        <v>56.00469187043219</v>
      </c>
      <c r="G134" s="30">
        <v>6.6768925381214475</v>
      </c>
      <c r="H134" s="30">
        <v>53.41514030497158</v>
      </c>
      <c r="I134" s="8">
        <v>0</v>
      </c>
      <c r="J134" s="31">
        <v>0</v>
      </c>
      <c r="K134" s="31">
        <v>0</v>
      </c>
      <c r="L134" s="31">
        <v>0</v>
      </c>
      <c r="M134" s="31">
        <v>0</v>
      </c>
      <c r="N134" s="31">
        <v>0</v>
      </c>
      <c r="O134" s="31">
        <v>1</v>
      </c>
      <c r="P134" s="31">
        <v>0</v>
      </c>
      <c r="Q134" s="31">
        <v>0</v>
      </c>
      <c r="R134" s="31">
        <v>0</v>
      </c>
      <c r="S134" s="31">
        <v>0</v>
      </c>
      <c r="T134" s="21" t="str" cm="1">
        <f t="array" aca="1" ref="T134" ca="1">+fair_value_gap(OFFSET(S133,0,0,-1*$I$5,-1*$Z$1),OFFSET(E133,0,0,-1*$I$5,1),F134:S134,0)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34" s="7" t="str" cm="1">
        <f t="array" aca="1" ref="U134" ca="1">z_score_diff(OFFSET(T134,0,0,$I$5*-1,1),OFFSET(E134,0,0,$I$5*-1,1))</f>
        <v/>
      </c>
      <c r="V134" s="7" t="str">
        <f t="shared" ca="1" si="77"/>
        <v/>
      </c>
      <c r="W134" s="14">
        <f t="shared" ca="1" si="72"/>
        <v>2.8737008675188921E-4</v>
      </c>
      <c r="X134" s="10">
        <f t="shared" ref="X134:Y134" ca="1" si="141">+X133</f>
        <v>0</v>
      </c>
      <c r="Y134" s="10">
        <f t="shared" ca="1" si="141"/>
        <v>0</v>
      </c>
      <c r="Z134" t="str">
        <f t="shared" ca="1" si="79"/>
        <v/>
      </c>
      <c r="AA134" t="str">
        <f t="shared" ca="1" si="80"/>
        <v/>
      </c>
      <c r="AB134" s="19" t="str">
        <f t="shared" ca="1" si="81"/>
        <v/>
      </c>
      <c r="AC134" s="19" t="str">
        <f t="shared" ca="1" si="82"/>
        <v/>
      </c>
    </row>
    <row r="135" spans="3:29" x14ac:dyDescent="0.25">
      <c r="C135" s="4">
        <v>128</v>
      </c>
      <c r="D135" s="28">
        <v>42188</v>
      </c>
      <c r="E135" s="30">
        <v>20.823</v>
      </c>
      <c r="F135" s="30">
        <v>54.28365730741541</v>
      </c>
      <c r="G135" s="30">
        <v>6.6594672426205905</v>
      </c>
      <c r="H135" s="30">
        <v>52.825773938084957</v>
      </c>
      <c r="I135" s="8">
        <v>0</v>
      </c>
      <c r="J135" s="31">
        <v>0</v>
      </c>
      <c r="K135" s="31">
        <v>0</v>
      </c>
      <c r="L135" s="31">
        <v>0</v>
      </c>
      <c r="M135" s="31">
        <v>0</v>
      </c>
      <c r="N135" s="31">
        <v>0</v>
      </c>
      <c r="O135" s="31">
        <v>1</v>
      </c>
      <c r="P135" s="31">
        <v>0</v>
      </c>
      <c r="Q135" s="31">
        <v>0</v>
      </c>
      <c r="R135" s="31">
        <v>0</v>
      </c>
      <c r="S135" s="31">
        <v>0</v>
      </c>
      <c r="T135" s="21" t="str" cm="1">
        <f t="array" aca="1" ref="T135" ca="1">+fair_value_gap(OFFSET(S134,0,0,-1*$I$5,-1*$Z$1),OFFSET(E134,0,0,-1*$I$5,1),F135:S135,0)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35" s="7" t="str" cm="1">
        <f t="array" aca="1" ref="U135" ca="1">z_score_diff(OFFSET(T135,0,0,$I$5*-1,1),OFFSET(E135,0,0,$I$5*-1,1))</f>
        <v/>
      </c>
      <c r="V135" s="7" t="str">
        <f t="shared" ca="1" si="77"/>
        <v/>
      </c>
      <c r="W135" s="14">
        <f t="shared" ref="W135:W198" ca="1" si="142">+LN(OFFSET(E135,$W$3,0,1,1)/E135)</f>
        <v>-1.5145572941267008E-2</v>
      </c>
      <c r="X135" s="10">
        <f t="shared" ref="X135:Y135" ca="1" si="143">+X134</f>
        <v>0</v>
      </c>
      <c r="Y135" s="10">
        <f t="shared" ca="1" si="143"/>
        <v>0</v>
      </c>
      <c r="Z135" t="str">
        <f t="shared" ca="1" si="79"/>
        <v/>
      </c>
      <c r="AA135" t="str">
        <f t="shared" ca="1" si="80"/>
        <v/>
      </c>
      <c r="AB135" s="19" t="str">
        <f t="shared" ca="1" si="81"/>
        <v/>
      </c>
      <c r="AC135" s="19" t="str">
        <f t="shared" ca="1" si="82"/>
        <v/>
      </c>
    </row>
    <row r="136" spans="3:29" x14ac:dyDescent="0.25">
      <c r="C136" s="4">
        <v>129</v>
      </c>
      <c r="D136" s="28">
        <v>42191</v>
      </c>
      <c r="E136" s="30">
        <v>20.721</v>
      </c>
      <c r="F136" s="30">
        <v>51.14427860696518</v>
      </c>
      <c r="G136" s="30">
        <v>6.6938037087290825</v>
      </c>
      <c r="H136" s="30">
        <v>52.464947987336053</v>
      </c>
      <c r="I136" s="8">
        <v>0</v>
      </c>
      <c r="J136" s="31">
        <v>0</v>
      </c>
      <c r="K136" s="31">
        <v>0</v>
      </c>
      <c r="L136" s="31">
        <v>0</v>
      </c>
      <c r="M136" s="31">
        <v>0</v>
      </c>
      <c r="N136" s="31">
        <v>0</v>
      </c>
      <c r="O136" s="31">
        <v>1</v>
      </c>
      <c r="P136" s="31">
        <v>0</v>
      </c>
      <c r="Q136" s="31">
        <v>0</v>
      </c>
      <c r="R136" s="31">
        <v>0</v>
      </c>
      <c r="S136" s="31">
        <v>0</v>
      </c>
      <c r="T136" s="21" t="str" cm="1">
        <f t="array" aca="1" ref="T136" ca="1">+fair_value_gap(OFFSET(S135,0,0,-1*$I$5,-1*$Z$1),OFFSET(E135,0,0,-1*$I$5,1),F136:S136,0)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36" s="7" t="str" cm="1">
        <f t="array" aca="1" ref="U136" ca="1">z_score_diff(OFFSET(T136,0,0,$I$5*-1,1),OFFSET(E136,0,0,$I$5*-1,1))</f>
        <v/>
      </c>
      <c r="V136" s="7" t="str">
        <f t="shared" ca="1" si="77"/>
        <v/>
      </c>
      <c r="W136" s="14">
        <f t="shared" ca="1" si="142"/>
        <v>-1.7673723744797431E-2</v>
      </c>
      <c r="X136" s="10">
        <f t="shared" ref="X136:Y136" ca="1" si="144">+X135</f>
        <v>0</v>
      </c>
      <c r="Y136" s="10">
        <f t="shared" ca="1" si="144"/>
        <v>0</v>
      </c>
      <c r="Z136" t="str">
        <f t="shared" ca="1" si="79"/>
        <v/>
      </c>
      <c r="AA136" t="str">
        <f t="shared" ca="1" si="80"/>
        <v/>
      </c>
      <c r="AB136" s="19" t="str">
        <f t="shared" ca="1" si="81"/>
        <v/>
      </c>
      <c r="AC136" s="19" t="str">
        <f t="shared" ca="1" si="82"/>
        <v/>
      </c>
    </row>
    <row r="137" spans="3:29" x14ac:dyDescent="0.25">
      <c r="C137" s="4">
        <v>130</v>
      </c>
      <c r="D137" s="28">
        <v>42192</v>
      </c>
      <c r="E137" s="30">
        <v>20.666</v>
      </c>
      <c r="F137" s="30">
        <v>51.634877384196187</v>
      </c>
      <c r="G137" s="30">
        <v>6.8119891008174385</v>
      </c>
      <c r="H137" s="30">
        <v>52.270663033605814</v>
      </c>
      <c r="I137" s="8">
        <v>0</v>
      </c>
      <c r="J137" s="31">
        <v>0</v>
      </c>
      <c r="K137" s="31">
        <v>0</v>
      </c>
      <c r="L137" s="31">
        <v>0</v>
      </c>
      <c r="M137" s="31">
        <v>0</v>
      </c>
      <c r="N137" s="31">
        <v>0</v>
      </c>
      <c r="O137" s="31">
        <v>1</v>
      </c>
      <c r="P137" s="31">
        <v>0</v>
      </c>
      <c r="Q137" s="31">
        <v>0</v>
      </c>
      <c r="R137" s="31">
        <v>0</v>
      </c>
      <c r="S137" s="31">
        <v>0</v>
      </c>
      <c r="T137" s="21" t="str" cm="1">
        <f t="array" aca="1" ref="T137" ca="1">+fair_value_gap(OFFSET(S136,0,0,-1*$I$5,-1*$Z$1),OFFSET(E136,0,0,-1*$I$5,1),F137:S137,0)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37" s="7" t="str" cm="1">
        <f t="array" aca="1" ref="U137" ca="1">z_score_diff(OFFSET(T137,0,0,$I$5*-1,1),OFFSET(E137,0,0,$I$5*-1,1))</f>
        <v/>
      </c>
      <c r="V137" s="7" t="str">
        <f t="shared" ca="1" si="77"/>
        <v/>
      </c>
      <c r="W137" s="14">
        <f t="shared" ca="1" si="142"/>
        <v>-1.8066015495182493E-2</v>
      </c>
      <c r="X137" s="10">
        <f t="shared" ref="X137:Y137" ca="1" si="145">+X136</f>
        <v>0</v>
      </c>
      <c r="Y137" s="10">
        <f t="shared" ca="1" si="145"/>
        <v>0</v>
      </c>
      <c r="Z137" t="str">
        <f t="shared" ca="1" si="79"/>
        <v/>
      </c>
      <c r="AA137" t="str">
        <f t="shared" ca="1" si="80"/>
        <v/>
      </c>
      <c r="AB137" s="19" t="str">
        <f t="shared" ca="1" si="81"/>
        <v/>
      </c>
      <c r="AC137" s="19" t="str">
        <f t="shared" ca="1" si="82"/>
        <v/>
      </c>
    </row>
    <row r="138" spans="3:29" x14ac:dyDescent="0.25">
      <c r="C138" s="4">
        <v>131</v>
      </c>
      <c r="D138" s="28">
        <v>42193</v>
      </c>
      <c r="E138" s="30">
        <v>20.462</v>
      </c>
      <c r="F138" s="30">
        <v>51.512415349887135</v>
      </c>
      <c r="G138" s="30">
        <v>6.772009029345373</v>
      </c>
      <c r="H138" s="30">
        <v>52.054176072234768</v>
      </c>
      <c r="I138" s="8">
        <v>0</v>
      </c>
      <c r="J138" s="31">
        <v>0</v>
      </c>
      <c r="K138" s="31">
        <v>0</v>
      </c>
      <c r="L138" s="31">
        <v>0</v>
      </c>
      <c r="M138" s="31">
        <v>0</v>
      </c>
      <c r="N138" s="31">
        <v>0</v>
      </c>
      <c r="O138" s="31">
        <v>1</v>
      </c>
      <c r="P138" s="31">
        <v>0</v>
      </c>
      <c r="Q138" s="31">
        <v>0</v>
      </c>
      <c r="R138" s="31">
        <v>0</v>
      </c>
      <c r="S138" s="31">
        <v>0</v>
      </c>
      <c r="T138" s="21" t="str" cm="1">
        <f t="array" aca="1" ref="T138" ca="1">+fair_value_gap(OFFSET(S137,0,0,-1*$I$5,-1*$Z$1),OFFSET(E137,0,0,-1*$I$5,1),F138:S138,0)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38" s="7" t="str" cm="1">
        <f t="array" aca="1" ref="U138" ca="1">z_score_diff(OFFSET(T138,0,0,$I$5*-1,1),OFFSET(E138,0,0,$I$5*-1,1))</f>
        <v/>
      </c>
      <c r="V138" s="7" t="str">
        <f t="shared" ca="1" si="77"/>
        <v/>
      </c>
      <c r="W138" s="14">
        <f t="shared" ca="1" si="142"/>
        <v>-1.2095137370855101E-2</v>
      </c>
      <c r="X138" s="10">
        <f t="shared" ref="X138:Y138" ca="1" si="146">+X137</f>
        <v>0</v>
      </c>
      <c r="Y138" s="10">
        <f t="shared" ca="1" si="146"/>
        <v>0</v>
      </c>
      <c r="Z138" t="str">
        <f t="shared" ca="1" si="79"/>
        <v/>
      </c>
      <c r="AA138" t="str">
        <f t="shared" ca="1" si="80"/>
        <v/>
      </c>
      <c r="AB138" s="19" t="str">
        <f t="shared" ca="1" si="81"/>
        <v/>
      </c>
      <c r="AC138" s="19" t="str">
        <f t="shared" ca="1" si="82"/>
        <v/>
      </c>
    </row>
    <row r="139" spans="3:29" x14ac:dyDescent="0.25">
      <c r="C139" s="4">
        <v>132</v>
      </c>
      <c r="D139" s="28">
        <v>42194</v>
      </c>
      <c r="E139" s="30">
        <v>20.734999999999999</v>
      </c>
      <c r="F139" s="30">
        <v>53.108010148604571</v>
      </c>
      <c r="G139" s="30">
        <v>6.6872055092424798</v>
      </c>
      <c r="H139" s="30">
        <v>52.283436027546216</v>
      </c>
      <c r="I139" s="8">
        <v>0</v>
      </c>
      <c r="J139" s="31">
        <v>0</v>
      </c>
      <c r="K139" s="31">
        <v>0</v>
      </c>
      <c r="L139" s="31">
        <v>0</v>
      </c>
      <c r="M139" s="31">
        <v>0</v>
      </c>
      <c r="N139" s="31">
        <v>0</v>
      </c>
      <c r="O139" s="31">
        <v>1</v>
      </c>
      <c r="P139" s="31">
        <v>0</v>
      </c>
      <c r="Q139" s="31">
        <v>0</v>
      </c>
      <c r="R139" s="31">
        <v>0</v>
      </c>
      <c r="S139" s="31">
        <v>0</v>
      </c>
      <c r="T139" s="21" t="str" cm="1">
        <f t="array" aca="1" ref="T139" ca="1">+fair_value_gap(OFFSET(S138,0,0,-1*$I$5,-1*$Z$1),OFFSET(E138,0,0,-1*$I$5,1),F139:S139,0)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39" s="7" t="str" cm="1">
        <f t="array" aca="1" ref="U139" ca="1">z_score_diff(OFFSET(T139,0,0,$I$5*-1,1),OFFSET(E139,0,0,$I$5*-1,1))</f>
        <v/>
      </c>
      <c r="V139" s="7" t="str">
        <f t="shared" ref="V139:V202" ca="1" si="147">+IF(ISERROR(AVERAGE(OFFSET(U139,0,0,$V$5*-1,1))),"",AVERAGE(OFFSET(U139,0,0,$V$5*-1,1)))</f>
        <v/>
      </c>
      <c r="W139" s="14">
        <f t="shared" ca="1" si="142"/>
        <v>-2.2335854912017766E-2</v>
      </c>
      <c r="X139" s="10">
        <f t="shared" ref="X139:Y139" ca="1" si="148">+X138</f>
        <v>0</v>
      </c>
      <c r="Y139" s="10">
        <f t="shared" ca="1" si="148"/>
        <v>0</v>
      </c>
      <c r="Z139" t="str">
        <f t="shared" ref="Z139:Z202" ca="1" si="149">+IF(V139="","",IF(V139&lt;X139,1,0))</f>
        <v/>
      </c>
      <c r="AA139" t="str">
        <f t="shared" ref="AA139:AA202" ca="1" si="150">+IF(V139="","",IF(V139&gt;Y139,1,0))</f>
        <v/>
      </c>
      <c r="AB139" s="19" t="str">
        <f t="shared" ref="AB139:AB202" ca="1" si="151">+IF(ISERROR(Z139*W139),"",Z139*W139)</f>
        <v/>
      </c>
      <c r="AC139" s="19" t="str">
        <f t="shared" ref="AC139:AC202" ca="1" si="152">+IF(ISERROR(AA139*W139),"",AA139*W139)</f>
        <v/>
      </c>
    </row>
    <row r="140" spans="3:29" x14ac:dyDescent="0.25">
      <c r="C140" s="4">
        <v>133</v>
      </c>
      <c r="D140" s="28">
        <v>42195</v>
      </c>
      <c r="E140" s="30">
        <v>20.872</v>
      </c>
      <c r="F140" s="30">
        <v>52.61601863465328</v>
      </c>
      <c r="G140" s="30">
        <v>6.6117183300483777</v>
      </c>
      <c r="H140" s="30">
        <v>52.096398494893386</v>
      </c>
      <c r="I140" s="8">
        <v>0</v>
      </c>
      <c r="J140" s="31">
        <v>0</v>
      </c>
      <c r="K140" s="31">
        <v>0</v>
      </c>
      <c r="L140" s="31">
        <v>0</v>
      </c>
      <c r="M140" s="31">
        <v>0</v>
      </c>
      <c r="N140" s="31">
        <v>0</v>
      </c>
      <c r="O140" s="31">
        <v>1</v>
      </c>
      <c r="P140" s="31">
        <v>0</v>
      </c>
      <c r="Q140" s="31">
        <v>0</v>
      </c>
      <c r="R140" s="31">
        <v>0</v>
      </c>
      <c r="S140" s="31">
        <v>0</v>
      </c>
      <c r="T140" s="21" t="str" cm="1">
        <f t="array" aca="1" ref="T140" ca="1">+fair_value_gap(OFFSET(S139,0,0,-1*$I$5,-1*$Z$1),OFFSET(E139,0,0,-1*$I$5,1),F140:S140,0)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40" s="7" t="str" cm="1">
        <f t="array" aca="1" ref="U140" ca="1">z_score_diff(OFFSET(T140,0,0,$I$5*-1,1),OFFSET(E140,0,0,$I$5*-1,1))</f>
        <v/>
      </c>
      <c r="V140" s="7" t="str">
        <f t="shared" ca="1" si="147"/>
        <v/>
      </c>
      <c r="W140" s="14">
        <f t="shared" ca="1" si="142"/>
        <v>-4.1476993704954203E-2</v>
      </c>
      <c r="X140" s="10">
        <f t="shared" ref="X140:Y140" ca="1" si="153">+X139</f>
        <v>0</v>
      </c>
      <c r="Y140" s="10">
        <f t="shared" ca="1" si="153"/>
        <v>0</v>
      </c>
      <c r="Z140" t="str">
        <f t="shared" ca="1" si="149"/>
        <v/>
      </c>
      <c r="AA140" t="str">
        <f t="shared" ca="1" si="150"/>
        <v/>
      </c>
      <c r="AB140" s="19" t="str">
        <f t="shared" ca="1" si="151"/>
        <v/>
      </c>
      <c r="AC140" s="19" t="str">
        <f t="shared" ca="1" si="152"/>
        <v/>
      </c>
    </row>
    <row r="141" spans="3:29" x14ac:dyDescent="0.25">
      <c r="C141" s="4">
        <v>134</v>
      </c>
      <c r="D141" s="28">
        <v>42198</v>
      </c>
      <c r="E141" s="30">
        <v>20.98</v>
      </c>
      <c r="F141" s="30">
        <v>52.581348845664422</v>
      </c>
      <c r="G141" s="30">
        <v>6.7215051808762034</v>
      </c>
      <c r="H141" s="30">
        <v>52.581348845664422</v>
      </c>
      <c r="I141" s="8">
        <v>0</v>
      </c>
      <c r="J141" s="31">
        <v>0</v>
      </c>
      <c r="K141" s="31">
        <v>0</v>
      </c>
      <c r="L141" s="31">
        <v>0</v>
      </c>
      <c r="M141" s="31">
        <v>0</v>
      </c>
      <c r="N141" s="31">
        <v>0</v>
      </c>
      <c r="O141" s="31">
        <v>1</v>
      </c>
      <c r="P141" s="31">
        <v>0</v>
      </c>
      <c r="Q141" s="31">
        <v>0</v>
      </c>
      <c r="R141" s="31">
        <v>0</v>
      </c>
      <c r="S141" s="31">
        <v>0</v>
      </c>
      <c r="T141" s="21" t="str" cm="1">
        <f t="array" aca="1" ref="T141" ca="1">+fair_value_gap(OFFSET(S140,0,0,-1*$I$5,-1*$Z$1),OFFSET(E140,0,0,-1*$I$5,1),F141:S141,0)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41" s="7" t="str" cm="1">
        <f t="array" aca="1" ref="U141" ca="1">z_score_diff(OFFSET(T141,0,0,$I$5*-1,1),OFFSET(E141,0,0,$I$5*-1,1))</f>
        <v/>
      </c>
      <c r="V141" s="7" t="str">
        <f t="shared" ca="1" si="147"/>
        <v/>
      </c>
      <c r="W141" s="14">
        <f t="shared" ca="1" si="142"/>
        <v>-4.8887881050339366E-2</v>
      </c>
      <c r="X141" s="10">
        <f t="shared" ref="X141:Y141" ca="1" si="154">+X140</f>
        <v>0</v>
      </c>
      <c r="Y141" s="10">
        <f t="shared" ca="1" si="154"/>
        <v>0</v>
      </c>
      <c r="Z141" t="str">
        <f t="shared" ca="1" si="149"/>
        <v/>
      </c>
      <c r="AA141" t="str">
        <f t="shared" ca="1" si="150"/>
        <v/>
      </c>
      <c r="AB141" s="19" t="str">
        <f t="shared" ca="1" si="151"/>
        <v/>
      </c>
      <c r="AC141" s="19" t="str">
        <f t="shared" ca="1" si="152"/>
        <v/>
      </c>
    </row>
    <row r="142" spans="3:29" x14ac:dyDescent="0.25">
      <c r="C142" s="4">
        <v>135</v>
      </c>
      <c r="D142" s="28">
        <v>42199</v>
      </c>
      <c r="E142" s="30">
        <v>20.835999999999999</v>
      </c>
      <c r="F142" s="30">
        <v>53.147424834226541</v>
      </c>
      <c r="G142" s="30">
        <v>6.7172313561631389</v>
      </c>
      <c r="H142" s="30">
        <v>52.502497956217638</v>
      </c>
      <c r="I142" s="8">
        <v>0</v>
      </c>
      <c r="J142" s="31">
        <v>0</v>
      </c>
      <c r="K142" s="31">
        <v>0</v>
      </c>
      <c r="L142" s="31">
        <v>0</v>
      </c>
      <c r="M142" s="31">
        <v>0</v>
      </c>
      <c r="N142" s="31">
        <v>0</v>
      </c>
      <c r="O142" s="31">
        <v>1</v>
      </c>
      <c r="P142" s="31">
        <v>0</v>
      </c>
      <c r="Q142" s="31">
        <v>0</v>
      </c>
      <c r="R142" s="31">
        <v>0</v>
      </c>
      <c r="S142" s="31">
        <v>0</v>
      </c>
      <c r="T142" s="21" t="str" cm="1">
        <f t="array" aca="1" ref="T142" ca="1">+fair_value_gap(OFFSET(S141,0,0,-1*$I$5,-1*$Z$1),OFFSET(E141,0,0,-1*$I$5,1),F142:S142,0)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42" s="7" t="str" cm="1">
        <f t="array" aca="1" ref="U142" ca="1">z_score_diff(OFFSET(T142,0,0,$I$5*-1,1),OFFSET(E142,0,0,$I$5*-1,1))</f>
        <v/>
      </c>
      <c r="V142" s="7" t="str">
        <f t="shared" ca="1" si="147"/>
        <v/>
      </c>
      <c r="W142" s="14">
        <f t="shared" ca="1" si="142"/>
        <v>-4.2501188821690454E-2</v>
      </c>
      <c r="X142" s="10">
        <f t="shared" ref="X142:Y142" ca="1" si="155">+X141</f>
        <v>0</v>
      </c>
      <c r="Y142" s="10">
        <f t="shared" ca="1" si="155"/>
        <v>0</v>
      </c>
      <c r="Z142" t="str">
        <f t="shared" ca="1" si="149"/>
        <v/>
      </c>
      <c r="AA142" t="str">
        <f t="shared" ca="1" si="150"/>
        <v/>
      </c>
      <c r="AB142" s="19" t="str">
        <f t="shared" ca="1" si="151"/>
        <v/>
      </c>
      <c r="AC142" s="19" t="str">
        <f t="shared" ca="1" si="152"/>
        <v/>
      </c>
    </row>
    <row r="143" spans="3:29" x14ac:dyDescent="0.25">
      <c r="C143" s="4">
        <v>136</v>
      </c>
      <c r="D143" s="28">
        <v>42200</v>
      </c>
      <c r="E143" s="30">
        <v>20.916</v>
      </c>
      <c r="F143" s="30">
        <v>52.114734630492372</v>
      </c>
      <c r="G143" s="30">
        <v>6.7552754179227179</v>
      </c>
      <c r="H143" s="30">
        <v>52.617155385036995</v>
      </c>
      <c r="I143" s="8">
        <v>0</v>
      </c>
      <c r="J143" s="31">
        <v>0</v>
      </c>
      <c r="K143" s="31">
        <v>0</v>
      </c>
      <c r="L143" s="31">
        <v>0</v>
      </c>
      <c r="M143" s="31">
        <v>0</v>
      </c>
      <c r="N143" s="31">
        <v>0</v>
      </c>
      <c r="O143" s="31">
        <v>1</v>
      </c>
      <c r="P143" s="31">
        <v>0</v>
      </c>
      <c r="Q143" s="31">
        <v>0</v>
      </c>
      <c r="R143" s="31">
        <v>0</v>
      </c>
      <c r="S143" s="31">
        <v>0</v>
      </c>
      <c r="T143" s="21" t="str" cm="1">
        <f t="array" aca="1" ref="T143" ca="1">+fair_value_gap(OFFSET(S142,0,0,-1*$I$5,-1*$Z$1),OFFSET(E142,0,0,-1*$I$5,1),F143:S143,0)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43" s="7" t="str" cm="1">
        <f t="array" aca="1" ref="U143" ca="1">z_score_diff(OFFSET(T143,0,0,$I$5*-1,1),OFFSET(E143,0,0,$I$5*-1,1))</f>
        <v/>
      </c>
      <c r="V143" s="7" t="str">
        <f t="shared" ca="1" si="147"/>
        <v/>
      </c>
      <c r="W143" s="14">
        <f t="shared" ca="1" si="142"/>
        <v>-6.575044920808952E-2</v>
      </c>
      <c r="X143" s="10">
        <f t="shared" ref="X143:Y143" ca="1" si="156">+X142</f>
        <v>0</v>
      </c>
      <c r="Y143" s="10">
        <f t="shared" ca="1" si="156"/>
        <v>0</v>
      </c>
      <c r="Z143" t="str">
        <f t="shared" ca="1" si="149"/>
        <v/>
      </c>
      <c r="AA143" t="str">
        <f t="shared" ca="1" si="150"/>
        <v/>
      </c>
      <c r="AB143" s="19" t="str">
        <f t="shared" ca="1" si="151"/>
        <v/>
      </c>
      <c r="AC143" s="19" t="str">
        <f t="shared" ca="1" si="152"/>
        <v/>
      </c>
    </row>
    <row r="144" spans="3:29" x14ac:dyDescent="0.25">
      <c r="C144" s="4">
        <v>137</v>
      </c>
      <c r="D144" s="28">
        <v>42201</v>
      </c>
      <c r="E144" s="30">
        <v>21.073</v>
      </c>
      <c r="F144" s="30">
        <v>52.887621850285086</v>
      </c>
      <c r="G144" s="30">
        <v>7.1960640058855994</v>
      </c>
      <c r="H144" s="30">
        <v>53.016369321316908</v>
      </c>
      <c r="I144" s="8">
        <v>0</v>
      </c>
      <c r="J144" s="31">
        <v>0</v>
      </c>
      <c r="K144" s="31">
        <v>0</v>
      </c>
      <c r="L144" s="31">
        <v>0</v>
      </c>
      <c r="M144" s="31">
        <v>0</v>
      </c>
      <c r="N144" s="31">
        <v>0</v>
      </c>
      <c r="O144" s="31">
        <v>1</v>
      </c>
      <c r="P144" s="31">
        <v>0</v>
      </c>
      <c r="Q144" s="31">
        <v>0</v>
      </c>
      <c r="R144" s="31">
        <v>0</v>
      </c>
      <c r="S144" s="31">
        <v>0</v>
      </c>
      <c r="T144" s="21" t="str" cm="1">
        <f t="array" aca="1" ref="T144" ca="1">+fair_value_gap(OFFSET(S143,0,0,-1*$I$5,-1*$Z$1),OFFSET(E143,0,0,-1*$I$5,1),F144:S144,0)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44" s="7" t="str" cm="1">
        <f t="array" aca="1" ref="U144" ca="1">z_score_diff(OFFSET(T144,0,0,$I$5*-1,1),OFFSET(E144,0,0,$I$5*-1,1))</f>
        <v/>
      </c>
      <c r="V144" s="7" t="str">
        <f t="shared" ca="1" si="147"/>
        <v/>
      </c>
      <c r="W144" s="14">
        <f t="shared" ca="1" si="142"/>
        <v>-7.9323246210773857E-2</v>
      </c>
      <c r="X144" s="10">
        <f t="shared" ref="X144:Y144" ca="1" si="157">+X143</f>
        <v>0</v>
      </c>
      <c r="Y144" s="10">
        <f t="shared" ca="1" si="157"/>
        <v>0</v>
      </c>
      <c r="Z144" t="str">
        <f t="shared" ca="1" si="149"/>
        <v/>
      </c>
      <c r="AA144" t="str">
        <f t="shared" ca="1" si="150"/>
        <v/>
      </c>
      <c r="AB144" s="19" t="str">
        <f t="shared" ca="1" si="151"/>
        <v/>
      </c>
      <c r="AC144" s="19" t="str">
        <f t="shared" ca="1" si="152"/>
        <v/>
      </c>
    </row>
    <row r="145" spans="3:29" x14ac:dyDescent="0.25">
      <c r="C145" s="4">
        <v>138</v>
      </c>
      <c r="D145" s="28">
        <v>42202</v>
      </c>
      <c r="E145" s="30">
        <v>20.945</v>
      </c>
      <c r="F145" s="30">
        <v>52.733653490949393</v>
      </c>
      <c r="G145" s="30">
        <v>7.2266346509050612</v>
      </c>
      <c r="H145" s="30">
        <v>53.287772441817516</v>
      </c>
      <c r="I145" s="8">
        <v>0</v>
      </c>
      <c r="J145" s="31">
        <v>0</v>
      </c>
      <c r="K145" s="31">
        <v>0</v>
      </c>
      <c r="L145" s="31">
        <v>0</v>
      </c>
      <c r="M145" s="31">
        <v>0</v>
      </c>
      <c r="N145" s="31">
        <v>0</v>
      </c>
      <c r="O145" s="31">
        <v>1</v>
      </c>
      <c r="P145" s="31">
        <v>0</v>
      </c>
      <c r="Q145" s="31">
        <v>0</v>
      </c>
      <c r="R145" s="31">
        <v>0</v>
      </c>
      <c r="S145" s="31">
        <v>0</v>
      </c>
      <c r="T145" s="21" t="str" cm="1">
        <f t="array" aca="1" ref="T145" ca="1">+fair_value_gap(OFFSET(S144,0,0,-1*$I$5,-1*$Z$1),OFFSET(E144,0,0,-1*$I$5,1),F145:S145,0)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45" s="7" t="str" cm="1">
        <f t="array" aca="1" ref="U145" ca="1">z_score_diff(OFFSET(T145,0,0,$I$5*-1,1),OFFSET(E145,0,0,$I$5*-1,1))</f>
        <v/>
      </c>
      <c r="V145" s="7" t="str">
        <f t="shared" ca="1" si="147"/>
        <v/>
      </c>
      <c r="W145" s="14">
        <f t="shared" ca="1" si="142"/>
        <v>-7.3847249951749586E-2</v>
      </c>
      <c r="X145" s="10">
        <f t="shared" ref="X145:Y145" ca="1" si="158">+X144</f>
        <v>0</v>
      </c>
      <c r="Y145" s="10">
        <f t="shared" ca="1" si="158"/>
        <v>0</v>
      </c>
      <c r="Z145" t="str">
        <f t="shared" ca="1" si="149"/>
        <v/>
      </c>
      <c r="AA145" t="str">
        <f t="shared" ca="1" si="150"/>
        <v/>
      </c>
      <c r="AB145" s="19" t="str">
        <f t="shared" ca="1" si="151"/>
        <v/>
      </c>
      <c r="AC145" s="19" t="str">
        <f t="shared" ca="1" si="152"/>
        <v/>
      </c>
    </row>
    <row r="146" spans="3:29" x14ac:dyDescent="0.25">
      <c r="C146" s="4">
        <v>139</v>
      </c>
      <c r="D146" s="28">
        <v>42205</v>
      </c>
      <c r="E146" s="30">
        <v>20.991</v>
      </c>
      <c r="F146" s="30">
        <v>52.33256351039261</v>
      </c>
      <c r="G146" s="30">
        <v>7.2286374133949192</v>
      </c>
      <c r="H146" s="30">
        <v>53.25635103926097</v>
      </c>
      <c r="I146" s="8">
        <v>0</v>
      </c>
      <c r="J146" s="31">
        <v>0</v>
      </c>
      <c r="K146" s="31">
        <v>0</v>
      </c>
      <c r="L146" s="31">
        <v>0</v>
      </c>
      <c r="M146" s="31">
        <v>0</v>
      </c>
      <c r="N146" s="31">
        <v>0</v>
      </c>
      <c r="O146" s="31">
        <v>1</v>
      </c>
      <c r="P146" s="31">
        <v>0</v>
      </c>
      <c r="Q146" s="31">
        <v>0</v>
      </c>
      <c r="R146" s="31">
        <v>0</v>
      </c>
      <c r="S146" s="31">
        <v>0</v>
      </c>
      <c r="T146" s="21" t="str" cm="1">
        <f t="array" aca="1" ref="T146" ca="1">+fair_value_gap(OFFSET(S145,0,0,-1*$I$5,-1*$Z$1),OFFSET(E145,0,0,-1*$I$5,1),F146:S146,0)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46" s="7" t="str" cm="1">
        <f t="array" aca="1" ref="U146" ca="1">z_score_diff(OFFSET(T146,0,0,$I$5*-1,1),OFFSET(E146,0,0,$I$5*-1,1))</f>
        <v/>
      </c>
      <c r="V146" s="7" t="str">
        <f t="shared" ca="1" si="147"/>
        <v/>
      </c>
      <c r="W146" s="14">
        <f t="shared" ca="1" si="142"/>
        <v>-8.3108237207713237E-2</v>
      </c>
      <c r="X146" s="10">
        <f t="shared" ref="X146:Y146" ca="1" si="159">+X145</f>
        <v>0</v>
      </c>
      <c r="Y146" s="10">
        <f t="shared" ca="1" si="159"/>
        <v>0</v>
      </c>
      <c r="Z146" t="str">
        <f t="shared" ca="1" si="149"/>
        <v/>
      </c>
      <c r="AA146" t="str">
        <f t="shared" ca="1" si="150"/>
        <v/>
      </c>
      <c r="AB146" s="19" t="str">
        <f t="shared" ca="1" si="151"/>
        <v/>
      </c>
      <c r="AC146" s="19" t="str">
        <f t="shared" ca="1" si="152"/>
        <v/>
      </c>
    </row>
    <row r="147" spans="3:29" x14ac:dyDescent="0.25">
      <c r="C147" s="4">
        <v>140</v>
      </c>
      <c r="D147" s="28">
        <v>42206</v>
      </c>
      <c r="E147" s="30">
        <v>20.864000000000001</v>
      </c>
      <c r="F147" s="30">
        <v>52.15801024140454</v>
      </c>
      <c r="G147" s="30">
        <v>7.1552670080468186</v>
      </c>
      <c r="H147" s="30">
        <v>52.715801024140454</v>
      </c>
      <c r="I147" s="8">
        <v>0</v>
      </c>
      <c r="J147" s="31">
        <v>0</v>
      </c>
      <c r="K147" s="31">
        <v>0</v>
      </c>
      <c r="L147" s="31">
        <v>0</v>
      </c>
      <c r="M147" s="31">
        <v>0</v>
      </c>
      <c r="N147" s="31">
        <v>0</v>
      </c>
      <c r="O147" s="31">
        <v>1</v>
      </c>
      <c r="P147" s="31">
        <v>0</v>
      </c>
      <c r="Q147" s="31">
        <v>0</v>
      </c>
      <c r="R147" s="31">
        <v>0</v>
      </c>
      <c r="S147" s="31">
        <v>0</v>
      </c>
      <c r="T147" s="21" t="str" cm="1">
        <f t="array" aca="1" ref="T147" ca="1">+fair_value_gap(OFFSET(S146,0,0,-1*$I$5,-1*$Z$1),OFFSET(E146,0,0,-1*$I$5,1),F147:S147,0)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47" s="7" t="str" cm="1">
        <f t="array" aca="1" ref="U147" ca="1">z_score_diff(OFFSET(T147,0,0,$I$5*-1,1),OFFSET(E147,0,0,$I$5*-1,1))</f>
        <v/>
      </c>
      <c r="V147" s="7" t="str">
        <f t="shared" ca="1" si="147"/>
        <v/>
      </c>
      <c r="W147" s="14">
        <f t="shared" ca="1" si="142"/>
        <v>-7.3113009530138717E-2</v>
      </c>
      <c r="X147" s="10">
        <f t="shared" ref="X147:Y147" ca="1" si="160">+X146</f>
        <v>0</v>
      </c>
      <c r="Y147" s="10">
        <f t="shared" ca="1" si="160"/>
        <v>0</v>
      </c>
      <c r="Z147" t="str">
        <f t="shared" ca="1" si="149"/>
        <v/>
      </c>
      <c r="AA147" t="str">
        <f t="shared" ca="1" si="150"/>
        <v/>
      </c>
      <c r="AB147" s="19" t="str">
        <f t="shared" ca="1" si="151"/>
        <v/>
      </c>
      <c r="AC147" s="19" t="str">
        <f t="shared" ca="1" si="152"/>
        <v/>
      </c>
    </row>
    <row r="148" spans="3:29" x14ac:dyDescent="0.25">
      <c r="C148" s="4">
        <v>141</v>
      </c>
      <c r="D148" s="28">
        <v>42207</v>
      </c>
      <c r="E148" s="30">
        <v>20.655000000000001</v>
      </c>
      <c r="F148" s="30">
        <v>51.33997987743529</v>
      </c>
      <c r="G148" s="30">
        <v>7.1572304033659568</v>
      </c>
      <c r="H148" s="30">
        <v>52.638799963413518</v>
      </c>
      <c r="I148" s="8">
        <v>0</v>
      </c>
      <c r="J148" s="31">
        <v>0</v>
      </c>
      <c r="K148" s="31">
        <v>0</v>
      </c>
      <c r="L148" s="31">
        <v>0</v>
      </c>
      <c r="M148" s="31">
        <v>0</v>
      </c>
      <c r="N148" s="31">
        <v>0</v>
      </c>
      <c r="O148" s="31">
        <v>1</v>
      </c>
      <c r="P148" s="31">
        <v>0</v>
      </c>
      <c r="Q148" s="31">
        <v>0</v>
      </c>
      <c r="R148" s="31">
        <v>0</v>
      </c>
      <c r="S148" s="31">
        <v>0</v>
      </c>
      <c r="T148" s="21" t="str" cm="1">
        <f t="array" aca="1" ref="T148" ca="1">+fair_value_gap(OFFSET(S147,0,0,-1*$I$5,-1*$Z$1),OFFSET(E147,0,0,-1*$I$5,1),F148:S148,0)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48" s="7" t="str" cm="1">
        <f t="array" aca="1" ref="U148" ca="1">z_score_diff(OFFSET(T148,0,0,$I$5*-1,1),OFFSET(E148,0,0,$I$5*-1,1))</f>
        <v/>
      </c>
      <c r="V148" s="7" t="str">
        <f t="shared" ca="1" si="147"/>
        <v/>
      </c>
      <c r="W148" s="14">
        <f t="shared" ca="1" si="142"/>
        <v>-7.2838830180034009E-2</v>
      </c>
      <c r="X148" s="10">
        <f t="shared" ref="X148:Y148" ca="1" si="161">+X147</f>
        <v>0</v>
      </c>
      <c r="Y148" s="10">
        <f t="shared" ca="1" si="161"/>
        <v>0</v>
      </c>
      <c r="Z148" t="str">
        <f t="shared" ca="1" si="149"/>
        <v/>
      </c>
      <c r="AA148" t="str">
        <f t="shared" ca="1" si="150"/>
        <v/>
      </c>
      <c r="AB148" s="19" t="str">
        <f t="shared" ca="1" si="151"/>
        <v/>
      </c>
      <c r="AC148" s="19" t="str">
        <f t="shared" ca="1" si="152"/>
        <v/>
      </c>
    </row>
    <row r="149" spans="3:29" x14ac:dyDescent="0.25">
      <c r="C149" s="4">
        <v>142</v>
      </c>
      <c r="D149" s="28">
        <v>42208</v>
      </c>
      <c r="E149" s="30">
        <v>20.574999999999999</v>
      </c>
      <c r="F149" s="30">
        <v>50.332392313996905</v>
      </c>
      <c r="G149" s="30">
        <v>7.1259448137692374</v>
      </c>
      <c r="H149" s="30">
        <v>52.272106365540473</v>
      </c>
      <c r="I149" s="8">
        <v>0</v>
      </c>
      <c r="J149" s="31">
        <v>0</v>
      </c>
      <c r="K149" s="31">
        <v>0</v>
      </c>
      <c r="L149" s="31">
        <v>0</v>
      </c>
      <c r="M149" s="31">
        <v>0</v>
      </c>
      <c r="N149" s="31">
        <v>0</v>
      </c>
      <c r="O149" s="31">
        <v>1</v>
      </c>
      <c r="P149" s="31">
        <v>0</v>
      </c>
      <c r="Q149" s="31">
        <v>0</v>
      </c>
      <c r="R149" s="31">
        <v>0</v>
      </c>
      <c r="S149" s="31">
        <v>0</v>
      </c>
      <c r="T149" s="21" t="str" cm="1">
        <f t="array" aca="1" ref="T149" ca="1">+fair_value_gap(OFFSET(S148,0,0,-1*$I$5,-1*$Z$1),OFFSET(E148,0,0,-1*$I$5,1),F149:S149,0)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49" s="7" t="str" cm="1">
        <f t="array" aca="1" ref="U149" ca="1">z_score_diff(OFFSET(T149,0,0,$I$5*-1,1),OFFSET(E149,0,0,$I$5*-1,1))</f>
        <v/>
      </c>
      <c r="V149" s="7" t="str">
        <f t="shared" ca="1" si="147"/>
        <v/>
      </c>
      <c r="W149" s="14">
        <f t="shared" ca="1" si="142"/>
        <v>-8.2642276416991609E-2</v>
      </c>
      <c r="X149" s="10">
        <f t="shared" ref="X149:Y149" ca="1" si="162">+X148</f>
        <v>0</v>
      </c>
      <c r="Y149" s="10">
        <f t="shared" ca="1" si="162"/>
        <v>0</v>
      </c>
      <c r="Z149" t="str">
        <f t="shared" ca="1" si="149"/>
        <v/>
      </c>
      <c r="AA149" t="str">
        <f t="shared" ca="1" si="150"/>
        <v/>
      </c>
      <c r="AB149" s="19" t="str">
        <f t="shared" ca="1" si="151"/>
        <v/>
      </c>
      <c r="AC149" s="19" t="str">
        <f t="shared" ca="1" si="152"/>
        <v/>
      </c>
    </row>
    <row r="150" spans="3:29" x14ac:dyDescent="0.25">
      <c r="C150" s="4">
        <v>143</v>
      </c>
      <c r="D150" s="28">
        <v>42209</v>
      </c>
      <c r="E150" s="30">
        <v>20.449000000000002</v>
      </c>
      <c r="F150" s="30">
        <v>49.735931524312505</v>
      </c>
      <c r="G150" s="30">
        <v>7.1753778910945174</v>
      </c>
      <c r="H150" s="30">
        <v>52.312875614642138</v>
      </c>
      <c r="I150" s="8">
        <v>0</v>
      </c>
      <c r="J150" s="31">
        <v>0</v>
      </c>
      <c r="K150" s="31">
        <v>0</v>
      </c>
      <c r="L150" s="31">
        <v>0</v>
      </c>
      <c r="M150" s="31">
        <v>0</v>
      </c>
      <c r="N150" s="31">
        <v>0</v>
      </c>
      <c r="O150" s="31">
        <v>1</v>
      </c>
      <c r="P150" s="31">
        <v>0</v>
      </c>
      <c r="Q150" s="31">
        <v>0</v>
      </c>
      <c r="R150" s="31">
        <v>0</v>
      </c>
      <c r="S150" s="31">
        <v>0</v>
      </c>
      <c r="T150" s="21" t="str" cm="1">
        <f t="array" aca="1" ref="T150" ca="1">+fair_value_gap(OFFSET(S149,0,0,-1*$I$5,-1*$Z$1),OFFSET(E149,0,0,-1*$I$5,1),F150:S150,0)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50" s="7" t="str" cm="1">
        <f t="array" aca="1" ref="U150" ca="1">z_score_diff(OFFSET(T150,0,0,$I$5*-1,1),OFFSET(E150,0,0,$I$5*-1,1))</f>
        <v/>
      </c>
      <c r="V150" s="7" t="str">
        <f t="shared" ca="1" si="147"/>
        <v/>
      </c>
      <c r="W150" s="14">
        <f t="shared" ca="1" si="142"/>
        <v>-7.8772059472080908E-2</v>
      </c>
      <c r="X150" s="10">
        <f t="shared" ref="X150:Y150" ca="1" si="163">+X149</f>
        <v>0</v>
      </c>
      <c r="Y150" s="10">
        <f t="shared" ca="1" si="163"/>
        <v>0</v>
      </c>
      <c r="Z150" t="str">
        <f t="shared" ca="1" si="149"/>
        <v/>
      </c>
      <c r="AA150" t="str">
        <f t="shared" ca="1" si="150"/>
        <v/>
      </c>
      <c r="AB150" s="19" t="str">
        <f t="shared" ca="1" si="151"/>
        <v/>
      </c>
      <c r="AC150" s="19" t="str">
        <f t="shared" ca="1" si="152"/>
        <v/>
      </c>
    </row>
    <row r="151" spans="3:29" x14ac:dyDescent="0.25">
      <c r="C151" s="4">
        <v>144</v>
      </c>
      <c r="D151" s="28">
        <v>42212</v>
      </c>
      <c r="E151" s="30">
        <v>20.483000000000001</v>
      </c>
      <c r="F151" s="30">
        <v>48.210260571634656</v>
      </c>
      <c r="G151" s="30">
        <v>7.1679740329997301</v>
      </c>
      <c r="H151" s="30">
        <v>51.798755747903712</v>
      </c>
      <c r="I151" s="8">
        <v>0</v>
      </c>
      <c r="J151" s="31">
        <v>0</v>
      </c>
      <c r="K151" s="31">
        <v>0</v>
      </c>
      <c r="L151" s="31">
        <v>0</v>
      </c>
      <c r="M151" s="31">
        <v>0</v>
      </c>
      <c r="N151" s="31">
        <v>0</v>
      </c>
      <c r="O151" s="31">
        <v>1</v>
      </c>
      <c r="P151" s="31">
        <v>0</v>
      </c>
      <c r="Q151" s="31">
        <v>0</v>
      </c>
      <c r="R151" s="31">
        <v>0</v>
      </c>
      <c r="S151" s="31">
        <v>0</v>
      </c>
      <c r="T151" s="21" t="str" cm="1">
        <f t="array" aca="1" ref="T151" ca="1">+fair_value_gap(OFFSET(S150,0,0,-1*$I$5,-1*$Z$1),OFFSET(E150,0,0,-1*$I$5,1),F151:S151,0)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51" s="7" t="str" cm="1">
        <f t="array" aca="1" ref="U151" ca="1">z_score_diff(OFFSET(T151,0,0,$I$5*-1,1),OFFSET(E151,0,0,$I$5*-1,1))</f>
        <v/>
      </c>
      <c r="V151" s="7" t="str">
        <f t="shared" ca="1" si="147"/>
        <v/>
      </c>
      <c r="W151" s="14">
        <f t="shared" ca="1" si="142"/>
        <v>-0.10952982702161938</v>
      </c>
      <c r="X151" s="10">
        <f t="shared" ref="X151:Y151" ca="1" si="164">+X150</f>
        <v>0</v>
      </c>
      <c r="Y151" s="10">
        <f t="shared" ca="1" si="164"/>
        <v>0</v>
      </c>
      <c r="Z151" t="str">
        <f t="shared" ca="1" si="149"/>
        <v/>
      </c>
      <c r="AA151" t="str">
        <f t="shared" ca="1" si="150"/>
        <v/>
      </c>
      <c r="AB151" s="19" t="str">
        <f t="shared" ca="1" si="151"/>
        <v/>
      </c>
      <c r="AC151" s="19" t="str">
        <f t="shared" ca="1" si="152"/>
        <v/>
      </c>
    </row>
    <row r="152" spans="3:29" x14ac:dyDescent="0.25">
      <c r="C152" s="4">
        <v>145</v>
      </c>
      <c r="D152" s="28">
        <v>42213</v>
      </c>
      <c r="E152" s="30">
        <v>20.709</v>
      </c>
      <c r="F152" s="30">
        <v>48.200397901971428</v>
      </c>
      <c r="G152" s="30">
        <v>7.189365165491048</v>
      </c>
      <c r="H152" s="30">
        <v>51.817688551275097</v>
      </c>
      <c r="I152" s="8">
        <v>0</v>
      </c>
      <c r="J152" s="31">
        <v>0</v>
      </c>
      <c r="K152" s="31">
        <v>0</v>
      </c>
      <c r="L152" s="31">
        <v>0</v>
      </c>
      <c r="M152" s="31">
        <v>0</v>
      </c>
      <c r="N152" s="31">
        <v>0</v>
      </c>
      <c r="O152" s="31">
        <v>1</v>
      </c>
      <c r="P152" s="31">
        <v>0</v>
      </c>
      <c r="Q152" s="31">
        <v>0</v>
      </c>
      <c r="R152" s="31">
        <v>0</v>
      </c>
      <c r="S152" s="31">
        <v>0</v>
      </c>
      <c r="T152" s="21" t="str" cm="1">
        <f t="array" aca="1" ref="T152" ca="1">+fair_value_gap(OFFSET(S151,0,0,-1*$I$5,-1*$Z$1),OFFSET(E151,0,0,-1*$I$5,1),F152:S152,0)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52" s="7" t="str" cm="1">
        <f t="array" aca="1" ref="U152" ca="1">z_score_diff(OFFSET(T152,0,0,$I$5*-1,1),OFFSET(E152,0,0,$I$5*-1,1))</f>
        <v/>
      </c>
      <c r="V152" s="7" t="str">
        <f t="shared" ca="1" si="147"/>
        <v/>
      </c>
      <c r="W152" s="14">
        <f t="shared" ca="1" si="142"/>
        <v>-0.1004952636417315</v>
      </c>
      <c r="X152" s="10">
        <f t="shared" ref="X152:Y152" ca="1" si="165">+X151</f>
        <v>0</v>
      </c>
      <c r="Y152" s="10">
        <f t="shared" ca="1" si="165"/>
        <v>0</v>
      </c>
      <c r="Z152" t="str">
        <f t="shared" ca="1" si="149"/>
        <v/>
      </c>
      <c r="AA152" t="str">
        <f t="shared" ca="1" si="150"/>
        <v/>
      </c>
      <c r="AB152" s="19" t="str">
        <f t="shared" ca="1" si="151"/>
        <v/>
      </c>
      <c r="AC152" s="19" t="str">
        <f t="shared" ca="1" si="152"/>
        <v/>
      </c>
    </row>
    <row r="153" spans="3:29" x14ac:dyDescent="0.25">
      <c r="C153" s="4">
        <v>146</v>
      </c>
      <c r="D153" s="28">
        <v>42214</v>
      </c>
      <c r="E153" s="30">
        <v>20.725000000000001</v>
      </c>
      <c r="F153" s="30">
        <v>48.597960670065554</v>
      </c>
      <c r="G153" s="30">
        <v>7.2924253459577564</v>
      </c>
      <c r="H153" s="30">
        <v>52.212308812818641</v>
      </c>
      <c r="I153" s="8">
        <v>0</v>
      </c>
      <c r="J153" s="31">
        <v>0</v>
      </c>
      <c r="K153" s="31">
        <v>0</v>
      </c>
      <c r="L153" s="31">
        <v>0</v>
      </c>
      <c r="M153" s="31">
        <v>0</v>
      </c>
      <c r="N153" s="31">
        <v>0</v>
      </c>
      <c r="O153" s="31">
        <v>1</v>
      </c>
      <c r="P153" s="31">
        <v>0</v>
      </c>
      <c r="Q153" s="31">
        <v>0</v>
      </c>
      <c r="R153" s="31">
        <v>0</v>
      </c>
      <c r="S153" s="31">
        <v>0</v>
      </c>
      <c r="T153" s="21" t="str" cm="1">
        <f t="array" aca="1" ref="T153" ca="1">+fair_value_gap(OFFSET(S152,0,0,-1*$I$5,-1*$Z$1),OFFSET(E152,0,0,-1*$I$5,1),F153:S153,0)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53" s="7" t="str" cm="1">
        <f t="array" aca="1" ref="U153" ca="1">z_score_diff(OFFSET(T153,0,0,$I$5*-1,1),OFFSET(E153,0,0,$I$5*-1,1))</f>
        <v/>
      </c>
      <c r="V153" s="7" t="str">
        <f t="shared" ca="1" si="147"/>
        <v/>
      </c>
      <c r="W153" s="14">
        <f t="shared" ca="1" si="142"/>
        <v>-0.10667487590122797</v>
      </c>
      <c r="X153" s="10">
        <f t="shared" ref="X153:Y153" ca="1" si="166">+X152</f>
        <v>0</v>
      </c>
      <c r="Y153" s="10">
        <f t="shared" ca="1" si="166"/>
        <v>0</v>
      </c>
      <c r="Z153" t="str">
        <f t="shared" ca="1" si="149"/>
        <v/>
      </c>
      <c r="AA153" t="str">
        <f t="shared" ca="1" si="150"/>
        <v/>
      </c>
      <c r="AB153" s="19" t="str">
        <f t="shared" ca="1" si="151"/>
        <v/>
      </c>
      <c r="AC153" s="19" t="str">
        <f t="shared" ca="1" si="152"/>
        <v/>
      </c>
    </row>
    <row r="154" spans="3:29" x14ac:dyDescent="0.25">
      <c r="C154" s="4">
        <v>147</v>
      </c>
      <c r="D154" s="28">
        <v>42215</v>
      </c>
      <c r="E154" s="30">
        <v>20.882000000000001</v>
      </c>
      <c r="F154" s="30">
        <v>48.769554478089837</v>
      </c>
      <c r="G154" s="30">
        <v>7.355228249931387</v>
      </c>
      <c r="H154" s="30">
        <v>52.511206659957921</v>
      </c>
      <c r="I154" s="8">
        <v>0</v>
      </c>
      <c r="J154" s="31">
        <v>0</v>
      </c>
      <c r="K154" s="31">
        <v>0</v>
      </c>
      <c r="L154" s="31">
        <v>0</v>
      </c>
      <c r="M154" s="31">
        <v>0</v>
      </c>
      <c r="N154" s="31">
        <v>0</v>
      </c>
      <c r="O154" s="31">
        <v>1</v>
      </c>
      <c r="P154" s="31">
        <v>0</v>
      </c>
      <c r="Q154" s="31">
        <v>0</v>
      </c>
      <c r="R154" s="31">
        <v>0</v>
      </c>
      <c r="S154" s="31">
        <v>0</v>
      </c>
      <c r="T154" s="21" t="str" cm="1">
        <f t="array" aca="1" ref="T154" ca="1">+fair_value_gap(OFFSET(S153,0,0,-1*$I$5,-1*$Z$1),OFFSET(E153,0,0,-1*$I$5,1),F154:S154,0)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54" s="7" t="str" cm="1">
        <f t="array" aca="1" ref="U154" ca="1">z_score_diff(OFFSET(T154,0,0,$I$5*-1,1),OFFSET(E154,0,0,$I$5*-1,1))</f>
        <v/>
      </c>
      <c r="V154" s="7" t="str">
        <f t="shared" ca="1" si="147"/>
        <v/>
      </c>
      <c r="W154" s="14">
        <f t="shared" ca="1" si="142"/>
        <v>-9.5870627985922094E-2</v>
      </c>
      <c r="X154" s="10">
        <f t="shared" ref="X154:Y154" ca="1" si="167">+X153</f>
        <v>0</v>
      </c>
      <c r="Y154" s="10">
        <f t="shared" ca="1" si="167"/>
        <v>0</v>
      </c>
      <c r="Z154" t="str">
        <f t="shared" ca="1" si="149"/>
        <v/>
      </c>
      <c r="AA154" t="str">
        <f t="shared" ca="1" si="150"/>
        <v/>
      </c>
      <c r="AB154" s="19" t="str">
        <f t="shared" ca="1" si="151"/>
        <v/>
      </c>
      <c r="AC154" s="19" t="str">
        <f t="shared" ca="1" si="152"/>
        <v/>
      </c>
    </row>
    <row r="155" spans="3:29" x14ac:dyDescent="0.25">
      <c r="C155" s="4">
        <v>148</v>
      </c>
      <c r="D155" s="28">
        <v>42216</v>
      </c>
      <c r="E155" s="30">
        <v>20.51</v>
      </c>
      <c r="F155" s="30">
        <v>47.519796122690451</v>
      </c>
      <c r="G155" s="30">
        <v>7.3404933102757797</v>
      </c>
      <c r="H155" s="30">
        <v>52.15254391553654</v>
      </c>
      <c r="I155" s="8">
        <v>0</v>
      </c>
      <c r="J155" s="31">
        <v>0</v>
      </c>
      <c r="K155" s="31">
        <v>0</v>
      </c>
      <c r="L155" s="31">
        <v>0</v>
      </c>
      <c r="M155" s="31">
        <v>0</v>
      </c>
      <c r="N155" s="31">
        <v>0</v>
      </c>
      <c r="O155" s="31">
        <v>1</v>
      </c>
      <c r="P155" s="31">
        <v>0</v>
      </c>
      <c r="Q155" s="31">
        <v>0</v>
      </c>
      <c r="R155" s="31">
        <v>0</v>
      </c>
      <c r="S155" s="31">
        <v>0</v>
      </c>
      <c r="T155" s="21" t="str" cm="1">
        <f t="array" aca="1" ref="T155" ca="1">+fair_value_gap(OFFSET(S154,0,0,-1*$I$5,-1*$Z$1),OFFSET(E154,0,0,-1*$I$5,1),F155:S155,0)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55" s="7" t="str" cm="1">
        <f t="array" aca="1" ref="U155" ca="1">z_score_diff(OFFSET(T155,0,0,$I$5*-1,1),OFFSET(E155,0,0,$I$5*-1,1))</f>
        <v/>
      </c>
      <c r="V155" s="7" t="str">
        <f t="shared" ca="1" si="147"/>
        <v/>
      </c>
      <c r="W155" s="14">
        <f t="shared" ca="1" si="142"/>
        <v>-7.7895656202292801E-2</v>
      </c>
      <c r="X155" s="10">
        <f t="shared" ref="X155:Y155" ca="1" si="168">+X154</f>
        <v>0</v>
      </c>
      <c r="Y155" s="10">
        <f t="shared" ca="1" si="168"/>
        <v>0</v>
      </c>
      <c r="Z155" t="str">
        <f t="shared" ca="1" si="149"/>
        <v/>
      </c>
      <c r="AA155" t="str">
        <f t="shared" ca="1" si="150"/>
        <v/>
      </c>
      <c r="AB155" s="19" t="str">
        <f t="shared" ca="1" si="151"/>
        <v/>
      </c>
      <c r="AC155" s="19" t="str">
        <f t="shared" ca="1" si="152"/>
        <v/>
      </c>
    </row>
    <row r="156" spans="3:29" x14ac:dyDescent="0.25">
      <c r="C156" s="4">
        <v>149</v>
      </c>
      <c r="D156" s="28">
        <v>42219</v>
      </c>
      <c r="E156" s="30">
        <v>20.358000000000001</v>
      </c>
      <c r="F156" s="30">
        <v>45.227874691752675</v>
      </c>
      <c r="G156" s="30">
        <v>7.3659694949310435</v>
      </c>
      <c r="H156" s="30">
        <v>50.826559503150975</v>
      </c>
      <c r="I156" s="8">
        <v>0</v>
      </c>
      <c r="J156" s="31">
        <v>0</v>
      </c>
      <c r="K156" s="31">
        <v>0</v>
      </c>
      <c r="L156" s="31">
        <v>0</v>
      </c>
      <c r="M156" s="31">
        <v>0</v>
      </c>
      <c r="N156" s="31">
        <v>0</v>
      </c>
      <c r="O156" s="31">
        <v>0</v>
      </c>
      <c r="P156" s="31">
        <v>1</v>
      </c>
      <c r="Q156" s="31">
        <v>0</v>
      </c>
      <c r="R156" s="31">
        <v>0</v>
      </c>
      <c r="S156" s="31">
        <v>0</v>
      </c>
      <c r="T156" s="21" t="str" cm="1">
        <f t="array" aca="1" ref="T156" ca="1">+fair_value_gap(OFFSET(S155,0,0,-1*$I$5,-1*$Z$1),OFFSET(E155,0,0,-1*$I$5,1),F156:S156,0)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56" s="7" t="str" cm="1">
        <f t="array" aca="1" ref="U156" ca="1">z_score_diff(OFFSET(T156,0,0,$I$5*-1,1),OFFSET(E156,0,0,$I$5*-1,1))</f>
        <v/>
      </c>
      <c r="V156" s="7" t="str">
        <f t="shared" ca="1" si="147"/>
        <v/>
      </c>
      <c r="W156" s="14">
        <f t="shared" ca="1" si="142"/>
        <v>-5.596289429635494E-2</v>
      </c>
      <c r="X156" s="10">
        <f t="shared" ref="X156:Y156" ca="1" si="169">+X155</f>
        <v>0</v>
      </c>
      <c r="Y156" s="10">
        <f t="shared" ca="1" si="169"/>
        <v>0</v>
      </c>
      <c r="Z156" t="str">
        <f t="shared" ca="1" si="149"/>
        <v/>
      </c>
      <c r="AA156" t="str">
        <f t="shared" ca="1" si="150"/>
        <v/>
      </c>
      <c r="AB156" s="19" t="str">
        <f t="shared" ca="1" si="151"/>
        <v/>
      </c>
      <c r="AC156" s="19" t="str">
        <f t="shared" ca="1" si="152"/>
        <v/>
      </c>
    </row>
    <row r="157" spans="3:29" x14ac:dyDescent="0.25">
      <c r="C157" s="4">
        <v>150</v>
      </c>
      <c r="D157" s="28">
        <v>42220</v>
      </c>
      <c r="E157" s="30">
        <v>20.295999999999999</v>
      </c>
      <c r="F157" s="30">
        <v>45.946691176470587</v>
      </c>
      <c r="G157" s="30">
        <v>7.4126838235294104</v>
      </c>
      <c r="H157" s="30">
        <v>51.700367647058819</v>
      </c>
      <c r="I157" s="8">
        <v>0</v>
      </c>
      <c r="J157" s="31">
        <v>0</v>
      </c>
      <c r="K157" s="31">
        <v>0</v>
      </c>
      <c r="L157" s="31">
        <v>0</v>
      </c>
      <c r="M157" s="31">
        <v>0</v>
      </c>
      <c r="N157" s="31">
        <v>0</v>
      </c>
      <c r="O157" s="31">
        <v>0</v>
      </c>
      <c r="P157" s="31">
        <v>1</v>
      </c>
      <c r="Q157" s="31">
        <v>0</v>
      </c>
      <c r="R157" s="31">
        <v>0</v>
      </c>
      <c r="S157" s="31">
        <v>0</v>
      </c>
      <c r="T157" s="21" t="str" cm="1">
        <f t="array" aca="1" ref="T157" ca="1">+fair_value_gap(OFFSET(S156,0,0,-1*$I$5,-1*$Z$1),OFFSET(E156,0,0,-1*$I$5,1),F157:S157,0)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57" s="7" t="str" cm="1">
        <f t="array" aca="1" ref="U157" ca="1">z_score_diff(OFFSET(T157,0,0,$I$5*-1,1),OFFSET(E157,0,0,$I$5*-1,1))</f>
        <v/>
      </c>
      <c r="V157" s="7" t="str">
        <f t="shared" ca="1" si="147"/>
        <v/>
      </c>
      <c r="W157" s="14">
        <f t="shared" ca="1" si="142"/>
        <v>-4.5975838782756087E-2</v>
      </c>
      <c r="X157" s="10">
        <f t="shared" ref="X157:Y157" ca="1" si="170">+X156</f>
        <v>0</v>
      </c>
      <c r="Y157" s="10">
        <f t="shared" ca="1" si="170"/>
        <v>0</v>
      </c>
      <c r="Z157" t="str">
        <f t="shared" ca="1" si="149"/>
        <v/>
      </c>
      <c r="AA157" t="str">
        <f t="shared" ca="1" si="150"/>
        <v/>
      </c>
      <c r="AB157" s="19" t="str">
        <f t="shared" ca="1" si="151"/>
        <v/>
      </c>
      <c r="AC157" s="19" t="str">
        <f t="shared" ca="1" si="152"/>
        <v/>
      </c>
    </row>
    <row r="158" spans="3:29" x14ac:dyDescent="0.25">
      <c r="C158" s="4">
        <v>151</v>
      </c>
      <c r="D158" s="28">
        <v>42221</v>
      </c>
      <c r="E158" s="30">
        <v>20.216000000000001</v>
      </c>
      <c r="F158" s="30">
        <v>45.478723404255319</v>
      </c>
      <c r="G158" s="30">
        <v>7.3642699926632424</v>
      </c>
      <c r="H158" s="30">
        <v>51.9534115920763</v>
      </c>
      <c r="I158" s="8">
        <v>0</v>
      </c>
      <c r="J158" s="31">
        <v>0</v>
      </c>
      <c r="K158" s="31">
        <v>0</v>
      </c>
      <c r="L158" s="31">
        <v>0</v>
      </c>
      <c r="M158" s="31">
        <v>0</v>
      </c>
      <c r="N158" s="31">
        <v>0</v>
      </c>
      <c r="O158" s="31">
        <v>0</v>
      </c>
      <c r="P158" s="31">
        <v>1</v>
      </c>
      <c r="Q158" s="31">
        <v>0</v>
      </c>
      <c r="R158" s="31">
        <v>0</v>
      </c>
      <c r="S158" s="31">
        <v>0</v>
      </c>
      <c r="T158" s="21" t="str" cm="1">
        <f t="array" aca="1" ref="T158" ca="1">+fair_value_gap(OFFSET(S157,0,0,-1*$I$5,-1*$Z$1),OFFSET(E157,0,0,-1*$I$5,1),F158:S158,0)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58" s="7" t="str" cm="1">
        <f t="array" aca="1" ref="U158" ca="1">z_score_diff(OFFSET(T158,0,0,$I$5*-1,1),OFFSET(E158,0,0,$I$5*-1,1))</f>
        <v/>
      </c>
      <c r="V158" s="7" t="str">
        <f t="shared" ca="1" si="147"/>
        <v/>
      </c>
      <c r="W158" s="14">
        <f t="shared" ca="1" si="142"/>
        <v>-3.6008623779789389E-2</v>
      </c>
      <c r="X158" s="10">
        <f t="shared" ref="X158:Y158" ca="1" si="171">+X157</f>
        <v>0</v>
      </c>
      <c r="Y158" s="10">
        <f t="shared" ca="1" si="171"/>
        <v>0</v>
      </c>
      <c r="Z158" t="str">
        <f t="shared" ca="1" si="149"/>
        <v/>
      </c>
      <c r="AA158" t="str">
        <f t="shared" ca="1" si="150"/>
        <v/>
      </c>
      <c r="AB158" s="19" t="str">
        <f t="shared" ca="1" si="151"/>
        <v/>
      </c>
      <c r="AC158" s="19" t="str">
        <f t="shared" ca="1" si="152"/>
        <v/>
      </c>
    </row>
    <row r="159" spans="3:29" x14ac:dyDescent="0.25">
      <c r="C159" s="4">
        <v>152</v>
      </c>
      <c r="D159" s="28">
        <v>42222</v>
      </c>
      <c r="E159" s="30">
        <v>20.277000000000001</v>
      </c>
      <c r="F159" s="30">
        <v>45.335530531905157</v>
      </c>
      <c r="G159" s="30">
        <v>7.3514602215508553</v>
      </c>
      <c r="H159" s="30">
        <v>51.908816259269429</v>
      </c>
      <c r="I159" s="8">
        <v>0</v>
      </c>
      <c r="J159" s="31">
        <v>0</v>
      </c>
      <c r="K159" s="31">
        <v>0</v>
      </c>
      <c r="L159" s="31">
        <v>0</v>
      </c>
      <c r="M159" s="31">
        <v>0</v>
      </c>
      <c r="N159" s="31">
        <v>0</v>
      </c>
      <c r="O159" s="31">
        <v>0</v>
      </c>
      <c r="P159" s="31">
        <v>1</v>
      </c>
      <c r="Q159" s="31">
        <v>0</v>
      </c>
      <c r="R159" s="31">
        <v>0</v>
      </c>
      <c r="S159" s="31">
        <v>0</v>
      </c>
      <c r="T159" s="21" t="str" cm="1">
        <f t="array" aca="1" ref="T159" ca="1">+fair_value_gap(OFFSET(S158,0,0,-1*$I$5,-1*$Z$1),OFFSET(E158,0,0,-1*$I$5,1),F159:S159,0)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59" s="7" t="str" cm="1">
        <f t="array" aca="1" ref="U159" ca="1">z_score_diff(OFFSET(T159,0,0,$I$5*-1,1),OFFSET(E159,0,0,$I$5*-1,1))</f>
        <v/>
      </c>
      <c r="V159" s="7" t="str">
        <f t="shared" ca="1" si="147"/>
        <v/>
      </c>
      <c r="W159" s="14">
        <f t="shared" ca="1" si="142"/>
        <v>-2.8665577968089998E-2</v>
      </c>
      <c r="X159" s="10">
        <f t="shared" ref="X159:Y159" ca="1" si="172">+X158</f>
        <v>0</v>
      </c>
      <c r="Y159" s="10">
        <f t="shared" ca="1" si="172"/>
        <v>0</v>
      </c>
      <c r="Z159" t="str">
        <f t="shared" ca="1" si="149"/>
        <v/>
      </c>
      <c r="AA159" t="str">
        <f t="shared" ca="1" si="150"/>
        <v/>
      </c>
      <c r="AB159" s="19" t="str">
        <f t="shared" ca="1" si="151"/>
        <v/>
      </c>
      <c r="AC159" s="19" t="str">
        <f t="shared" ca="1" si="152"/>
        <v/>
      </c>
    </row>
    <row r="160" spans="3:29" x14ac:dyDescent="0.25">
      <c r="C160" s="4">
        <v>153</v>
      </c>
      <c r="D160" s="28">
        <v>42223</v>
      </c>
      <c r="E160" s="30">
        <v>20.024000000000001</v>
      </c>
      <c r="F160" s="30">
        <v>44.331965344277243</v>
      </c>
      <c r="G160" s="30">
        <v>7.3233014135886902</v>
      </c>
      <c r="H160" s="30">
        <v>51.436388508891923</v>
      </c>
      <c r="I160" s="8">
        <v>0</v>
      </c>
      <c r="J160" s="31">
        <v>0</v>
      </c>
      <c r="K160" s="31">
        <v>0</v>
      </c>
      <c r="L160" s="31">
        <v>0</v>
      </c>
      <c r="M160" s="31">
        <v>0</v>
      </c>
      <c r="N160" s="31">
        <v>0</v>
      </c>
      <c r="O160" s="31">
        <v>0</v>
      </c>
      <c r="P160" s="31">
        <v>1</v>
      </c>
      <c r="Q160" s="31">
        <v>0</v>
      </c>
      <c r="R160" s="31">
        <v>0</v>
      </c>
      <c r="S160" s="31">
        <v>0</v>
      </c>
      <c r="T160" s="21" t="str" cm="1">
        <f t="array" aca="1" ref="T160" ca="1">+fair_value_gap(OFFSET(S159,0,0,-1*$I$5,-1*$Z$1),OFFSET(E159,0,0,-1*$I$5,1),F160:S160,0)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60" s="7" t="str" cm="1">
        <f t="array" aca="1" ref="U160" ca="1">z_score_diff(OFFSET(T160,0,0,$I$5*-1,1),OFFSET(E160,0,0,$I$5*-1,1))</f>
        <v/>
      </c>
      <c r="V160" s="7" t="str">
        <f t="shared" ca="1" si="147"/>
        <v/>
      </c>
      <c r="W160" s="14">
        <f t="shared" ca="1" si="142"/>
        <v>-3.037065787576201E-2</v>
      </c>
      <c r="X160" s="10">
        <f t="shared" ref="X160:Y160" ca="1" si="173">+X159</f>
        <v>0</v>
      </c>
      <c r="Y160" s="10">
        <f t="shared" ca="1" si="173"/>
        <v>0</v>
      </c>
      <c r="Z160" t="str">
        <f t="shared" ca="1" si="149"/>
        <v/>
      </c>
      <c r="AA160" t="str">
        <f t="shared" ca="1" si="150"/>
        <v/>
      </c>
      <c r="AB160" s="19" t="str">
        <f t="shared" ca="1" si="151"/>
        <v/>
      </c>
      <c r="AC160" s="19" t="str">
        <f t="shared" ca="1" si="152"/>
        <v/>
      </c>
    </row>
    <row r="161" spans="3:29" x14ac:dyDescent="0.25">
      <c r="C161" s="4">
        <v>154</v>
      </c>
      <c r="D161" s="28">
        <v>42226</v>
      </c>
      <c r="E161" s="30">
        <v>19.978999999999999</v>
      </c>
      <c r="F161" s="30">
        <v>45.760711692084243</v>
      </c>
      <c r="G161" s="30">
        <v>7.2893972403776326</v>
      </c>
      <c r="H161" s="30">
        <v>51.289034132171388</v>
      </c>
      <c r="I161" s="8">
        <v>0</v>
      </c>
      <c r="J161" s="31">
        <v>0</v>
      </c>
      <c r="K161" s="31">
        <v>0</v>
      </c>
      <c r="L161" s="31">
        <v>0</v>
      </c>
      <c r="M161" s="31">
        <v>0</v>
      </c>
      <c r="N161" s="31">
        <v>0</v>
      </c>
      <c r="O161" s="31">
        <v>0</v>
      </c>
      <c r="P161" s="31">
        <v>1</v>
      </c>
      <c r="Q161" s="31">
        <v>0</v>
      </c>
      <c r="R161" s="31">
        <v>0</v>
      </c>
      <c r="S161" s="31">
        <v>0</v>
      </c>
      <c r="T161" s="21" t="str" cm="1">
        <f t="array" aca="1" ref="T161" ca="1">+fair_value_gap(OFFSET(S160,0,0,-1*$I$5,-1*$Z$1),OFFSET(E160,0,0,-1*$I$5,1),F161:S161,0)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61" s="7" t="str" cm="1">
        <f t="array" aca="1" ref="U161" ca="1">z_score_diff(OFFSET(T161,0,0,$I$5*-1,1),OFFSET(E161,0,0,$I$5*-1,1))</f>
        <v/>
      </c>
      <c r="V161" s="7" t="str">
        <f t="shared" ca="1" si="147"/>
        <v/>
      </c>
      <c r="W161" s="14">
        <f t="shared" ca="1" si="142"/>
        <v>-3.2247733765335566E-2</v>
      </c>
      <c r="X161" s="10">
        <f t="shared" ref="X161:Y161" ca="1" si="174">+X160</f>
        <v>0</v>
      </c>
      <c r="Y161" s="10">
        <f t="shared" ca="1" si="174"/>
        <v>0</v>
      </c>
      <c r="Z161" t="str">
        <f t="shared" ca="1" si="149"/>
        <v/>
      </c>
      <c r="AA161" t="str">
        <f t="shared" ca="1" si="150"/>
        <v/>
      </c>
      <c r="AB161" s="19" t="str">
        <f t="shared" ca="1" si="151"/>
        <v/>
      </c>
      <c r="AC161" s="19" t="str">
        <f t="shared" ca="1" si="152"/>
        <v/>
      </c>
    </row>
    <row r="162" spans="3:29" x14ac:dyDescent="0.25">
      <c r="C162" s="4">
        <v>155</v>
      </c>
      <c r="D162" s="28">
        <v>42227</v>
      </c>
      <c r="E162" s="30">
        <v>19.969000000000001</v>
      </c>
      <c r="F162" s="30">
        <v>44.54710144927536</v>
      </c>
      <c r="G162" s="30">
        <v>7.2644927536231876</v>
      </c>
      <c r="H162" s="30">
        <v>50.452898550724633</v>
      </c>
      <c r="I162" s="8">
        <v>0</v>
      </c>
      <c r="J162" s="31">
        <v>0</v>
      </c>
      <c r="K162" s="31">
        <v>0</v>
      </c>
      <c r="L162" s="31">
        <v>0</v>
      </c>
      <c r="M162" s="31">
        <v>0</v>
      </c>
      <c r="N162" s="31">
        <v>0</v>
      </c>
      <c r="O162" s="31">
        <v>0</v>
      </c>
      <c r="P162" s="31">
        <v>1</v>
      </c>
      <c r="Q162" s="31">
        <v>0</v>
      </c>
      <c r="R162" s="31">
        <v>0</v>
      </c>
      <c r="S162" s="31">
        <v>0</v>
      </c>
      <c r="T162" s="21" t="str" cm="1">
        <f t="array" aca="1" ref="T162" ca="1">+fair_value_gap(OFFSET(S161,0,0,-1*$I$5,-1*$Z$1),OFFSET(E161,0,0,-1*$I$5,1),F162:S162,0)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62" s="7" t="str" cm="1">
        <f t="array" aca="1" ref="U162" ca="1">z_score_diff(OFFSET(T162,0,0,$I$5*-1,1),OFFSET(E162,0,0,$I$5*-1,1))</f>
        <v/>
      </c>
      <c r="V162" s="7" t="str">
        <f t="shared" ca="1" si="147"/>
        <v/>
      </c>
      <c r="W162" s="14">
        <f t="shared" ca="1" si="142"/>
        <v>-3.1850474141293876E-2</v>
      </c>
      <c r="X162" s="10">
        <f t="shared" ref="X162:Y162" ca="1" si="175">+X161</f>
        <v>0</v>
      </c>
      <c r="Y162" s="10">
        <f t="shared" ca="1" si="175"/>
        <v>0</v>
      </c>
      <c r="Z162" t="str">
        <f t="shared" ca="1" si="149"/>
        <v/>
      </c>
      <c r="AA162" t="str">
        <f t="shared" ca="1" si="150"/>
        <v/>
      </c>
      <c r="AB162" s="19" t="str">
        <f t="shared" ca="1" si="151"/>
        <v/>
      </c>
      <c r="AC162" s="19" t="str">
        <f t="shared" ca="1" si="152"/>
        <v/>
      </c>
    </row>
    <row r="163" spans="3:29" x14ac:dyDescent="0.25">
      <c r="C163" s="4">
        <v>156</v>
      </c>
      <c r="D163" s="28">
        <v>42228</v>
      </c>
      <c r="E163" s="30">
        <v>19.585000000000001</v>
      </c>
      <c r="F163" s="30">
        <v>44.514162782359271</v>
      </c>
      <c r="G163" s="30">
        <v>7.1844747221226255</v>
      </c>
      <c r="H163" s="30">
        <v>49.838651846539982</v>
      </c>
      <c r="I163" s="8">
        <v>0</v>
      </c>
      <c r="J163" s="31">
        <v>0</v>
      </c>
      <c r="K163" s="31">
        <v>0</v>
      </c>
      <c r="L163" s="31">
        <v>0</v>
      </c>
      <c r="M163" s="31">
        <v>0</v>
      </c>
      <c r="N163" s="31">
        <v>0</v>
      </c>
      <c r="O163" s="31">
        <v>0</v>
      </c>
      <c r="P163" s="31">
        <v>1</v>
      </c>
      <c r="Q163" s="31">
        <v>0</v>
      </c>
      <c r="R163" s="31">
        <v>0</v>
      </c>
      <c r="S163" s="31">
        <v>0</v>
      </c>
      <c r="T163" s="21" t="str" cm="1">
        <f t="array" aca="1" ref="T163" ca="1">+fair_value_gap(OFFSET(S162,0,0,-1*$I$5,-1*$Z$1),OFFSET(E162,0,0,-1*$I$5,1),F163:S163,0)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63" s="7" t="str" cm="1">
        <f t="array" aca="1" ref="U163" ca="1">z_score_diff(OFFSET(T163,0,0,$I$5*-1,1),OFFSET(E163,0,0,$I$5*-1,1))</f>
        <v/>
      </c>
      <c r="V163" s="7" t="str">
        <f t="shared" ca="1" si="147"/>
        <v/>
      </c>
      <c r="W163" s="14">
        <f t="shared" ca="1" si="142"/>
        <v>-1.0109649134665038E-2</v>
      </c>
      <c r="X163" s="10">
        <f t="shared" ref="X163:Y163" ca="1" si="176">+X162</f>
        <v>0</v>
      </c>
      <c r="Y163" s="10">
        <f t="shared" ca="1" si="176"/>
        <v>0</v>
      </c>
      <c r="Z163" t="str">
        <f t="shared" ca="1" si="149"/>
        <v/>
      </c>
      <c r="AA163" t="str">
        <f t="shared" ca="1" si="150"/>
        <v/>
      </c>
      <c r="AB163" s="19" t="str">
        <f t="shared" ca="1" si="151"/>
        <v/>
      </c>
      <c r="AC163" s="19" t="str">
        <f t="shared" ca="1" si="152"/>
        <v/>
      </c>
    </row>
    <row r="164" spans="3:29" x14ac:dyDescent="0.25">
      <c r="C164" s="4">
        <v>157</v>
      </c>
      <c r="D164" s="28">
        <v>42229</v>
      </c>
      <c r="E164" s="30">
        <v>19.466000000000001</v>
      </c>
      <c r="F164" s="30">
        <v>44.151417294581989</v>
      </c>
      <c r="G164" s="30">
        <v>7.1851453175457483</v>
      </c>
      <c r="H164" s="30">
        <v>49.964119124506638</v>
      </c>
      <c r="I164" s="8">
        <v>0</v>
      </c>
      <c r="J164" s="31">
        <v>0</v>
      </c>
      <c r="K164" s="31">
        <v>0</v>
      </c>
      <c r="L164" s="31">
        <v>0</v>
      </c>
      <c r="M164" s="31">
        <v>0</v>
      </c>
      <c r="N164" s="31">
        <v>0</v>
      </c>
      <c r="O164" s="31">
        <v>0</v>
      </c>
      <c r="P164" s="31">
        <v>1</v>
      </c>
      <c r="Q164" s="31">
        <v>0</v>
      </c>
      <c r="R164" s="31">
        <v>0</v>
      </c>
      <c r="S164" s="31">
        <v>0</v>
      </c>
      <c r="T164" s="21" t="str" cm="1">
        <f t="array" aca="1" ref="T164" ca="1">+fair_value_gap(OFFSET(S163,0,0,-1*$I$5,-1*$Z$1),OFFSET(E163,0,0,-1*$I$5,1),F164:S164,0)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64" s="7" t="str" cm="1">
        <f t="array" aca="1" ref="U164" ca="1">z_score_diff(OFFSET(T164,0,0,$I$5*-1,1),OFFSET(E164,0,0,$I$5*-1,1))</f>
        <v/>
      </c>
      <c r="V164" s="7" t="str">
        <f t="shared" ca="1" si="147"/>
        <v/>
      </c>
      <c r="W164" s="14">
        <f t="shared" ca="1" si="142"/>
        <v>-7.4767667250553336E-3</v>
      </c>
      <c r="X164" s="10">
        <f t="shared" ref="X164:Y164" ca="1" si="177">+X163</f>
        <v>0</v>
      </c>
      <c r="Y164" s="10">
        <f t="shared" ca="1" si="177"/>
        <v>0</v>
      </c>
      <c r="Z164" t="str">
        <f t="shared" ca="1" si="149"/>
        <v/>
      </c>
      <c r="AA164" t="str">
        <f t="shared" ca="1" si="150"/>
        <v/>
      </c>
      <c r="AB164" s="19" t="str">
        <f t="shared" ca="1" si="151"/>
        <v/>
      </c>
      <c r="AC164" s="19" t="str">
        <f t="shared" ca="1" si="152"/>
        <v/>
      </c>
    </row>
    <row r="165" spans="3:29" x14ac:dyDescent="0.25">
      <c r="C165" s="4">
        <v>158</v>
      </c>
      <c r="D165" s="28">
        <v>42230</v>
      </c>
      <c r="E165" s="30">
        <v>19.454000000000001</v>
      </c>
      <c r="F165" s="30">
        <v>44.147307761570325</v>
      </c>
      <c r="G165" s="30">
        <v>7.2123176661264177</v>
      </c>
      <c r="H165" s="30">
        <v>49.747884026652258</v>
      </c>
      <c r="I165" s="8">
        <v>0</v>
      </c>
      <c r="J165" s="31">
        <v>0</v>
      </c>
      <c r="K165" s="31">
        <v>0</v>
      </c>
      <c r="L165" s="31">
        <v>0</v>
      </c>
      <c r="M165" s="31">
        <v>0</v>
      </c>
      <c r="N165" s="31">
        <v>0</v>
      </c>
      <c r="O165" s="31">
        <v>0</v>
      </c>
      <c r="P165" s="31">
        <v>1</v>
      </c>
      <c r="Q165" s="31">
        <v>0</v>
      </c>
      <c r="R165" s="31">
        <v>0</v>
      </c>
      <c r="S165" s="31">
        <v>0</v>
      </c>
      <c r="T165" s="21" t="str" cm="1">
        <f t="array" aca="1" ref="T165" ca="1">+fair_value_gap(OFFSET(S164,0,0,-1*$I$5,-1*$Z$1),OFFSET(E164,0,0,-1*$I$5,1),F165:S165,0)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65" s="7" t="str" cm="1">
        <f t="array" aca="1" ref="U165" ca="1">z_score_diff(OFFSET(T165,0,0,$I$5*-1,1),OFFSET(E165,0,0,$I$5*-1,1))</f>
        <v/>
      </c>
      <c r="V165" s="7" t="str">
        <f t="shared" ca="1" si="147"/>
        <v/>
      </c>
      <c r="W165" s="14">
        <f t="shared" ca="1" si="142"/>
        <v>-9.0881550854722479E-3</v>
      </c>
      <c r="X165" s="10">
        <f t="shared" ref="X165:Y165" ca="1" si="178">+X164</f>
        <v>0</v>
      </c>
      <c r="Y165" s="10">
        <f t="shared" ca="1" si="178"/>
        <v>0</v>
      </c>
      <c r="Z165" t="str">
        <f t="shared" ca="1" si="149"/>
        <v/>
      </c>
      <c r="AA165" t="str">
        <f t="shared" ca="1" si="150"/>
        <v/>
      </c>
      <c r="AB165" s="19" t="str">
        <f t="shared" ca="1" si="151"/>
        <v/>
      </c>
      <c r="AC165" s="19" t="str">
        <f t="shared" ca="1" si="152"/>
        <v/>
      </c>
    </row>
    <row r="166" spans="3:29" x14ac:dyDescent="0.25">
      <c r="C166" s="4">
        <v>159</v>
      </c>
      <c r="D166" s="28">
        <v>42233</v>
      </c>
      <c r="E166" s="30">
        <v>19.317</v>
      </c>
      <c r="F166" s="30">
        <v>43.989169675090253</v>
      </c>
      <c r="G166" s="30">
        <v>7.1750902527075811</v>
      </c>
      <c r="H166" s="30">
        <v>49.548736462093856</v>
      </c>
      <c r="I166" s="8">
        <v>0</v>
      </c>
      <c r="J166" s="31">
        <v>0</v>
      </c>
      <c r="K166" s="31">
        <v>0</v>
      </c>
      <c r="L166" s="31">
        <v>0</v>
      </c>
      <c r="M166" s="31">
        <v>0</v>
      </c>
      <c r="N166" s="31">
        <v>0</v>
      </c>
      <c r="O166" s="31">
        <v>0</v>
      </c>
      <c r="P166" s="31">
        <v>1</v>
      </c>
      <c r="Q166" s="31">
        <v>0</v>
      </c>
      <c r="R166" s="31">
        <v>0</v>
      </c>
      <c r="S166" s="31">
        <v>0</v>
      </c>
      <c r="T166" s="21" t="str" cm="1">
        <f t="array" aca="1" ref="T166" ca="1">+fair_value_gap(OFFSET(S165,0,0,-1*$I$5,-1*$Z$1),OFFSET(E165,0,0,-1*$I$5,1),F166:S166,0)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66" s="7" t="str" cm="1">
        <f t="array" aca="1" ref="U166" ca="1">z_score_diff(OFFSET(T166,0,0,$I$5*-1,1),OFFSET(E166,0,0,$I$5*-1,1))</f>
        <v/>
      </c>
      <c r="V166" s="7" t="str">
        <f t="shared" ca="1" si="147"/>
        <v/>
      </c>
      <c r="W166" s="14">
        <f t="shared" ca="1" si="142"/>
        <v>-7.5346559267712642E-3</v>
      </c>
      <c r="X166" s="10">
        <f t="shared" ref="X166:Y166" ca="1" si="179">+X165</f>
        <v>0</v>
      </c>
      <c r="Y166" s="10">
        <f t="shared" ca="1" si="179"/>
        <v>0</v>
      </c>
      <c r="Z166" t="str">
        <f t="shared" ca="1" si="149"/>
        <v/>
      </c>
      <c r="AA166" t="str">
        <f t="shared" ca="1" si="150"/>
        <v/>
      </c>
      <c r="AB166" s="19" t="str">
        <f t="shared" ca="1" si="151"/>
        <v/>
      </c>
      <c r="AC166" s="19" t="str">
        <f t="shared" ca="1" si="152"/>
        <v/>
      </c>
    </row>
    <row r="167" spans="3:29" x14ac:dyDescent="0.25">
      <c r="C167" s="4">
        <v>160</v>
      </c>
      <c r="D167" s="28">
        <v>42234</v>
      </c>
      <c r="E167" s="30">
        <v>19.393000000000001</v>
      </c>
      <c r="F167" s="30">
        <v>44.300235977491383</v>
      </c>
      <c r="G167" s="30">
        <v>7.1292430568161205</v>
      </c>
      <c r="H167" s="30">
        <v>49.60065347612997</v>
      </c>
      <c r="I167" s="8">
        <v>0</v>
      </c>
      <c r="J167" s="31">
        <v>0</v>
      </c>
      <c r="K167" s="31">
        <v>0</v>
      </c>
      <c r="L167" s="31">
        <v>0</v>
      </c>
      <c r="M167" s="31">
        <v>0</v>
      </c>
      <c r="N167" s="31">
        <v>0</v>
      </c>
      <c r="O167" s="31">
        <v>0</v>
      </c>
      <c r="P167" s="31">
        <v>1</v>
      </c>
      <c r="Q167" s="31">
        <v>0</v>
      </c>
      <c r="R167" s="31">
        <v>0</v>
      </c>
      <c r="S167" s="31">
        <v>0</v>
      </c>
      <c r="T167" s="21" t="str" cm="1">
        <f t="array" aca="1" ref="T167" ca="1">+fair_value_gap(OFFSET(S166,0,0,-1*$I$5,-1*$Z$1),OFFSET(E166,0,0,-1*$I$5,1),F167:S167,0)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67" s="7" t="str" cm="1">
        <f t="array" aca="1" ref="U167" ca="1">z_score_diff(OFFSET(T167,0,0,$I$5*-1,1),OFFSET(E167,0,0,$I$5*-1,1))</f>
        <v/>
      </c>
      <c r="V167" s="7" t="str">
        <f t="shared" ca="1" si="147"/>
        <v/>
      </c>
      <c r="W167" s="14">
        <f t="shared" ca="1" si="142"/>
        <v>-1.8370146850884575E-2</v>
      </c>
      <c r="X167" s="10">
        <f t="shared" ref="X167:Y167" ca="1" si="180">+X166</f>
        <v>0</v>
      </c>
      <c r="Y167" s="10">
        <f t="shared" ca="1" si="180"/>
        <v>0</v>
      </c>
      <c r="Z167" t="str">
        <f t="shared" ca="1" si="149"/>
        <v/>
      </c>
      <c r="AA167" t="str">
        <f t="shared" ca="1" si="150"/>
        <v/>
      </c>
      <c r="AB167" s="19" t="str">
        <f t="shared" ca="1" si="151"/>
        <v/>
      </c>
      <c r="AC167" s="19" t="str">
        <f t="shared" ca="1" si="152"/>
        <v/>
      </c>
    </row>
    <row r="168" spans="3:29" x14ac:dyDescent="0.25">
      <c r="C168" s="4">
        <v>161</v>
      </c>
      <c r="D168" s="28">
        <v>42235</v>
      </c>
      <c r="E168" s="30">
        <v>19.204000000000001</v>
      </c>
      <c r="F168" s="30">
        <v>42.421516596204015</v>
      </c>
      <c r="G168" s="30">
        <v>7.0657551497706228</v>
      </c>
      <c r="H168" s="30">
        <v>48.979041108212655</v>
      </c>
      <c r="I168" s="8">
        <v>0</v>
      </c>
      <c r="J168" s="31">
        <v>0</v>
      </c>
      <c r="K168" s="31">
        <v>0</v>
      </c>
      <c r="L168" s="31">
        <v>0</v>
      </c>
      <c r="M168" s="31">
        <v>0</v>
      </c>
      <c r="N168" s="31">
        <v>0</v>
      </c>
      <c r="O168" s="31">
        <v>0</v>
      </c>
      <c r="P168" s="31">
        <v>1</v>
      </c>
      <c r="Q168" s="31">
        <v>0</v>
      </c>
      <c r="R168" s="31">
        <v>0</v>
      </c>
      <c r="S168" s="31">
        <v>0</v>
      </c>
      <c r="T168" s="21" t="str" cm="1">
        <f t="array" aca="1" ref="T168" ca="1">+fair_value_gap(OFFSET(S167,0,0,-1*$I$5,-1*$Z$1),OFFSET(E167,0,0,-1*$I$5,1),F168:S168,0)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68" s="7" t="str" cm="1">
        <f t="array" aca="1" ref="U168" ca="1">z_score_diff(OFFSET(T168,0,0,$I$5*-1,1),OFFSET(E168,0,0,$I$5*-1,1))</f>
        <v/>
      </c>
      <c r="V168" s="7" t="str">
        <f t="shared" ca="1" si="147"/>
        <v/>
      </c>
      <c r="W168" s="14">
        <f t="shared" ca="1" si="142"/>
        <v>2.9637354333914103E-3</v>
      </c>
      <c r="X168" s="10">
        <f t="shared" ref="X168:Y168" ca="1" si="181">+X167</f>
        <v>0</v>
      </c>
      <c r="Y168" s="10">
        <f t="shared" ca="1" si="181"/>
        <v>0</v>
      </c>
      <c r="Z168" t="str">
        <f t="shared" ca="1" si="149"/>
        <v/>
      </c>
      <c r="AA168" t="str">
        <f t="shared" ca="1" si="150"/>
        <v/>
      </c>
      <c r="AB168" s="19" t="str">
        <f t="shared" ca="1" si="151"/>
        <v/>
      </c>
      <c r="AC168" s="19" t="str">
        <f t="shared" ca="1" si="152"/>
        <v/>
      </c>
    </row>
    <row r="169" spans="3:29" x14ac:dyDescent="0.25">
      <c r="C169" s="4">
        <v>162</v>
      </c>
      <c r="D169" s="28">
        <v>42236</v>
      </c>
      <c r="E169" s="30">
        <v>18.943000000000001</v>
      </c>
      <c r="F169" s="30">
        <v>41.473178542834262</v>
      </c>
      <c r="G169" s="30">
        <v>6.9477804465794852</v>
      </c>
      <c r="H169" s="30">
        <v>48.438751000800636</v>
      </c>
      <c r="I169" s="8">
        <v>0</v>
      </c>
      <c r="J169" s="31">
        <v>0</v>
      </c>
      <c r="K169" s="31">
        <v>0</v>
      </c>
      <c r="L169" s="31">
        <v>0</v>
      </c>
      <c r="M169" s="31">
        <v>0</v>
      </c>
      <c r="N169" s="31">
        <v>0</v>
      </c>
      <c r="O169" s="31">
        <v>0</v>
      </c>
      <c r="P169" s="31">
        <v>1</v>
      </c>
      <c r="Q169" s="31">
        <v>0</v>
      </c>
      <c r="R169" s="31">
        <v>0</v>
      </c>
      <c r="S169" s="31">
        <v>0</v>
      </c>
      <c r="T169" s="21" t="str" cm="1">
        <f t="array" aca="1" ref="T169" ca="1">+fair_value_gap(OFFSET(S168,0,0,-1*$I$5,-1*$Z$1),OFFSET(E168,0,0,-1*$I$5,1),F169:S169,0)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69" s="7" t="str" cm="1">
        <f t="array" aca="1" ref="U169" ca="1">z_score_diff(OFFSET(T169,0,0,$I$5*-1,1),OFFSET(E169,0,0,$I$5*-1,1))</f>
        <v/>
      </c>
      <c r="V169" s="7" t="str">
        <f t="shared" ca="1" si="147"/>
        <v/>
      </c>
      <c r="W169" s="14">
        <f t="shared" ca="1" si="142"/>
        <v>6.0000180000969808E-3</v>
      </c>
      <c r="X169" s="10">
        <f t="shared" ref="X169:Y169" ca="1" si="182">+X168</f>
        <v>0</v>
      </c>
      <c r="Y169" s="10">
        <f t="shared" ca="1" si="182"/>
        <v>0</v>
      </c>
      <c r="Z169" t="str">
        <f t="shared" ca="1" si="149"/>
        <v/>
      </c>
      <c r="AA169" t="str">
        <f t="shared" ca="1" si="150"/>
        <v/>
      </c>
      <c r="AB169" s="19" t="str">
        <f t="shared" ca="1" si="151"/>
        <v/>
      </c>
      <c r="AC169" s="19" t="str">
        <f t="shared" ca="1" si="152"/>
        <v/>
      </c>
    </row>
    <row r="170" spans="3:29" x14ac:dyDescent="0.25">
      <c r="C170" s="4">
        <v>163</v>
      </c>
      <c r="D170" s="28">
        <v>42237</v>
      </c>
      <c r="E170" s="30">
        <v>18.899999999999999</v>
      </c>
      <c r="F170" s="30">
        <v>39.922718889962233</v>
      </c>
      <c r="G170" s="30">
        <v>6.7884429612716257</v>
      </c>
      <c r="H170" s="30">
        <v>47.773777114253093</v>
      </c>
      <c r="I170" s="8">
        <v>0</v>
      </c>
      <c r="J170" s="31">
        <v>0</v>
      </c>
      <c r="K170" s="31">
        <v>0</v>
      </c>
      <c r="L170" s="31">
        <v>0</v>
      </c>
      <c r="M170" s="31">
        <v>0</v>
      </c>
      <c r="N170" s="31">
        <v>0</v>
      </c>
      <c r="O170" s="31">
        <v>0</v>
      </c>
      <c r="P170" s="31">
        <v>1</v>
      </c>
      <c r="Q170" s="31">
        <v>0</v>
      </c>
      <c r="R170" s="31">
        <v>0</v>
      </c>
      <c r="S170" s="31">
        <v>0</v>
      </c>
      <c r="T170" s="21" t="str" cm="1">
        <f t="array" aca="1" ref="T170" ca="1">+fair_value_gap(OFFSET(S169,0,0,-1*$I$5,-1*$Z$1),OFFSET(E169,0,0,-1*$I$5,1),F170:S170,0)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70" s="7" t="str" cm="1">
        <f t="array" aca="1" ref="U170" ca="1">z_score_diff(OFFSET(T170,0,0,$I$5*-1,1),OFFSET(E170,0,0,$I$5*-1,1))</f>
        <v/>
      </c>
      <c r="V170" s="7" t="str">
        <f t="shared" ca="1" si="147"/>
        <v/>
      </c>
      <c r="W170" s="14">
        <f t="shared" ca="1" si="142"/>
        <v>1.4275519911855453E-3</v>
      </c>
      <c r="X170" s="10">
        <f t="shared" ref="X170:Y170" ca="1" si="183">+X169</f>
        <v>0</v>
      </c>
      <c r="Y170" s="10">
        <f t="shared" ca="1" si="183"/>
        <v>0</v>
      </c>
      <c r="Z170" t="str">
        <f t="shared" ca="1" si="149"/>
        <v/>
      </c>
      <c r="AA170" t="str">
        <f t="shared" ca="1" si="150"/>
        <v/>
      </c>
      <c r="AB170" s="19" t="str">
        <f t="shared" ca="1" si="151"/>
        <v/>
      </c>
      <c r="AC170" s="19" t="str">
        <f t="shared" ca="1" si="152"/>
        <v/>
      </c>
    </row>
    <row r="171" spans="3:29" x14ac:dyDescent="0.25">
      <c r="C171" s="4">
        <v>164</v>
      </c>
      <c r="D171" s="28">
        <v>42240</v>
      </c>
      <c r="E171" s="30">
        <v>18.358000000000001</v>
      </c>
      <c r="F171" s="30">
        <v>36.74470648992942</v>
      </c>
      <c r="G171" s="30">
        <v>6.6534687553795839</v>
      </c>
      <c r="H171" s="30">
        <v>46.823893957651919</v>
      </c>
      <c r="I171" s="8">
        <v>0</v>
      </c>
      <c r="J171" s="31">
        <v>0</v>
      </c>
      <c r="K171" s="31">
        <v>0</v>
      </c>
      <c r="L171" s="31">
        <v>0</v>
      </c>
      <c r="M171" s="31">
        <v>0</v>
      </c>
      <c r="N171" s="31">
        <v>0</v>
      </c>
      <c r="O171" s="31">
        <v>0</v>
      </c>
      <c r="P171" s="31">
        <v>1</v>
      </c>
      <c r="Q171" s="31">
        <v>0</v>
      </c>
      <c r="R171" s="31">
        <v>0</v>
      </c>
      <c r="S171" s="31">
        <v>0</v>
      </c>
      <c r="T171" s="21" t="str" cm="1">
        <f t="array" aca="1" ref="T171" ca="1">+fair_value_gap(OFFSET(S170,0,0,-1*$I$5,-1*$Z$1),OFFSET(E170,0,0,-1*$I$5,1),F171:S171,0)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71" s="7" t="str" cm="1">
        <f t="array" aca="1" ref="U171" ca="1">z_score_diff(OFFSET(T171,0,0,$I$5*-1,1),OFFSET(E171,0,0,$I$5*-1,1))</f>
        <v/>
      </c>
      <c r="V171" s="7" t="str">
        <f t="shared" ca="1" si="147"/>
        <v/>
      </c>
      <c r="W171" s="14">
        <f t="shared" ca="1" si="142"/>
        <v>2.2833517585522621E-2</v>
      </c>
      <c r="X171" s="10">
        <f t="shared" ref="X171:Y171" ca="1" si="184">+X170</f>
        <v>0</v>
      </c>
      <c r="Y171" s="10">
        <f t="shared" ca="1" si="184"/>
        <v>0</v>
      </c>
      <c r="Z171" t="str">
        <f t="shared" ca="1" si="149"/>
        <v/>
      </c>
      <c r="AA171" t="str">
        <f t="shared" ca="1" si="150"/>
        <v/>
      </c>
      <c r="AB171" s="19" t="str">
        <f t="shared" ca="1" si="151"/>
        <v/>
      </c>
      <c r="AC171" s="19" t="str">
        <f t="shared" ca="1" si="152"/>
        <v/>
      </c>
    </row>
    <row r="172" spans="3:29" x14ac:dyDescent="0.25">
      <c r="C172" s="4">
        <v>165</v>
      </c>
      <c r="D172" s="28">
        <v>42241</v>
      </c>
      <c r="E172" s="30">
        <v>18.728999999999999</v>
      </c>
      <c r="F172" s="30">
        <v>37.528226506861216</v>
      </c>
      <c r="G172" s="30">
        <v>6.6831683168316838</v>
      </c>
      <c r="H172" s="30">
        <v>47.246829946152509</v>
      </c>
      <c r="I172" s="8">
        <v>0</v>
      </c>
      <c r="J172" s="31">
        <v>0</v>
      </c>
      <c r="K172" s="31">
        <v>0</v>
      </c>
      <c r="L172" s="31">
        <v>0</v>
      </c>
      <c r="M172" s="31">
        <v>0</v>
      </c>
      <c r="N172" s="31">
        <v>0</v>
      </c>
      <c r="O172" s="31">
        <v>0</v>
      </c>
      <c r="P172" s="31">
        <v>1</v>
      </c>
      <c r="Q172" s="31">
        <v>0</v>
      </c>
      <c r="R172" s="31">
        <v>0</v>
      </c>
      <c r="S172" s="31">
        <v>0</v>
      </c>
      <c r="T172" s="21" t="str" cm="1">
        <f t="array" aca="1" ref="T172" ca="1">+fair_value_gap(OFFSET(S171,0,0,-1*$I$5,-1*$Z$1),OFFSET(E171,0,0,-1*$I$5,1),F172:S172,0)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72" s="7" t="str" cm="1">
        <f t="array" aca="1" ref="U172" ca="1">z_score_diff(OFFSET(T172,0,0,$I$5*-1,1),OFFSET(E172,0,0,$I$5*-1,1))</f>
        <v/>
      </c>
      <c r="V172" s="7" t="str">
        <f t="shared" ca="1" si="147"/>
        <v/>
      </c>
      <c r="W172" s="14">
        <f t="shared" ca="1" si="142"/>
        <v>1.1889105596446271E-2</v>
      </c>
      <c r="X172" s="10">
        <f t="shared" ref="X172:Y172" ca="1" si="185">+X171</f>
        <v>0</v>
      </c>
      <c r="Y172" s="10">
        <f t="shared" ca="1" si="185"/>
        <v>0</v>
      </c>
      <c r="Z172" t="str">
        <f t="shared" ca="1" si="149"/>
        <v/>
      </c>
      <c r="AA172" t="str">
        <f t="shared" ca="1" si="150"/>
        <v/>
      </c>
      <c r="AB172" s="19" t="str">
        <f t="shared" ca="1" si="151"/>
        <v/>
      </c>
      <c r="AC172" s="19" t="str">
        <f t="shared" ca="1" si="152"/>
        <v/>
      </c>
    </row>
    <row r="173" spans="3:29" x14ac:dyDescent="0.25">
      <c r="C173" s="4">
        <v>166</v>
      </c>
      <c r="D173" s="28">
        <v>42242</v>
      </c>
      <c r="E173" s="30">
        <v>18.628</v>
      </c>
      <c r="F173" s="30">
        <v>38.126380910296071</v>
      </c>
      <c r="G173" s="30">
        <v>6.8007070260715867</v>
      </c>
      <c r="H173" s="30">
        <v>48.121961997348656</v>
      </c>
      <c r="I173" s="8">
        <v>0</v>
      </c>
      <c r="J173" s="31">
        <v>0</v>
      </c>
      <c r="K173" s="31">
        <v>0</v>
      </c>
      <c r="L173" s="31">
        <v>0</v>
      </c>
      <c r="M173" s="31">
        <v>0</v>
      </c>
      <c r="N173" s="31">
        <v>0</v>
      </c>
      <c r="O173" s="31">
        <v>0</v>
      </c>
      <c r="P173" s="31">
        <v>1</v>
      </c>
      <c r="Q173" s="31">
        <v>0</v>
      </c>
      <c r="R173" s="31">
        <v>0</v>
      </c>
      <c r="S173" s="31">
        <v>0</v>
      </c>
      <c r="T173" s="21" t="str" cm="1">
        <f t="array" aca="1" ref="T173" ca="1">+fair_value_gap(OFFSET(S172,0,0,-1*$I$5,-1*$Z$1),OFFSET(E172,0,0,-1*$I$5,1),F173:S173,0)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73" s="7" t="str" cm="1">
        <f t="array" aca="1" ref="U173" ca="1">z_score_diff(OFFSET(T173,0,0,$I$5*-1,1),OFFSET(E173,0,0,$I$5*-1,1))</f>
        <v/>
      </c>
      <c r="V173" s="7" t="str">
        <f t="shared" ca="1" si="147"/>
        <v/>
      </c>
      <c r="W173" s="14">
        <f t="shared" ca="1" si="142"/>
        <v>1.3437335597223845E-2</v>
      </c>
      <c r="X173" s="10">
        <f t="shared" ref="X173:Y173" ca="1" si="186">+X172</f>
        <v>0</v>
      </c>
      <c r="Y173" s="10">
        <f t="shared" ca="1" si="186"/>
        <v>0</v>
      </c>
      <c r="Z173" t="str">
        <f t="shared" ca="1" si="149"/>
        <v/>
      </c>
      <c r="AA173" t="str">
        <f t="shared" ca="1" si="150"/>
        <v/>
      </c>
      <c r="AB173" s="19" t="str">
        <f t="shared" ca="1" si="151"/>
        <v/>
      </c>
      <c r="AC173" s="19" t="str">
        <f t="shared" ca="1" si="152"/>
        <v/>
      </c>
    </row>
    <row r="174" spans="3:29" x14ac:dyDescent="0.25">
      <c r="C174" s="4">
        <v>167</v>
      </c>
      <c r="D174" s="28">
        <v>42243</v>
      </c>
      <c r="E174" s="30">
        <v>18.972999999999999</v>
      </c>
      <c r="F174" s="30">
        <v>42.301876723294491</v>
      </c>
      <c r="G174" s="30">
        <v>6.8442586498265587</v>
      </c>
      <c r="H174" s="30">
        <v>48.341190073823711</v>
      </c>
      <c r="I174" s="8">
        <v>0</v>
      </c>
      <c r="J174" s="31">
        <v>0</v>
      </c>
      <c r="K174" s="31">
        <v>0</v>
      </c>
      <c r="L174" s="31">
        <v>0</v>
      </c>
      <c r="M174" s="31">
        <v>0</v>
      </c>
      <c r="N174" s="31">
        <v>0</v>
      </c>
      <c r="O174" s="31">
        <v>0</v>
      </c>
      <c r="P174" s="31">
        <v>1</v>
      </c>
      <c r="Q174" s="31">
        <v>0</v>
      </c>
      <c r="R174" s="31">
        <v>0</v>
      </c>
      <c r="S174" s="31">
        <v>0</v>
      </c>
      <c r="T174" s="21" t="str" cm="1">
        <f t="array" aca="1" ref="T174" ca="1">+fair_value_gap(OFFSET(S173,0,0,-1*$I$5,-1*$Z$1),OFFSET(E173,0,0,-1*$I$5,1),F174:S174,0)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74" s="7" t="str" cm="1">
        <f t="array" aca="1" ref="U174" ca="1">z_score_diff(OFFSET(T174,0,0,$I$5*-1,1),OFFSET(E174,0,0,$I$5*-1,1))</f>
        <v/>
      </c>
      <c r="V174" s="7" t="str">
        <f t="shared" ca="1" si="147"/>
        <v/>
      </c>
      <c r="W174" s="14">
        <f t="shared" ca="1" si="142"/>
        <v>-2.0554504255780631E-2</v>
      </c>
      <c r="X174" s="10">
        <f t="shared" ref="X174:Y174" ca="1" si="187">+X173</f>
        <v>0</v>
      </c>
      <c r="Y174" s="10">
        <f t="shared" ca="1" si="187"/>
        <v>0</v>
      </c>
      <c r="Z174" t="str">
        <f t="shared" ca="1" si="149"/>
        <v/>
      </c>
      <c r="AA174" t="str">
        <f t="shared" ca="1" si="150"/>
        <v/>
      </c>
      <c r="AB174" s="19" t="str">
        <f t="shared" ca="1" si="151"/>
        <v/>
      </c>
      <c r="AC174" s="19" t="str">
        <f t="shared" ca="1" si="152"/>
        <v/>
      </c>
    </row>
    <row r="175" spans="3:29" x14ac:dyDescent="0.25">
      <c r="C175" s="4">
        <v>168</v>
      </c>
      <c r="D175" s="28">
        <v>42244</v>
      </c>
      <c r="E175" s="30">
        <v>18.972999999999999</v>
      </c>
      <c r="F175" s="30">
        <v>44.771446462116472</v>
      </c>
      <c r="G175" s="30">
        <v>6.856606136505949</v>
      </c>
      <c r="H175" s="30">
        <v>48.617944359960646</v>
      </c>
      <c r="I175" s="8">
        <v>0</v>
      </c>
      <c r="J175" s="31">
        <v>0</v>
      </c>
      <c r="K175" s="31">
        <v>0</v>
      </c>
      <c r="L175" s="31">
        <v>0</v>
      </c>
      <c r="M175" s="31">
        <v>0</v>
      </c>
      <c r="N175" s="31">
        <v>0</v>
      </c>
      <c r="O175" s="31">
        <v>0</v>
      </c>
      <c r="P175" s="31">
        <v>1</v>
      </c>
      <c r="Q175" s="31">
        <v>0</v>
      </c>
      <c r="R175" s="31">
        <v>0</v>
      </c>
      <c r="S175" s="31">
        <v>0</v>
      </c>
      <c r="T175" s="21" t="str" cm="1">
        <f t="array" aca="1" ref="T175" ca="1">+fair_value_gap(OFFSET(S174,0,0,-1*$I$5,-1*$Z$1),OFFSET(E174,0,0,-1*$I$5,1),F175:S175,0)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75" s="7" t="str" cm="1">
        <f t="array" aca="1" ref="U175" ca="1">z_score_diff(OFFSET(T175,0,0,$I$5*-1,1),OFFSET(E175,0,0,$I$5*-1,1))</f>
        <v/>
      </c>
      <c r="V175" s="7" t="str">
        <f t="shared" ca="1" si="147"/>
        <v/>
      </c>
      <c r="W175" s="14">
        <f t="shared" ca="1" si="142"/>
        <v>-1.1663176264211556E-2</v>
      </c>
      <c r="X175" s="10">
        <f t="shared" ref="X175:Y175" ca="1" si="188">+X174</f>
        <v>0</v>
      </c>
      <c r="Y175" s="10">
        <f t="shared" ca="1" si="188"/>
        <v>0</v>
      </c>
      <c r="Z175" t="str">
        <f t="shared" ca="1" si="149"/>
        <v/>
      </c>
      <c r="AA175" t="str">
        <f t="shared" ca="1" si="150"/>
        <v/>
      </c>
      <c r="AB175" s="19" t="str">
        <f t="shared" ca="1" si="151"/>
        <v/>
      </c>
      <c r="AC175" s="19" t="str">
        <f t="shared" ca="1" si="152"/>
        <v/>
      </c>
    </row>
    <row r="176" spans="3:29" x14ac:dyDescent="0.25">
      <c r="C176" s="4">
        <v>169</v>
      </c>
      <c r="D176" s="28">
        <v>42247</v>
      </c>
      <c r="E176" s="30">
        <v>19.25</v>
      </c>
      <c r="F176" s="30">
        <v>48.300776023548302</v>
      </c>
      <c r="G176" s="30">
        <v>6.8370350548568375</v>
      </c>
      <c r="H176" s="30">
        <v>48.479172241548483</v>
      </c>
      <c r="I176" s="8">
        <v>0</v>
      </c>
      <c r="J176" s="31">
        <v>0</v>
      </c>
      <c r="K176" s="31">
        <v>0</v>
      </c>
      <c r="L176" s="31">
        <v>0</v>
      </c>
      <c r="M176" s="31">
        <v>0</v>
      </c>
      <c r="N176" s="31">
        <v>0</v>
      </c>
      <c r="O176" s="31">
        <v>0</v>
      </c>
      <c r="P176" s="31">
        <v>1</v>
      </c>
      <c r="Q176" s="31">
        <v>0</v>
      </c>
      <c r="R176" s="31">
        <v>0</v>
      </c>
      <c r="S176" s="31">
        <v>0</v>
      </c>
      <c r="T176" s="21" t="str" cm="1">
        <f t="array" aca="1" ref="T176" ca="1">+fair_value_gap(OFFSET(S175,0,0,-1*$I$5,-1*$Z$1),OFFSET(E175,0,0,-1*$I$5,1),F176:S176,0)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76" s="7" t="str" cm="1">
        <f t="array" aca="1" ref="U176" ca="1">z_score_diff(OFFSET(T176,0,0,$I$5*-1,1),OFFSET(E176,0,0,$I$5*-1,1))</f>
        <v/>
      </c>
      <c r="V176" s="7" t="str">
        <f t="shared" ca="1" si="147"/>
        <v/>
      </c>
      <c r="W176" s="14">
        <f t="shared" ca="1" si="142"/>
        <v>-3.9956568243826283E-2</v>
      </c>
      <c r="X176" s="10">
        <f t="shared" ref="X176:Y176" ca="1" si="189">+X175</f>
        <v>0</v>
      </c>
      <c r="Y176" s="10">
        <f t="shared" ca="1" si="189"/>
        <v>0</v>
      </c>
      <c r="Z176" t="str">
        <f t="shared" ca="1" si="149"/>
        <v/>
      </c>
      <c r="AA176" t="str">
        <f t="shared" ca="1" si="150"/>
        <v/>
      </c>
      <c r="AB176" s="19" t="str">
        <f t="shared" ca="1" si="151"/>
        <v/>
      </c>
      <c r="AC176" s="19" t="str">
        <f t="shared" ca="1" si="152"/>
        <v/>
      </c>
    </row>
    <row r="177" spans="3:29" x14ac:dyDescent="0.25">
      <c r="C177" s="4">
        <v>170</v>
      </c>
      <c r="D177" s="28">
        <v>42248</v>
      </c>
      <c r="E177" s="30">
        <v>19.384</v>
      </c>
      <c r="F177" s="30">
        <v>43.792524520632682</v>
      </c>
      <c r="G177" s="30">
        <v>6.772996377131749</v>
      </c>
      <c r="H177" s="30">
        <v>47.848369709286914</v>
      </c>
      <c r="I177" s="8">
        <v>0</v>
      </c>
      <c r="J177" s="31">
        <v>0</v>
      </c>
      <c r="K177" s="31">
        <v>0</v>
      </c>
      <c r="L177" s="31">
        <v>0</v>
      </c>
      <c r="M177" s="31">
        <v>0</v>
      </c>
      <c r="N177" s="31">
        <v>0</v>
      </c>
      <c r="O177" s="31">
        <v>0</v>
      </c>
      <c r="P177" s="31">
        <v>0</v>
      </c>
      <c r="Q177" s="31">
        <v>1</v>
      </c>
      <c r="R177" s="31">
        <v>0</v>
      </c>
      <c r="S177" s="31">
        <v>0</v>
      </c>
      <c r="T177" s="21" t="str" cm="1">
        <f t="array" aca="1" ref="T177" ca="1">+fair_value_gap(OFFSET(S176,0,0,-1*$I$5,-1*$Z$1),OFFSET(E176,0,0,-1*$I$5,1),F177:S177,0)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77" s="7" t="str" cm="1">
        <f t="array" aca="1" ref="U177" ca="1">z_score_diff(OFFSET(T177,0,0,$I$5*-1,1),OFFSET(E177,0,0,$I$5*-1,1))</f>
        <v/>
      </c>
      <c r="V177" s="7" t="str">
        <f t="shared" ca="1" si="147"/>
        <v/>
      </c>
      <c r="W177" s="14">
        <f t="shared" ca="1" si="142"/>
        <v>-4.7650698048375933E-2</v>
      </c>
      <c r="X177" s="10">
        <f t="shared" ref="X177:Y177" ca="1" si="190">+X176</f>
        <v>0</v>
      </c>
      <c r="Y177" s="10">
        <f t="shared" ca="1" si="190"/>
        <v>0</v>
      </c>
      <c r="Z177" t="str">
        <f t="shared" ca="1" si="149"/>
        <v/>
      </c>
      <c r="AA177" t="str">
        <f t="shared" ca="1" si="150"/>
        <v/>
      </c>
      <c r="AB177" s="19" t="str">
        <f t="shared" ca="1" si="151"/>
        <v/>
      </c>
      <c r="AC177" s="19" t="str">
        <f t="shared" ca="1" si="152"/>
        <v/>
      </c>
    </row>
    <row r="178" spans="3:29" x14ac:dyDescent="0.25">
      <c r="C178" s="4">
        <v>171</v>
      </c>
      <c r="D178" s="28">
        <v>42249</v>
      </c>
      <c r="E178" s="30">
        <v>19.501000000000001</v>
      </c>
      <c r="F178" s="30">
        <v>44.98485658293248</v>
      </c>
      <c r="G178" s="30">
        <v>6.8056297879921601</v>
      </c>
      <c r="H178" s="30">
        <v>48.147158382326737</v>
      </c>
      <c r="I178" s="8">
        <v>0</v>
      </c>
      <c r="J178" s="31">
        <v>0</v>
      </c>
      <c r="K178" s="31">
        <v>0</v>
      </c>
      <c r="L178" s="31">
        <v>0</v>
      </c>
      <c r="M178" s="31">
        <v>0</v>
      </c>
      <c r="N178" s="31">
        <v>0</v>
      </c>
      <c r="O178" s="31">
        <v>0</v>
      </c>
      <c r="P178" s="31">
        <v>0</v>
      </c>
      <c r="Q178" s="31">
        <v>1</v>
      </c>
      <c r="R178" s="31">
        <v>0</v>
      </c>
      <c r="S178" s="31">
        <v>0</v>
      </c>
      <c r="T178" s="21" t="str" cm="1">
        <f t="array" aca="1" ref="T178" ca="1">+fair_value_gap(OFFSET(S177,0,0,-1*$I$5,-1*$Z$1),OFFSET(E177,0,0,-1*$I$5,1),F178:S178,0)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78" s="7" t="str" cm="1">
        <f t="array" aca="1" ref="U178" ca="1">z_score_diff(OFFSET(T178,0,0,$I$5*-1,1),OFFSET(E178,0,0,$I$5*-1,1))</f>
        <v/>
      </c>
      <c r="V178" s="7" t="str">
        <f t="shared" ca="1" si="147"/>
        <v/>
      </c>
      <c r="W178" s="14">
        <f t="shared" ca="1" si="142"/>
        <v>-4.3708487255643885E-2</v>
      </c>
      <c r="X178" s="10">
        <f t="shared" ref="X178:Y178" ca="1" si="191">+X177</f>
        <v>0</v>
      </c>
      <c r="Y178" s="10">
        <f t="shared" ca="1" si="191"/>
        <v>0</v>
      </c>
      <c r="Z178" t="str">
        <f t="shared" ca="1" si="149"/>
        <v/>
      </c>
      <c r="AA178" t="str">
        <f t="shared" ca="1" si="150"/>
        <v/>
      </c>
      <c r="AB178" s="19" t="str">
        <f t="shared" ca="1" si="151"/>
        <v/>
      </c>
      <c r="AC178" s="19" t="str">
        <f t="shared" ca="1" si="152"/>
        <v/>
      </c>
    </row>
    <row r="179" spans="3:29" x14ac:dyDescent="0.25">
      <c r="C179" s="4">
        <v>172</v>
      </c>
      <c r="D179" s="28">
        <v>42250</v>
      </c>
      <c r="E179" s="30">
        <v>19.704000000000001</v>
      </c>
      <c r="F179" s="30">
        <v>45.571441417138743</v>
      </c>
      <c r="G179" s="30">
        <v>6.8519018073914211</v>
      </c>
      <c r="H179" s="30">
        <v>48.601744447441767</v>
      </c>
      <c r="I179" s="8">
        <v>0</v>
      </c>
      <c r="J179" s="31">
        <v>0</v>
      </c>
      <c r="K179" s="31">
        <v>0</v>
      </c>
      <c r="L179" s="31">
        <v>0</v>
      </c>
      <c r="M179" s="31">
        <v>0</v>
      </c>
      <c r="N179" s="31">
        <v>0</v>
      </c>
      <c r="O179" s="31">
        <v>0</v>
      </c>
      <c r="P179" s="31">
        <v>0</v>
      </c>
      <c r="Q179" s="31">
        <v>1</v>
      </c>
      <c r="R179" s="31">
        <v>0</v>
      </c>
      <c r="S179" s="31">
        <v>0</v>
      </c>
      <c r="T179" s="21" t="str" cm="1">
        <f t="array" aca="1" ref="T179" ca="1">+fair_value_gap(OFFSET(S178,0,0,-1*$I$5,-1*$Z$1),OFFSET(E178,0,0,-1*$I$5,1),F179:S179,0)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79" s="7" t="str" cm="1">
        <f t="array" aca="1" ref="U179" ca="1">z_score_diff(OFFSET(T179,0,0,$I$5*-1,1),OFFSET(E179,0,0,$I$5*-1,1))</f>
        <v/>
      </c>
      <c r="V179" s="7" t="str">
        <f t="shared" ca="1" si="147"/>
        <v/>
      </c>
      <c r="W179" s="14">
        <f t="shared" ca="1" si="142"/>
        <v>-6.8688411140559388E-2</v>
      </c>
      <c r="X179" s="10">
        <f t="shared" ref="X179:Y179" ca="1" si="192">+X178</f>
        <v>0</v>
      </c>
      <c r="Y179" s="10">
        <f t="shared" ca="1" si="192"/>
        <v>0</v>
      </c>
      <c r="Z179" t="str">
        <f t="shared" ca="1" si="149"/>
        <v/>
      </c>
      <c r="AA179" t="str">
        <f t="shared" ca="1" si="150"/>
        <v/>
      </c>
      <c r="AB179" s="19" t="str">
        <f t="shared" ca="1" si="151"/>
        <v/>
      </c>
      <c r="AC179" s="19" t="str">
        <f t="shared" ca="1" si="152"/>
        <v/>
      </c>
    </row>
    <row r="180" spans="3:29" x14ac:dyDescent="0.25">
      <c r="C180" s="4">
        <v>173</v>
      </c>
      <c r="D180" s="28">
        <v>42251</v>
      </c>
      <c r="E180" s="30">
        <v>19.425000000000001</v>
      </c>
      <c r="F180" s="30">
        <v>44.509240983312395</v>
      </c>
      <c r="G180" s="30">
        <v>6.8320473712542613</v>
      </c>
      <c r="H180" s="30">
        <v>47.909563969136904</v>
      </c>
      <c r="I180" s="8">
        <v>0</v>
      </c>
      <c r="J180" s="31">
        <v>0</v>
      </c>
      <c r="K180" s="31">
        <v>0</v>
      </c>
      <c r="L180" s="31">
        <v>0</v>
      </c>
      <c r="M180" s="31">
        <v>0</v>
      </c>
      <c r="N180" s="31">
        <v>0</v>
      </c>
      <c r="O180" s="31">
        <v>0</v>
      </c>
      <c r="P180" s="31">
        <v>0</v>
      </c>
      <c r="Q180" s="31">
        <v>1</v>
      </c>
      <c r="R180" s="31">
        <v>0</v>
      </c>
      <c r="S180" s="31">
        <v>0</v>
      </c>
      <c r="T180" s="21" t="str" cm="1">
        <f t="array" aca="1" ref="T180" ca="1">+fair_value_gap(OFFSET(S179,0,0,-1*$I$5,-1*$Z$1),OFFSET(E179,0,0,-1*$I$5,1),F180:S180,0)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80" s="7" t="str" cm="1">
        <f t="array" aca="1" ref="U180" ca="1">z_score_diff(OFFSET(T180,0,0,$I$5*-1,1),OFFSET(E180,0,0,$I$5*-1,1))</f>
        <v/>
      </c>
      <c r="V180" s="7" t="str">
        <f t="shared" ca="1" si="147"/>
        <v/>
      </c>
      <c r="W180" s="14">
        <f t="shared" ca="1" si="142"/>
        <v>-6.640383762274954E-2</v>
      </c>
      <c r="X180" s="10">
        <f t="shared" ref="X180:Y180" ca="1" si="193">+X179</f>
        <v>0</v>
      </c>
      <c r="Y180" s="10">
        <f t="shared" ca="1" si="193"/>
        <v>0</v>
      </c>
      <c r="Z180" t="str">
        <f t="shared" ca="1" si="149"/>
        <v/>
      </c>
      <c r="AA180" t="str">
        <f t="shared" ca="1" si="150"/>
        <v/>
      </c>
      <c r="AB180" s="19" t="str">
        <f t="shared" ca="1" si="151"/>
        <v/>
      </c>
      <c r="AC180" s="19" t="str">
        <f t="shared" ca="1" si="152"/>
        <v/>
      </c>
    </row>
    <row r="181" spans="3:29" x14ac:dyDescent="0.25">
      <c r="C181" s="4">
        <v>174</v>
      </c>
      <c r="D181" s="28">
        <v>42254</v>
      </c>
      <c r="E181" s="30">
        <v>19.344999999999999</v>
      </c>
      <c r="F181" s="30">
        <v>42.652458135578044</v>
      </c>
      <c r="G181" s="30">
        <v>6.81919942688278</v>
      </c>
      <c r="H181" s="30">
        <v>47.058296767260678</v>
      </c>
      <c r="I181" s="8">
        <v>0</v>
      </c>
      <c r="J181" s="31">
        <v>0</v>
      </c>
      <c r="K181" s="31">
        <v>0</v>
      </c>
      <c r="L181" s="31">
        <v>0</v>
      </c>
      <c r="M181" s="31">
        <v>0</v>
      </c>
      <c r="N181" s="31">
        <v>0</v>
      </c>
      <c r="O181" s="31">
        <v>0</v>
      </c>
      <c r="P181" s="31">
        <v>0</v>
      </c>
      <c r="Q181" s="31">
        <v>1</v>
      </c>
      <c r="R181" s="31">
        <v>0</v>
      </c>
      <c r="S181" s="31">
        <v>0</v>
      </c>
      <c r="T181" s="21" t="str" cm="1">
        <f t="array" aca="1" ref="T181" ca="1">+fair_value_gap(OFFSET(S180,0,0,-1*$I$5,-1*$Z$1),OFFSET(E180,0,0,-1*$I$5,1),F181:S181,0)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81" s="7" t="str" cm="1">
        <f t="array" aca="1" ref="U181" ca="1">z_score_diff(OFFSET(T181,0,0,$I$5*-1,1),OFFSET(E181,0,0,$I$5*-1,1))</f>
        <v/>
      </c>
      <c r="V181" s="7" t="str">
        <f t="shared" ca="1" si="147"/>
        <v/>
      </c>
      <c r="W181" s="14">
        <f t="shared" ca="1" si="142"/>
        <v>-5.1116465740849049E-2</v>
      </c>
      <c r="X181" s="10">
        <f t="shared" ref="X181:Y181" ca="1" si="194">+X180</f>
        <v>0</v>
      </c>
      <c r="Y181" s="10">
        <f t="shared" ca="1" si="194"/>
        <v>0</v>
      </c>
      <c r="Z181" t="str">
        <f t="shared" ca="1" si="149"/>
        <v/>
      </c>
      <c r="AA181" t="str">
        <f t="shared" ca="1" si="150"/>
        <v/>
      </c>
      <c r="AB181" s="19" t="str">
        <f t="shared" ca="1" si="151"/>
        <v/>
      </c>
      <c r="AC181" s="19" t="str">
        <f t="shared" ca="1" si="152"/>
        <v/>
      </c>
    </row>
    <row r="182" spans="3:29" x14ac:dyDescent="0.25">
      <c r="C182" s="4">
        <v>175</v>
      </c>
      <c r="D182" s="28">
        <v>42255</v>
      </c>
      <c r="E182" s="30">
        <v>19.343</v>
      </c>
      <c r="F182" s="30">
        <v>44.218233770872409</v>
      </c>
      <c r="G182" s="30">
        <v>6.7416733636931871</v>
      </c>
      <c r="H182" s="30">
        <v>46.968479328511478</v>
      </c>
      <c r="I182" s="8">
        <v>0</v>
      </c>
      <c r="J182" s="31">
        <v>0</v>
      </c>
      <c r="K182" s="31">
        <v>0</v>
      </c>
      <c r="L182" s="31">
        <v>0</v>
      </c>
      <c r="M182" s="31">
        <v>0</v>
      </c>
      <c r="N182" s="31">
        <v>0</v>
      </c>
      <c r="O182" s="31">
        <v>0</v>
      </c>
      <c r="P182" s="31">
        <v>0</v>
      </c>
      <c r="Q182" s="31">
        <v>1</v>
      </c>
      <c r="R182" s="31">
        <v>0</v>
      </c>
      <c r="S182" s="31">
        <v>0</v>
      </c>
      <c r="T182" s="21" t="str" cm="1">
        <f t="array" aca="1" ref="T182" ca="1">+fair_value_gap(OFFSET(S181,0,0,-1*$I$5,-1*$Z$1),OFFSET(E181,0,0,-1*$I$5,1),F182:S182,0)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82" s="7" t="str" cm="1">
        <f t="array" aca="1" ref="U182" ca="1">z_score_diff(OFFSET(T182,0,0,$I$5*-1,1),OFFSET(E182,0,0,$I$5*-1,1))</f>
        <v/>
      </c>
      <c r="V182" s="7" t="str">
        <f t="shared" ca="1" si="147"/>
        <v/>
      </c>
      <c r="W182" s="14">
        <f t="shared" ca="1" si="142"/>
        <v>-2.5340343389732515E-2</v>
      </c>
      <c r="X182" s="10">
        <f t="shared" ref="X182:Y182" ca="1" si="195">+X181</f>
        <v>0</v>
      </c>
      <c r="Y182" s="10">
        <f t="shared" ca="1" si="195"/>
        <v>0</v>
      </c>
      <c r="Z182" t="str">
        <f t="shared" ca="1" si="149"/>
        <v/>
      </c>
      <c r="AA182" t="str">
        <f t="shared" ca="1" si="150"/>
        <v/>
      </c>
      <c r="AB182" s="19" t="str">
        <f t="shared" ca="1" si="151"/>
        <v/>
      </c>
      <c r="AC182" s="19" t="str">
        <f t="shared" ca="1" si="152"/>
        <v/>
      </c>
    </row>
    <row r="183" spans="3:29" x14ac:dyDescent="0.25">
      <c r="C183" s="4">
        <v>176</v>
      </c>
      <c r="D183" s="28">
        <v>42256</v>
      </c>
      <c r="E183" s="30">
        <v>19.388000000000002</v>
      </c>
      <c r="F183" s="30">
        <v>42.466976079971438</v>
      </c>
      <c r="G183" s="30">
        <v>6.7386647625847909</v>
      </c>
      <c r="H183" s="30">
        <v>46.679757229560863</v>
      </c>
      <c r="I183" s="8">
        <v>0</v>
      </c>
      <c r="J183" s="31">
        <v>0</v>
      </c>
      <c r="K183" s="31">
        <v>0</v>
      </c>
      <c r="L183" s="31">
        <v>0</v>
      </c>
      <c r="M183" s="31">
        <v>0</v>
      </c>
      <c r="N183" s="31">
        <v>0</v>
      </c>
      <c r="O183" s="31">
        <v>0</v>
      </c>
      <c r="P183" s="31">
        <v>0</v>
      </c>
      <c r="Q183" s="31">
        <v>1</v>
      </c>
      <c r="R183" s="31">
        <v>0</v>
      </c>
      <c r="S183" s="31">
        <v>0</v>
      </c>
      <c r="T183" s="21" t="str" cm="1">
        <f t="array" aca="1" ref="T183" ca="1">+fair_value_gap(OFFSET(S182,0,0,-1*$I$5,-1*$Z$1),OFFSET(E182,0,0,-1*$I$5,1),F183:S183,0)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83" s="7" t="str" cm="1">
        <f t="array" aca="1" ref="U183" ca="1">z_score_diff(OFFSET(T183,0,0,$I$5*-1,1),OFFSET(E183,0,0,$I$5*-1,1))</f>
        <v/>
      </c>
      <c r="V183" s="7" t="str">
        <f t="shared" ca="1" si="147"/>
        <v/>
      </c>
      <c r="W183" s="14">
        <f t="shared" ca="1" si="142"/>
        <v>-3.3673921658835669E-2</v>
      </c>
      <c r="X183" s="10">
        <f t="shared" ref="X183:Y183" ca="1" si="196">+X182</f>
        <v>0</v>
      </c>
      <c r="Y183" s="10">
        <f t="shared" ca="1" si="196"/>
        <v>0</v>
      </c>
      <c r="Z183" t="str">
        <f t="shared" ca="1" si="149"/>
        <v/>
      </c>
      <c r="AA183" t="str">
        <f t="shared" ca="1" si="150"/>
        <v/>
      </c>
      <c r="AB183" s="19" t="str">
        <f t="shared" ca="1" si="151"/>
        <v/>
      </c>
      <c r="AC183" s="19" t="str">
        <f t="shared" ca="1" si="152"/>
        <v/>
      </c>
    </row>
    <row r="184" spans="3:29" x14ac:dyDescent="0.25">
      <c r="C184" s="4">
        <v>177</v>
      </c>
      <c r="D184" s="28">
        <v>42257</v>
      </c>
      <c r="E184" s="30">
        <v>19.321000000000002</v>
      </c>
      <c r="F184" s="30">
        <v>43.357573607662296</v>
      </c>
      <c r="G184" s="30">
        <v>6.6956367506207881</v>
      </c>
      <c r="H184" s="30">
        <v>46.60340546293012</v>
      </c>
      <c r="I184" s="8">
        <v>0</v>
      </c>
      <c r="J184" s="31">
        <v>0</v>
      </c>
      <c r="K184" s="31">
        <v>0</v>
      </c>
      <c r="L184" s="31">
        <v>0</v>
      </c>
      <c r="M184" s="31">
        <v>0</v>
      </c>
      <c r="N184" s="31">
        <v>0</v>
      </c>
      <c r="O184" s="31">
        <v>0</v>
      </c>
      <c r="P184" s="31">
        <v>0</v>
      </c>
      <c r="Q184" s="31">
        <v>1</v>
      </c>
      <c r="R184" s="31">
        <v>0</v>
      </c>
      <c r="S184" s="31">
        <v>0</v>
      </c>
      <c r="T184" s="21" t="str" cm="1">
        <f t="array" aca="1" ref="T184" ca="1">+fair_value_gap(OFFSET(S183,0,0,-1*$I$5,-1*$Z$1),OFFSET(E183,0,0,-1*$I$5,1),F184:S184,0)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84" s="7" t="str" cm="1">
        <f t="array" aca="1" ref="U184" ca="1">z_score_diff(OFFSET(T184,0,0,$I$5*-1,1),OFFSET(E184,0,0,$I$5*-1,1))</f>
        <v/>
      </c>
      <c r="V184" s="7" t="str">
        <f t="shared" ca="1" si="147"/>
        <v/>
      </c>
      <c r="W184" s="14">
        <f t="shared" ca="1" si="142"/>
        <v>-2.7335717443342976E-2</v>
      </c>
      <c r="X184" s="10">
        <f t="shared" ref="X184:Y184" ca="1" si="197">+X183</f>
        <v>0</v>
      </c>
      <c r="Y184" s="10">
        <f t="shared" ca="1" si="197"/>
        <v>0</v>
      </c>
      <c r="Z184" t="str">
        <f t="shared" ca="1" si="149"/>
        <v/>
      </c>
      <c r="AA184" t="str">
        <f t="shared" ca="1" si="150"/>
        <v/>
      </c>
      <c r="AB184" s="19" t="str">
        <f t="shared" ca="1" si="151"/>
        <v/>
      </c>
      <c r="AC184" s="19" t="str">
        <f t="shared" ca="1" si="152"/>
        <v/>
      </c>
    </row>
    <row r="185" spans="3:29" x14ac:dyDescent="0.25">
      <c r="C185" s="4">
        <v>178</v>
      </c>
      <c r="D185" s="28">
        <v>42258</v>
      </c>
      <c r="E185" s="30">
        <v>19.277999999999999</v>
      </c>
      <c r="F185" s="30">
        <v>42.455242966751925</v>
      </c>
      <c r="G185" s="30">
        <v>6.6584354881382843</v>
      </c>
      <c r="H185" s="30">
        <v>46.168092424376056</v>
      </c>
      <c r="I185" s="8">
        <v>0</v>
      </c>
      <c r="J185" s="31">
        <v>0</v>
      </c>
      <c r="K185" s="31">
        <v>0</v>
      </c>
      <c r="L185" s="31">
        <v>0</v>
      </c>
      <c r="M185" s="31">
        <v>0</v>
      </c>
      <c r="N185" s="31">
        <v>0</v>
      </c>
      <c r="O185" s="31">
        <v>0</v>
      </c>
      <c r="P185" s="31">
        <v>0</v>
      </c>
      <c r="Q185" s="31">
        <v>1</v>
      </c>
      <c r="R185" s="31">
        <v>0</v>
      </c>
      <c r="S185" s="31">
        <v>0</v>
      </c>
      <c r="T185" s="21" t="str" cm="1">
        <f t="array" aca="1" ref="T185" ca="1">+fair_value_gap(OFFSET(S184,0,0,-1*$I$5,-1*$Z$1),OFFSET(E184,0,0,-1*$I$5,1),F185:S185,0)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85" s="7" t="str" cm="1">
        <f t="array" aca="1" ref="U185" ca="1">z_score_diff(OFFSET(T185,0,0,$I$5*-1,1),OFFSET(E185,0,0,$I$5*-1,1))</f>
        <v/>
      </c>
      <c r="V185" s="7" t="str">
        <f t="shared" ca="1" si="147"/>
        <v/>
      </c>
      <c r="W185" s="14">
        <f t="shared" ca="1" si="142"/>
        <v>-2.7557486364342819E-2</v>
      </c>
      <c r="X185" s="10">
        <f t="shared" ref="X185:Y185" ca="1" si="198">+X184</f>
        <v>0</v>
      </c>
      <c r="Y185" s="10">
        <f t="shared" ca="1" si="198"/>
        <v>0</v>
      </c>
      <c r="Z185" t="str">
        <f t="shared" ca="1" si="149"/>
        <v/>
      </c>
      <c r="AA185" t="str">
        <f t="shared" ca="1" si="150"/>
        <v/>
      </c>
      <c r="AB185" s="19" t="str">
        <f t="shared" ca="1" si="151"/>
        <v/>
      </c>
      <c r="AC185" s="19" t="str">
        <f t="shared" ca="1" si="152"/>
        <v/>
      </c>
    </row>
    <row r="186" spans="3:29" x14ac:dyDescent="0.25">
      <c r="C186" s="4">
        <v>179</v>
      </c>
      <c r="D186" s="28">
        <v>42261</v>
      </c>
      <c r="E186" s="30">
        <v>19.172000000000001</v>
      </c>
      <c r="F186" s="30">
        <v>40.970136066442834</v>
      </c>
      <c r="G186" s="30">
        <v>6.6531189256052317</v>
      </c>
      <c r="H186" s="30">
        <v>46.121222830888854</v>
      </c>
      <c r="I186" s="8">
        <v>0</v>
      </c>
      <c r="J186" s="31">
        <v>0</v>
      </c>
      <c r="K186" s="31">
        <v>0</v>
      </c>
      <c r="L186" s="31">
        <v>0</v>
      </c>
      <c r="M186" s="31">
        <v>0</v>
      </c>
      <c r="N186" s="31">
        <v>0</v>
      </c>
      <c r="O186" s="31">
        <v>0</v>
      </c>
      <c r="P186" s="31">
        <v>0</v>
      </c>
      <c r="Q186" s="31">
        <v>1</v>
      </c>
      <c r="R186" s="31">
        <v>0</v>
      </c>
      <c r="S186" s="31">
        <v>0</v>
      </c>
      <c r="T186" s="21" t="str" cm="1">
        <f t="array" aca="1" ref="T186" ca="1">+fair_value_gap(OFFSET(S185,0,0,-1*$I$5,-1*$Z$1),OFFSET(E185,0,0,-1*$I$5,1),F186:S186,0)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86" s="7" t="str" cm="1">
        <f t="array" aca="1" ref="U186" ca="1">z_score_diff(OFFSET(T186,0,0,$I$5*-1,1),OFFSET(E186,0,0,$I$5*-1,1))</f>
        <v/>
      </c>
      <c r="V186" s="7" t="str">
        <f t="shared" ca="1" si="147"/>
        <v/>
      </c>
      <c r="W186" s="14">
        <f t="shared" ca="1" si="142"/>
        <v>-3.8440712821756456E-2</v>
      </c>
      <c r="X186" s="10">
        <f t="shared" ref="X186:Y186" ca="1" si="199">+X185</f>
        <v>0</v>
      </c>
      <c r="Y186" s="10">
        <f t="shared" ca="1" si="199"/>
        <v>0</v>
      </c>
      <c r="Z186" t="str">
        <f t="shared" ca="1" si="149"/>
        <v/>
      </c>
      <c r="AA186" t="str">
        <f t="shared" ca="1" si="150"/>
        <v/>
      </c>
      <c r="AB186" s="19" t="str">
        <f t="shared" ca="1" si="151"/>
        <v/>
      </c>
      <c r="AC186" s="19" t="str">
        <f t="shared" ca="1" si="152"/>
        <v/>
      </c>
    </row>
    <row r="187" spans="3:29" x14ac:dyDescent="0.25">
      <c r="C187" s="4">
        <v>180</v>
      </c>
      <c r="D187" s="28">
        <v>42262</v>
      </c>
      <c r="E187" s="30">
        <v>19.04</v>
      </c>
      <c r="F187" s="30">
        <v>41.390023078288657</v>
      </c>
      <c r="G187" s="30">
        <v>6.6838274454109712</v>
      </c>
      <c r="H187" s="30">
        <v>46.156577312266997</v>
      </c>
      <c r="I187" s="8">
        <v>0</v>
      </c>
      <c r="J187" s="31">
        <v>0</v>
      </c>
      <c r="K187" s="31">
        <v>0</v>
      </c>
      <c r="L187" s="31">
        <v>0</v>
      </c>
      <c r="M187" s="31">
        <v>0</v>
      </c>
      <c r="N187" s="31">
        <v>0</v>
      </c>
      <c r="O187" s="31">
        <v>0</v>
      </c>
      <c r="P187" s="31">
        <v>0</v>
      </c>
      <c r="Q187" s="31">
        <v>1</v>
      </c>
      <c r="R187" s="31">
        <v>0</v>
      </c>
      <c r="S187" s="31">
        <v>0</v>
      </c>
      <c r="T187" s="21" t="str" cm="1">
        <f t="array" aca="1" ref="T187" ca="1">+fair_value_gap(OFFSET(S186,0,0,-1*$I$5,-1*$Z$1),OFFSET(E186,0,0,-1*$I$5,1),F187:S187,0)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87" s="7" t="str" cm="1">
        <f t="array" aca="1" ref="U187" ca="1">z_score_diff(OFFSET(T187,0,0,$I$5*-1,1),OFFSET(E187,0,0,$I$5*-1,1))</f>
        <v/>
      </c>
      <c r="V187" s="7" t="str">
        <f t="shared" ca="1" si="147"/>
        <v/>
      </c>
      <c r="W187" s="14">
        <f t="shared" ca="1" si="142"/>
        <v>-4.6439986824478474E-2</v>
      </c>
      <c r="X187" s="10">
        <f t="shared" ref="X187:Y187" ca="1" si="200">+X186</f>
        <v>0</v>
      </c>
      <c r="Y187" s="10">
        <f t="shared" ca="1" si="200"/>
        <v>0</v>
      </c>
      <c r="Z187" t="str">
        <f t="shared" ca="1" si="149"/>
        <v/>
      </c>
      <c r="AA187" t="str">
        <f t="shared" ca="1" si="150"/>
        <v/>
      </c>
      <c r="AB187" s="19" t="str">
        <f t="shared" ca="1" si="151"/>
        <v/>
      </c>
      <c r="AC187" s="19" t="str">
        <f t="shared" ca="1" si="152"/>
        <v/>
      </c>
    </row>
    <row r="188" spans="3:29" x14ac:dyDescent="0.25">
      <c r="C188" s="4">
        <v>181</v>
      </c>
      <c r="D188" s="28">
        <v>42263</v>
      </c>
      <c r="E188" s="30">
        <v>19.260999999999999</v>
      </c>
      <c r="F188" s="30">
        <v>44.069448135352999</v>
      </c>
      <c r="G188" s="30">
        <v>6.2007263708034372</v>
      </c>
      <c r="H188" s="30">
        <v>46.151120559837011</v>
      </c>
      <c r="I188" s="8">
        <v>0</v>
      </c>
      <c r="J188" s="31">
        <v>0</v>
      </c>
      <c r="K188" s="31">
        <v>0</v>
      </c>
      <c r="L188" s="31">
        <v>0</v>
      </c>
      <c r="M188" s="31">
        <v>0</v>
      </c>
      <c r="N188" s="31">
        <v>0</v>
      </c>
      <c r="O188" s="31">
        <v>0</v>
      </c>
      <c r="P188" s="31">
        <v>0</v>
      </c>
      <c r="Q188" s="31">
        <v>1</v>
      </c>
      <c r="R188" s="31">
        <v>0</v>
      </c>
      <c r="S188" s="31">
        <v>0</v>
      </c>
      <c r="T188" s="21" t="str" cm="1">
        <f t="array" aca="1" ref="T188" ca="1">+fair_value_gap(OFFSET(S187,0,0,-1*$I$5,-1*$Z$1),OFFSET(E187,0,0,-1*$I$5,1),F188:S188,0)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88" s="7" t="str" cm="1">
        <f t="array" aca="1" ref="U188" ca="1">z_score_diff(OFFSET(T188,0,0,$I$5*-1,1),OFFSET(E188,0,0,$I$5*-1,1))</f>
        <v/>
      </c>
      <c r="V188" s="7" t="str">
        <f t="shared" ca="1" si="147"/>
        <v/>
      </c>
      <c r="W188" s="14">
        <f t="shared" ca="1" si="142"/>
        <v>-6.6156221273683508E-2</v>
      </c>
      <c r="X188" s="10">
        <f t="shared" ref="X188:Y188" ca="1" si="201">+X187</f>
        <v>0</v>
      </c>
      <c r="Y188" s="10">
        <f t="shared" ca="1" si="201"/>
        <v>0</v>
      </c>
      <c r="Z188" t="str">
        <f t="shared" ca="1" si="149"/>
        <v/>
      </c>
      <c r="AA188" t="str">
        <f t="shared" ca="1" si="150"/>
        <v/>
      </c>
      <c r="AB188" s="19" t="str">
        <f t="shared" ca="1" si="151"/>
        <v/>
      </c>
      <c r="AC188" s="19" t="str">
        <f t="shared" ca="1" si="152"/>
        <v/>
      </c>
    </row>
    <row r="189" spans="3:29" x14ac:dyDescent="0.25">
      <c r="C189" s="4">
        <v>182</v>
      </c>
      <c r="D189" s="28">
        <v>42264</v>
      </c>
      <c r="E189" s="30">
        <v>19.056999999999999</v>
      </c>
      <c r="F189" s="30">
        <v>42.920857017927418</v>
      </c>
      <c r="G189" s="30">
        <v>6.1215566243987762</v>
      </c>
      <c r="H189" s="30">
        <v>45.561871447310892</v>
      </c>
      <c r="I189" s="8">
        <v>0</v>
      </c>
      <c r="J189" s="31">
        <v>0</v>
      </c>
      <c r="K189" s="31">
        <v>0</v>
      </c>
      <c r="L189" s="31">
        <v>0</v>
      </c>
      <c r="M189" s="31">
        <v>0</v>
      </c>
      <c r="N189" s="31">
        <v>0</v>
      </c>
      <c r="O189" s="31">
        <v>0</v>
      </c>
      <c r="P189" s="31">
        <v>0</v>
      </c>
      <c r="Q189" s="31">
        <v>1</v>
      </c>
      <c r="R189" s="31">
        <v>0</v>
      </c>
      <c r="S189" s="31">
        <v>0</v>
      </c>
      <c r="T189" s="21" t="str" cm="1">
        <f t="array" aca="1" ref="T189" ca="1">+fair_value_gap(OFFSET(S188,0,0,-1*$I$5,-1*$Z$1),OFFSET(E188,0,0,-1*$I$5,1),F189:S189,0)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89" s="7" t="str" cm="1">
        <f t="array" aca="1" ref="U189" ca="1">z_score_diff(OFFSET(T189,0,0,$I$5*-1,1),OFFSET(E189,0,0,$I$5*-1,1))</f>
        <v/>
      </c>
      <c r="V189" s="7" t="str">
        <f t="shared" ca="1" si="147"/>
        <v/>
      </c>
      <c r="W189" s="14">
        <f t="shared" ca="1" si="142"/>
        <v>-4.7497512047114693E-2</v>
      </c>
      <c r="X189" s="10">
        <f t="shared" ref="X189:Y189" ca="1" si="202">+X188</f>
        <v>0</v>
      </c>
      <c r="Y189" s="10">
        <f t="shared" ca="1" si="202"/>
        <v>0</v>
      </c>
      <c r="Z189" t="str">
        <f t="shared" ca="1" si="149"/>
        <v/>
      </c>
      <c r="AA189" t="str">
        <f t="shared" ca="1" si="150"/>
        <v/>
      </c>
      <c r="AB189" s="19" t="str">
        <f t="shared" ca="1" si="151"/>
        <v/>
      </c>
      <c r="AC189" s="19" t="str">
        <f t="shared" ca="1" si="152"/>
        <v/>
      </c>
    </row>
    <row r="190" spans="3:29" x14ac:dyDescent="0.25">
      <c r="C190" s="4">
        <v>183</v>
      </c>
      <c r="D190" s="28">
        <v>42265</v>
      </c>
      <c r="E190" s="30">
        <v>18.927</v>
      </c>
      <c r="F190" s="30">
        <v>41.990269792127371</v>
      </c>
      <c r="G190" s="30">
        <v>6.1521450685537369</v>
      </c>
      <c r="H190" s="30">
        <v>45.997346306943825</v>
      </c>
      <c r="I190" s="8">
        <v>0</v>
      </c>
      <c r="J190" s="31">
        <v>0</v>
      </c>
      <c r="K190" s="31">
        <v>0</v>
      </c>
      <c r="L190" s="31">
        <v>0</v>
      </c>
      <c r="M190" s="31">
        <v>0</v>
      </c>
      <c r="N190" s="31">
        <v>0</v>
      </c>
      <c r="O190" s="31">
        <v>0</v>
      </c>
      <c r="P190" s="31">
        <v>0</v>
      </c>
      <c r="Q190" s="31">
        <v>1</v>
      </c>
      <c r="R190" s="31">
        <v>0</v>
      </c>
      <c r="S190" s="31">
        <v>0</v>
      </c>
      <c r="T190" s="21" t="str" cm="1">
        <f t="array" aca="1" ref="T190" ca="1">+fair_value_gap(OFFSET(S189,0,0,-1*$I$5,-1*$Z$1),OFFSET(E189,0,0,-1*$I$5,1),F190:S190,0)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90" s="7" t="str" cm="1">
        <f t="array" aca="1" ref="U190" ca="1">z_score_diff(OFFSET(T190,0,0,$I$5*-1,1),OFFSET(E190,0,0,$I$5*-1,1))</f>
        <v/>
      </c>
      <c r="V190" s="7" t="str">
        <f t="shared" ca="1" si="147"/>
        <v/>
      </c>
      <c r="W190" s="14">
        <f t="shared" ca="1" si="142"/>
        <v>-3.9277776122283052E-2</v>
      </c>
      <c r="X190" s="10">
        <f t="shared" ref="X190:Y190" ca="1" si="203">+X189</f>
        <v>0</v>
      </c>
      <c r="Y190" s="10">
        <f t="shared" ca="1" si="203"/>
        <v>0</v>
      </c>
      <c r="Z190" t="str">
        <f t="shared" ca="1" si="149"/>
        <v/>
      </c>
      <c r="AA190" t="str">
        <f t="shared" ca="1" si="150"/>
        <v/>
      </c>
      <c r="AB190" s="19" t="str">
        <f t="shared" ca="1" si="151"/>
        <v/>
      </c>
      <c r="AC190" s="19" t="str">
        <f t="shared" ca="1" si="152"/>
        <v/>
      </c>
    </row>
    <row r="191" spans="3:29" x14ac:dyDescent="0.25">
      <c r="C191" s="4">
        <v>184</v>
      </c>
      <c r="D191" s="28">
        <v>42268</v>
      </c>
      <c r="E191" s="30">
        <v>18.782</v>
      </c>
      <c r="F191" s="30">
        <v>43.73323797604148</v>
      </c>
      <c r="G191" s="30">
        <v>6.1416055784015731</v>
      </c>
      <c r="H191" s="30">
        <v>46.486679778294295</v>
      </c>
      <c r="I191" s="8">
        <v>0</v>
      </c>
      <c r="J191" s="31">
        <v>0</v>
      </c>
      <c r="K191" s="31">
        <v>0</v>
      </c>
      <c r="L191" s="31">
        <v>0</v>
      </c>
      <c r="M191" s="31">
        <v>0</v>
      </c>
      <c r="N191" s="31">
        <v>0</v>
      </c>
      <c r="O191" s="31">
        <v>0</v>
      </c>
      <c r="P191" s="31">
        <v>0</v>
      </c>
      <c r="Q191" s="31">
        <v>1</v>
      </c>
      <c r="R191" s="31">
        <v>0</v>
      </c>
      <c r="S191" s="31">
        <v>0</v>
      </c>
      <c r="T191" s="21" t="str" cm="1">
        <f t="array" aca="1" ref="T191" ca="1">+fair_value_gap(OFFSET(S190,0,0,-1*$I$5,-1*$Z$1),OFFSET(E190,0,0,-1*$I$5,1),F191:S191,0)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91" s="7" t="str" cm="1">
        <f t="array" aca="1" ref="U191" ca="1">z_score_diff(OFFSET(T191,0,0,$I$5*-1,1),OFFSET(E191,0,0,$I$5*-1,1))</f>
        <v/>
      </c>
      <c r="V191" s="7" t="str">
        <f t="shared" ca="1" si="147"/>
        <v/>
      </c>
      <c r="W191" s="14">
        <f t="shared" ca="1" si="142"/>
        <v>-1.9950652307352167E-2</v>
      </c>
      <c r="X191" s="10">
        <f t="shared" ref="X191:Y191" ca="1" si="204">+X190</f>
        <v>0</v>
      </c>
      <c r="Y191" s="10">
        <f t="shared" ca="1" si="204"/>
        <v>0</v>
      </c>
      <c r="Z191" t="str">
        <f t="shared" ca="1" si="149"/>
        <v/>
      </c>
      <c r="AA191" t="str">
        <f t="shared" ca="1" si="150"/>
        <v/>
      </c>
      <c r="AB191" s="19" t="str">
        <f t="shared" ca="1" si="151"/>
        <v/>
      </c>
      <c r="AC191" s="19" t="str">
        <f t="shared" ca="1" si="152"/>
        <v/>
      </c>
    </row>
    <row r="192" spans="3:29" x14ac:dyDescent="0.25">
      <c r="C192" s="4">
        <v>185</v>
      </c>
      <c r="D192" s="28">
        <v>42269</v>
      </c>
      <c r="E192" s="30">
        <v>18.952999999999999</v>
      </c>
      <c r="F192" s="30">
        <v>44.144630329195898</v>
      </c>
      <c r="G192" s="30">
        <v>6.1791689152725313</v>
      </c>
      <c r="H192" s="30">
        <v>46.681057744198597</v>
      </c>
      <c r="I192" s="8">
        <v>0</v>
      </c>
      <c r="J192" s="31">
        <v>0</v>
      </c>
      <c r="K192" s="31">
        <v>0</v>
      </c>
      <c r="L192" s="31">
        <v>0</v>
      </c>
      <c r="M192" s="31">
        <v>0</v>
      </c>
      <c r="N192" s="31">
        <v>0</v>
      </c>
      <c r="O192" s="31">
        <v>0</v>
      </c>
      <c r="P192" s="31">
        <v>0</v>
      </c>
      <c r="Q192" s="31">
        <v>1</v>
      </c>
      <c r="R192" s="31">
        <v>0</v>
      </c>
      <c r="S192" s="31">
        <v>0</v>
      </c>
      <c r="T192" s="21" t="str" cm="1">
        <f t="array" aca="1" ref="T192" ca="1">+fair_value_gap(OFFSET(S191,0,0,-1*$I$5,-1*$Z$1),OFFSET(E191,0,0,-1*$I$5,1),F192:S192,0)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92" s="7" t="str" cm="1">
        <f t="array" aca="1" ref="U192" ca="1">z_score_diff(OFFSET(T192,0,0,$I$5*-1,1),OFFSET(E192,0,0,$I$5*-1,1))</f>
        <v/>
      </c>
      <c r="V192" s="7" t="str">
        <f t="shared" ca="1" si="147"/>
        <v/>
      </c>
      <c r="W192" s="14">
        <f t="shared" ca="1" si="142"/>
        <v>-4.1255177199282185E-2</v>
      </c>
      <c r="X192" s="10">
        <f t="shared" ref="X192:Y192" ca="1" si="205">+X191</f>
        <v>0</v>
      </c>
      <c r="Y192" s="10">
        <f t="shared" ca="1" si="205"/>
        <v>0</v>
      </c>
      <c r="Z192" t="str">
        <f t="shared" ca="1" si="149"/>
        <v/>
      </c>
      <c r="AA192" t="str">
        <f t="shared" ca="1" si="150"/>
        <v/>
      </c>
      <c r="AB192" s="19" t="str">
        <f t="shared" ca="1" si="151"/>
        <v/>
      </c>
      <c r="AC192" s="19" t="str">
        <f t="shared" ca="1" si="152"/>
        <v/>
      </c>
    </row>
    <row r="193" spans="3:29" x14ac:dyDescent="0.25">
      <c r="C193" s="4">
        <v>186</v>
      </c>
      <c r="D193" s="28">
        <v>42270</v>
      </c>
      <c r="E193" s="30">
        <v>18.88</v>
      </c>
      <c r="F193" s="30">
        <v>42.6911041573536</v>
      </c>
      <c r="G193" s="30">
        <v>6.1063924899418867</v>
      </c>
      <c r="H193" s="30">
        <v>46.401430487259717</v>
      </c>
      <c r="I193" s="8">
        <v>0</v>
      </c>
      <c r="J193" s="31">
        <v>0</v>
      </c>
      <c r="K193" s="31">
        <v>0</v>
      </c>
      <c r="L193" s="31">
        <v>0</v>
      </c>
      <c r="M193" s="31">
        <v>0</v>
      </c>
      <c r="N193" s="31">
        <v>0</v>
      </c>
      <c r="O193" s="31">
        <v>0</v>
      </c>
      <c r="P193" s="31">
        <v>0</v>
      </c>
      <c r="Q193" s="31">
        <v>1</v>
      </c>
      <c r="R193" s="31">
        <v>0</v>
      </c>
      <c r="S193" s="31">
        <v>0</v>
      </c>
      <c r="T193" s="21" t="str" cm="1">
        <f t="array" aca="1" ref="T193" ca="1">+fair_value_gap(OFFSET(S192,0,0,-1*$I$5,-1*$Z$1),OFFSET(E192,0,0,-1*$I$5,1),F193:S193,0)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93" s="7" t="str" cm="1">
        <f t="array" aca="1" ref="U193" ca="1">z_score_diff(OFFSET(T193,0,0,$I$5*-1,1),OFFSET(E193,0,0,$I$5*-1,1))</f>
        <v/>
      </c>
      <c r="V193" s="7" t="str">
        <f t="shared" ca="1" si="147"/>
        <v/>
      </c>
      <c r="W193" s="14">
        <f t="shared" ca="1" si="142"/>
        <v>-4.4126796117751006E-2</v>
      </c>
      <c r="X193" s="10">
        <f t="shared" ref="X193:Y193" ca="1" si="206">+X192</f>
        <v>0</v>
      </c>
      <c r="Y193" s="10">
        <f t="shared" ca="1" si="206"/>
        <v>0</v>
      </c>
      <c r="Z193" t="str">
        <f t="shared" ca="1" si="149"/>
        <v/>
      </c>
      <c r="AA193" t="str">
        <f t="shared" ca="1" si="150"/>
        <v/>
      </c>
      <c r="AB193" s="19" t="str">
        <f t="shared" ca="1" si="151"/>
        <v/>
      </c>
      <c r="AC193" s="19" t="str">
        <f t="shared" ca="1" si="152"/>
        <v/>
      </c>
    </row>
    <row r="194" spans="3:29" x14ac:dyDescent="0.25">
      <c r="C194" s="4">
        <v>187</v>
      </c>
      <c r="D194" s="28">
        <v>42271</v>
      </c>
      <c r="E194" s="30">
        <v>18.587</v>
      </c>
      <c r="F194" s="30">
        <v>42.897853771484549</v>
      </c>
      <c r="G194" s="30">
        <v>6.0824650458633895</v>
      </c>
      <c r="H194" s="30">
        <v>46.175082375990741</v>
      </c>
      <c r="I194" s="8">
        <v>0</v>
      </c>
      <c r="J194" s="31">
        <v>0</v>
      </c>
      <c r="K194" s="31">
        <v>0</v>
      </c>
      <c r="L194" s="31">
        <v>0</v>
      </c>
      <c r="M194" s="31">
        <v>0</v>
      </c>
      <c r="N194" s="31">
        <v>0</v>
      </c>
      <c r="O194" s="31">
        <v>0</v>
      </c>
      <c r="P194" s="31">
        <v>0</v>
      </c>
      <c r="Q194" s="31">
        <v>1</v>
      </c>
      <c r="R194" s="31">
        <v>0</v>
      </c>
      <c r="S194" s="31">
        <v>0</v>
      </c>
      <c r="T194" s="21" t="str" cm="1">
        <f t="array" aca="1" ref="T194" ca="1">+fair_value_gap(OFFSET(S193,0,0,-1*$I$5,-1*$Z$1),OFFSET(E193,0,0,-1*$I$5,1),F194:S194,0)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94" s="7" t="str" cm="1">
        <f t="array" aca="1" ref="U194" ca="1">z_score_diff(OFFSET(T194,0,0,$I$5*-1,1),OFFSET(E194,0,0,$I$5*-1,1))</f>
        <v/>
      </c>
      <c r="V194" s="7" t="str">
        <f t="shared" ca="1" si="147"/>
        <v/>
      </c>
      <c r="W194" s="14">
        <f t="shared" ca="1" si="142"/>
        <v>-2.4122484080874404E-2</v>
      </c>
      <c r="X194" s="10">
        <f t="shared" ref="X194:Y194" ca="1" si="207">+X193</f>
        <v>0</v>
      </c>
      <c r="Y194" s="10">
        <f t="shared" ca="1" si="207"/>
        <v>0</v>
      </c>
      <c r="Z194" t="str">
        <f t="shared" ca="1" si="149"/>
        <v/>
      </c>
      <c r="AA194" t="str">
        <f t="shared" ca="1" si="150"/>
        <v/>
      </c>
      <c r="AB194" s="19" t="str">
        <f t="shared" ca="1" si="151"/>
        <v/>
      </c>
      <c r="AC194" s="19" t="str">
        <f t="shared" ca="1" si="152"/>
        <v/>
      </c>
    </row>
    <row r="195" spans="3:29" x14ac:dyDescent="0.25">
      <c r="C195" s="4">
        <v>188</v>
      </c>
      <c r="D195" s="28">
        <v>42272</v>
      </c>
      <c r="E195" s="30">
        <v>18.753</v>
      </c>
      <c r="F195" s="30">
        <v>43.416115776308743</v>
      </c>
      <c r="G195" s="30">
        <v>6.101482937287833</v>
      </c>
      <c r="H195" s="30">
        <v>46.319456851884944</v>
      </c>
      <c r="I195" s="8">
        <v>0</v>
      </c>
      <c r="J195" s="31">
        <v>0</v>
      </c>
      <c r="K195" s="31">
        <v>0</v>
      </c>
      <c r="L195" s="31">
        <v>0</v>
      </c>
      <c r="M195" s="31">
        <v>0</v>
      </c>
      <c r="N195" s="31">
        <v>0</v>
      </c>
      <c r="O195" s="31">
        <v>0</v>
      </c>
      <c r="P195" s="31">
        <v>0</v>
      </c>
      <c r="Q195" s="31">
        <v>1</v>
      </c>
      <c r="R195" s="31">
        <v>0</v>
      </c>
      <c r="S195" s="31">
        <v>0</v>
      </c>
      <c r="T195" s="21" t="str" cm="1">
        <f t="array" aca="1" ref="T195" ca="1">+fair_value_gap(OFFSET(S194,0,0,-1*$I$5,-1*$Z$1),OFFSET(E194,0,0,-1*$I$5,1),F195:S195,0)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95" s="7" t="str" cm="1">
        <f t="array" aca="1" ref="U195" ca="1">z_score_diff(OFFSET(T195,0,0,$I$5*-1,1),OFFSET(E195,0,0,$I$5*-1,1))</f>
        <v/>
      </c>
      <c r="V195" s="7" t="str">
        <f t="shared" ca="1" si="147"/>
        <v/>
      </c>
      <c r="W195" s="14">
        <f t="shared" ca="1" si="142"/>
        <v>-2.5765015916759976E-2</v>
      </c>
      <c r="X195" s="10">
        <f t="shared" ref="X195:Y195" ca="1" si="208">+X194</f>
        <v>0</v>
      </c>
      <c r="Y195" s="10">
        <f t="shared" ca="1" si="208"/>
        <v>0</v>
      </c>
      <c r="Z195" t="str">
        <f t="shared" ca="1" si="149"/>
        <v/>
      </c>
      <c r="AA195" t="str">
        <f t="shared" ca="1" si="150"/>
        <v/>
      </c>
      <c r="AB195" s="19" t="str">
        <f t="shared" ca="1" si="151"/>
        <v/>
      </c>
      <c r="AC195" s="19" t="str">
        <f t="shared" ca="1" si="152"/>
        <v/>
      </c>
    </row>
    <row r="196" spans="3:29" x14ac:dyDescent="0.25">
      <c r="C196" s="4">
        <v>189</v>
      </c>
      <c r="D196" s="28">
        <v>42275</v>
      </c>
      <c r="E196" s="30">
        <v>18.495999999999999</v>
      </c>
      <c r="F196" s="30">
        <v>42.106199412968067</v>
      </c>
      <c r="G196" s="30">
        <v>6.0748910433158407</v>
      </c>
      <c r="H196" s="30">
        <v>44.694476563194875</v>
      </c>
      <c r="I196" s="8">
        <v>0</v>
      </c>
      <c r="J196" s="31">
        <v>0</v>
      </c>
      <c r="K196" s="31">
        <v>0</v>
      </c>
      <c r="L196" s="31">
        <v>0</v>
      </c>
      <c r="M196" s="31">
        <v>0</v>
      </c>
      <c r="N196" s="31">
        <v>0</v>
      </c>
      <c r="O196" s="31">
        <v>0</v>
      </c>
      <c r="P196" s="31">
        <v>0</v>
      </c>
      <c r="Q196" s="31">
        <v>1</v>
      </c>
      <c r="R196" s="31">
        <v>0</v>
      </c>
      <c r="S196" s="31">
        <v>0</v>
      </c>
      <c r="T196" s="21" t="str" cm="1">
        <f t="array" aca="1" ref="T196" ca="1">+fair_value_gap(OFFSET(S195,0,0,-1*$I$5,-1*$Z$1),OFFSET(E195,0,0,-1*$I$5,1),F196:S196,0)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96" s="7" t="str" cm="1">
        <f t="array" aca="1" ref="U196" ca="1">z_score_diff(OFFSET(T196,0,0,$I$5*-1,1),OFFSET(E196,0,0,$I$5*-1,1))</f>
        <v/>
      </c>
      <c r="V196" s="7" t="str">
        <f t="shared" ca="1" si="147"/>
        <v/>
      </c>
      <c r="W196" s="14">
        <f t="shared" ca="1" si="142"/>
        <v>-2.4408807711076883E-2</v>
      </c>
      <c r="X196" s="10">
        <f t="shared" ref="X196:Y196" ca="1" si="209">+X195</f>
        <v>0</v>
      </c>
      <c r="Y196" s="10">
        <f t="shared" ca="1" si="209"/>
        <v>0</v>
      </c>
      <c r="Z196" t="str">
        <f t="shared" ca="1" si="149"/>
        <v/>
      </c>
      <c r="AA196" t="str">
        <f t="shared" ca="1" si="150"/>
        <v/>
      </c>
      <c r="AB196" s="19" t="str">
        <f t="shared" ca="1" si="151"/>
        <v/>
      </c>
      <c r="AC196" s="19" t="str">
        <f t="shared" ca="1" si="152"/>
        <v/>
      </c>
    </row>
    <row r="197" spans="3:29" x14ac:dyDescent="0.25">
      <c r="C197" s="4">
        <v>190</v>
      </c>
      <c r="D197" s="28">
        <v>42276</v>
      </c>
      <c r="E197" s="30">
        <v>18.481999999999999</v>
      </c>
      <c r="F197" s="30">
        <v>42.890173410404621</v>
      </c>
      <c r="G197" s="30">
        <v>6.0204535349044015</v>
      </c>
      <c r="H197" s="30">
        <v>44.553134726545132</v>
      </c>
      <c r="I197" s="8">
        <v>0</v>
      </c>
      <c r="J197" s="31">
        <v>0</v>
      </c>
      <c r="K197" s="31">
        <v>0</v>
      </c>
      <c r="L197" s="31">
        <v>0</v>
      </c>
      <c r="M197" s="31">
        <v>0</v>
      </c>
      <c r="N197" s="31">
        <v>0</v>
      </c>
      <c r="O197" s="31">
        <v>0</v>
      </c>
      <c r="P197" s="31">
        <v>0</v>
      </c>
      <c r="Q197" s="31">
        <v>1</v>
      </c>
      <c r="R197" s="31">
        <v>0</v>
      </c>
      <c r="S197" s="31">
        <v>0</v>
      </c>
      <c r="T197" s="21" t="str" cm="1">
        <f t="array" aca="1" ref="T197" ca="1">+fair_value_gap(OFFSET(S196,0,0,-1*$I$5,-1*$Z$1),OFFSET(E196,0,0,-1*$I$5,1),F197:S197,0)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97" s="7" t="str" cm="1">
        <f t="array" aca="1" ref="U197" ca="1">z_score_diff(OFFSET(T197,0,0,$I$5*-1,1),OFFSET(E197,0,0,$I$5*-1,1))</f>
        <v/>
      </c>
      <c r="V197" s="7" t="str">
        <f t="shared" ca="1" si="147"/>
        <v/>
      </c>
      <c r="W197" s="14">
        <f t="shared" ca="1" si="142"/>
        <v>-2.1437986058644842E-2</v>
      </c>
      <c r="X197" s="10">
        <f t="shared" ref="X197:Y197" ca="1" si="210">+X196</f>
        <v>0</v>
      </c>
      <c r="Y197" s="10">
        <f t="shared" ca="1" si="210"/>
        <v>0</v>
      </c>
      <c r="Z197" t="str">
        <f t="shared" ca="1" si="149"/>
        <v/>
      </c>
      <c r="AA197" t="str">
        <f t="shared" ca="1" si="150"/>
        <v/>
      </c>
      <c r="AB197" s="19" t="str">
        <f t="shared" ca="1" si="151"/>
        <v/>
      </c>
      <c r="AC197" s="19" t="str">
        <f t="shared" ca="1" si="152"/>
        <v/>
      </c>
    </row>
    <row r="198" spans="3:29" x14ac:dyDescent="0.25">
      <c r="C198" s="4">
        <v>191</v>
      </c>
      <c r="D198" s="28">
        <v>42277</v>
      </c>
      <c r="E198" s="30">
        <v>18.667000000000002</v>
      </c>
      <c r="F198" s="30">
        <v>43.280243378668573</v>
      </c>
      <c r="G198" s="30">
        <v>6.0039370078740157</v>
      </c>
      <c r="H198" s="30">
        <v>44.425554760200434</v>
      </c>
      <c r="I198" s="8">
        <v>0</v>
      </c>
      <c r="J198" s="31">
        <v>0</v>
      </c>
      <c r="K198" s="31">
        <v>0</v>
      </c>
      <c r="L198" s="31">
        <v>0</v>
      </c>
      <c r="M198" s="31">
        <v>0</v>
      </c>
      <c r="N198" s="31">
        <v>0</v>
      </c>
      <c r="O198" s="31">
        <v>0</v>
      </c>
      <c r="P198" s="31">
        <v>0</v>
      </c>
      <c r="Q198" s="31">
        <v>1</v>
      </c>
      <c r="R198" s="31">
        <v>0</v>
      </c>
      <c r="S198" s="31">
        <v>0</v>
      </c>
      <c r="T198" s="21" t="str" cm="1">
        <f t="array" aca="1" ref="T198" ca="1">+fair_value_gap(OFFSET(S197,0,0,-1*$I$5,-1*$Z$1),OFFSET(E197,0,0,-1*$I$5,1),F198:S198,0)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98" s="7" t="str" cm="1">
        <f t="array" aca="1" ref="U198" ca="1">z_score_diff(OFFSET(T198,0,0,$I$5*-1,1),OFFSET(E198,0,0,$I$5*-1,1))</f>
        <v/>
      </c>
      <c r="V198" s="7" t="str">
        <f t="shared" ca="1" si="147"/>
        <v/>
      </c>
      <c r="W198" s="14">
        <f t="shared" ca="1" si="142"/>
        <v>-2.9465058309721414E-2</v>
      </c>
      <c r="X198" s="10">
        <f t="shared" ref="X198:Y198" ca="1" si="211">+X197</f>
        <v>0</v>
      </c>
      <c r="Y198" s="10">
        <f t="shared" ca="1" si="211"/>
        <v>0</v>
      </c>
      <c r="Z198" t="str">
        <f t="shared" ca="1" si="149"/>
        <v/>
      </c>
      <c r="AA198" t="str">
        <f t="shared" ca="1" si="150"/>
        <v/>
      </c>
      <c r="AB198" s="19" t="str">
        <f t="shared" ca="1" si="151"/>
        <v/>
      </c>
      <c r="AC198" s="19" t="str">
        <f t="shared" ca="1" si="152"/>
        <v/>
      </c>
    </row>
    <row r="199" spans="3:29" x14ac:dyDescent="0.25">
      <c r="C199" s="4">
        <v>192</v>
      </c>
      <c r="D199" s="28">
        <v>42278</v>
      </c>
      <c r="E199" s="30">
        <v>18.396000000000001</v>
      </c>
      <c r="F199" s="30">
        <v>42.603180275147402</v>
      </c>
      <c r="G199" s="30">
        <v>5.994282651420404</v>
      </c>
      <c r="H199" s="30">
        <v>44.354118277648745</v>
      </c>
      <c r="I199" s="8">
        <v>0</v>
      </c>
      <c r="J199" s="31">
        <v>0</v>
      </c>
      <c r="K199" s="31">
        <v>0</v>
      </c>
      <c r="L199" s="31">
        <v>0</v>
      </c>
      <c r="M199" s="31">
        <v>0</v>
      </c>
      <c r="N199" s="31">
        <v>0</v>
      </c>
      <c r="O199" s="31">
        <v>0</v>
      </c>
      <c r="P199" s="31">
        <v>0</v>
      </c>
      <c r="Q199" s="31">
        <v>0</v>
      </c>
      <c r="R199" s="31">
        <v>1</v>
      </c>
      <c r="S199" s="31">
        <v>0</v>
      </c>
      <c r="T199" s="21" t="str" cm="1">
        <f t="array" aca="1" ref="T199" ca="1">+fair_value_gap(OFFSET(S198,0,0,-1*$I$5,-1*$Z$1),OFFSET(E198,0,0,-1*$I$5,1),F199:S199,0)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199" s="7" t="str" cm="1">
        <f t="array" aca="1" ref="U199" ca="1">z_score_diff(OFFSET(T199,0,0,$I$5*-1,1),OFFSET(E199,0,0,$I$5*-1,1))</f>
        <v/>
      </c>
      <c r="V199" s="7" t="str">
        <f t="shared" ca="1" si="147"/>
        <v/>
      </c>
      <c r="W199" s="14">
        <f t="shared" ref="W199:W262" ca="1" si="212">+LN(OFFSET(E199,$W$3,0,1,1)/E199)</f>
        <v>-1.3462688966817737E-2</v>
      </c>
      <c r="X199" s="10">
        <f t="shared" ref="X199:Y199" ca="1" si="213">+X198</f>
        <v>0</v>
      </c>
      <c r="Y199" s="10">
        <f t="shared" ca="1" si="213"/>
        <v>0</v>
      </c>
      <c r="Z199" t="str">
        <f t="shared" ca="1" si="149"/>
        <v/>
      </c>
      <c r="AA199" t="str">
        <f t="shared" ca="1" si="150"/>
        <v/>
      </c>
      <c r="AB199" s="19" t="str">
        <f t="shared" ca="1" si="151"/>
        <v/>
      </c>
      <c r="AC199" s="19" t="str">
        <f t="shared" ca="1" si="152"/>
        <v/>
      </c>
    </row>
    <row r="200" spans="3:29" x14ac:dyDescent="0.25">
      <c r="C200" s="4">
        <v>193</v>
      </c>
      <c r="D200" s="28">
        <v>42279</v>
      </c>
      <c r="E200" s="30">
        <v>18.177</v>
      </c>
      <c r="F200" s="30">
        <v>42.938709965206534</v>
      </c>
      <c r="G200" s="30">
        <v>5.9461147292354362</v>
      </c>
      <c r="H200" s="30">
        <v>44.428584173432064</v>
      </c>
      <c r="I200" s="8">
        <v>0</v>
      </c>
      <c r="J200" s="31">
        <v>0</v>
      </c>
      <c r="K200" s="31">
        <v>0</v>
      </c>
      <c r="L200" s="31">
        <v>0</v>
      </c>
      <c r="M200" s="31">
        <v>0</v>
      </c>
      <c r="N200" s="31">
        <v>0</v>
      </c>
      <c r="O200" s="31">
        <v>0</v>
      </c>
      <c r="P200" s="31">
        <v>0</v>
      </c>
      <c r="Q200" s="31">
        <v>0</v>
      </c>
      <c r="R200" s="31">
        <v>1</v>
      </c>
      <c r="S200" s="31">
        <v>0</v>
      </c>
      <c r="T200" s="21" t="str" cm="1">
        <f t="array" aca="1" ref="T200" ca="1">+fair_value_gap(OFFSET(S199,0,0,-1*$I$5,-1*$Z$1),OFFSET(E199,0,0,-1*$I$5,1),F200:S200,0)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00" s="7" t="str" cm="1">
        <f t="array" aca="1" ref="U200" ca="1">z_score_diff(OFFSET(T200,0,0,$I$5*-1,1),OFFSET(E200,0,0,$I$5*-1,1))</f>
        <v/>
      </c>
      <c r="V200" s="7" t="str">
        <f t="shared" ca="1" si="147"/>
        <v/>
      </c>
      <c r="W200" s="14">
        <f t="shared" ca="1" si="212"/>
        <v>-1.0396598650412533E-2</v>
      </c>
      <c r="X200" s="10">
        <f t="shared" ref="X200:Y200" ca="1" si="214">+X199</f>
        <v>0</v>
      </c>
      <c r="Y200" s="10">
        <f t="shared" ca="1" si="214"/>
        <v>0</v>
      </c>
      <c r="Z200" t="str">
        <f t="shared" ca="1" si="149"/>
        <v/>
      </c>
      <c r="AA200" t="str">
        <f t="shared" ca="1" si="150"/>
        <v/>
      </c>
      <c r="AB200" s="19" t="str">
        <f t="shared" ca="1" si="151"/>
        <v/>
      </c>
      <c r="AC200" s="19" t="str">
        <f t="shared" ca="1" si="152"/>
        <v/>
      </c>
    </row>
    <row r="201" spans="3:29" x14ac:dyDescent="0.25">
      <c r="C201" s="4">
        <v>194</v>
      </c>
      <c r="D201" s="28">
        <v>42282</v>
      </c>
      <c r="E201" s="30">
        <v>18.381</v>
      </c>
      <c r="F201" s="30">
        <v>44.032185963343764</v>
      </c>
      <c r="G201" s="30">
        <v>5.9588734912829677</v>
      </c>
      <c r="H201" s="30">
        <v>45.283862315601247</v>
      </c>
      <c r="I201" s="8">
        <v>0</v>
      </c>
      <c r="J201" s="31">
        <v>0</v>
      </c>
      <c r="K201" s="31">
        <v>0</v>
      </c>
      <c r="L201" s="31">
        <v>0</v>
      </c>
      <c r="M201" s="31">
        <v>0</v>
      </c>
      <c r="N201" s="31">
        <v>0</v>
      </c>
      <c r="O201" s="31">
        <v>0</v>
      </c>
      <c r="P201" s="31">
        <v>0</v>
      </c>
      <c r="Q201" s="31">
        <v>0</v>
      </c>
      <c r="R201" s="31">
        <v>1</v>
      </c>
      <c r="S201" s="31">
        <v>0</v>
      </c>
      <c r="T201" s="21" t="str" cm="1">
        <f t="array" aca="1" ref="T201" ca="1">+fair_value_gap(OFFSET(S200,0,0,-1*$I$5,-1*$Z$1),OFFSET(E200,0,0,-1*$I$5,1),F201:S201,0)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01" s="7" t="str" cm="1">
        <f t="array" aca="1" ref="U201" ca="1">z_score_diff(OFFSET(T201,0,0,$I$5*-1,1),OFFSET(E201,0,0,$I$5*-1,1))</f>
        <v/>
      </c>
      <c r="V201" s="7" t="str">
        <f t="shared" ca="1" si="147"/>
        <v/>
      </c>
      <c r="W201" s="14">
        <f t="shared" ca="1" si="212"/>
        <v>-3.037900685971761E-2</v>
      </c>
      <c r="X201" s="10">
        <f t="shared" ref="X201:Y201" ca="1" si="215">+X200</f>
        <v>0</v>
      </c>
      <c r="Y201" s="10">
        <f t="shared" ca="1" si="215"/>
        <v>0</v>
      </c>
      <c r="Z201" t="str">
        <f t="shared" ca="1" si="149"/>
        <v/>
      </c>
      <c r="AA201" t="str">
        <f t="shared" ca="1" si="150"/>
        <v/>
      </c>
      <c r="AB201" s="19" t="str">
        <f t="shared" ca="1" si="151"/>
        <v/>
      </c>
      <c r="AC201" s="19" t="str">
        <f t="shared" ca="1" si="152"/>
        <v/>
      </c>
    </row>
    <row r="202" spans="3:29" x14ac:dyDescent="0.25">
      <c r="C202" s="4">
        <v>195</v>
      </c>
      <c r="D202" s="28">
        <v>42283</v>
      </c>
      <c r="E202" s="30">
        <v>18.859000000000002</v>
      </c>
      <c r="F202" s="30">
        <v>46.077387291444801</v>
      </c>
      <c r="G202" s="30">
        <v>5.9149804756833513</v>
      </c>
      <c r="H202" s="30">
        <v>45.12779552715655</v>
      </c>
      <c r="I202" s="8">
        <v>0</v>
      </c>
      <c r="J202" s="31">
        <v>0</v>
      </c>
      <c r="K202" s="31">
        <v>0</v>
      </c>
      <c r="L202" s="31">
        <v>0</v>
      </c>
      <c r="M202" s="31">
        <v>0</v>
      </c>
      <c r="N202" s="31">
        <v>0</v>
      </c>
      <c r="O202" s="31">
        <v>0</v>
      </c>
      <c r="P202" s="31">
        <v>0</v>
      </c>
      <c r="Q202" s="31">
        <v>0</v>
      </c>
      <c r="R202" s="31">
        <v>1</v>
      </c>
      <c r="S202" s="31">
        <v>0</v>
      </c>
      <c r="T202" s="21" t="str" cm="1">
        <f t="array" aca="1" ref="T202" ca="1">+fair_value_gap(OFFSET(S201,0,0,-1*$I$5,-1*$Z$1),OFFSET(E201,0,0,-1*$I$5,1),F202:S202,0)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02" s="7" t="str" cm="1">
        <f t="array" aca="1" ref="U202" ca="1">z_score_diff(OFFSET(T202,0,0,$I$5*-1,1),OFFSET(E202,0,0,$I$5*-1,1))</f>
        <v/>
      </c>
      <c r="V202" s="7" t="str">
        <f t="shared" ca="1" si="147"/>
        <v/>
      </c>
      <c r="W202" s="14">
        <f t="shared" ca="1" si="212"/>
        <v>-5.3531222459023073E-2</v>
      </c>
      <c r="X202" s="10">
        <f t="shared" ref="X202:Y202" ca="1" si="216">+X201</f>
        <v>0</v>
      </c>
      <c r="Y202" s="10">
        <f t="shared" ca="1" si="216"/>
        <v>0</v>
      </c>
      <c r="Z202" t="str">
        <f t="shared" ca="1" si="149"/>
        <v/>
      </c>
      <c r="AA202" t="str">
        <f t="shared" ca="1" si="150"/>
        <v/>
      </c>
      <c r="AB202" s="19" t="str">
        <f t="shared" ca="1" si="151"/>
        <v/>
      </c>
      <c r="AC202" s="19" t="str">
        <f t="shared" ca="1" si="152"/>
        <v/>
      </c>
    </row>
    <row r="203" spans="3:29" x14ac:dyDescent="0.25">
      <c r="C203" s="4">
        <v>196</v>
      </c>
      <c r="D203" s="28">
        <v>42284</v>
      </c>
      <c r="E203" s="30">
        <v>18.745999999999999</v>
      </c>
      <c r="F203" s="30">
        <v>45.687583444592789</v>
      </c>
      <c r="G203" s="30">
        <v>5.9323542501112598</v>
      </c>
      <c r="H203" s="30">
        <v>44.770805518469068</v>
      </c>
      <c r="I203" s="8">
        <v>0</v>
      </c>
      <c r="J203" s="31">
        <v>0</v>
      </c>
      <c r="K203" s="31">
        <v>0</v>
      </c>
      <c r="L203" s="31">
        <v>0</v>
      </c>
      <c r="M203" s="31">
        <v>0</v>
      </c>
      <c r="N203" s="31">
        <v>0</v>
      </c>
      <c r="O203" s="31">
        <v>0</v>
      </c>
      <c r="P203" s="31">
        <v>0</v>
      </c>
      <c r="Q203" s="31">
        <v>0</v>
      </c>
      <c r="R203" s="31">
        <v>1</v>
      </c>
      <c r="S203" s="31">
        <v>0</v>
      </c>
      <c r="T203" s="21" t="str" cm="1">
        <f t="array" aca="1" ref="T203" ca="1">+fair_value_gap(OFFSET(S202,0,0,-1*$I$5,-1*$Z$1),OFFSET(E202,0,0,-1*$I$5,1),F203:S203,0)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03" s="7" t="str" cm="1">
        <f t="array" aca="1" ref="U203" ca="1">z_score_diff(OFFSET(T203,0,0,$I$5*-1,1),OFFSET(E203,0,0,$I$5*-1,1))</f>
        <v/>
      </c>
      <c r="V203" s="7" t="str">
        <f t="shared" ref="V203:V266" ca="1" si="217">+IF(ISERROR(AVERAGE(OFFSET(U203,0,0,$V$5*-1,1))),"",AVERAGE(OFFSET(U203,0,0,$V$5*-1,1)))</f>
        <v/>
      </c>
      <c r="W203" s="14">
        <f t="shared" ca="1" si="212"/>
        <v>-4.3390281390006107E-2</v>
      </c>
      <c r="X203" s="10">
        <f t="shared" ref="X203:Y203" ca="1" si="218">+X202</f>
        <v>0</v>
      </c>
      <c r="Y203" s="10">
        <f t="shared" ca="1" si="218"/>
        <v>0</v>
      </c>
      <c r="Z203" t="str">
        <f t="shared" ref="Z203:Z266" ca="1" si="219">+IF(V203="","",IF(V203&lt;X203,1,0))</f>
        <v/>
      </c>
      <c r="AA203" t="str">
        <f t="shared" ref="AA203:AA266" ca="1" si="220">+IF(V203="","",IF(V203&gt;Y203,1,0))</f>
        <v/>
      </c>
      <c r="AB203" s="19" t="str">
        <f t="shared" ref="AB203:AB266" ca="1" si="221">+IF(ISERROR(Z203*W203),"",Z203*W203)</f>
        <v/>
      </c>
      <c r="AC203" s="19" t="str">
        <f t="shared" ref="AC203:AC266" ca="1" si="222">+IF(ISERROR(AA203*W203),"",AA203*W203)</f>
        <v/>
      </c>
    </row>
    <row r="204" spans="3:29" x14ac:dyDescent="0.25">
      <c r="C204" s="4">
        <v>197</v>
      </c>
      <c r="D204" s="28">
        <v>42285</v>
      </c>
      <c r="E204" s="30">
        <v>18.8</v>
      </c>
      <c r="F204" s="30">
        <v>47.038482000354676</v>
      </c>
      <c r="G204" s="30">
        <v>5.936336229827984</v>
      </c>
      <c r="H204" s="30">
        <v>44.555772300053206</v>
      </c>
      <c r="I204" s="8">
        <v>0</v>
      </c>
      <c r="J204" s="31">
        <v>0</v>
      </c>
      <c r="K204" s="31">
        <v>0</v>
      </c>
      <c r="L204" s="31">
        <v>0</v>
      </c>
      <c r="M204" s="31">
        <v>0</v>
      </c>
      <c r="N204" s="31">
        <v>0</v>
      </c>
      <c r="O204" s="31">
        <v>0</v>
      </c>
      <c r="P204" s="31">
        <v>0</v>
      </c>
      <c r="Q204" s="31">
        <v>0</v>
      </c>
      <c r="R204" s="31">
        <v>1</v>
      </c>
      <c r="S204" s="31">
        <v>0</v>
      </c>
      <c r="T204" s="21" t="str" cm="1">
        <f t="array" aca="1" ref="T204" ca="1">+fair_value_gap(OFFSET(S203,0,0,-1*$I$5,-1*$Z$1),OFFSET(E203,0,0,-1*$I$5,1),F204:S204,0)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04" s="7" t="str" cm="1">
        <f t="array" aca="1" ref="U204" ca="1">z_score_diff(OFFSET(T204,0,0,$I$5*-1,1),OFFSET(E204,0,0,$I$5*-1,1))</f>
        <v/>
      </c>
      <c r="V204" s="7" t="str">
        <f t="shared" ca="1" si="217"/>
        <v/>
      </c>
      <c r="W204" s="14">
        <f t="shared" ca="1" si="212"/>
        <v>-5.9896828211823683E-2</v>
      </c>
      <c r="X204" s="10">
        <f t="shared" ref="X204:Y204" ca="1" si="223">+X203</f>
        <v>0</v>
      </c>
      <c r="Y204" s="10">
        <f t="shared" ca="1" si="223"/>
        <v>0</v>
      </c>
      <c r="Z204" t="str">
        <f t="shared" ca="1" si="219"/>
        <v/>
      </c>
      <c r="AA204" t="str">
        <f t="shared" ca="1" si="220"/>
        <v/>
      </c>
      <c r="AB204" s="19" t="str">
        <f t="shared" ca="1" si="221"/>
        <v/>
      </c>
      <c r="AC204" s="19" t="str">
        <f t="shared" ca="1" si="222"/>
        <v/>
      </c>
    </row>
    <row r="205" spans="3:29" x14ac:dyDescent="0.25">
      <c r="C205" s="4">
        <v>198</v>
      </c>
      <c r="D205" s="28">
        <v>42286</v>
      </c>
      <c r="E205" s="30">
        <v>18.754000000000001</v>
      </c>
      <c r="F205" s="30">
        <v>46.371322881803771</v>
      </c>
      <c r="G205" s="30">
        <v>5.8966003170688746</v>
      </c>
      <c r="H205" s="30">
        <v>44.345605073101993</v>
      </c>
      <c r="I205" s="8">
        <v>0</v>
      </c>
      <c r="J205" s="31">
        <v>0</v>
      </c>
      <c r="K205" s="31">
        <v>0</v>
      </c>
      <c r="L205" s="31">
        <v>0</v>
      </c>
      <c r="M205" s="31">
        <v>0</v>
      </c>
      <c r="N205" s="31">
        <v>0</v>
      </c>
      <c r="O205" s="31">
        <v>0</v>
      </c>
      <c r="P205" s="31">
        <v>0</v>
      </c>
      <c r="Q205" s="31">
        <v>0</v>
      </c>
      <c r="R205" s="31">
        <v>1</v>
      </c>
      <c r="S205" s="31">
        <v>0</v>
      </c>
      <c r="T205" s="21" t="str" cm="1">
        <f t="array" aca="1" ref="T205" ca="1">+fair_value_gap(OFFSET(S204,0,0,-1*$I$5,-1*$Z$1),OFFSET(E204,0,0,-1*$I$5,1),F205:S205,0)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05" s="7" t="str" cm="1">
        <f t="array" aca="1" ref="U205" ca="1">z_score_diff(OFFSET(T205,0,0,$I$5*-1,1),OFFSET(E205,0,0,$I$5*-1,1))</f>
        <v/>
      </c>
      <c r="V205" s="7" t="str">
        <f t="shared" ca="1" si="217"/>
        <v/>
      </c>
      <c r="W205" s="14">
        <f t="shared" ca="1" si="212"/>
        <v>-4.8227775682773442E-2</v>
      </c>
      <c r="X205" s="10">
        <f t="shared" ref="X205:Y205" ca="1" si="224">+X204</f>
        <v>0</v>
      </c>
      <c r="Y205" s="10">
        <f t="shared" ca="1" si="224"/>
        <v>0</v>
      </c>
      <c r="Z205" t="str">
        <f t="shared" ca="1" si="219"/>
        <v/>
      </c>
      <c r="AA205" t="str">
        <f t="shared" ca="1" si="220"/>
        <v/>
      </c>
      <c r="AB205" s="19" t="str">
        <f t="shared" ca="1" si="221"/>
        <v/>
      </c>
      <c r="AC205" s="19" t="str">
        <f t="shared" ca="1" si="222"/>
        <v/>
      </c>
    </row>
    <row r="206" spans="3:29" x14ac:dyDescent="0.25">
      <c r="C206" s="4">
        <v>199</v>
      </c>
      <c r="D206" s="28">
        <v>42289</v>
      </c>
      <c r="E206" s="30">
        <v>18.449000000000002</v>
      </c>
      <c r="F206" s="30">
        <v>43.910171730515195</v>
      </c>
      <c r="G206" s="30">
        <v>5.8960810215763981</v>
      </c>
      <c r="H206" s="30">
        <v>44.033465433729639</v>
      </c>
      <c r="I206" s="8">
        <v>0</v>
      </c>
      <c r="J206" s="31">
        <v>0</v>
      </c>
      <c r="K206" s="31">
        <v>0</v>
      </c>
      <c r="L206" s="31">
        <v>0</v>
      </c>
      <c r="M206" s="31">
        <v>0</v>
      </c>
      <c r="N206" s="31">
        <v>0</v>
      </c>
      <c r="O206" s="31">
        <v>0</v>
      </c>
      <c r="P206" s="31">
        <v>0</v>
      </c>
      <c r="Q206" s="31">
        <v>0</v>
      </c>
      <c r="R206" s="31">
        <v>1</v>
      </c>
      <c r="S206" s="31">
        <v>0</v>
      </c>
      <c r="T206" s="21" t="str" cm="1">
        <f t="array" aca="1" ref="T206" ca="1">+fair_value_gap(OFFSET(S205,0,0,-1*$I$5,-1*$Z$1),OFFSET(E205,0,0,-1*$I$5,1),F206:S206,0)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06" s="7" t="str" cm="1">
        <f t="array" aca="1" ref="U206" ca="1">z_score_diff(OFFSET(T206,0,0,$I$5*-1,1),OFFSET(E206,0,0,$I$5*-1,1))</f>
        <v/>
      </c>
      <c r="V206" s="7" t="str">
        <f t="shared" ca="1" si="217"/>
        <v/>
      </c>
      <c r="W206" s="14">
        <f t="shared" ca="1" si="212"/>
        <v>-5.5212172162470478E-2</v>
      </c>
      <c r="X206" s="10">
        <f t="shared" ref="X206:Y206" ca="1" si="225">+X205</f>
        <v>0</v>
      </c>
      <c r="Y206" s="10">
        <f t="shared" ca="1" si="225"/>
        <v>0</v>
      </c>
      <c r="Z206" t="str">
        <f t="shared" ca="1" si="219"/>
        <v/>
      </c>
      <c r="AA206" t="str">
        <f t="shared" ca="1" si="220"/>
        <v/>
      </c>
      <c r="AB206" s="19" t="str">
        <f t="shared" ca="1" si="221"/>
        <v/>
      </c>
      <c r="AC206" s="19" t="str">
        <f t="shared" ca="1" si="222"/>
        <v/>
      </c>
    </row>
    <row r="207" spans="3:29" x14ac:dyDescent="0.25">
      <c r="C207" s="4">
        <v>200</v>
      </c>
      <c r="D207" s="28">
        <v>42290</v>
      </c>
      <c r="E207" s="30">
        <v>18.175999999999998</v>
      </c>
      <c r="F207" s="30">
        <v>43.284106891701832</v>
      </c>
      <c r="G207" s="30">
        <v>5.8851969057665263</v>
      </c>
      <c r="H207" s="30">
        <v>43.732419127988749</v>
      </c>
      <c r="I207" s="8">
        <v>0</v>
      </c>
      <c r="J207" s="31">
        <v>0</v>
      </c>
      <c r="K207" s="31">
        <v>0</v>
      </c>
      <c r="L207" s="31">
        <v>0</v>
      </c>
      <c r="M207" s="31">
        <v>0</v>
      </c>
      <c r="N207" s="31">
        <v>0</v>
      </c>
      <c r="O207" s="31">
        <v>0</v>
      </c>
      <c r="P207" s="31">
        <v>0</v>
      </c>
      <c r="Q207" s="31">
        <v>0</v>
      </c>
      <c r="R207" s="31">
        <v>1</v>
      </c>
      <c r="S207" s="31">
        <v>0</v>
      </c>
      <c r="T207" s="21" t="str" cm="1">
        <f t="array" aca="1" ref="T207" ca="1">+fair_value_gap(OFFSET(S206,0,0,-1*$I$5,-1*$Z$1),OFFSET(E206,0,0,-1*$I$5,1),F207:S207,0)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07" s="7" t="str" cm="1">
        <f t="array" aca="1" ref="U207" ca="1">z_score_diff(OFFSET(T207,0,0,$I$5*-1,1),OFFSET(E207,0,0,$I$5*-1,1))</f>
        <v/>
      </c>
      <c r="V207" s="7" t="str">
        <f t="shared" ca="1" si="217"/>
        <v/>
      </c>
      <c r="W207" s="14">
        <f t="shared" ca="1" si="212"/>
        <v>-5.2231929727133433E-2</v>
      </c>
      <c r="X207" s="10">
        <f t="shared" ref="X207:Y207" ca="1" si="226">+X206</f>
        <v>0</v>
      </c>
      <c r="Y207" s="10">
        <f t="shared" ca="1" si="226"/>
        <v>0</v>
      </c>
      <c r="Z207" t="str">
        <f t="shared" ca="1" si="219"/>
        <v/>
      </c>
      <c r="AA207" t="str">
        <f t="shared" ca="1" si="220"/>
        <v/>
      </c>
      <c r="AB207" s="19" t="str">
        <f t="shared" ca="1" si="221"/>
        <v/>
      </c>
      <c r="AC207" s="19" t="str">
        <f t="shared" ca="1" si="222"/>
        <v/>
      </c>
    </row>
    <row r="208" spans="3:29" x14ac:dyDescent="0.25">
      <c r="C208" s="4">
        <v>201</v>
      </c>
      <c r="D208" s="28">
        <v>42291</v>
      </c>
      <c r="E208" s="30">
        <v>18.027999999999999</v>
      </c>
      <c r="F208" s="30">
        <v>42.839710624945525</v>
      </c>
      <c r="G208" s="30">
        <v>5.8397977861065113</v>
      </c>
      <c r="H208" s="30">
        <v>43.144774688398847</v>
      </c>
      <c r="I208" s="8">
        <v>0</v>
      </c>
      <c r="J208" s="31">
        <v>0</v>
      </c>
      <c r="K208" s="31">
        <v>0</v>
      </c>
      <c r="L208" s="31">
        <v>0</v>
      </c>
      <c r="M208" s="31">
        <v>0</v>
      </c>
      <c r="N208" s="31">
        <v>0</v>
      </c>
      <c r="O208" s="31">
        <v>0</v>
      </c>
      <c r="P208" s="31">
        <v>0</v>
      </c>
      <c r="Q208" s="31">
        <v>0</v>
      </c>
      <c r="R208" s="31">
        <v>1</v>
      </c>
      <c r="S208" s="31">
        <v>0</v>
      </c>
      <c r="T208" s="21" t="str" cm="1">
        <f t="array" aca="1" ref="T208" ca="1">+fair_value_gap(OFFSET(S207,0,0,-1*$I$5,-1*$Z$1),OFFSET(E207,0,0,-1*$I$5,1),F208:S208,0)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08" s="7" t="str" cm="1">
        <f t="array" aca="1" ref="U208" ca="1">z_score_diff(OFFSET(T208,0,0,$I$5*-1,1),OFFSET(E208,0,0,$I$5*-1,1))</f>
        <v/>
      </c>
      <c r="V208" s="7" t="str">
        <f t="shared" ca="1" si="217"/>
        <v/>
      </c>
      <c r="W208" s="14">
        <f t="shared" ca="1" si="212"/>
        <v>-5.4369266240287033E-2</v>
      </c>
      <c r="X208" s="10">
        <f t="shared" ref="X208:Y208" ca="1" si="227">+X207</f>
        <v>0</v>
      </c>
      <c r="Y208" s="10">
        <f t="shared" ca="1" si="227"/>
        <v>0</v>
      </c>
      <c r="Z208" t="str">
        <f t="shared" ca="1" si="219"/>
        <v/>
      </c>
      <c r="AA208" t="str">
        <f t="shared" ca="1" si="220"/>
        <v/>
      </c>
      <c r="AB208" s="19" t="str">
        <f t="shared" ca="1" si="221"/>
        <v/>
      </c>
      <c r="AC208" s="19" t="str">
        <f t="shared" ca="1" si="222"/>
        <v/>
      </c>
    </row>
    <row r="209" spans="3:29" x14ac:dyDescent="0.25">
      <c r="C209" s="4">
        <v>202</v>
      </c>
      <c r="D209" s="28">
        <v>42292</v>
      </c>
      <c r="E209" s="30">
        <v>18.172999999999998</v>
      </c>
      <c r="F209" s="30">
        <v>42.795642242136701</v>
      </c>
      <c r="G209" s="30">
        <v>5.886487436302934</v>
      </c>
      <c r="H209" s="30">
        <v>43.445791600773148</v>
      </c>
      <c r="I209" s="8">
        <v>0</v>
      </c>
      <c r="J209" s="31">
        <v>0</v>
      </c>
      <c r="K209" s="31">
        <v>0</v>
      </c>
      <c r="L209" s="31">
        <v>0</v>
      </c>
      <c r="M209" s="31">
        <v>0</v>
      </c>
      <c r="N209" s="31">
        <v>0</v>
      </c>
      <c r="O209" s="31">
        <v>0</v>
      </c>
      <c r="P209" s="31">
        <v>0</v>
      </c>
      <c r="Q209" s="31">
        <v>0</v>
      </c>
      <c r="R209" s="31">
        <v>1</v>
      </c>
      <c r="S209" s="31">
        <v>0</v>
      </c>
      <c r="T209" s="21" t="str" cm="1">
        <f t="array" aca="1" ref="T209" ca="1">+fair_value_gap(OFFSET(S208,0,0,-1*$I$5,-1*$Z$1),OFFSET(E208,0,0,-1*$I$5,1),F209:S209,0)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09" s="7" t="str" cm="1">
        <f t="array" aca="1" ref="U209" ca="1">z_score_diff(OFFSET(T209,0,0,$I$5*-1,1),OFFSET(E209,0,0,$I$5*-1,1))</f>
        <v/>
      </c>
      <c r="V209" s="7" t="str">
        <f t="shared" ca="1" si="217"/>
        <v/>
      </c>
      <c r="W209" s="14">
        <f t="shared" ca="1" si="212"/>
        <v>-7.2682527518437498E-2</v>
      </c>
      <c r="X209" s="10">
        <f t="shared" ref="X209:Y209" ca="1" si="228">+X208</f>
        <v>0</v>
      </c>
      <c r="Y209" s="10">
        <f t="shared" ca="1" si="228"/>
        <v>0</v>
      </c>
      <c r="Z209" t="str">
        <f t="shared" ca="1" si="219"/>
        <v/>
      </c>
      <c r="AA209" t="str">
        <f t="shared" ca="1" si="220"/>
        <v/>
      </c>
      <c r="AB209" s="19" t="str">
        <f t="shared" ca="1" si="221"/>
        <v/>
      </c>
      <c r="AC209" s="19" t="str">
        <f t="shared" ca="1" si="222"/>
        <v/>
      </c>
    </row>
    <row r="210" spans="3:29" x14ac:dyDescent="0.25">
      <c r="C210" s="4">
        <v>203</v>
      </c>
      <c r="D210" s="28">
        <v>42293</v>
      </c>
      <c r="E210" s="30">
        <v>18.198</v>
      </c>
      <c r="F210" s="30">
        <v>44.473823373876257</v>
      </c>
      <c r="G210" s="30">
        <v>5.9933016040895462</v>
      </c>
      <c r="H210" s="30">
        <v>43.583641812092367</v>
      </c>
      <c r="I210" s="8">
        <v>0</v>
      </c>
      <c r="J210" s="31">
        <v>0</v>
      </c>
      <c r="K210" s="31">
        <v>0</v>
      </c>
      <c r="L210" s="31">
        <v>0</v>
      </c>
      <c r="M210" s="31">
        <v>0</v>
      </c>
      <c r="N210" s="31">
        <v>0</v>
      </c>
      <c r="O210" s="31">
        <v>0</v>
      </c>
      <c r="P210" s="31">
        <v>0</v>
      </c>
      <c r="Q210" s="31">
        <v>0</v>
      </c>
      <c r="R210" s="31">
        <v>1</v>
      </c>
      <c r="S210" s="31">
        <v>0</v>
      </c>
      <c r="T210" s="21" t="str" cm="1">
        <f t="array" aca="1" ref="T210" ca="1">+fair_value_gap(OFFSET(S209,0,0,-1*$I$5,-1*$Z$1),OFFSET(E209,0,0,-1*$I$5,1),F210:S210,0)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10" s="7" t="str" cm="1">
        <f t="array" aca="1" ref="U210" ca="1">z_score_diff(OFFSET(T210,0,0,$I$5*-1,1),OFFSET(E210,0,0,$I$5*-1,1))</f>
        <v/>
      </c>
      <c r="V210" s="7" t="str">
        <f t="shared" ca="1" si="217"/>
        <v/>
      </c>
      <c r="W210" s="14">
        <f t="shared" ca="1" si="212"/>
        <v>-6.8039532078907089E-2</v>
      </c>
      <c r="X210" s="10">
        <f t="shared" ref="X210:Y210" ca="1" si="229">+X209</f>
        <v>0</v>
      </c>
      <c r="Y210" s="10">
        <f t="shared" ca="1" si="229"/>
        <v>0</v>
      </c>
      <c r="Z210" t="str">
        <f t="shared" ca="1" si="219"/>
        <v/>
      </c>
      <c r="AA210" t="str">
        <f t="shared" ca="1" si="220"/>
        <v/>
      </c>
      <c r="AB210" s="19" t="str">
        <f t="shared" ca="1" si="221"/>
        <v/>
      </c>
      <c r="AC210" s="19" t="str">
        <f t="shared" ca="1" si="222"/>
        <v/>
      </c>
    </row>
    <row r="211" spans="3:29" x14ac:dyDescent="0.25">
      <c r="C211" s="4">
        <v>204</v>
      </c>
      <c r="D211" s="28">
        <v>42296</v>
      </c>
      <c r="E211" s="30">
        <v>18.411000000000001</v>
      </c>
      <c r="F211" s="30">
        <v>42.926527728717765</v>
      </c>
      <c r="G211" s="30">
        <v>6.049099258212645</v>
      </c>
      <c r="H211" s="30">
        <v>43.712469092193565</v>
      </c>
      <c r="I211" s="8">
        <v>0</v>
      </c>
      <c r="J211" s="31">
        <v>0</v>
      </c>
      <c r="K211" s="31">
        <v>0</v>
      </c>
      <c r="L211" s="31">
        <v>0</v>
      </c>
      <c r="M211" s="31">
        <v>0</v>
      </c>
      <c r="N211" s="31">
        <v>0</v>
      </c>
      <c r="O211" s="31">
        <v>0</v>
      </c>
      <c r="P211" s="31">
        <v>0</v>
      </c>
      <c r="Q211" s="31">
        <v>0</v>
      </c>
      <c r="R211" s="31">
        <v>1</v>
      </c>
      <c r="S211" s="31">
        <v>0</v>
      </c>
      <c r="T211" s="21" t="str" cm="1">
        <f t="array" aca="1" ref="T211" ca="1">+fair_value_gap(OFFSET(S210,0,0,-1*$I$5,-1*$Z$1),OFFSET(E210,0,0,-1*$I$5,1),F211:S211,0)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11" s="7" t="str" cm="1">
        <f t="array" aca="1" ref="U211" ca="1">z_score_diff(OFFSET(T211,0,0,$I$5*-1,1),OFFSET(E211,0,0,$I$5*-1,1))</f>
        <v/>
      </c>
      <c r="V211" s="7" t="str">
        <f t="shared" ca="1" si="217"/>
        <v/>
      </c>
      <c r="W211" s="14">
        <f t="shared" ca="1" si="212"/>
        <v>-6.6586495175347427E-2</v>
      </c>
      <c r="X211" s="10">
        <f t="shared" ref="X211:Y211" ca="1" si="230">+X210</f>
        <v>0</v>
      </c>
      <c r="Y211" s="10">
        <f t="shared" ca="1" si="230"/>
        <v>0</v>
      </c>
      <c r="Z211" t="str">
        <f t="shared" ca="1" si="219"/>
        <v/>
      </c>
      <c r="AA211" t="str">
        <f t="shared" ca="1" si="220"/>
        <v/>
      </c>
      <c r="AB211" s="19" t="str">
        <f t="shared" ca="1" si="221"/>
        <v/>
      </c>
      <c r="AC211" s="19" t="str">
        <f t="shared" ca="1" si="222"/>
        <v/>
      </c>
    </row>
    <row r="212" spans="3:29" x14ac:dyDescent="0.25">
      <c r="C212" s="4">
        <v>205</v>
      </c>
      <c r="D212" s="28">
        <v>42297</v>
      </c>
      <c r="E212" s="30">
        <v>18.187000000000001</v>
      </c>
      <c r="F212" s="30">
        <v>42.938998589562765</v>
      </c>
      <c r="G212" s="30">
        <v>6.1971086036671368</v>
      </c>
      <c r="H212" s="30">
        <v>43.63540197461213</v>
      </c>
      <c r="I212" s="8">
        <v>0</v>
      </c>
      <c r="J212" s="31">
        <v>0</v>
      </c>
      <c r="K212" s="31">
        <v>0</v>
      </c>
      <c r="L212" s="31">
        <v>0</v>
      </c>
      <c r="M212" s="31">
        <v>0</v>
      </c>
      <c r="N212" s="31">
        <v>0</v>
      </c>
      <c r="O212" s="31">
        <v>0</v>
      </c>
      <c r="P212" s="31">
        <v>0</v>
      </c>
      <c r="Q212" s="31">
        <v>0</v>
      </c>
      <c r="R212" s="31">
        <v>1</v>
      </c>
      <c r="S212" s="31">
        <v>0</v>
      </c>
      <c r="T212" s="21" t="str" cm="1">
        <f t="array" aca="1" ref="T212" ca="1">+fair_value_gap(OFFSET(S211,0,0,-1*$I$5,-1*$Z$1),OFFSET(E211,0,0,-1*$I$5,1),F212:S212,0)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12" s="7" t="str" cm="1">
        <f t="array" aca="1" ref="U212" ca="1">z_score_diff(OFFSET(T212,0,0,$I$5*-1,1),OFFSET(E212,0,0,$I$5*-1,1))</f>
        <v/>
      </c>
      <c r="V212" s="7" t="str">
        <f t="shared" ca="1" si="217"/>
        <v/>
      </c>
      <c r="W212" s="14">
        <f t="shared" ca="1" si="212"/>
        <v>-3.1445443644838936E-2</v>
      </c>
      <c r="X212" s="10">
        <f t="shared" ref="X212:Y212" ca="1" si="231">+X211</f>
        <v>0</v>
      </c>
      <c r="Y212" s="10">
        <f t="shared" ca="1" si="231"/>
        <v>0</v>
      </c>
      <c r="Z212" t="str">
        <f t="shared" ca="1" si="219"/>
        <v/>
      </c>
      <c r="AA212" t="str">
        <f t="shared" ca="1" si="220"/>
        <v/>
      </c>
      <c r="AB212" s="19" t="str">
        <f t="shared" ca="1" si="221"/>
        <v/>
      </c>
      <c r="AC212" s="19" t="str">
        <f t="shared" ca="1" si="222"/>
        <v/>
      </c>
    </row>
    <row r="213" spans="3:29" x14ac:dyDescent="0.25">
      <c r="C213" s="4">
        <v>206</v>
      </c>
      <c r="D213" s="28">
        <v>42298</v>
      </c>
      <c r="E213" s="30">
        <v>18.065000000000001</v>
      </c>
      <c r="F213" s="30">
        <v>42.210656316160907</v>
      </c>
      <c r="G213" s="30">
        <v>6.2014820042342986</v>
      </c>
      <c r="H213" s="30">
        <v>43.577981651376149</v>
      </c>
      <c r="I213" s="8">
        <v>0</v>
      </c>
      <c r="J213" s="31">
        <v>0</v>
      </c>
      <c r="K213" s="31">
        <v>0</v>
      </c>
      <c r="L213" s="31">
        <v>0</v>
      </c>
      <c r="M213" s="31">
        <v>0</v>
      </c>
      <c r="N213" s="31">
        <v>0</v>
      </c>
      <c r="O213" s="31">
        <v>0</v>
      </c>
      <c r="P213" s="31">
        <v>0</v>
      </c>
      <c r="Q213" s="31">
        <v>0</v>
      </c>
      <c r="R213" s="31">
        <v>1</v>
      </c>
      <c r="S213" s="31">
        <v>0</v>
      </c>
      <c r="T213" s="21" t="str" cm="1">
        <f t="array" aca="1" ref="T213" ca="1">+fair_value_gap(OFFSET(S212,0,0,-1*$I$5,-1*$Z$1),OFFSET(E212,0,0,-1*$I$5,1),F213:S213,0)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13" s="7" t="str" cm="1">
        <f t="array" aca="1" ref="U213" ca="1">z_score_diff(OFFSET(T213,0,0,$I$5*-1,1),OFFSET(E213,0,0,$I$5*-1,1))</f>
        <v/>
      </c>
      <c r="V213" s="7" t="str">
        <f t="shared" ca="1" si="217"/>
        <v/>
      </c>
      <c r="W213" s="14">
        <f t="shared" ca="1" si="212"/>
        <v>-4.0672084177890595E-2</v>
      </c>
      <c r="X213" s="10">
        <f t="shared" ref="X213:Y213" ca="1" si="232">+X212</f>
        <v>0</v>
      </c>
      <c r="Y213" s="10">
        <f t="shared" ca="1" si="232"/>
        <v>0</v>
      </c>
      <c r="Z213" t="str">
        <f t="shared" ca="1" si="219"/>
        <v/>
      </c>
      <c r="AA213" t="str">
        <f t="shared" ca="1" si="220"/>
        <v/>
      </c>
      <c r="AB213" s="19" t="str">
        <f t="shared" ca="1" si="221"/>
        <v/>
      </c>
      <c r="AC213" s="19" t="str">
        <f t="shared" ca="1" si="222"/>
        <v/>
      </c>
    </row>
    <row r="214" spans="3:29" x14ac:dyDescent="0.25">
      <c r="C214" s="4">
        <v>207</v>
      </c>
      <c r="D214" s="28">
        <v>42299</v>
      </c>
      <c r="E214" s="30">
        <v>18.143999999999998</v>
      </c>
      <c r="F214" s="30">
        <v>43.29191428056906</v>
      </c>
      <c r="G214" s="30">
        <v>6.3299117594093284</v>
      </c>
      <c r="H214" s="30">
        <v>44.480461012065547</v>
      </c>
      <c r="I214" s="8">
        <v>0</v>
      </c>
      <c r="J214" s="31">
        <v>0</v>
      </c>
      <c r="K214" s="31">
        <v>0</v>
      </c>
      <c r="L214" s="31">
        <v>0</v>
      </c>
      <c r="M214" s="31">
        <v>0</v>
      </c>
      <c r="N214" s="31">
        <v>0</v>
      </c>
      <c r="O214" s="31">
        <v>0</v>
      </c>
      <c r="P214" s="31">
        <v>0</v>
      </c>
      <c r="Q214" s="31">
        <v>0</v>
      </c>
      <c r="R214" s="31">
        <v>1</v>
      </c>
      <c r="S214" s="31">
        <v>0</v>
      </c>
      <c r="T214" s="21" t="str" cm="1">
        <f t="array" aca="1" ref="T214" ca="1">+fair_value_gap(OFFSET(S213,0,0,-1*$I$5,-1*$Z$1),OFFSET(E213,0,0,-1*$I$5,1),F214:S214,0)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14" s="7" t="str" cm="1">
        <f t="array" aca="1" ref="U214" ca="1">z_score_diff(OFFSET(T214,0,0,$I$5*-1,1),OFFSET(E214,0,0,$I$5*-1,1))</f>
        <v/>
      </c>
      <c r="V214" s="7" t="str">
        <f t="shared" ca="1" si="217"/>
        <v/>
      </c>
      <c r="W214" s="14">
        <f t="shared" ca="1" si="212"/>
        <v>-4.4171218313137424E-2</v>
      </c>
      <c r="X214" s="10">
        <f t="shared" ref="X214:Y214" ca="1" si="233">+X213</f>
        <v>0</v>
      </c>
      <c r="Y214" s="10">
        <f t="shared" ca="1" si="233"/>
        <v>0</v>
      </c>
      <c r="Z214" t="str">
        <f t="shared" ca="1" si="219"/>
        <v/>
      </c>
      <c r="AA214" t="str">
        <f t="shared" ca="1" si="220"/>
        <v/>
      </c>
      <c r="AB214" s="19" t="str">
        <f t="shared" ca="1" si="221"/>
        <v/>
      </c>
      <c r="AC214" s="19" t="str">
        <f t="shared" ca="1" si="222"/>
        <v/>
      </c>
    </row>
    <row r="215" spans="3:29" x14ac:dyDescent="0.25">
      <c r="C215" s="4">
        <v>208</v>
      </c>
      <c r="D215" s="28">
        <v>42300</v>
      </c>
      <c r="E215" s="30">
        <v>18.276</v>
      </c>
      <c r="F215" s="30">
        <v>43.571817686580722</v>
      </c>
      <c r="G215" s="30">
        <v>6.4145632830942443</v>
      </c>
      <c r="H215" s="30">
        <v>44.897403304884698</v>
      </c>
      <c r="I215" s="8">
        <v>0</v>
      </c>
      <c r="J215" s="31">
        <v>0</v>
      </c>
      <c r="K215" s="31">
        <v>0</v>
      </c>
      <c r="L215" s="31">
        <v>0</v>
      </c>
      <c r="M215" s="31">
        <v>0</v>
      </c>
      <c r="N215" s="31">
        <v>0</v>
      </c>
      <c r="O215" s="31">
        <v>0</v>
      </c>
      <c r="P215" s="31">
        <v>0</v>
      </c>
      <c r="Q215" s="31">
        <v>0</v>
      </c>
      <c r="R215" s="31">
        <v>1</v>
      </c>
      <c r="S215" s="31">
        <v>0</v>
      </c>
      <c r="T215" s="21" t="str" cm="1">
        <f t="array" aca="1" ref="T215" ca="1">+fair_value_gap(OFFSET(S214,0,0,-1*$I$5,-1*$Z$1),OFFSET(E214,0,0,-1*$I$5,1),F215:S215,0)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15" s="7" t="str" cm="1">
        <f t="array" aca="1" ref="U215" ca="1">z_score_diff(OFFSET(T215,0,0,$I$5*-1,1),OFFSET(E215,0,0,$I$5*-1,1))</f>
        <v/>
      </c>
      <c r="V215" s="7" t="str">
        <f t="shared" ca="1" si="217"/>
        <v/>
      </c>
      <c r="W215" s="14">
        <f t="shared" ca="1" si="212"/>
        <v>-5.9459154378262609E-2</v>
      </c>
      <c r="X215" s="10">
        <f t="shared" ref="X215:Y215" ca="1" si="234">+X214</f>
        <v>0</v>
      </c>
      <c r="Y215" s="10">
        <f t="shared" ca="1" si="234"/>
        <v>0</v>
      </c>
      <c r="Z215" t="str">
        <f t="shared" ca="1" si="219"/>
        <v/>
      </c>
      <c r="AA215" t="str">
        <f t="shared" ca="1" si="220"/>
        <v/>
      </c>
      <c r="AB215" s="19" t="str">
        <f t="shared" ca="1" si="221"/>
        <v/>
      </c>
      <c r="AC215" s="19" t="str">
        <f t="shared" ca="1" si="222"/>
        <v/>
      </c>
    </row>
    <row r="216" spans="3:29" x14ac:dyDescent="0.25">
      <c r="C216" s="4">
        <v>209</v>
      </c>
      <c r="D216" s="28">
        <v>42303</v>
      </c>
      <c r="E216" s="30">
        <v>18.05</v>
      </c>
      <c r="F216" s="30">
        <v>42.999276410998554</v>
      </c>
      <c r="G216" s="30">
        <v>6.421852387843705</v>
      </c>
      <c r="H216" s="30">
        <v>44.998191027496382</v>
      </c>
      <c r="I216" s="8">
        <v>0</v>
      </c>
      <c r="J216" s="31">
        <v>0</v>
      </c>
      <c r="K216" s="31">
        <v>0</v>
      </c>
      <c r="L216" s="31">
        <v>0</v>
      </c>
      <c r="M216" s="31">
        <v>0</v>
      </c>
      <c r="N216" s="31">
        <v>0</v>
      </c>
      <c r="O216" s="31">
        <v>0</v>
      </c>
      <c r="P216" s="31">
        <v>0</v>
      </c>
      <c r="Q216" s="31">
        <v>0</v>
      </c>
      <c r="R216" s="31">
        <v>1</v>
      </c>
      <c r="S216" s="31">
        <v>0</v>
      </c>
      <c r="T216" s="21" t="str" cm="1">
        <f t="array" aca="1" ref="T216" ca="1">+fair_value_gap(OFFSET(S215,0,0,-1*$I$5,-1*$Z$1),OFFSET(E215,0,0,-1*$I$5,1),F216:S216,0)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16" s="7" t="str" cm="1">
        <f t="array" aca="1" ref="U216" ca="1">z_score_diff(OFFSET(T216,0,0,$I$5*-1,1),OFFSET(E216,0,0,$I$5*-1,1))</f>
        <v/>
      </c>
      <c r="V216" s="7" t="str">
        <f t="shared" ca="1" si="217"/>
        <v/>
      </c>
      <c r="W216" s="14">
        <f t="shared" ca="1" si="212"/>
        <v>-4.8701525438680657E-2</v>
      </c>
      <c r="X216" s="10">
        <f t="shared" ref="X216:Y216" ca="1" si="235">+X215</f>
        <v>0</v>
      </c>
      <c r="Y216" s="10">
        <f t="shared" ca="1" si="235"/>
        <v>0</v>
      </c>
      <c r="Z216" t="str">
        <f t="shared" ca="1" si="219"/>
        <v/>
      </c>
      <c r="AA216" t="str">
        <f t="shared" ca="1" si="220"/>
        <v/>
      </c>
      <c r="AB216" s="19" t="str">
        <f t="shared" ca="1" si="221"/>
        <v/>
      </c>
      <c r="AC216" s="19" t="str">
        <f t="shared" ca="1" si="222"/>
        <v/>
      </c>
    </row>
    <row r="217" spans="3:29" x14ac:dyDescent="0.25">
      <c r="C217" s="4">
        <v>210</v>
      </c>
      <c r="D217" s="28">
        <v>42304</v>
      </c>
      <c r="E217" s="30">
        <v>18.09</v>
      </c>
      <c r="F217" s="30">
        <v>42.369659666908042</v>
      </c>
      <c r="G217" s="30">
        <v>6.4265025343953655</v>
      </c>
      <c r="H217" s="30">
        <v>44.895003620564808</v>
      </c>
      <c r="I217" s="8">
        <v>0</v>
      </c>
      <c r="J217" s="31">
        <v>0</v>
      </c>
      <c r="K217" s="31">
        <v>0</v>
      </c>
      <c r="L217" s="31">
        <v>0</v>
      </c>
      <c r="M217" s="31">
        <v>0</v>
      </c>
      <c r="N217" s="31">
        <v>0</v>
      </c>
      <c r="O217" s="31">
        <v>0</v>
      </c>
      <c r="P217" s="31">
        <v>0</v>
      </c>
      <c r="Q217" s="31">
        <v>0</v>
      </c>
      <c r="R217" s="31">
        <v>1</v>
      </c>
      <c r="S217" s="31">
        <v>0</v>
      </c>
      <c r="T217" s="21" t="str" cm="1">
        <f t="array" aca="1" ref="T217" ca="1">+fair_value_gap(OFFSET(S216,0,0,-1*$I$5,-1*$Z$1),OFFSET(E216,0,0,-1*$I$5,1),F217:S217,0)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17" s="7" t="str" cm="1">
        <f t="array" aca="1" ref="U217" ca="1">z_score_diff(OFFSET(T217,0,0,$I$5*-1,1),OFFSET(E217,0,0,$I$5*-1,1))</f>
        <v/>
      </c>
      <c r="V217" s="7" t="str">
        <f t="shared" ca="1" si="217"/>
        <v/>
      </c>
      <c r="W217" s="14">
        <f t="shared" ca="1" si="212"/>
        <v>-3.7568126966435647E-2</v>
      </c>
      <c r="X217" s="10">
        <f t="shared" ref="X217:Y217" ca="1" si="236">+X216</f>
        <v>0</v>
      </c>
      <c r="Y217" s="10">
        <f t="shared" ca="1" si="236"/>
        <v>0</v>
      </c>
      <c r="Z217" t="str">
        <f t="shared" ca="1" si="219"/>
        <v/>
      </c>
      <c r="AA217" t="str">
        <f t="shared" ca="1" si="220"/>
        <v/>
      </c>
      <c r="AB217" s="19" t="str">
        <f t="shared" ca="1" si="221"/>
        <v/>
      </c>
      <c r="AC217" s="19" t="str">
        <f t="shared" ca="1" si="222"/>
        <v/>
      </c>
    </row>
    <row r="218" spans="3:29" x14ac:dyDescent="0.25">
      <c r="C218" s="4">
        <v>211</v>
      </c>
      <c r="D218" s="28">
        <v>42305</v>
      </c>
      <c r="E218" s="30">
        <v>18.125</v>
      </c>
      <c r="F218" s="30">
        <v>44.917582417582409</v>
      </c>
      <c r="G218" s="30">
        <v>6.5018315018315009</v>
      </c>
      <c r="H218" s="30">
        <v>45.512820512820511</v>
      </c>
      <c r="I218" s="8">
        <v>0</v>
      </c>
      <c r="J218" s="31">
        <v>0</v>
      </c>
      <c r="K218" s="31">
        <v>0</v>
      </c>
      <c r="L218" s="31">
        <v>0</v>
      </c>
      <c r="M218" s="31">
        <v>0</v>
      </c>
      <c r="N218" s="31">
        <v>0</v>
      </c>
      <c r="O218" s="31">
        <v>0</v>
      </c>
      <c r="P218" s="31">
        <v>0</v>
      </c>
      <c r="Q218" s="31">
        <v>0</v>
      </c>
      <c r="R218" s="31">
        <v>1</v>
      </c>
      <c r="S218" s="31">
        <v>0</v>
      </c>
      <c r="T218" s="21" t="str" cm="1">
        <f t="array" aca="1" ref="T218" ca="1">+fair_value_gap(OFFSET(S217,0,0,-1*$I$5,-1*$Z$1),OFFSET(E217,0,0,-1*$I$5,1),F218:S218,0)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18" s="7" t="str" cm="1">
        <f t="array" aca="1" ref="U218" ca="1">z_score_diff(OFFSET(T218,0,0,$I$5*-1,1),OFFSET(E218,0,0,$I$5*-1,1))</f>
        <v/>
      </c>
      <c r="V218" s="7" t="str">
        <f t="shared" ca="1" si="217"/>
        <v/>
      </c>
      <c r="W218" s="14">
        <f t="shared" ca="1" si="212"/>
        <v>-3.1611666547020932E-2</v>
      </c>
      <c r="X218" s="10">
        <f t="shared" ref="X218:Y218" ca="1" si="237">+X217</f>
        <v>0</v>
      </c>
      <c r="Y218" s="10">
        <f t="shared" ca="1" si="237"/>
        <v>0</v>
      </c>
      <c r="Z218" t="str">
        <f t="shared" ca="1" si="219"/>
        <v/>
      </c>
      <c r="AA218" t="str">
        <f t="shared" ca="1" si="220"/>
        <v/>
      </c>
      <c r="AB218" s="19" t="str">
        <f t="shared" ca="1" si="221"/>
        <v/>
      </c>
      <c r="AC218" s="19" t="str">
        <f t="shared" ca="1" si="222"/>
        <v/>
      </c>
    </row>
    <row r="219" spans="3:29" x14ac:dyDescent="0.25">
      <c r="C219" s="4">
        <v>212</v>
      </c>
      <c r="D219" s="28">
        <v>42306</v>
      </c>
      <c r="E219" s="30">
        <v>18.149999999999999</v>
      </c>
      <c r="F219" s="30">
        <v>44.460641399416907</v>
      </c>
      <c r="G219" s="30">
        <v>6.4686588921282802</v>
      </c>
      <c r="H219" s="30">
        <v>45.235058309037903</v>
      </c>
      <c r="I219" s="8">
        <v>0</v>
      </c>
      <c r="J219" s="31">
        <v>0</v>
      </c>
      <c r="K219" s="31">
        <v>0</v>
      </c>
      <c r="L219" s="31">
        <v>0</v>
      </c>
      <c r="M219" s="31">
        <v>0</v>
      </c>
      <c r="N219" s="31">
        <v>0</v>
      </c>
      <c r="O219" s="31">
        <v>0</v>
      </c>
      <c r="P219" s="31">
        <v>0</v>
      </c>
      <c r="Q219" s="31">
        <v>0</v>
      </c>
      <c r="R219" s="31">
        <v>1</v>
      </c>
      <c r="S219" s="31">
        <v>0</v>
      </c>
      <c r="T219" s="21" t="str" cm="1">
        <f t="array" aca="1" ref="T219" ca="1">+fair_value_gap(OFFSET(S218,0,0,-1*$I$5,-1*$Z$1),OFFSET(E218,0,0,-1*$I$5,1),F219:S219,0)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19" s="7" t="str" cm="1">
        <f t="array" aca="1" ref="U219" ca="1">z_score_diff(OFFSET(T219,0,0,$I$5*-1,1),OFFSET(E219,0,0,$I$5*-1,1))</f>
        <v/>
      </c>
      <c r="V219" s="7" t="str">
        <f t="shared" ca="1" si="217"/>
        <v/>
      </c>
      <c r="W219" s="14">
        <f t="shared" ca="1" si="212"/>
        <v>-3.0430807672145246E-2</v>
      </c>
      <c r="X219" s="10">
        <f t="shared" ref="X219:Y219" ca="1" si="238">+X218</f>
        <v>0</v>
      </c>
      <c r="Y219" s="10">
        <f t="shared" ca="1" si="238"/>
        <v>0</v>
      </c>
      <c r="Z219" t="str">
        <f t="shared" ca="1" si="219"/>
        <v/>
      </c>
      <c r="AA219" t="str">
        <f t="shared" ca="1" si="220"/>
        <v/>
      </c>
      <c r="AB219" s="19" t="str">
        <f t="shared" ca="1" si="221"/>
        <v/>
      </c>
      <c r="AC219" s="19" t="str">
        <f t="shared" ca="1" si="222"/>
        <v/>
      </c>
    </row>
    <row r="220" spans="3:29" x14ac:dyDescent="0.25">
      <c r="C220" s="4">
        <v>213</v>
      </c>
      <c r="D220" s="28">
        <v>42307</v>
      </c>
      <c r="E220" s="30">
        <v>17.989000000000001</v>
      </c>
      <c r="F220" s="30">
        <v>45.03407542026352</v>
      </c>
      <c r="G220" s="30">
        <v>6.474329850068151</v>
      </c>
      <c r="H220" s="30">
        <v>45.161290322580648</v>
      </c>
      <c r="I220" s="8">
        <v>0</v>
      </c>
      <c r="J220" s="31">
        <v>0</v>
      </c>
      <c r="K220" s="31">
        <v>0</v>
      </c>
      <c r="L220" s="31">
        <v>0</v>
      </c>
      <c r="M220" s="31">
        <v>0</v>
      </c>
      <c r="N220" s="31">
        <v>0</v>
      </c>
      <c r="O220" s="31">
        <v>0</v>
      </c>
      <c r="P220" s="31">
        <v>0</v>
      </c>
      <c r="Q220" s="31">
        <v>0</v>
      </c>
      <c r="R220" s="31">
        <v>1</v>
      </c>
      <c r="S220" s="31">
        <v>0</v>
      </c>
      <c r="T220" s="21" t="str" cm="1">
        <f t="array" aca="1" ref="T220" ca="1">+fair_value_gap(OFFSET(S219,0,0,-1*$I$5,-1*$Z$1),OFFSET(E219,0,0,-1*$I$5,1),F220:S220,0)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20" s="7" t="str" cm="1">
        <f t="array" aca="1" ref="U220" ca="1">z_score_diff(OFFSET(T220,0,0,$I$5*-1,1),OFFSET(E220,0,0,$I$5*-1,1))</f>
        <v/>
      </c>
      <c r="V220" s="7" t="str">
        <f t="shared" ca="1" si="217"/>
        <v/>
      </c>
      <c r="W220" s="14">
        <f t="shared" ca="1" si="212"/>
        <v>-2.5162454451359197E-2</v>
      </c>
      <c r="X220" s="10">
        <f t="shared" ref="X220:Y220" ca="1" si="239">+X219</f>
        <v>0</v>
      </c>
      <c r="Y220" s="10">
        <f t="shared" ca="1" si="239"/>
        <v>0</v>
      </c>
      <c r="Z220" t="str">
        <f t="shared" ca="1" si="219"/>
        <v/>
      </c>
      <c r="AA220" t="str">
        <f t="shared" ca="1" si="220"/>
        <v/>
      </c>
      <c r="AB220" s="19" t="str">
        <f t="shared" ca="1" si="221"/>
        <v/>
      </c>
      <c r="AC220" s="19" t="str">
        <f t="shared" ca="1" si="222"/>
        <v/>
      </c>
    </row>
    <row r="221" spans="3:29" x14ac:dyDescent="0.25">
      <c r="C221" s="4">
        <v>214</v>
      </c>
      <c r="D221" s="28">
        <v>42310</v>
      </c>
      <c r="E221" s="30">
        <v>17.831</v>
      </c>
      <c r="F221" s="30">
        <v>44.302188322891134</v>
      </c>
      <c r="G221" s="30">
        <v>6.4696268046853724</v>
      </c>
      <c r="H221" s="30">
        <v>47.35312812131118</v>
      </c>
      <c r="I221" s="8">
        <v>0</v>
      </c>
      <c r="J221" s="31">
        <v>0</v>
      </c>
      <c r="K221" s="31">
        <v>0</v>
      </c>
      <c r="L221" s="31">
        <v>0</v>
      </c>
      <c r="M221" s="31">
        <v>0</v>
      </c>
      <c r="N221" s="31">
        <v>0</v>
      </c>
      <c r="O221" s="31">
        <v>0</v>
      </c>
      <c r="P221" s="31">
        <v>0</v>
      </c>
      <c r="Q221" s="31">
        <v>0</v>
      </c>
      <c r="R221" s="31">
        <v>0</v>
      </c>
      <c r="S221" s="31">
        <v>1</v>
      </c>
      <c r="T221" s="21" t="str" cm="1">
        <f t="array" aca="1" ref="T221" ca="1">+fair_value_gap(OFFSET(S220,0,0,-1*$I$5,-1*$Z$1),OFFSET(E220,0,0,-1*$I$5,1),F221:S221,0)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21" s="7" t="str" cm="1">
        <f t="array" aca="1" ref="U221" ca="1">z_score_diff(OFFSET(T221,0,0,$I$5*-1,1),OFFSET(E221,0,0,$I$5*-1,1))</f>
        <v/>
      </c>
      <c r="V221" s="7" t="str">
        <f t="shared" ca="1" si="217"/>
        <v/>
      </c>
      <c r="W221" s="14">
        <f t="shared" ca="1" si="212"/>
        <v>1.0821167619103131E-2</v>
      </c>
      <c r="X221" s="10">
        <f t="shared" ref="X221:Y221" ca="1" si="240">+X220</f>
        <v>0</v>
      </c>
      <c r="Y221" s="10">
        <f t="shared" ca="1" si="240"/>
        <v>0</v>
      </c>
      <c r="Z221" t="str">
        <f t="shared" ca="1" si="219"/>
        <v/>
      </c>
      <c r="AA221" t="str">
        <f t="shared" ca="1" si="220"/>
        <v/>
      </c>
      <c r="AB221" s="19" t="str">
        <f t="shared" ca="1" si="221"/>
        <v/>
      </c>
      <c r="AC221" s="19" t="str">
        <f t="shared" ca="1" si="222"/>
        <v/>
      </c>
    </row>
    <row r="222" spans="3:29" x14ac:dyDescent="0.25">
      <c r="C222" s="4">
        <v>215</v>
      </c>
      <c r="D222" s="28">
        <v>42311</v>
      </c>
      <c r="E222" s="30">
        <v>17.876000000000001</v>
      </c>
      <c r="F222" s="30">
        <v>46.087908079518513</v>
      </c>
      <c r="G222" s="30">
        <v>6.6067846069669889</v>
      </c>
      <c r="H222" s="30">
        <v>47.829655298194417</v>
      </c>
      <c r="I222" s="8">
        <v>0</v>
      </c>
      <c r="J222" s="31">
        <v>0</v>
      </c>
      <c r="K222" s="31">
        <v>0</v>
      </c>
      <c r="L222" s="31">
        <v>0</v>
      </c>
      <c r="M222" s="31">
        <v>0</v>
      </c>
      <c r="N222" s="31">
        <v>0</v>
      </c>
      <c r="O222" s="31">
        <v>0</v>
      </c>
      <c r="P222" s="31">
        <v>0</v>
      </c>
      <c r="Q222" s="31">
        <v>0</v>
      </c>
      <c r="R222" s="31">
        <v>0</v>
      </c>
      <c r="S222" s="31">
        <v>1</v>
      </c>
      <c r="T222" s="21" t="str" cm="1">
        <f t="array" aca="1" ref="T222" ca="1">+fair_value_gap(OFFSET(S221,0,0,-1*$I$5,-1*$Z$1),OFFSET(E221,0,0,-1*$I$5,1),F222:S222,0)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22" s="7" t="str" cm="1">
        <f t="array" aca="1" ref="U222" ca="1">z_score_diff(OFFSET(T222,0,0,$I$5*-1,1),OFFSET(E222,0,0,$I$5*-1,1))</f>
        <v/>
      </c>
      <c r="V222" s="7" t="str">
        <f t="shared" ca="1" si="217"/>
        <v/>
      </c>
      <c r="W222" s="14">
        <f t="shared" ca="1" si="212"/>
        <v>1.8951085251412928E-2</v>
      </c>
      <c r="X222" s="10">
        <f t="shared" ref="X222:Y222" ca="1" si="241">+X221</f>
        <v>0</v>
      </c>
      <c r="Y222" s="10">
        <f t="shared" ca="1" si="241"/>
        <v>0</v>
      </c>
      <c r="Z222" t="str">
        <f t="shared" ca="1" si="219"/>
        <v/>
      </c>
      <c r="AA222" t="str">
        <f t="shared" ca="1" si="220"/>
        <v/>
      </c>
      <c r="AB222" s="19" t="str">
        <f t="shared" ca="1" si="221"/>
        <v/>
      </c>
      <c r="AC222" s="19" t="str">
        <f t="shared" ca="1" si="222"/>
        <v/>
      </c>
    </row>
    <row r="223" spans="3:29" x14ac:dyDescent="0.25">
      <c r="C223" s="4">
        <v>216</v>
      </c>
      <c r="D223" s="28">
        <v>42312</v>
      </c>
      <c r="E223" s="30">
        <v>17.95</v>
      </c>
      <c r="F223" s="30">
        <v>44.724728410974031</v>
      </c>
      <c r="G223" s="30">
        <v>6.6700423494752341</v>
      </c>
      <c r="H223" s="30">
        <v>47.919351868900748</v>
      </c>
      <c r="I223" s="8">
        <v>0</v>
      </c>
      <c r="J223" s="31">
        <v>0</v>
      </c>
      <c r="K223" s="31">
        <v>0</v>
      </c>
      <c r="L223" s="31">
        <v>0</v>
      </c>
      <c r="M223" s="31">
        <v>0</v>
      </c>
      <c r="N223" s="31">
        <v>0</v>
      </c>
      <c r="O223" s="31">
        <v>0</v>
      </c>
      <c r="P223" s="31">
        <v>0</v>
      </c>
      <c r="Q223" s="31">
        <v>0</v>
      </c>
      <c r="R223" s="31">
        <v>0</v>
      </c>
      <c r="S223" s="31">
        <v>1</v>
      </c>
      <c r="T223" s="21" t="str" cm="1">
        <f t="array" aca="1" ref="T223" ca="1">+fair_value_gap(OFFSET(S222,0,0,-1*$I$5,-1*$Z$1),OFFSET(E222,0,0,-1*$I$5,1),F223:S223,0)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23" s="7" t="str" cm="1">
        <f t="array" aca="1" ref="U223" ca="1">z_score_diff(OFFSET(T223,0,0,$I$5*-1,1),OFFSET(E223,0,0,$I$5*-1,1))</f>
        <v/>
      </c>
      <c r="V223" s="7" t="str">
        <f t="shared" ca="1" si="217"/>
        <v/>
      </c>
      <c r="W223" s="14">
        <f t="shared" ca="1" si="212"/>
        <v>-5.5866067086397121E-3</v>
      </c>
      <c r="X223" s="10">
        <f t="shared" ref="X223:Y223" ca="1" si="242">+X222</f>
        <v>0</v>
      </c>
      <c r="Y223" s="10">
        <f t="shared" ca="1" si="242"/>
        <v>0</v>
      </c>
      <c r="Z223" t="str">
        <f t="shared" ca="1" si="219"/>
        <v/>
      </c>
      <c r="AA223" t="str">
        <f t="shared" ca="1" si="220"/>
        <v/>
      </c>
      <c r="AB223" s="19" t="str">
        <f t="shared" ca="1" si="221"/>
        <v/>
      </c>
      <c r="AC223" s="19" t="str">
        <f t="shared" ca="1" si="222"/>
        <v/>
      </c>
    </row>
    <row r="224" spans="3:29" x14ac:dyDescent="0.25">
      <c r="C224" s="4">
        <v>217</v>
      </c>
      <c r="D224" s="28">
        <v>42313</v>
      </c>
      <c r="E224" s="30">
        <v>17.707000000000001</v>
      </c>
      <c r="F224" s="30">
        <v>44.095211837147318</v>
      </c>
      <c r="G224" s="30">
        <v>6.658395368072787</v>
      </c>
      <c r="H224" s="30">
        <v>47.697821891370275</v>
      </c>
      <c r="I224" s="8">
        <v>0</v>
      </c>
      <c r="J224" s="31">
        <v>0</v>
      </c>
      <c r="K224" s="31">
        <v>0</v>
      </c>
      <c r="L224" s="31">
        <v>0</v>
      </c>
      <c r="M224" s="31">
        <v>0</v>
      </c>
      <c r="N224" s="31">
        <v>0</v>
      </c>
      <c r="O224" s="31">
        <v>0</v>
      </c>
      <c r="P224" s="31">
        <v>0</v>
      </c>
      <c r="Q224" s="31">
        <v>0</v>
      </c>
      <c r="R224" s="31">
        <v>0</v>
      </c>
      <c r="S224" s="31">
        <v>1</v>
      </c>
      <c r="T224" s="21" t="str" cm="1">
        <f t="array" aca="1" ref="T224" ca="1">+fair_value_gap(OFFSET(S223,0,0,-1*$I$5,-1*$Z$1),OFFSET(E223,0,0,-1*$I$5,1),F224:S224,0)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24" s="7" t="str" cm="1">
        <f t="array" aca="1" ref="U224" ca="1">z_score_diff(OFFSET(T224,0,0,$I$5*-1,1),OFFSET(E224,0,0,$I$5*-1,1))</f>
        <v/>
      </c>
      <c r="V224" s="7" t="str">
        <f t="shared" ca="1" si="217"/>
        <v/>
      </c>
      <c r="W224" s="14">
        <f t="shared" ca="1" si="212"/>
        <v>-2.0137014252781915E-2</v>
      </c>
      <c r="X224" s="10">
        <f t="shared" ref="X224:Y224" ca="1" si="243">+X223</f>
        <v>0</v>
      </c>
      <c r="Y224" s="10">
        <f t="shared" ca="1" si="243"/>
        <v>0</v>
      </c>
      <c r="Z224" t="str">
        <f t="shared" ca="1" si="219"/>
        <v/>
      </c>
      <c r="AA224" t="str">
        <f t="shared" ca="1" si="220"/>
        <v/>
      </c>
      <c r="AB224" s="19" t="str">
        <f t="shared" ca="1" si="221"/>
        <v/>
      </c>
      <c r="AC224" s="19" t="str">
        <f t="shared" ca="1" si="222"/>
        <v/>
      </c>
    </row>
    <row r="225" spans="3:29" x14ac:dyDescent="0.25">
      <c r="C225" s="4">
        <v>218</v>
      </c>
      <c r="D225" s="28">
        <v>42314</v>
      </c>
      <c r="E225" s="30">
        <v>17.870999999999999</v>
      </c>
      <c r="F225" s="30">
        <v>44.16092382194077</v>
      </c>
      <c r="G225" s="30">
        <v>6.770348295772024</v>
      </c>
      <c r="H225" s="30">
        <v>48.472713726951007</v>
      </c>
      <c r="I225" s="8">
        <v>0</v>
      </c>
      <c r="J225" s="31">
        <v>0</v>
      </c>
      <c r="K225" s="31">
        <v>0</v>
      </c>
      <c r="L225" s="31">
        <v>0</v>
      </c>
      <c r="M225" s="31">
        <v>0</v>
      </c>
      <c r="N225" s="31">
        <v>0</v>
      </c>
      <c r="O225" s="31">
        <v>0</v>
      </c>
      <c r="P225" s="31">
        <v>0</v>
      </c>
      <c r="Q225" s="31">
        <v>0</v>
      </c>
      <c r="R225" s="31">
        <v>0</v>
      </c>
      <c r="S225" s="31">
        <v>1</v>
      </c>
      <c r="T225" s="21" t="str" cm="1">
        <f t="array" aca="1" ref="T225" ca="1">+fair_value_gap(OFFSET(S224,0,0,-1*$I$5,-1*$Z$1),OFFSET(E224,0,0,-1*$I$5,1),F225:S225,0)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25" s="7" t="str" cm="1">
        <f t="array" aca="1" ref="U225" ca="1">z_score_diff(OFFSET(T225,0,0,$I$5*-1,1),OFFSET(E225,0,0,$I$5*-1,1))</f>
        <v/>
      </c>
      <c r="V225" s="7" t="str">
        <f t="shared" ca="1" si="217"/>
        <v/>
      </c>
      <c r="W225" s="14">
        <f t="shared" ca="1" si="212"/>
        <v>-2.3667733671960508E-2</v>
      </c>
      <c r="X225" s="10">
        <f t="shared" ref="X225:Y225" ca="1" si="244">+X224</f>
        <v>0</v>
      </c>
      <c r="Y225" s="10">
        <f t="shared" ca="1" si="244"/>
        <v>0</v>
      </c>
      <c r="Z225" t="str">
        <f t="shared" ca="1" si="219"/>
        <v/>
      </c>
      <c r="AA225" t="str">
        <f t="shared" ca="1" si="220"/>
        <v/>
      </c>
      <c r="AB225" s="19" t="str">
        <f t="shared" ca="1" si="221"/>
        <v/>
      </c>
      <c r="AC225" s="19" t="str">
        <f t="shared" ca="1" si="222"/>
        <v/>
      </c>
    </row>
    <row r="226" spans="3:29" x14ac:dyDescent="0.25">
      <c r="C226" s="4">
        <v>219</v>
      </c>
      <c r="D226" s="28">
        <v>42317</v>
      </c>
      <c r="E226" s="30">
        <v>17.457999999999998</v>
      </c>
      <c r="F226" s="30">
        <v>43.901758303097964</v>
      </c>
      <c r="G226" s="30">
        <v>6.7727230440040938</v>
      </c>
      <c r="H226" s="30">
        <v>48.09749744162248</v>
      </c>
      <c r="I226" s="8">
        <v>0</v>
      </c>
      <c r="J226" s="31">
        <v>0</v>
      </c>
      <c r="K226" s="31">
        <v>0</v>
      </c>
      <c r="L226" s="31">
        <v>0</v>
      </c>
      <c r="M226" s="31">
        <v>0</v>
      </c>
      <c r="N226" s="31">
        <v>0</v>
      </c>
      <c r="O226" s="31">
        <v>0</v>
      </c>
      <c r="P226" s="31">
        <v>0</v>
      </c>
      <c r="Q226" s="31">
        <v>0</v>
      </c>
      <c r="R226" s="31">
        <v>0</v>
      </c>
      <c r="S226" s="31">
        <v>1</v>
      </c>
      <c r="T226" s="21" t="str" cm="1">
        <f t="array" aca="1" ref="T226" ca="1">+fair_value_gap(OFFSET(S225,0,0,-1*$I$5,-1*$Z$1),OFFSET(E225,0,0,-1*$I$5,1),F226:S226,0)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26" s="7" t="str" cm="1">
        <f t="array" aca="1" ref="U226" ca="1">z_score_diff(OFFSET(T226,0,0,$I$5*-1,1),OFFSET(E226,0,0,$I$5*-1,1))</f>
        <v/>
      </c>
      <c r="V226" s="7" t="str">
        <f t="shared" ca="1" si="217"/>
        <v/>
      </c>
      <c r="W226" s="14">
        <f t="shared" ca="1" si="212"/>
        <v>-3.6278545404833766E-2</v>
      </c>
      <c r="X226" s="10">
        <f t="shared" ref="X226:Y226" ca="1" si="245">+X225</f>
        <v>0</v>
      </c>
      <c r="Y226" s="10">
        <f t="shared" ca="1" si="245"/>
        <v>0</v>
      </c>
      <c r="Z226" t="str">
        <f t="shared" ca="1" si="219"/>
        <v/>
      </c>
      <c r="AA226" t="str">
        <f t="shared" ca="1" si="220"/>
        <v/>
      </c>
      <c r="AB226" s="19" t="str">
        <f t="shared" ca="1" si="221"/>
        <v/>
      </c>
      <c r="AC226" s="19" t="str">
        <f t="shared" ca="1" si="222"/>
        <v/>
      </c>
    </row>
    <row r="227" spans="3:29" x14ac:dyDescent="0.25">
      <c r="C227" s="4">
        <v>220</v>
      </c>
      <c r="D227" s="28">
        <v>42318</v>
      </c>
      <c r="E227" s="30">
        <v>17.251000000000001</v>
      </c>
      <c r="F227" s="30">
        <v>44.241350368367058</v>
      </c>
      <c r="G227" s="30">
        <v>6.7891448288725167</v>
      </c>
      <c r="H227" s="30">
        <v>48.680406602629866</v>
      </c>
      <c r="I227" s="8">
        <v>0</v>
      </c>
      <c r="J227" s="31">
        <v>0</v>
      </c>
      <c r="K227" s="31">
        <v>0</v>
      </c>
      <c r="L227" s="31">
        <v>0</v>
      </c>
      <c r="M227" s="31">
        <v>0</v>
      </c>
      <c r="N227" s="31">
        <v>0</v>
      </c>
      <c r="O227" s="31">
        <v>0</v>
      </c>
      <c r="P227" s="31">
        <v>0</v>
      </c>
      <c r="Q227" s="31">
        <v>0</v>
      </c>
      <c r="R227" s="31">
        <v>0</v>
      </c>
      <c r="S227" s="31">
        <v>1</v>
      </c>
      <c r="T227" s="21" t="str" cm="1">
        <f t="array" aca="1" ref="T227" ca="1">+fair_value_gap(OFFSET(S226,0,0,-1*$I$5,-1*$Z$1),OFFSET(E226,0,0,-1*$I$5,1),F227:S227,0)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27" s="7" t="str" cm="1">
        <f t="array" aca="1" ref="U227" ca="1">z_score_diff(OFFSET(T227,0,0,$I$5*-1,1),OFFSET(E227,0,0,$I$5*-1,1))</f>
        <v/>
      </c>
      <c r="V227" s="7" t="str">
        <f t="shared" ca="1" si="217"/>
        <v/>
      </c>
      <c r="W227" s="14">
        <f t="shared" ca="1" si="212"/>
        <v>-2.4113103997426569E-2</v>
      </c>
      <c r="X227" s="10">
        <f t="shared" ref="X227:Y227" ca="1" si="246">+X226</f>
        <v>0</v>
      </c>
      <c r="Y227" s="10">
        <f t="shared" ca="1" si="246"/>
        <v>0</v>
      </c>
      <c r="Z227" t="str">
        <f t="shared" ca="1" si="219"/>
        <v/>
      </c>
      <c r="AA227" t="str">
        <f t="shared" ca="1" si="220"/>
        <v/>
      </c>
      <c r="AB227" s="19" t="str">
        <f t="shared" ca="1" si="221"/>
        <v/>
      </c>
      <c r="AC227" s="19" t="str">
        <f t="shared" ca="1" si="222"/>
        <v/>
      </c>
    </row>
    <row r="228" spans="3:29" x14ac:dyDescent="0.25">
      <c r="C228" s="4">
        <v>221</v>
      </c>
      <c r="D228" s="28">
        <v>42319</v>
      </c>
      <c r="E228" s="30">
        <v>17.074000000000002</v>
      </c>
      <c r="F228" s="30">
        <v>42.641720189891096</v>
      </c>
      <c r="G228" s="30">
        <v>6.7765056315740484</v>
      </c>
      <c r="H228" s="30">
        <v>48.775947128362652</v>
      </c>
      <c r="I228" s="8">
        <v>0</v>
      </c>
      <c r="J228" s="31">
        <v>0</v>
      </c>
      <c r="K228" s="31">
        <v>0</v>
      </c>
      <c r="L228" s="31">
        <v>0</v>
      </c>
      <c r="M228" s="31">
        <v>0</v>
      </c>
      <c r="N228" s="31">
        <v>0</v>
      </c>
      <c r="O228" s="31">
        <v>0</v>
      </c>
      <c r="P228" s="31">
        <v>0</v>
      </c>
      <c r="Q228" s="31">
        <v>0</v>
      </c>
      <c r="R228" s="31">
        <v>0</v>
      </c>
      <c r="S228" s="31">
        <v>1</v>
      </c>
      <c r="T228" s="21" t="str" cm="1">
        <f t="array" aca="1" ref="T228" ca="1">+fair_value_gap(OFFSET(S227,0,0,-1*$I$5,-1*$Z$1),OFFSET(E227,0,0,-1*$I$5,1),F228:S228,0)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28" s="7" t="str" cm="1">
        <f t="array" aca="1" ref="U228" ca="1">z_score_diff(OFFSET(T228,0,0,$I$5*-1,1),OFFSET(E228,0,0,$I$5*-1,1))</f>
        <v/>
      </c>
      <c r="V228" s="7" t="str">
        <f t="shared" ca="1" si="217"/>
        <v/>
      </c>
      <c r="W228" s="14">
        <f t="shared" ca="1" si="212"/>
        <v>-2.8997872559102838E-2</v>
      </c>
      <c r="X228" s="10">
        <f t="shared" ref="X228:Y228" ca="1" si="247">+X227</f>
        <v>0</v>
      </c>
      <c r="Y228" s="10">
        <f t="shared" ca="1" si="247"/>
        <v>0</v>
      </c>
      <c r="Z228" t="str">
        <f t="shared" ca="1" si="219"/>
        <v/>
      </c>
      <c r="AA228" t="str">
        <f t="shared" ca="1" si="220"/>
        <v/>
      </c>
      <c r="AB228" s="19" t="str">
        <f t="shared" ca="1" si="221"/>
        <v/>
      </c>
      <c r="AC228" s="19" t="str">
        <f t="shared" ca="1" si="222"/>
        <v/>
      </c>
    </row>
    <row r="229" spans="3:29" x14ac:dyDescent="0.25">
      <c r="C229" s="4">
        <v>222</v>
      </c>
      <c r="D229" s="28">
        <v>42320</v>
      </c>
      <c r="E229" s="30">
        <v>16.899000000000001</v>
      </c>
      <c r="F229" s="30">
        <v>40.732180826476842</v>
      </c>
      <c r="G229" s="30">
        <v>6.7301469908477394</v>
      </c>
      <c r="H229" s="30">
        <v>48.488490339280759</v>
      </c>
      <c r="I229" s="8">
        <v>0</v>
      </c>
      <c r="J229" s="31">
        <v>0</v>
      </c>
      <c r="K229" s="31">
        <v>0</v>
      </c>
      <c r="L229" s="31">
        <v>0</v>
      </c>
      <c r="M229" s="31">
        <v>0</v>
      </c>
      <c r="N229" s="31">
        <v>0</v>
      </c>
      <c r="O229" s="31">
        <v>0</v>
      </c>
      <c r="P229" s="31">
        <v>0</v>
      </c>
      <c r="Q229" s="31">
        <v>0</v>
      </c>
      <c r="R229" s="31">
        <v>0</v>
      </c>
      <c r="S229" s="31">
        <v>1</v>
      </c>
      <c r="T229" s="21" t="str" cm="1">
        <f t="array" aca="1" ref="T229" ca="1">+fair_value_gap(OFFSET(S228,0,0,-1*$I$5,-1*$Z$1),OFFSET(E228,0,0,-1*$I$5,1),F229:S229,0)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29" s="7" t="str" cm="1">
        <f t="array" aca="1" ref="U229" ca="1">z_score_diff(OFFSET(T229,0,0,$I$5*-1,1),OFFSET(E229,0,0,$I$5*-1,1))</f>
        <v/>
      </c>
      <c r="V229" s="7" t="str">
        <f t="shared" ca="1" si="217"/>
        <v/>
      </c>
      <c r="W229" s="14">
        <f t="shared" ca="1" si="212"/>
        <v>-2.3530497410194161E-2</v>
      </c>
      <c r="X229" s="10">
        <f t="shared" ref="X229:Y229" ca="1" si="248">+X228</f>
        <v>0</v>
      </c>
      <c r="Y229" s="10">
        <f t="shared" ca="1" si="248"/>
        <v>0</v>
      </c>
      <c r="Z229" t="str">
        <f t="shared" ca="1" si="219"/>
        <v/>
      </c>
      <c r="AA229" t="str">
        <f t="shared" ca="1" si="220"/>
        <v/>
      </c>
      <c r="AB229" s="19" t="str">
        <f t="shared" ca="1" si="221"/>
        <v/>
      </c>
      <c r="AC229" s="19" t="str">
        <f t="shared" ca="1" si="222"/>
        <v/>
      </c>
    </row>
    <row r="230" spans="3:29" x14ac:dyDescent="0.25">
      <c r="C230" s="4">
        <v>223</v>
      </c>
      <c r="D230" s="28">
        <v>42321</v>
      </c>
      <c r="E230" s="30">
        <v>17.001000000000001</v>
      </c>
      <c r="F230" s="30">
        <v>40.465806810800778</v>
      </c>
      <c r="G230" s="30">
        <v>6.7551266586248486</v>
      </c>
      <c r="H230" s="30">
        <v>49.039621415978466</v>
      </c>
      <c r="I230" s="8">
        <v>0</v>
      </c>
      <c r="J230" s="31">
        <v>0</v>
      </c>
      <c r="K230" s="31">
        <v>0</v>
      </c>
      <c r="L230" s="31">
        <v>0</v>
      </c>
      <c r="M230" s="31">
        <v>0</v>
      </c>
      <c r="N230" s="31">
        <v>0</v>
      </c>
      <c r="O230" s="31">
        <v>0</v>
      </c>
      <c r="P230" s="31">
        <v>0</v>
      </c>
      <c r="Q230" s="31">
        <v>0</v>
      </c>
      <c r="R230" s="31">
        <v>0</v>
      </c>
      <c r="S230" s="31">
        <v>1</v>
      </c>
      <c r="T230" s="21" t="str" cm="1">
        <f t="array" aca="1" ref="T230" ca="1">+fair_value_gap(OFFSET(S229,0,0,-1*$I$5,-1*$Z$1),OFFSET(E229,0,0,-1*$I$5,1),F230:S230,0)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30" s="7" t="str" cm="1">
        <f t="array" aca="1" ref="U230" ca="1">z_score_diff(OFFSET(T230,0,0,$I$5*-1,1),OFFSET(E230,0,0,$I$5*-1,1))</f>
        <v/>
      </c>
      <c r="V230" s="7" t="str">
        <f t="shared" ca="1" si="217"/>
        <v/>
      </c>
      <c r="W230" s="14">
        <f t="shared" ca="1" si="212"/>
        <v>-4.2782132480123858E-2</v>
      </c>
      <c r="X230" s="10">
        <f t="shared" ref="X230:Y230" ca="1" si="249">+X229</f>
        <v>0</v>
      </c>
      <c r="Y230" s="10">
        <f t="shared" ca="1" si="249"/>
        <v>0</v>
      </c>
      <c r="Z230" t="str">
        <f t="shared" ca="1" si="219"/>
        <v/>
      </c>
      <c r="AA230" t="str">
        <f t="shared" ca="1" si="220"/>
        <v/>
      </c>
      <c r="AB230" s="19" t="str">
        <f t="shared" ca="1" si="221"/>
        <v/>
      </c>
      <c r="AC230" s="19" t="str">
        <f t="shared" ca="1" si="222"/>
        <v/>
      </c>
    </row>
    <row r="231" spans="3:29" x14ac:dyDescent="0.25">
      <c r="C231" s="4">
        <v>224</v>
      </c>
      <c r="D231" s="28">
        <v>42324</v>
      </c>
      <c r="E231" s="30">
        <v>17.225000000000001</v>
      </c>
      <c r="F231" s="30">
        <v>41.707225758143018</v>
      </c>
      <c r="G231" s="30">
        <v>7.0900411830774992</v>
      </c>
      <c r="H231" s="30">
        <v>49.981280419318608</v>
      </c>
      <c r="I231" s="8">
        <v>0</v>
      </c>
      <c r="J231" s="31">
        <v>0</v>
      </c>
      <c r="K231" s="31">
        <v>0</v>
      </c>
      <c r="L231" s="31">
        <v>0</v>
      </c>
      <c r="M231" s="31">
        <v>0</v>
      </c>
      <c r="N231" s="31">
        <v>0</v>
      </c>
      <c r="O231" s="31">
        <v>0</v>
      </c>
      <c r="P231" s="31">
        <v>0</v>
      </c>
      <c r="Q231" s="31">
        <v>0</v>
      </c>
      <c r="R231" s="31">
        <v>0</v>
      </c>
      <c r="S231" s="31">
        <v>1</v>
      </c>
      <c r="T231" s="21" t="str" cm="1">
        <f t="array" aca="1" ref="T231" ca="1">+fair_value_gap(OFFSET(S230,0,0,-1*$I$5,-1*$Z$1),OFFSET(E230,0,0,-1*$I$5,1),F231:S231,0)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31" s="7" t="str" cm="1">
        <f t="array" aca="1" ref="U231" ca="1">z_score_diff(OFFSET(T231,0,0,$I$5*-1,1),OFFSET(E231,0,0,$I$5*-1,1))</f>
        <v/>
      </c>
      <c r="V231" s="7" t="str">
        <f t="shared" ca="1" si="217"/>
        <v/>
      </c>
      <c r="W231" s="14">
        <f t="shared" ca="1" si="212"/>
        <v>-8.1805266357205406E-2</v>
      </c>
      <c r="X231" s="10">
        <f t="shared" ref="X231:Y231" ca="1" si="250">+X230</f>
        <v>0</v>
      </c>
      <c r="Y231" s="10">
        <f t="shared" ca="1" si="250"/>
        <v>0</v>
      </c>
      <c r="Z231" t="str">
        <f t="shared" ca="1" si="219"/>
        <v/>
      </c>
      <c r="AA231" t="str">
        <f t="shared" ca="1" si="220"/>
        <v/>
      </c>
      <c r="AB231" s="19" t="str">
        <f t="shared" ca="1" si="221"/>
        <v/>
      </c>
      <c r="AC231" s="19" t="str">
        <f t="shared" ca="1" si="222"/>
        <v/>
      </c>
    </row>
    <row r="232" spans="3:29" x14ac:dyDescent="0.25">
      <c r="C232" s="4">
        <v>225</v>
      </c>
      <c r="D232" s="28">
        <v>42325</v>
      </c>
      <c r="E232" s="30">
        <v>17.623999999999999</v>
      </c>
      <c r="F232" s="30">
        <v>40.945399868433419</v>
      </c>
      <c r="G232" s="30">
        <v>7.1186918522695235</v>
      </c>
      <c r="H232" s="30">
        <v>50.653134103937596</v>
      </c>
      <c r="I232" s="8">
        <v>0</v>
      </c>
      <c r="J232" s="31">
        <v>0</v>
      </c>
      <c r="K232" s="31">
        <v>0</v>
      </c>
      <c r="L232" s="31">
        <v>0</v>
      </c>
      <c r="M232" s="31">
        <v>0</v>
      </c>
      <c r="N232" s="31">
        <v>0</v>
      </c>
      <c r="O232" s="31">
        <v>0</v>
      </c>
      <c r="P232" s="31">
        <v>0</v>
      </c>
      <c r="Q232" s="31">
        <v>0</v>
      </c>
      <c r="R232" s="31">
        <v>0</v>
      </c>
      <c r="S232" s="31">
        <v>1</v>
      </c>
      <c r="T232" s="21" t="str" cm="1">
        <f t="array" aca="1" ref="T232" ca="1">+fair_value_gap(OFFSET(S231,0,0,-1*$I$5,-1*$Z$1),OFFSET(E231,0,0,-1*$I$5,1),F232:S232,0)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32" s="7" t="str" cm="1">
        <f t="array" aca="1" ref="U232" ca="1">z_score_diff(OFFSET(T232,0,0,$I$5*-1,1),OFFSET(E232,0,0,$I$5*-1,1))</f>
        <v/>
      </c>
      <c r="V232" s="7" t="str">
        <f t="shared" ca="1" si="217"/>
        <v/>
      </c>
      <c r="W232" s="14">
        <f t="shared" ca="1" si="212"/>
        <v>-9.0815077776100775E-2</v>
      </c>
      <c r="X232" s="10">
        <f t="shared" ref="X232:Y232" ca="1" si="251">+X231</f>
        <v>0</v>
      </c>
      <c r="Y232" s="10">
        <f t="shared" ca="1" si="251"/>
        <v>0</v>
      </c>
      <c r="Z232" t="str">
        <f t="shared" ca="1" si="219"/>
        <v/>
      </c>
      <c r="AA232" t="str">
        <f t="shared" ca="1" si="220"/>
        <v/>
      </c>
      <c r="AB232" s="19" t="str">
        <f t="shared" ca="1" si="221"/>
        <v/>
      </c>
      <c r="AC232" s="19" t="str">
        <f t="shared" ca="1" si="222"/>
        <v/>
      </c>
    </row>
    <row r="233" spans="3:29" x14ac:dyDescent="0.25">
      <c r="C233" s="4">
        <v>226</v>
      </c>
      <c r="D233" s="28">
        <v>42326</v>
      </c>
      <c r="E233" s="30">
        <v>17.344999999999999</v>
      </c>
      <c r="F233" s="30">
        <v>41.414899605929818</v>
      </c>
      <c r="G233" s="30">
        <v>7.1073372114843307</v>
      </c>
      <c r="H233" s="30">
        <v>50.900731844623756</v>
      </c>
      <c r="I233" s="8">
        <v>0</v>
      </c>
      <c r="J233" s="31">
        <v>0</v>
      </c>
      <c r="K233" s="31">
        <v>0</v>
      </c>
      <c r="L233" s="31">
        <v>0</v>
      </c>
      <c r="M233" s="31">
        <v>0</v>
      </c>
      <c r="N233" s="31">
        <v>0</v>
      </c>
      <c r="O233" s="31">
        <v>0</v>
      </c>
      <c r="P233" s="31">
        <v>0</v>
      </c>
      <c r="Q233" s="31">
        <v>0</v>
      </c>
      <c r="R233" s="31">
        <v>0</v>
      </c>
      <c r="S233" s="31">
        <v>1</v>
      </c>
      <c r="T233" s="21" t="str" cm="1">
        <f t="array" aca="1" ref="T233" ca="1">+fair_value_gap(OFFSET(S232,0,0,-1*$I$5,-1*$Z$1),OFFSET(E232,0,0,-1*$I$5,1),F233:S233,0)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33" s="7" t="str" cm="1">
        <f t="array" aca="1" ref="U233" ca="1">z_score_diff(OFFSET(T233,0,0,$I$5*-1,1),OFFSET(E233,0,0,$I$5*-1,1))</f>
        <v/>
      </c>
      <c r="V233" s="7" t="str">
        <f t="shared" ca="1" si="217"/>
        <v/>
      </c>
      <c r="W233" s="14">
        <f t="shared" ca="1" si="212"/>
        <v>-9.7734563351526443E-2</v>
      </c>
      <c r="X233" s="10">
        <f t="shared" ref="X233:Y233" ca="1" si="252">+X232</f>
        <v>0</v>
      </c>
      <c r="Y233" s="10">
        <f t="shared" ca="1" si="252"/>
        <v>0</v>
      </c>
      <c r="Z233" t="str">
        <f t="shared" ca="1" si="219"/>
        <v/>
      </c>
      <c r="AA233" t="str">
        <f t="shared" ca="1" si="220"/>
        <v/>
      </c>
      <c r="AB233" s="19" t="str">
        <f t="shared" ca="1" si="221"/>
        <v/>
      </c>
      <c r="AC233" s="19" t="str">
        <f t="shared" ca="1" si="222"/>
        <v/>
      </c>
    </row>
    <row r="234" spans="3:29" x14ac:dyDescent="0.25">
      <c r="C234" s="4">
        <v>227</v>
      </c>
      <c r="D234" s="28">
        <v>42327</v>
      </c>
      <c r="E234" s="30">
        <v>17.36</v>
      </c>
      <c r="F234" s="30">
        <v>41.166604547148715</v>
      </c>
      <c r="G234" s="30">
        <v>7.0163995527394718</v>
      </c>
      <c r="H234" s="30">
        <v>50.642937010808801</v>
      </c>
      <c r="I234" s="8">
        <v>0</v>
      </c>
      <c r="J234" s="31">
        <v>0</v>
      </c>
      <c r="K234" s="31">
        <v>0</v>
      </c>
      <c r="L234" s="31">
        <v>0</v>
      </c>
      <c r="M234" s="31">
        <v>0</v>
      </c>
      <c r="N234" s="31">
        <v>0</v>
      </c>
      <c r="O234" s="31">
        <v>0</v>
      </c>
      <c r="P234" s="31">
        <v>0</v>
      </c>
      <c r="Q234" s="31">
        <v>0</v>
      </c>
      <c r="R234" s="31">
        <v>0</v>
      </c>
      <c r="S234" s="31">
        <v>1</v>
      </c>
      <c r="T234" s="21" t="str" cm="1">
        <f t="array" aca="1" ref="T234" ca="1">+fair_value_gap(OFFSET(S233,0,0,-1*$I$5,-1*$Z$1),OFFSET(E233,0,0,-1*$I$5,1),F234:S234,0)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34" s="7" t="str" cm="1">
        <f t="array" aca="1" ref="U234" ca="1">z_score_diff(OFFSET(T234,0,0,$I$5*-1,1),OFFSET(E234,0,0,$I$5*-1,1))</f>
        <v/>
      </c>
      <c r="V234" s="7" t="str">
        <f t="shared" ca="1" si="217"/>
        <v/>
      </c>
      <c r="W234" s="14">
        <f t="shared" ca="1" si="212"/>
        <v>-0.10670550577315899</v>
      </c>
      <c r="X234" s="10">
        <f t="shared" ref="X234:Y234" ca="1" si="253">+X233</f>
        <v>0</v>
      </c>
      <c r="Y234" s="10">
        <f t="shared" ca="1" si="253"/>
        <v>0</v>
      </c>
      <c r="Z234" t="str">
        <f t="shared" ca="1" si="219"/>
        <v/>
      </c>
      <c r="AA234" t="str">
        <f t="shared" ca="1" si="220"/>
        <v/>
      </c>
      <c r="AB234" s="19" t="str">
        <f t="shared" ca="1" si="221"/>
        <v/>
      </c>
      <c r="AC234" s="19" t="str">
        <f t="shared" ca="1" si="222"/>
        <v/>
      </c>
    </row>
    <row r="235" spans="3:29" x14ac:dyDescent="0.25">
      <c r="C235" s="4">
        <v>228</v>
      </c>
      <c r="D235" s="28">
        <v>42328</v>
      </c>
      <c r="E235" s="30">
        <v>17.221</v>
      </c>
      <c r="F235" s="30">
        <v>41.961852861035418</v>
      </c>
      <c r="G235" s="30">
        <v>7.0374894296720854</v>
      </c>
      <c r="H235" s="30">
        <v>51.019449403363708</v>
      </c>
      <c r="I235" s="8">
        <v>0</v>
      </c>
      <c r="J235" s="31">
        <v>0</v>
      </c>
      <c r="K235" s="31">
        <v>0</v>
      </c>
      <c r="L235" s="31">
        <v>0</v>
      </c>
      <c r="M235" s="31">
        <v>0</v>
      </c>
      <c r="N235" s="31">
        <v>0</v>
      </c>
      <c r="O235" s="31">
        <v>0</v>
      </c>
      <c r="P235" s="31">
        <v>0</v>
      </c>
      <c r="Q235" s="31">
        <v>0</v>
      </c>
      <c r="R235" s="31">
        <v>0</v>
      </c>
      <c r="S235" s="31">
        <v>1</v>
      </c>
      <c r="T235" s="21" t="str" cm="1">
        <f t="array" aca="1" ref="T235" ca="1">+fair_value_gap(OFFSET(S234,0,0,-1*$I$5,-1*$Z$1),OFFSET(E234,0,0,-1*$I$5,1),F235:S235,0)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35" s="7" t="str" cm="1">
        <f t="array" aca="1" ref="U235" ca="1">z_score_diff(OFFSET(T235,0,0,$I$5*-1,1),OFFSET(E235,0,0,$I$5*-1,1))</f>
        <v/>
      </c>
      <c r="V235" s="7" t="str">
        <f t="shared" ca="1" si="217"/>
        <v/>
      </c>
      <c r="W235" s="14">
        <f t="shared" ca="1" si="212"/>
        <v>-0.11215174621063674</v>
      </c>
      <c r="X235" s="10">
        <f t="shared" ref="X235:Y235" ca="1" si="254">+X234</f>
        <v>0</v>
      </c>
      <c r="Y235" s="10">
        <f t="shared" ca="1" si="254"/>
        <v>0</v>
      </c>
      <c r="Z235" t="str">
        <f t="shared" ca="1" si="219"/>
        <v/>
      </c>
      <c r="AA235" t="str">
        <f t="shared" ca="1" si="220"/>
        <v/>
      </c>
      <c r="AB235" s="19" t="str">
        <f t="shared" ca="1" si="221"/>
        <v/>
      </c>
      <c r="AC235" s="19" t="str">
        <f t="shared" ca="1" si="222"/>
        <v/>
      </c>
    </row>
    <row r="236" spans="3:29" x14ac:dyDescent="0.25">
      <c r="C236" s="4">
        <v>229</v>
      </c>
      <c r="D236" s="28">
        <v>42331</v>
      </c>
      <c r="E236" s="30">
        <v>17.192</v>
      </c>
      <c r="F236" s="30">
        <v>42.157231521534705</v>
      </c>
      <c r="G236" s="30">
        <v>7.0434455520030097</v>
      </c>
      <c r="H236" s="30">
        <v>51.109648297912365</v>
      </c>
      <c r="I236" s="8">
        <v>0</v>
      </c>
      <c r="J236" s="31">
        <v>0</v>
      </c>
      <c r="K236" s="31">
        <v>0</v>
      </c>
      <c r="L236" s="31">
        <v>0</v>
      </c>
      <c r="M236" s="31">
        <v>0</v>
      </c>
      <c r="N236" s="31">
        <v>0</v>
      </c>
      <c r="O236" s="31">
        <v>0</v>
      </c>
      <c r="P236" s="31">
        <v>0</v>
      </c>
      <c r="Q236" s="31">
        <v>0</v>
      </c>
      <c r="R236" s="31">
        <v>0</v>
      </c>
      <c r="S236" s="31">
        <v>1</v>
      </c>
      <c r="T236" s="21" t="str" cm="1">
        <f t="array" aca="1" ref="T236" ca="1">+fair_value_gap(OFFSET(S235,0,0,-1*$I$5,-1*$Z$1),OFFSET(E235,0,0,-1*$I$5,1),F236:S236,0)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36" s="7" t="str" cm="1">
        <f t="array" aca="1" ref="U236" ca="1">z_score_diff(OFFSET(T236,0,0,$I$5*-1,1),OFFSET(E236,0,0,$I$5*-1,1))</f>
        <v/>
      </c>
      <c r="V236" s="7" t="str">
        <f t="shared" ca="1" si="217"/>
        <v/>
      </c>
      <c r="W236" s="14">
        <f t="shared" ca="1" si="212"/>
        <v>-0.13067699790877024</v>
      </c>
      <c r="X236" s="10">
        <f t="shared" ref="X236:Y236" ca="1" si="255">+X235</f>
        <v>0</v>
      </c>
      <c r="Y236" s="10">
        <f t="shared" ca="1" si="255"/>
        <v>0</v>
      </c>
      <c r="Z236" t="str">
        <f t="shared" ca="1" si="219"/>
        <v/>
      </c>
      <c r="AA236" t="str">
        <f t="shared" ca="1" si="220"/>
        <v/>
      </c>
      <c r="AB236" s="19" t="str">
        <f t="shared" ca="1" si="221"/>
        <v/>
      </c>
      <c r="AC236" s="19" t="str">
        <f t="shared" ca="1" si="222"/>
        <v/>
      </c>
    </row>
    <row r="237" spans="3:29" x14ac:dyDescent="0.25">
      <c r="C237" s="4">
        <v>230</v>
      </c>
      <c r="D237" s="28">
        <v>42332</v>
      </c>
      <c r="E237" s="30">
        <v>17.422999999999998</v>
      </c>
      <c r="F237" s="30">
        <v>43.345864661654133</v>
      </c>
      <c r="G237" s="30">
        <v>6.973684210526315</v>
      </c>
      <c r="H237" s="30">
        <v>51.409774436090224</v>
      </c>
      <c r="I237" s="8">
        <v>0</v>
      </c>
      <c r="J237" s="31">
        <v>0</v>
      </c>
      <c r="K237" s="31">
        <v>0</v>
      </c>
      <c r="L237" s="31">
        <v>0</v>
      </c>
      <c r="M237" s="31">
        <v>0</v>
      </c>
      <c r="N237" s="31">
        <v>0</v>
      </c>
      <c r="O237" s="31">
        <v>0</v>
      </c>
      <c r="P237" s="31">
        <v>0</v>
      </c>
      <c r="Q237" s="31">
        <v>0</v>
      </c>
      <c r="R237" s="31">
        <v>0</v>
      </c>
      <c r="S237" s="31">
        <v>1</v>
      </c>
      <c r="T237" s="21" t="str" cm="1">
        <f t="array" aca="1" ref="T237" ca="1">+fair_value_gap(OFFSET(S236,0,0,-1*$I$5,-1*$Z$1),OFFSET(E236,0,0,-1*$I$5,1),F237:S237,0)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37" s="7" t="str" cm="1">
        <f t="array" aca="1" ref="U237" ca="1">z_score_diff(OFFSET(T237,0,0,$I$5*-1,1),OFFSET(E237,0,0,$I$5*-1,1))</f>
        <v/>
      </c>
      <c r="V237" s="7" t="str">
        <f t="shared" ca="1" si="217"/>
        <v/>
      </c>
      <c r="W237" s="14">
        <f t="shared" ca="1" si="212"/>
        <v>-0.15348129095428123</v>
      </c>
      <c r="X237" s="10">
        <f t="shared" ref="X237:Y237" ca="1" si="256">+X236</f>
        <v>0</v>
      </c>
      <c r="Y237" s="10">
        <f t="shared" ca="1" si="256"/>
        <v>0</v>
      </c>
      <c r="Z237" t="str">
        <f t="shared" ca="1" si="219"/>
        <v/>
      </c>
      <c r="AA237" t="str">
        <f t="shared" ca="1" si="220"/>
        <v/>
      </c>
      <c r="AB237" s="19" t="str">
        <f t="shared" ca="1" si="221"/>
        <v/>
      </c>
      <c r="AC237" s="19" t="str">
        <f t="shared" ca="1" si="222"/>
        <v/>
      </c>
    </row>
    <row r="238" spans="3:29" x14ac:dyDescent="0.25">
      <c r="C238" s="4">
        <v>231</v>
      </c>
      <c r="D238" s="28">
        <v>42333</v>
      </c>
      <c r="E238" s="30">
        <v>17.561</v>
      </c>
      <c r="F238" s="30">
        <v>43.450028232636932</v>
      </c>
      <c r="G238" s="30">
        <v>6.9169960474308301</v>
      </c>
      <c r="H238" s="30">
        <v>51.430453604366647</v>
      </c>
      <c r="I238" s="8">
        <v>0</v>
      </c>
      <c r="J238" s="31">
        <v>0</v>
      </c>
      <c r="K238" s="31">
        <v>0</v>
      </c>
      <c r="L238" s="31">
        <v>0</v>
      </c>
      <c r="M238" s="31">
        <v>0</v>
      </c>
      <c r="N238" s="31">
        <v>0</v>
      </c>
      <c r="O238" s="31">
        <v>0</v>
      </c>
      <c r="P238" s="31">
        <v>0</v>
      </c>
      <c r="Q238" s="31">
        <v>0</v>
      </c>
      <c r="R238" s="31">
        <v>0</v>
      </c>
      <c r="S238" s="31">
        <v>1</v>
      </c>
      <c r="T238" s="21" t="str" cm="1">
        <f t="array" aca="1" ref="T238" ca="1">+fair_value_gap(OFFSET(S237,0,0,-1*$I$5,-1*$Z$1),OFFSET(E237,0,0,-1*$I$5,1),F238:S238,0)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38" s="7" t="str" cm="1">
        <f t="array" aca="1" ref="U238" ca="1">z_score_diff(OFFSET(T238,0,0,$I$5*-1,1),OFFSET(E238,0,0,$I$5*-1,1))</f>
        <v/>
      </c>
      <c r="V238" s="7" t="str">
        <f t="shared" ca="1" si="217"/>
        <v/>
      </c>
      <c r="W238" s="14">
        <f t="shared" ca="1" si="212"/>
        <v>-0.18699048839799415</v>
      </c>
      <c r="X238" s="10">
        <f t="shared" ref="X238:Y238" ca="1" si="257">+X237</f>
        <v>0</v>
      </c>
      <c r="Y238" s="10">
        <f t="shared" ca="1" si="257"/>
        <v>0</v>
      </c>
      <c r="Z238" t="str">
        <f t="shared" ca="1" si="219"/>
        <v/>
      </c>
      <c r="AA238" t="str">
        <f t="shared" ca="1" si="220"/>
        <v/>
      </c>
      <c r="AB238" s="19" t="str">
        <f t="shared" ca="1" si="221"/>
        <v/>
      </c>
      <c r="AC238" s="19" t="str">
        <f t="shared" ca="1" si="222"/>
        <v/>
      </c>
    </row>
    <row r="239" spans="3:29" x14ac:dyDescent="0.25">
      <c r="C239" s="4">
        <v>232</v>
      </c>
      <c r="D239" s="28">
        <v>42334</v>
      </c>
      <c r="E239" s="30">
        <v>17.606000000000002</v>
      </c>
      <c r="F239" s="30">
        <v>42.850410029220477</v>
      </c>
      <c r="G239" s="30">
        <v>6.9280799321330946</v>
      </c>
      <c r="H239" s="30">
        <v>51.654255820529741</v>
      </c>
      <c r="I239" s="8">
        <v>0</v>
      </c>
      <c r="J239" s="31">
        <v>0</v>
      </c>
      <c r="K239" s="31">
        <v>0</v>
      </c>
      <c r="L239" s="31">
        <v>0</v>
      </c>
      <c r="M239" s="31">
        <v>0</v>
      </c>
      <c r="N239" s="31">
        <v>0</v>
      </c>
      <c r="O239" s="31">
        <v>0</v>
      </c>
      <c r="P239" s="31">
        <v>0</v>
      </c>
      <c r="Q239" s="31">
        <v>0</v>
      </c>
      <c r="R239" s="31">
        <v>0</v>
      </c>
      <c r="S239" s="31">
        <v>1</v>
      </c>
      <c r="T239" s="21" t="str" cm="1">
        <f t="array" aca="1" ref="T239" ca="1">+fair_value_gap(OFFSET(S238,0,0,-1*$I$5,-1*$Z$1),OFFSET(E238,0,0,-1*$I$5,1),F239:S239,0)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39" s="7" t="str" cm="1">
        <f t="array" aca="1" ref="U239" ca="1">z_score_diff(OFFSET(T239,0,0,$I$5*-1,1),OFFSET(E239,0,0,$I$5*-1,1))</f>
        <v/>
      </c>
      <c r="V239" s="7" t="str">
        <f t="shared" ca="1" si="217"/>
        <v/>
      </c>
      <c r="W239" s="14">
        <f t="shared" ca="1" si="212"/>
        <v>-0.19706102671240902</v>
      </c>
      <c r="X239" s="10">
        <f t="shared" ref="X239:Y239" ca="1" si="258">+X238</f>
        <v>0</v>
      </c>
      <c r="Y239" s="10">
        <f t="shared" ca="1" si="258"/>
        <v>0</v>
      </c>
      <c r="Z239" t="str">
        <f t="shared" ca="1" si="219"/>
        <v/>
      </c>
      <c r="AA239" t="str">
        <f t="shared" ca="1" si="220"/>
        <v/>
      </c>
      <c r="AB239" s="19" t="str">
        <f t="shared" ca="1" si="221"/>
        <v/>
      </c>
      <c r="AC239" s="19" t="str">
        <f t="shared" ca="1" si="222"/>
        <v/>
      </c>
    </row>
    <row r="240" spans="3:29" x14ac:dyDescent="0.25">
      <c r="C240" s="4">
        <v>233</v>
      </c>
      <c r="D240" s="28">
        <v>42335</v>
      </c>
      <c r="E240" s="30">
        <v>17.542000000000002</v>
      </c>
      <c r="F240" s="30">
        <v>42.360717658168085</v>
      </c>
      <c r="G240" s="30">
        <v>6.8838526912181308</v>
      </c>
      <c r="H240" s="30">
        <v>51.746931067044379</v>
      </c>
      <c r="I240" s="8">
        <v>0</v>
      </c>
      <c r="J240" s="31">
        <v>0</v>
      </c>
      <c r="K240" s="31">
        <v>0</v>
      </c>
      <c r="L240" s="31">
        <v>0</v>
      </c>
      <c r="M240" s="31">
        <v>0</v>
      </c>
      <c r="N240" s="31">
        <v>0</v>
      </c>
      <c r="O240" s="31">
        <v>0</v>
      </c>
      <c r="P240" s="31">
        <v>0</v>
      </c>
      <c r="Q240" s="31">
        <v>0</v>
      </c>
      <c r="R240" s="31">
        <v>0</v>
      </c>
      <c r="S240" s="31">
        <v>1</v>
      </c>
      <c r="T240" s="21" t="str" cm="1">
        <f t="array" aca="1" ref="T240" ca="1">+fair_value_gap(OFFSET(S239,0,0,-1*$I$5,-1*$Z$1),OFFSET(E239,0,0,-1*$I$5,1),F240:S240,0)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40" s="7" t="str" cm="1">
        <f t="array" aca="1" ref="U240" ca="1">z_score_diff(OFFSET(T240,0,0,$I$5*-1,1),OFFSET(E240,0,0,$I$5*-1,1))</f>
        <v/>
      </c>
      <c r="V240" s="7" t="str">
        <f t="shared" ca="1" si="217"/>
        <v/>
      </c>
      <c r="W240" s="14">
        <f t="shared" ca="1" si="212"/>
        <v>-0.16794584937934928</v>
      </c>
      <c r="X240" s="10">
        <f t="shared" ref="X240:Y240" ca="1" si="259">+X239</f>
        <v>0</v>
      </c>
      <c r="Y240" s="10">
        <f t="shared" ca="1" si="259"/>
        <v>0</v>
      </c>
      <c r="Z240" t="str">
        <f t="shared" ca="1" si="219"/>
        <v/>
      </c>
      <c r="AA240" t="str">
        <f t="shared" ca="1" si="220"/>
        <v/>
      </c>
      <c r="AB240" s="19" t="str">
        <f t="shared" ca="1" si="221"/>
        <v/>
      </c>
      <c r="AC240" s="19" t="str">
        <f t="shared" ca="1" si="222"/>
        <v/>
      </c>
    </row>
    <row r="241" spans="3:29" x14ac:dyDescent="0.25">
      <c r="C241" s="4">
        <v>234</v>
      </c>
      <c r="D241" s="28">
        <v>42338</v>
      </c>
      <c r="E241" s="30">
        <v>18.024999999999999</v>
      </c>
      <c r="F241" s="30">
        <v>42.232320363533084</v>
      </c>
      <c r="G241" s="30">
        <v>6.8872479409258736</v>
      </c>
      <c r="H241" s="30">
        <v>50.885165199280507</v>
      </c>
      <c r="I241" s="8">
        <v>0</v>
      </c>
      <c r="J241" s="31">
        <v>0</v>
      </c>
      <c r="K241" s="31">
        <v>0</v>
      </c>
      <c r="L241" s="31">
        <v>0</v>
      </c>
      <c r="M241" s="31">
        <v>0</v>
      </c>
      <c r="N241" s="31">
        <v>0</v>
      </c>
      <c r="O241" s="31">
        <v>0</v>
      </c>
      <c r="P241" s="31">
        <v>0</v>
      </c>
      <c r="Q241" s="31">
        <v>0</v>
      </c>
      <c r="R241" s="31">
        <v>0</v>
      </c>
      <c r="S241" s="31">
        <v>1</v>
      </c>
      <c r="T241" s="21" t="str" cm="1">
        <f t="array" aca="1" ref="T241" ca="1">+fair_value_gap(OFFSET(S240,0,0,-1*$I$5,-1*$Z$1),OFFSET(E240,0,0,-1*$I$5,1),F241:S241,0)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41" s="7" t="str" cm="1">
        <f t="array" aca="1" ref="U241" ca="1">z_score_diff(OFFSET(T241,0,0,$I$5*-1,1),OFFSET(E241,0,0,$I$5*-1,1))</f>
        <v/>
      </c>
      <c r="V241" s="7" t="str">
        <f t="shared" ca="1" si="217"/>
        <v/>
      </c>
      <c r="W241" s="14">
        <f t="shared" ca="1" si="212"/>
        <v>-0.15784682254307514</v>
      </c>
      <c r="X241" s="10">
        <f t="shared" ref="X241:Y241" ca="1" si="260">+X240</f>
        <v>0</v>
      </c>
      <c r="Y241" s="10">
        <f t="shared" ca="1" si="260"/>
        <v>0</v>
      </c>
      <c r="Z241" t="str">
        <f t="shared" ca="1" si="219"/>
        <v/>
      </c>
      <c r="AA241" t="str">
        <f t="shared" ca="1" si="220"/>
        <v/>
      </c>
      <c r="AB241" s="19" t="str">
        <f t="shared" ca="1" si="221"/>
        <v/>
      </c>
      <c r="AC241" s="19" t="str">
        <f t="shared" ca="1" si="222"/>
        <v/>
      </c>
    </row>
    <row r="242" spans="3:29" x14ac:dyDescent="0.25">
      <c r="C242" s="4">
        <v>235</v>
      </c>
      <c r="D242" s="28">
        <v>42339</v>
      </c>
      <c r="E242" s="30">
        <v>18.218</v>
      </c>
      <c r="F242" s="30">
        <v>41.802276361584049</v>
      </c>
      <c r="G242" s="30">
        <v>6.9137428275797195</v>
      </c>
      <c r="H242" s="30">
        <v>49.854199981187101</v>
      </c>
      <c r="I242" s="8">
        <v>0</v>
      </c>
      <c r="J242" s="31">
        <v>0</v>
      </c>
      <c r="K242" s="31">
        <v>0</v>
      </c>
      <c r="L242" s="31">
        <v>0</v>
      </c>
      <c r="M242" s="31">
        <v>0</v>
      </c>
      <c r="N242" s="31">
        <v>0</v>
      </c>
      <c r="O242" s="31">
        <v>0</v>
      </c>
      <c r="P242" s="31">
        <v>0</v>
      </c>
      <c r="Q242" s="31">
        <v>0</v>
      </c>
      <c r="R242" s="31">
        <v>0</v>
      </c>
      <c r="S242" s="31">
        <v>0</v>
      </c>
      <c r="T242" s="21" t="str" cm="1">
        <f t="array" aca="1" ref="T242" ca="1">+fair_value_gap(OFFSET(S241,0,0,-1*$I$5,-1*$Z$1),OFFSET(E241,0,0,-1*$I$5,1),F242:S242,0)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42" s="7" t="str" cm="1">
        <f t="array" aca="1" ref="U242" ca="1">z_score_diff(OFFSET(T242,0,0,$I$5*-1,1),OFFSET(E242,0,0,$I$5*-1,1))</f>
        <v/>
      </c>
      <c r="V242" s="7" t="str">
        <f t="shared" ca="1" si="217"/>
        <v/>
      </c>
      <c r="W242" s="14">
        <f t="shared" ca="1" si="212"/>
        <v>-0.20031092071384779</v>
      </c>
      <c r="X242" s="10">
        <f t="shared" ref="X242:Y242" ca="1" si="261">+X241</f>
        <v>0</v>
      </c>
      <c r="Y242" s="10">
        <f t="shared" ca="1" si="261"/>
        <v>0</v>
      </c>
      <c r="Z242" t="str">
        <f t="shared" ca="1" si="219"/>
        <v/>
      </c>
      <c r="AA242" t="str">
        <f t="shared" ca="1" si="220"/>
        <v/>
      </c>
      <c r="AB242" s="19" t="str">
        <f t="shared" ca="1" si="221"/>
        <v/>
      </c>
      <c r="AC242" s="19" t="str">
        <f t="shared" ca="1" si="222"/>
        <v/>
      </c>
    </row>
    <row r="243" spans="3:29" x14ac:dyDescent="0.25">
      <c r="C243" s="4">
        <v>236</v>
      </c>
      <c r="D243" s="28">
        <v>42340</v>
      </c>
      <c r="E243" s="30">
        <v>17.850000000000001</v>
      </c>
      <c r="F243" s="30">
        <v>40.04335123928</v>
      </c>
      <c r="G243" s="30">
        <v>6.9267741023466218</v>
      </c>
      <c r="H243" s="30">
        <v>49.194232400339274</v>
      </c>
      <c r="I243" s="8">
        <v>0</v>
      </c>
      <c r="J243" s="31">
        <v>0</v>
      </c>
      <c r="K243" s="31">
        <v>0</v>
      </c>
      <c r="L243" s="31">
        <v>0</v>
      </c>
      <c r="M243" s="31">
        <v>0</v>
      </c>
      <c r="N243" s="31">
        <v>0</v>
      </c>
      <c r="O243" s="31">
        <v>0</v>
      </c>
      <c r="P243" s="31">
        <v>0</v>
      </c>
      <c r="Q243" s="31">
        <v>0</v>
      </c>
      <c r="R243" s="31">
        <v>0</v>
      </c>
      <c r="S243" s="31">
        <v>0</v>
      </c>
      <c r="T243" s="21" t="str" cm="1">
        <f t="array" aca="1" ref="T243" ca="1">+fair_value_gap(OFFSET(S242,0,0,-1*$I$5,-1*$Z$1),OFFSET(E242,0,0,-1*$I$5,1),F243:S243,0)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43" s="7" t="str" cm="1">
        <f t="array" aca="1" ref="U243" ca="1">z_score_diff(OFFSET(T243,0,0,$I$5*-1,1),OFFSET(E243,0,0,$I$5*-1,1))</f>
        <v/>
      </c>
      <c r="V243" s="7" t="str">
        <f t="shared" ca="1" si="217"/>
        <v/>
      </c>
      <c r="W243" s="14">
        <f t="shared" ca="1" si="212"/>
        <v>-0.18832272109073991</v>
      </c>
      <c r="X243" s="10">
        <f t="shared" ref="X243:Y243" ca="1" si="262">+X242</f>
        <v>0</v>
      </c>
      <c r="Y243" s="10">
        <f t="shared" ca="1" si="262"/>
        <v>0</v>
      </c>
      <c r="Z243" t="str">
        <f t="shared" ca="1" si="219"/>
        <v/>
      </c>
      <c r="AA243" t="str">
        <f t="shared" ca="1" si="220"/>
        <v/>
      </c>
      <c r="AB243" s="19" t="str">
        <f t="shared" ca="1" si="221"/>
        <v/>
      </c>
      <c r="AC243" s="19" t="str">
        <f t="shared" ca="1" si="222"/>
        <v/>
      </c>
    </row>
    <row r="244" spans="3:29" x14ac:dyDescent="0.25">
      <c r="C244" s="4">
        <v>237</v>
      </c>
      <c r="D244" s="28">
        <v>42341</v>
      </c>
      <c r="E244" s="30">
        <v>17.353999999999999</v>
      </c>
      <c r="F244" s="30">
        <v>40.080453464984458</v>
      </c>
      <c r="G244" s="30">
        <v>6.7562625708539032</v>
      </c>
      <c r="H244" s="30">
        <v>47.540683854452361</v>
      </c>
      <c r="I244" s="8">
        <v>0</v>
      </c>
      <c r="J244" s="31">
        <v>0</v>
      </c>
      <c r="K244" s="31">
        <v>0</v>
      </c>
      <c r="L244" s="31">
        <v>0</v>
      </c>
      <c r="M244" s="31">
        <v>0</v>
      </c>
      <c r="N244" s="31">
        <v>0</v>
      </c>
      <c r="O244" s="31">
        <v>0</v>
      </c>
      <c r="P244" s="31">
        <v>0</v>
      </c>
      <c r="Q244" s="31">
        <v>0</v>
      </c>
      <c r="R244" s="31">
        <v>0</v>
      </c>
      <c r="S244" s="31">
        <v>0</v>
      </c>
      <c r="T244" s="21" t="str" cm="1">
        <f t="array" aca="1" ref="T244" ca="1">+fair_value_gap(OFFSET(S243,0,0,-1*$I$5,-1*$Z$1),OFFSET(E243,0,0,-1*$I$5,1),F244:S244,0)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44" s="7" t="str" cm="1">
        <f t="array" aca="1" ref="U244" ca="1">z_score_diff(OFFSET(T244,0,0,$I$5*-1,1),OFFSET(E244,0,0,$I$5*-1,1))</f>
        <v/>
      </c>
      <c r="V244" s="7" t="str">
        <f t="shared" ca="1" si="217"/>
        <v/>
      </c>
      <c r="W244" s="14">
        <f t="shared" ca="1" si="212"/>
        <v>-0.17245909153159361</v>
      </c>
      <c r="X244" s="10">
        <f t="shared" ref="X244:Y244" ca="1" si="263">+X243</f>
        <v>0</v>
      </c>
      <c r="Y244" s="10">
        <f t="shared" ca="1" si="263"/>
        <v>0</v>
      </c>
      <c r="Z244" t="str">
        <f t="shared" ca="1" si="219"/>
        <v/>
      </c>
      <c r="AA244" t="str">
        <f t="shared" ca="1" si="220"/>
        <v/>
      </c>
      <c r="AB244" s="19" t="str">
        <f t="shared" ca="1" si="221"/>
        <v/>
      </c>
      <c r="AC244" s="19" t="str">
        <f t="shared" ca="1" si="222"/>
        <v/>
      </c>
    </row>
    <row r="245" spans="3:29" x14ac:dyDescent="0.25">
      <c r="C245" s="4">
        <v>238</v>
      </c>
      <c r="D245" s="28">
        <v>42342</v>
      </c>
      <c r="E245" s="30">
        <v>17.452999999999999</v>
      </c>
      <c r="F245" s="30">
        <v>39.507533994854832</v>
      </c>
      <c r="G245" s="30">
        <v>6.7897831679529581</v>
      </c>
      <c r="H245" s="30">
        <v>47.500918779860349</v>
      </c>
      <c r="I245" s="8">
        <v>0</v>
      </c>
      <c r="J245" s="31">
        <v>0</v>
      </c>
      <c r="K245" s="31">
        <v>0</v>
      </c>
      <c r="L245" s="31">
        <v>0</v>
      </c>
      <c r="M245" s="31">
        <v>0</v>
      </c>
      <c r="N245" s="31">
        <v>0</v>
      </c>
      <c r="O245" s="31">
        <v>0</v>
      </c>
      <c r="P245" s="31">
        <v>0</v>
      </c>
      <c r="Q245" s="31">
        <v>0</v>
      </c>
      <c r="R245" s="31">
        <v>0</v>
      </c>
      <c r="S245" s="31">
        <v>0</v>
      </c>
      <c r="T245" s="21" t="str" cm="1">
        <f t="array" aca="1" ref="T245" ca="1">+fair_value_gap(OFFSET(S244,0,0,-1*$I$5,-1*$Z$1),OFFSET(E244,0,0,-1*$I$5,1),F245:S245,0)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45" s="7" t="str" cm="1">
        <f t="array" aca="1" ref="U245" ca="1">z_score_diff(OFFSET(T245,0,0,$I$5*-1,1),OFFSET(E245,0,0,$I$5*-1,1))</f>
        <v/>
      </c>
      <c r="V245" s="7" t="str">
        <f t="shared" ca="1" si="217"/>
        <v/>
      </c>
      <c r="W245" s="14">
        <f t="shared" ca="1" si="212"/>
        <v>-0.16596603874337118</v>
      </c>
      <c r="X245" s="10">
        <f t="shared" ref="X245:Y245" ca="1" si="264">+X244</f>
        <v>0</v>
      </c>
      <c r="Y245" s="10">
        <f t="shared" ca="1" si="264"/>
        <v>0</v>
      </c>
      <c r="Z245" t="str">
        <f t="shared" ca="1" si="219"/>
        <v/>
      </c>
      <c r="AA245" t="str">
        <f t="shared" ca="1" si="220"/>
        <v/>
      </c>
      <c r="AB245" s="19" t="str">
        <f t="shared" ca="1" si="221"/>
        <v/>
      </c>
      <c r="AC245" s="19" t="str">
        <f t="shared" ca="1" si="222"/>
        <v/>
      </c>
    </row>
    <row r="246" spans="3:29" x14ac:dyDescent="0.25">
      <c r="C246" s="4">
        <v>239</v>
      </c>
      <c r="D246" s="28">
        <v>42345</v>
      </c>
      <c r="E246" s="30">
        <v>16.835999999999999</v>
      </c>
      <c r="F246" s="30">
        <v>37.591139824642362</v>
      </c>
      <c r="G246" s="30">
        <v>6.8204891555145366</v>
      </c>
      <c r="H246" s="30">
        <v>47.161975080756811</v>
      </c>
      <c r="I246" s="8">
        <v>0</v>
      </c>
      <c r="J246" s="31">
        <v>0</v>
      </c>
      <c r="K246" s="31">
        <v>0</v>
      </c>
      <c r="L246" s="31">
        <v>0</v>
      </c>
      <c r="M246" s="31">
        <v>0</v>
      </c>
      <c r="N246" s="31">
        <v>0</v>
      </c>
      <c r="O246" s="31">
        <v>0</v>
      </c>
      <c r="P246" s="31">
        <v>0</v>
      </c>
      <c r="Q246" s="31">
        <v>0</v>
      </c>
      <c r="R246" s="31">
        <v>0</v>
      </c>
      <c r="S246" s="31">
        <v>0</v>
      </c>
      <c r="T246" s="21" t="str" cm="1">
        <f t="array" aca="1" ref="T246" ca="1">+fair_value_gap(OFFSET(S245,0,0,-1*$I$5,-1*$Z$1),OFFSET(E245,0,0,-1*$I$5,1),F246:S246,0)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46" s="7" t="str" cm="1">
        <f t="array" aca="1" ref="U246" ca="1">z_score_diff(OFFSET(T246,0,0,$I$5*-1,1),OFFSET(E246,0,0,$I$5*-1,1))</f>
        <v/>
      </c>
      <c r="V246" s="7" t="str">
        <f t="shared" ca="1" si="217"/>
        <v/>
      </c>
      <c r="W246" s="14">
        <f t="shared" ca="1" si="212"/>
        <v>-0.10710433347448635</v>
      </c>
      <c r="X246" s="10">
        <f t="shared" ref="X246:Y246" ca="1" si="265">+X245</f>
        <v>0</v>
      </c>
      <c r="Y246" s="10">
        <f t="shared" ca="1" si="265"/>
        <v>0</v>
      </c>
      <c r="Z246" t="str">
        <f t="shared" ca="1" si="219"/>
        <v/>
      </c>
      <c r="AA246" t="str">
        <f t="shared" ca="1" si="220"/>
        <v/>
      </c>
      <c r="AB246" s="19" t="str">
        <f t="shared" ca="1" si="221"/>
        <v/>
      </c>
      <c r="AC246" s="19" t="str">
        <f t="shared" ca="1" si="222"/>
        <v/>
      </c>
    </row>
    <row r="247" spans="3:29" x14ac:dyDescent="0.25">
      <c r="C247" s="4">
        <v>240</v>
      </c>
      <c r="D247" s="28">
        <v>42346</v>
      </c>
      <c r="E247" s="30">
        <v>16.84</v>
      </c>
      <c r="F247" s="30">
        <v>36.959515285045441</v>
      </c>
      <c r="G247" s="30">
        <v>6.7841733223170841</v>
      </c>
      <c r="H247" s="30">
        <v>46.451849811805751</v>
      </c>
      <c r="I247" s="8">
        <v>0</v>
      </c>
      <c r="J247" s="31">
        <v>0</v>
      </c>
      <c r="K247" s="31">
        <v>0</v>
      </c>
      <c r="L247" s="31">
        <v>0</v>
      </c>
      <c r="M247" s="31">
        <v>0</v>
      </c>
      <c r="N247" s="31">
        <v>0</v>
      </c>
      <c r="O247" s="31">
        <v>0</v>
      </c>
      <c r="P247" s="31">
        <v>0</v>
      </c>
      <c r="Q247" s="31">
        <v>0</v>
      </c>
      <c r="R247" s="31">
        <v>0</v>
      </c>
      <c r="S247" s="31">
        <v>0</v>
      </c>
      <c r="T247" s="21" t="str" cm="1">
        <f t="array" aca="1" ref="T247" ca="1">+fair_value_gap(OFFSET(S246,0,0,-1*$I$5,-1*$Z$1),OFFSET(E246,0,0,-1*$I$5,1),F247:S247,0)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47" s="7" t="str" cm="1">
        <f t="array" aca="1" ref="U247" ca="1">z_score_diff(OFFSET(T247,0,0,$I$5*-1,1),OFFSET(E247,0,0,$I$5*-1,1))</f>
        <v/>
      </c>
      <c r="V247" s="7" t="str">
        <f t="shared" ca="1" si="217"/>
        <v/>
      </c>
      <c r="W247" s="14">
        <f t="shared" ca="1" si="212"/>
        <v>-8.1112162947471506E-2</v>
      </c>
      <c r="X247" s="10">
        <f t="shared" ref="X247:Y247" ca="1" si="266">+X246</f>
        <v>0</v>
      </c>
      <c r="Y247" s="10">
        <f t="shared" ca="1" si="266"/>
        <v>0</v>
      </c>
      <c r="Z247" t="str">
        <f t="shared" ca="1" si="219"/>
        <v/>
      </c>
      <c r="AA247" t="str">
        <f t="shared" ca="1" si="220"/>
        <v/>
      </c>
      <c r="AB247" s="19" t="str">
        <f t="shared" ca="1" si="221"/>
        <v/>
      </c>
      <c r="AC247" s="19" t="str">
        <f t="shared" ca="1" si="222"/>
        <v/>
      </c>
    </row>
    <row r="248" spans="3:29" x14ac:dyDescent="0.25">
      <c r="C248" s="4">
        <v>241</v>
      </c>
      <c r="D248" s="28">
        <v>42347</v>
      </c>
      <c r="E248" s="30">
        <v>16.585999999999999</v>
      </c>
      <c r="F248" s="30">
        <v>36.38095238095238</v>
      </c>
      <c r="G248" s="30">
        <v>6.7029478458049878</v>
      </c>
      <c r="H248" s="30">
        <v>45.804988662131521</v>
      </c>
      <c r="I248" s="8">
        <v>0</v>
      </c>
      <c r="J248" s="31">
        <v>0</v>
      </c>
      <c r="K248" s="31">
        <v>0</v>
      </c>
      <c r="L248" s="31">
        <v>0</v>
      </c>
      <c r="M248" s="31">
        <v>0</v>
      </c>
      <c r="N248" s="31">
        <v>0</v>
      </c>
      <c r="O248" s="31">
        <v>0</v>
      </c>
      <c r="P248" s="31">
        <v>0</v>
      </c>
      <c r="Q248" s="31">
        <v>0</v>
      </c>
      <c r="R248" s="31">
        <v>0</v>
      </c>
      <c r="S248" s="31">
        <v>0</v>
      </c>
      <c r="T248" s="21" t="str" cm="1">
        <f t="array" aca="1" ref="T248" ca="1">+fair_value_gap(OFFSET(S247,0,0,-1*$I$5,-1*$Z$1),OFFSET(E247,0,0,-1*$I$5,1),F248:S248,0)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48" s="7" t="str" cm="1">
        <f t="array" aca="1" ref="U248" ca="1">z_score_diff(OFFSET(T248,0,0,$I$5*-1,1),OFFSET(E248,0,0,$I$5*-1,1))</f>
        <v/>
      </c>
      <c r="V248" s="7" t="str">
        <f t="shared" ca="1" si="217"/>
        <v/>
      </c>
      <c r="W248" s="14">
        <f t="shared" ca="1" si="212"/>
        <v>-0.11623172539203816</v>
      </c>
      <c r="X248" s="10">
        <f t="shared" ref="X248:Y248" ca="1" si="267">+X247</f>
        <v>0</v>
      </c>
      <c r="Y248" s="10">
        <f t="shared" ca="1" si="267"/>
        <v>0</v>
      </c>
      <c r="Z248" t="str">
        <f t="shared" ca="1" si="219"/>
        <v/>
      </c>
      <c r="AA248" t="str">
        <f t="shared" ca="1" si="220"/>
        <v/>
      </c>
      <c r="AB248" s="19" t="str">
        <f t="shared" ca="1" si="221"/>
        <v/>
      </c>
      <c r="AC248" s="19" t="str">
        <f t="shared" ca="1" si="222"/>
        <v/>
      </c>
    </row>
    <row r="249" spans="3:29" x14ac:dyDescent="0.25">
      <c r="C249" s="4">
        <v>242</v>
      </c>
      <c r="D249" s="28">
        <v>42348</v>
      </c>
      <c r="E249" s="30">
        <v>16.506</v>
      </c>
      <c r="F249" s="30">
        <v>36.316270566727603</v>
      </c>
      <c r="G249" s="30">
        <v>6.7550274223034723</v>
      </c>
      <c r="H249" s="30">
        <v>45.703839122486286</v>
      </c>
      <c r="I249" s="8">
        <v>0</v>
      </c>
      <c r="J249" s="31">
        <v>0</v>
      </c>
      <c r="K249" s="31">
        <v>0</v>
      </c>
      <c r="L249" s="31">
        <v>0</v>
      </c>
      <c r="M249" s="31">
        <v>0</v>
      </c>
      <c r="N249" s="31">
        <v>0</v>
      </c>
      <c r="O249" s="31">
        <v>0</v>
      </c>
      <c r="P249" s="31">
        <v>0</v>
      </c>
      <c r="Q249" s="31">
        <v>0</v>
      </c>
      <c r="R249" s="31">
        <v>0</v>
      </c>
      <c r="S249" s="31">
        <v>0</v>
      </c>
      <c r="T249" s="21" t="str" cm="1">
        <f t="array" aca="1" ref="T249" ca="1">+fair_value_gap(OFFSET(S248,0,0,-1*$I$5,-1*$Z$1),OFFSET(E248,0,0,-1*$I$5,1),F249:S249,0)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49" s="7" t="str" cm="1">
        <f t="array" aca="1" ref="U249" ca="1">z_score_diff(OFFSET(T249,0,0,$I$5*-1,1),OFFSET(E249,0,0,$I$5*-1,1))</f>
        <v/>
      </c>
      <c r="V249" s="7" t="str">
        <f t="shared" ca="1" si="217"/>
        <v/>
      </c>
      <c r="W249" s="14">
        <f t="shared" ca="1" si="212"/>
        <v>-0.11982983994604159</v>
      </c>
      <c r="X249" s="10">
        <f t="shared" ref="X249:Y249" ca="1" si="268">+X248</f>
        <v>0</v>
      </c>
      <c r="Y249" s="10">
        <f t="shared" ca="1" si="268"/>
        <v>0</v>
      </c>
      <c r="Z249" t="str">
        <f t="shared" ca="1" si="219"/>
        <v/>
      </c>
      <c r="AA249" t="str">
        <f t="shared" ca="1" si="220"/>
        <v/>
      </c>
      <c r="AB249" s="19" t="str">
        <f t="shared" ca="1" si="221"/>
        <v/>
      </c>
      <c r="AC249" s="19" t="str">
        <f t="shared" ca="1" si="222"/>
        <v/>
      </c>
    </row>
    <row r="250" spans="3:29" x14ac:dyDescent="0.25">
      <c r="C250" s="4">
        <v>243</v>
      </c>
      <c r="D250" s="28">
        <v>42349</v>
      </c>
      <c r="E250" s="30">
        <v>16.289000000000001</v>
      </c>
      <c r="F250" s="30">
        <v>34.522617639027942</v>
      </c>
      <c r="G250" s="30">
        <v>6.7261308819513967</v>
      </c>
      <c r="H250" s="30">
        <v>45.280786383908257</v>
      </c>
      <c r="I250" s="8">
        <v>0</v>
      </c>
      <c r="J250" s="31">
        <v>0</v>
      </c>
      <c r="K250" s="31">
        <v>0</v>
      </c>
      <c r="L250" s="31">
        <v>0</v>
      </c>
      <c r="M250" s="31">
        <v>0</v>
      </c>
      <c r="N250" s="31">
        <v>0</v>
      </c>
      <c r="O250" s="31">
        <v>0</v>
      </c>
      <c r="P250" s="31">
        <v>0</v>
      </c>
      <c r="Q250" s="31">
        <v>0</v>
      </c>
      <c r="R250" s="31">
        <v>0</v>
      </c>
      <c r="S250" s="31">
        <v>0</v>
      </c>
      <c r="T250" s="21" t="str" cm="1">
        <f t="array" aca="1" ref="T250" ca="1">+fair_value_gap(OFFSET(S249,0,0,-1*$I$5,-1*$Z$1),OFFSET(E249,0,0,-1*$I$5,1),F250:S250,0)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50" s="7" t="str" cm="1">
        <f t="array" aca="1" ref="U250" ca="1">z_score_diff(OFFSET(T250,0,0,$I$5*-1,1),OFFSET(E250,0,0,$I$5*-1,1))</f>
        <v/>
      </c>
      <c r="V250" s="7" t="str">
        <f t="shared" ca="1" si="217"/>
        <v/>
      </c>
      <c r="W250" s="14">
        <f t="shared" ca="1" si="212"/>
        <v>-0.14800999648270718</v>
      </c>
      <c r="X250" s="10">
        <f t="shared" ref="X250:Y250" ca="1" si="269">+X249</f>
        <v>0</v>
      </c>
      <c r="Y250" s="10">
        <f t="shared" ca="1" si="269"/>
        <v>0</v>
      </c>
      <c r="Z250" t="str">
        <f t="shared" ca="1" si="219"/>
        <v/>
      </c>
      <c r="AA250" t="str">
        <f t="shared" ca="1" si="220"/>
        <v/>
      </c>
      <c r="AB250" s="19" t="str">
        <f t="shared" ca="1" si="221"/>
        <v/>
      </c>
      <c r="AC250" s="19" t="str">
        <f t="shared" ca="1" si="222"/>
        <v/>
      </c>
    </row>
    <row r="251" spans="3:29" x14ac:dyDescent="0.25">
      <c r="C251" s="4">
        <v>244</v>
      </c>
      <c r="D251" s="28">
        <v>42352</v>
      </c>
      <c r="E251" s="30">
        <v>15.872</v>
      </c>
      <c r="F251" s="30">
        <v>34.50409463148317</v>
      </c>
      <c r="G251" s="30">
        <v>6.7242948134667877</v>
      </c>
      <c r="H251" s="30">
        <v>45.222929936305739</v>
      </c>
      <c r="I251" s="8">
        <v>0</v>
      </c>
      <c r="J251" s="31">
        <v>0</v>
      </c>
      <c r="K251" s="31">
        <v>0</v>
      </c>
      <c r="L251" s="31">
        <v>0</v>
      </c>
      <c r="M251" s="31">
        <v>0</v>
      </c>
      <c r="N251" s="31">
        <v>0</v>
      </c>
      <c r="O251" s="31">
        <v>0</v>
      </c>
      <c r="P251" s="31">
        <v>0</v>
      </c>
      <c r="Q251" s="31">
        <v>0</v>
      </c>
      <c r="R251" s="31">
        <v>0</v>
      </c>
      <c r="S251" s="31">
        <v>0</v>
      </c>
      <c r="T251" s="21" t="str" cm="1">
        <f t="array" aca="1" ref="T251" ca="1">+fair_value_gap(OFFSET(S250,0,0,-1*$I$5,-1*$Z$1),OFFSET(E250,0,0,-1*$I$5,1),F251:S251,0)</f>
        <v>TypeError: '&gt;=' not supported between instances of 'NoneType' and 'float'
    return ufunc.reduce(obj, axis, dtype, out, **passkwargs)
  File "C:\Users\jeroe\Anaconda3\lib\site-packages\numpy\core\fromnumeric.py", line 87, in _wrapreduction
    keepdims=keepdims, initial=initial, where=where)
  File "C:\Users\jeroe\Anaconda3\lib\site-packages\numpy\core\fromnumeric.py", line 2706, in amax
  File "&lt;__array_function__ internals&gt;", line 6, in amax
    exog_max = np.max(self.exog, axis=0)
  File "C:\Users\jeroe\Anaconda3\lib\site-packages\statsmodels\base\data.py", line 131, in _handle_constant
    self._handle_constant(hasconst)
  File "C:\Users\jeroe\Anaconda3\lib\site-packages\statsmodels\base\data.py", line 87, in __init__
    **kwargs)
  File "C:\Users\jeroe\Anaconda3\lib\site-packages\statsmodels\base\data.py", line 673, in handle_data
    data = handle_data(endog, exog, missing, hasconst, **kwargs)
  File "C:\Users\jeroe\Anaconda3\lib\site-packages\statsmodels\base\model.py", line 101, in _handle_data
    **kwargs)
  File "C:\Users\jeroe\Anaconda3\lib\site-packages\statsmodels\base\model.py", line 78, in __init__
    super(LikelihoodModel, self).__init__(endog, exog, **kwargs)
  File "C:\Users\jeroe\Anaconda3\lib\site-packages\statsmodels\base\model.py", line 237, in __init__
    super(RegressionModel, self).__init__(endog, exog, **kwargs)
  File "C:\Users\jeroe\Anaconda3\lib\site-packages\statsmodels\regression\linear_model.py", line 190, in __init__
    weights=weights, hasconst=hasconst, **kwargs)
  File "C:\Users\jeroe\Anaconda3\lib\site-packages\statsmodels\regression\linear_model.py", line 704,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51" s="7" t="str" cm="1">
        <f t="array" aca="1" ref="U251" ca="1">z_score_diff(OFFSET(T251,0,0,$I$5*-1,1),OFFSET(E251,0,0,$I$5*-1,1))</f>
        <v/>
      </c>
      <c r="V251" s="7" t="str">
        <f t="shared" ca="1" si="217"/>
        <v/>
      </c>
      <c r="W251" s="14">
        <f t="shared" ca="1" si="212"/>
        <v>-0.11328836353929136</v>
      </c>
      <c r="X251" s="10">
        <f t="shared" ref="X251:Y251" ca="1" si="270">+X250</f>
        <v>0</v>
      </c>
      <c r="Y251" s="10">
        <f t="shared" ca="1" si="270"/>
        <v>0</v>
      </c>
      <c r="Z251" t="str">
        <f t="shared" ca="1" si="219"/>
        <v/>
      </c>
      <c r="AA251" t="str">
        <f t="shared" ca="1" si="220"/>
        <v/>
      </c>
      <c r="AB251" s="19" t="str">
        <f t="shared" ca="1" si="221"/>
        <v/>
      </c>
      <c r="AC251" s="19" t="str">
        <f t="shared" ca="1" si="222"/>
        <v/>
      </c>
    </row>
    <row r="252" spans="3:29" x14ac:dyDescent="0.25">
      <c r="C252" s="4">
        <v>245</v>
      </c>
      <c r="D252" s="28">
        <v>42353</v>
      </c>
      <c r="E252" s="30">
        <v>16.094000000000001</v>
      </c>
      <c r="F252" s="30">
        <v>35.188066257893297</v>
      </c>
      <c r="G252" s="30">
        <v>6.7630639699826114</v>
      </c>
      <c r="H252" s="30">
        <v>45.758213599341083</v>
      </c>
      <c r="I252" s="8">
        <v>0</v>
      </c>
      <c r="J252" s="31">
        <v>0</v>
      </c>
      <c r="K252" s="31">
        <v>0</v>
      </c>
      <c r="L252" s="31">
        <v>0</v>
      </c>
      <c r="M252" s="31">
        <v>0</v>
      </c>
      <c r="N252" s="31">
        <v>0</v>
      </c>
      <c r="O252" s="31">
        <v>0</v>
      </c>
      <c r="P252" s="31">
        <v>0</v>
      </c>
      <c r="Q252" s="31">
        <v>0</v>
      </c>
      <c r="R252" s="31">
        <v>0</v>
      </c>
      <c r="S252" s="31">
        <v>0</v>
      </c>
      <c r="T252" s="21" t="str" cm="1">
        <f t="array" aca="1" ref="T252" ca="1">+fair_value_gap(OFFSET(S251,0,0,-1*$I$5,-1*$Z$1),OFFSET(E251,0,0,-1*$I$5,1),F252:S252,0)</f>
        <v>TypeError: '&gt;=' not supported between instances of 'str' and 'float'
    return ufunc.reduce(obj, axis, dtype, out, **passkwargs)
  File "C:\Users\jeroe\Anaconda3\lib\site-packages\numpy\core\fromnumeric.py", line 87, in _wrapreduction
    keepdims=keepdims, initial=initial, where=where)
  File "C:\Users\jeroe\Anaconda3\lib\site-packages\numpy\core\fromnumeric.py", line 2706, in amax
  File "&lt;__array_function__ internals&gt;", line 6, in amax
    exog_max = np.max(self.exog, axis=0)
  File "C:\Users\jeroe\Anaconda3\lib\site-packages\statsmodels\base\data.py", line 131, in _handle_constant
    self._handle_constant(hasconst)
  File "C:\Users\jeroe\Anaconda3\lib\site-packages\statsmodels\base\data.py", line 87, in __init__
    **kwargs)
  File "C:\Users\jeroe\Anaconda3\lib\site-packages\statsmodels\base\data.py", line 673, in handle_data
    data = handle_data(endog, exog, missing, hasconst, **kwargs)
  File "C:\Users\jeroe\Anaconda3\lib\site-packages\statsmodels\base\model.py", line 101, in _handle_data
    **kwargs)
  File "C:\Users\jeroe\Anaconda3\lib\site-packages\statsmodels\base\model.py", line 78, in __init__
    super(LikelihoodModel, self).__init__(endog, exog, **kwargs)
  File "C:\Users\jeroe\Anaconda3\lib\site-packages\statsmodels\base\model.py", line 237, in __init__
    super(RegressionModel, self).__init__(endog, exog, **kwargs)
  File "C:\Users\jeroe\Anaconda3\lib\site-packages\statsmodels\regression\linear_model.py", line 190, in __init__
    weights=weights, hasconst=hasconst, **kwargs)
  File "C:\Users\jeroe\Anaconda3\lib\site-packages\statsmodels\regression\linear_model.py", line 704,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52" s="7" t="str" cm="1">
        <f t="array" aca="1" ref="U252" ca="1">z_score_diff(OFFSET(T252,0,0,$I$5*-1,1),OFFSET(E252,0,0,$I$5*-1,1))</f>
        <v/>
      </c>
      <c r="V252" s="7" t="str">
        <f t="shared" ca="1" si="217"/>
        <v/>
      </c>
      <c r="W252" s="14">
        <f t="shared" ca="1" si="212"/>
        <v>-0.15689874624508263</v>
      </c>
      <c r="X252" s="10">
        <f t="shared" ref="X252:Y252" ca="1" si="271">+X251</f>
        <v>0</v>
      </c>
      <c r="Y252" s="10">
        <f t="shared" ca="1" si="271"/>
        <v>0</v>
      </c>
      <c r="Z252" t="str">
        <f t="shared" ca="1" si="219"/>
        <v/>
      </c>
      <c r="AA252" t="str">
        <f t="shared" ca="1" si="220"/>
        <v/>
      </c>
      <c r="AB252" s="19" t="str">
        <f t="shared" ca="1" si="221"/>
        <v/>
      </c>
      <c r="AC252" s="19" t="str">
        <f t="shared" ca="1" si="222"/>
        <v/>
      </c>
    </row>
    <row r="253" spans="3:29" x14ac:dyDescent="0.25">
      <c r="C253" s="4">
        <v>246</v>
      </c>
      <c r="D253" s="28">
        <v>42354</v>
      </c>
      <c r="E253" s="30">
        <v>15.73</v>
      </c>
      <c r="F253" s="30">
        <v>34.084868481349098</v>
      </c>
      <c r="G253" s="30">
        <v>6.5988452020896347</v>
      </c>
      <c r="H253" s="30">
        <v>45.916964531207043</v>
      </c>
      <c r="I253" s="8">
        <v>0</v>
      </c>
      <c r="J253" s="31">
        <v>0</v>
      </c>
      <c r="K253" s="31">
        <v>0</v>
      </c>
      <c r="L253" s="31">
        <v>0</v>
      </c>
      <c r="M253" s="31">
        <v>0</v>
      </c>
      <c r="N253" s="31">
        <v>0</v>
      </c>
      <c r="O253" s="31">
        <v>0</v>
      </c>
      <c r="P253" s="31">
        <v>0</v>
      </c>
      <c r="Q253" s="31">
        <v>0</v>
      </c>
      <c r="R253" s="31">
        <v>0</v>
      </c>
      <c r="S253" s="31">
        <v>0</v>
      </c>
      <c r="T253" s="21" t="str" cm="1">
        <f t="array" aca="1" ref="T253" ca="1">+fair_value_gap(OFFSET(S252,0,0,-1*$I$5,-1*$Z$1),OFFSET(E252,0,0,-1*$I$5,1),F253:S253,0)</f>
        <v>TypeError: '&gt;=' not supported between instances of 'str' and 'float'
    return ufunc.reduce(obj, axis, dtype, out, **passkwargs)
  File "C:\Users\jeroe\Anaconda3\lib\site-packages\numpy\core\fromnumeric.py", line 87, in _wrapreduction
    keepdims=keepdims, initial=initial, where=where)
  File "C:\Users\jeroe\Anaconda3\lib\site-packages\numpy\core\fromnumeric.py", line 2706, in amax
  File "&lt;__array_function__ internals&gt;", line 6, in amax
    exog_max = np.max(self.exog, axis=0)
  File "C:\Users\jeroe\Anaconda3\lib\site-packages\statsmodels\base\data.py", line 131, in _handle_constant
    self._handle_constant(hasconst)
  File "C:\Users\jeroe\Anaconda3\lib\site-packages\statsmodels\base\data.py", line 87, in __init__
    **kwargs)
  File "C:\Users\jeroe\Anaconda3\lib\site-packages\statsmodels\base\data.py", line 673, in handle_data
    data = handle_data(endog, exog, missing, hasconst, **kwargs)
  File "C:\Users\jeroe\Anaconda3\lib\site-packages\statsmodels\base\model.py", line 101, in _handle_data
    **kwargs)
  File "C:\Users\jeroe\Anaconda3\lib\site-packages\statsmodels\base\model.py", line 78, in __init__
    super(LikelihoodModel, self).__init__(endog, exog, **kwargs)
  File "C:\Users\jeroe\Anaconda3\lib\site-packages\statsmodels\base\model.py", line 237, in __init__
    super(RegressionModel, self).__init__(endog, exog, **kwargs)
  File "C:\Users\jeroe\Anaconda3\lib\site-packages\statsmodels\regression\linear_model.py", line 190, in __init__
    weights=weights, hasconst=hasconst, **kwargs)
  File "C:\Users\jeroe\Anaconda3\lib\site-packages\statsmodels\regression\linear_model.py", line 704,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53" s="7" t="str" cm="1">
        <f t="array" aca="1" ref="U253" ca="1">z_score_diff(OFFSET(T253,0,0,$I$5*-1,1),OFFSET(E253,0,0,$I$5*-1,1))</f>
        <v/>
      </c>
      <c r="V253" s="7" t="str">
        <f t="shared" ca="1" si="217"/>
        <v/>
      </c>
      <c r="W253" s="14">
        <f t="shared" ca="1" si="212"/>
        <v>-0.16622797970086073</v>
      </c>
      <c r="X253" s="10">
        <f t="shared" ref="X253:Y253" ca="1" si="272">+X252</f>
        <v>0</v>
      </c>
      <c r="Y253" s="10">
        <f t="shared" ca="1" si="272"/>
        <v>0</v>
      </c>
      <c r="Z253" t="str">
        <f t="shared" ca="1" si="219"/>
        <v/>
      </c>
      <c r="AA253" t="str">
        <f t="shared" ca="1" si="220"/>
        <v/>
      </c>
      <c r="AB253" s="19" t="str">
        <f t="shared" ca="1" si="221"/>
        <v/>
      </c>
      <c r="AC253" s="19" t="str">
        <f t="shared" ca="1" si="222"/>
        <v/>
      </c>
    </row>
    <row r="254" spans="3:29" x14ac:dyDescent="0.25">
      <c r="C254" s="4">
        <v>247</v>
      </c>
      <c r="D254" s="28">
        <v>42355</v>
      </c>
      <c r="E254" s="30">
        <v>15.603</v>
      </c>
      <c r="F254" s="30">
        <v>34.235565819861435</v>
      </c>
      <c r="G254" s="30">
        <v>6.6512702078521944</v>
      </c>
      <c r="H254" s="30">
        <v>46.143187066974598</v>
      </c>
      <c r="I254" s="8">
        <v>0</v>
      </c>
      <c r="J254" s="31">
        <v>0</v>
      </c>
      <c r="K254" s="31">
        <v>0</v>
      </c>
      <c r="L254" s="31">
        <v>0</v>
      </c>
      <c r="M254" s="31">
        <v>0</v>
      </c>
      <c r="N254" s="31">
        <v>0</v>
      </c>
      <c r="O254" s="31">
        <v>0</v>
      </c>
      <c r="P254" s="31">
        <v>0</v>
      </c>
      <c r="Q254" s="31">
        <v>0</v>
      </c>
      <c r="R254" s="31">
        <v>0</v>
      </c>
      <c r="S254" s="31">
        <v>0</v>
      </c>
      <c r="T254" s="21" t="str" cm="1">
        <f t="array" aca="1" ref="T254" ca="1">+fair_value_gap(OFFSET(S253,0,0,-1*$I$5,-1*$Z$1),OFFSET(E253,0,0,-1*$I$5,1),F254:S254,0)</f>
        <v>TypeError: '&gt;=' not supported between instances of 'str' and 'float'
    return ufunc.reduce(obj, axis, dtype, out, **passkwargs)
  File "C:\Users\jeroe\Anaconda3\lib\site-packages\numpy\core\fromnumeric.py", line 87, in _wrapreduction
    keepdims=keepdims, initial=initial, where=where)
  File "C:\Users\jeroe\Anaconda3\lib\site-packages\numpy\core\fromnumeric.py", line 2706, in amax
  File "&lt;__array_function__ internals&gt;", line 6, in amax
    exog_max = np.max(self.exog, axis=0)
  File "C:\Users\jeroe\Anaconda3\lib\site-packages\statsmodels\base\data.py", line 131, in _handle_constant
    self._handle_constant(hasconst)
  File "C:\Users\jeroe\Anaconda3\lib\site-packages\statsmodels\base\data.py", line 87, in __init__
    **kwargs)
  File "C:\Users\jeroe\Anaconda3\lib\site-packages\statsmodels\base\data.py", line 673, in handle_data
    data = handle_data(endog, exog, missing, hasconst, **kwargs)
  File "C:\Users\jeroe\Anaconda3\lib\site-packages\statsmodels\base\model.py", line 101, in _handle_data
    **kwargs)
  File "C:\Users\jeroe\Anaconda3\lib\site-packages\statsmodels\base\model.py", line 78, in __init__
    super(LikelihoodModel, self).__init__(endog, exog, **kwargs)
  File "C:\Users\jeroe\Anaconda3\lib\site-packages\statsmodels\base\model.py", line 237, in __init__
    super(RegressionModel, self).__init__(endog, exog, **kwargs)
  File "C:\Users\jeroe\Anaconda3\lib\site-packages\statsmodels\regression\linear_model.py", line 190, in __init__
    weights=weights, hasconst=hasconst, **kwargs)
  File "C:\Users\jeroe\Anaconda3\lib\site-packages\statsmodels\regression\linear_model.py", line 704,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54" s="7" t="str" cm="1">
        <f t="array" aca="1" ref="U254" ca="1">z_score_diff(OFFSET(T254,0,0,$I$5*-1,1),OFFSET(E254,0,0,$I$5*-1,1))</f>
        <v/>
      </c>
      <c r="V254" s="7" t="str">
        <f t="shared" ca="1" si="217"/>
        <v/>
      </c>
      <c r="W254" s="14">
        <f t="shared" ca="1" si="212"/>
        <v>-0.15295504375596394</v>
      </c>
      <c r="X254" s="10">
        <f t="shared" ref="X254:Y254" ca="1" si="273">+X253</f>
        <v>0</v>
      </c>
      <c r="Y254" s="10">
        <f t="shared" ca="1" si="273"/>
        <v>0</v>
      </c>
      <c r="Z254" t="str">
        <f t="shared" ca="1" si="219"/>
        <v/>
      </c>
      <c r="AA254" t="str">
        <f t="shared" ca="1" si="220"/>
        <v/>
      </c>
      <c r="AB254" s="19" t="str">
        <f t="shared" ca="1" si="221"/>
        <v/>
      </c>
      <c r="AC254" s="19" t="str">
        <f t="shared" ca="1" si="222"/>
        <v/>
      </c>
    </row>
    <row r="255" spans="3:29" x14ac:dyDescent="0.25">
      <c r="C255" s="4">
        <v>248</v>
      </c>
      <c r="D255" s="28">
        <v>42356</v>
      </c>
      <c r="E255" s="30">
        <v>15.394</v>
      </c>
      <c r="F255" s="30">
        <v>33.943856419696274</v>
      </c>
      <c r="G255" s="30">
        <v>6.6267832489645651</v>
      </c>
      <c r="H255" s="30">
        <v>45.973308789691671</v>
      </c>
      <c r="I255" s="8">
        <v>0</v>
      </c>
      <c r="J255" s="31">
        <v>0</v>
      </c>
      <c r="K255" s="31">
        <v>0</v>
      </c>
      <c r="L255" s="31">
        <v>0</v>
      </c>
      <c r="M255" s="31">
        <v>0</v>
      </c>
      <c r="N255" s="31">
        <v>0</v>
      </c>
      <c r="O255" s="31">
        <v>0</v>
      </c>
      <c r="P255" s="31">
        <v>0</v>
      </c>
      <c r="Q255" s="31">
        <v>0</v>
      </c>
      <c r="R255" s="31">
        <v>0</v>
      </c>
      <c r="S255" s="31">
        <v>0</v>
      </c>
      <c r="T255" s="21" t="str" cm="1">
        <f t="array" aca="1" ref="T255" ca="1">+fair_value_gap(OFFSET(S254,0,0,-1*$I$5,-1*$Z$1),OFFSET(E254,0,0,-1*$I$5,1),F255:S255,0)</f>
        <v>TypeError: '&gt;=' not supported between instances of 'NoneType' and 'float'
    return ufunc.reduce(obj, axis, dtype, out, **passkwargs)
  File "C:\Users\jeroe\Anaconda3\lib\site-packages\numpy\core\fromnumeric.py", line 87, in _wrapreduction
    keepdims=keepdims, initial=initial, where=where)
  File "C:\Users\jeroe\Anaconda3\lib\site-packages\numpy\core\fromnumeric.py", line 2706, in amax
  File "&lt;__array_function__ internals&gt;", line 6, in amax
    exog_max = np.max(self.exog, axis=0)
  File "C:\Users\jeroe\Anaconda3\lib\site-packages\statsmodels\base\data.py", line 131, in _handle_constant
    self._handle_constant(hasconst)
  File "C:\Users\jeroe\Anaconda3\lib\site-packages\statsmodels\base\data.py", line 87, in __init__
    **kwargs)
  File "C:\Users\jeroe\Anaconda3\lib\site-packages\statsmodels\base\data.py", line 673, in handle_data
    data = handle_data(endog, exog, missing, hasconst, **kwargs)
  File "C:\Users\jeroe\Anaconda3\lib\site-packages\statsmodels\base\model.py", line 101, in _handle_data
    **kwargs)
  File "C:\Users\jeroe\Anaconda3\lib\site-packages\statsmodels\base\model.py", line 78, in __init__
    super(LikelihoodModel, self).__init__(endog, exog, **kwargs)
  File "C:\Users\jeroe\Anaconda3\lib\site-packages\statsmodels\base\model.py", line 237, in __init__
    super(RegressionModel, self).__init__(endog, exog, **kwargs)
  File "C:\Users\jeroe\Anaconda3\lib\site-packages\statsmodels\regression\linear_model.py", line 190, in __init__
    weights=weights, hasconst=hasconst, **kwargs)
  File "C:\Users\jeroe\Anaconda3\lib\site-packages\statsmodels\regression\linear_model.py", line 704,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55" s="7" t="str" cm="1">
        <f t="array" aca="1" ref="U255" ca="1">z_score_diff(OFFSET(T255,0,0,$I$5*-1,1),OFFSET(E255,0,0,$I$5*-1,1))</f>
        <v/>
      </c>
      <c r="V255" s="7" t="str">
        <f t="shared" ca="1" si="217"/>
        <v/>
      </c>
      <c r="W255" s="14">
        <f t="shared" ca="1" si="212"/>
        <v>-0.14246143826586719</v>
      </c>
      <c r="X255" s="10">
        <f t="shared" ref="X255:Y255" ca="1" si="274">+X254</f>
        <v>0</v>
      </c>
      <c r="Y255" s="10">
        <f t="shared" ca="1" si="274"/>
        <v>0</v>
      </c>
      <c r="Z255" t="str">
        <f t="shared" ca="1" si="219"/>
        <v/>
      </c>
      <c r="AA255" t="str">
        <f t="shared" ca="1" si="220"/>
        <v/>
      </c>
      <c r="AB255" s="19" t="str">
        <f t="shared" ca="1" si="221"/>
        <v/>
      </c>
      <c r="AC255" s="19" t="str">
        <f t="shared" ca="1" si="222"/>
        <v/>
      </c>
    </row>
    <row r="256" spans="3:29" x14ac:dyDescent="0.25">
      <c r="C256" s="4">
        <v>249</v>
      </c>
      <c r="D256" s="28">
        <v>42359</v>
      </c>
      <c r="E256" s="30">
        <v>15.086</v>
      </c>
      <c r="F256" s="30">
        <v>33.311950146627566</v>
      </c>
      <c r="G256" s="30">
        <v>6.5203445747800588</v>
      </c>
      <c r="H256" s="30">
        <v>45.821114369501466</v>
      </c>
      <c r="I256" s="8">
        <v>0</v>
      </c>
      <c r="J256" s="31">
        <v>0</v>
      </c>
      <c r="K256" s="31">
        <v>0</v>
      </c>
      <c r="L256" s="31">
        <v>0</v>
      </c>
      <c r="M256" s="31">
        <v>0</v>
      </c>
      <c r="N256" s="31">
        <v>0</v>
      </c>
      <c r="O256" s="31">
        <v>0</v>
      </c>
      <c r="P256" s="31">
        <v>0</v>
      </c>
      <c r="Q256" s="31">
        <v>0</v>
      </c>
      <c r="R256" s="31">
        <v>0</v>
      </c>
      <c r="S256" s="31">
        <v>0</v>
      </c>
      <c r="T256" s="21" t="str" cm="1">
        <f t="array" aca="1" ref="T256" ca="1">+fair_value_gap(OFFSET(S255,0,0,-1*$I$5,-1*$Z$1),OFFSET(E255,0,0,-1*$I$5,1),F256:S256,0)</f>
        <v>TypeError: cannot perform reduce with flexible type
    return ufunc.reduce(obj, axis, dtype, out, **passkwargs)
  File "C:\Users\jeroe\Anaconda3\lib\site-packages\numpy\core\fromnumeric.py", line 87, in _wrapreduction
    keepdims=keepdims, initial=initial, where=where)
  File "C:\Users\jeroe\Anaconda3\lib\site-packages\numpy\core\fromnumeric.py", line 2706, in amax
  File "&lt;__array_function__ internals&gt;", line 6, in amax
    exog_max = np.max(self.exog, axis=0)
  File "C:\Users\jeroe\Anaconda3\lib\site-packages\statsmodels\base\data.py", line 131, in _handle_constant
    self._handle_constant(hasconst)
  File "C:\Users\jeroe\Anaconda3\lib\site-packages\statsmodels\base\data.py", line 87, in __init__
    **kwargs)
  File "C:\Users\jeroe\Anaconda3\lib\site-packages\statsmodels\base\data.py", line 673, in handle_data
    data = handle_data(endog, exog, missing, hasconst, **kwargs)
  File "C:\Users\jeroe\Anaconda3\lib\site-packages\statsmodels\base\model.py", line 101, in _handle_data
    **kwargs)
  File "C:\Users\jeroe\Anaconda3\lib\site-packages\statsmodels\base\model.py", line 78, in __init__
    super(LikelihoodModel, self).__init__(endog, exog, **kwargs)
  File "C:\Users\jeroe\Anaconda3\lib\site-packages\statsmodels\base\model.py", line 237, in __init__
    super(RegressionModel, self).__init__(endog, exog, **kwargs)
  File "C:\Users\jeroe\Anaconda3\lib\site-packages\statsmodels\regression\linear_model.py", line 190, in __init__
    weights=weights, hasconst=hasconst, **kwargs)
  File "C:\Users\jeroe\Anaconda3\lib\site-packages\statsmodels\regression\linear_model.py", line 704,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U256" s="7" t="str" cm="1">
        <f t="array" aca="1" ref="U256" ca="1">z_score_diff(OFFSET(T256,0,0,$I$5*-1,1),OFFSET(E256,0,0,$I$5*-1,1))</f>
        <v/>
      </c>
      <c r="V256" s="7" t="str">
        <f t="shared" ca="1" si="217"/>
        <v/>
      </c>
      <c r="W256" s="14">
        <f t="shared" ca="1" si="212"/>
        <v>-0.16455639297598015</v>
      </c>
      <c r="X256" s="10">
        <f t="shared" ref="X256:Y256" ca="1" si="275">+X255</f>
        <v>0</v>
      </c>
      <c r="Y256" s="10">
        <f t="shared" ca="1" si="275"/>
        <v>0</v>
      </c>
      <c r="Z256" t="str">
        <f t="shared" ca="1" si="219"/>
        <v/>
      </c>
      <c r="AA256" t="str">
        <f t="shared" ca="1" si="220"/>
        <v/>
      </c>
      <c r="AB256" s="19" t="str">
        <f t="shared" ca="1" si="221"/>
        <v/>
      </c>
      <c r="AC256" s="19" t="str">
        <f t="shared" ca="1" si="222"/>
        <v/>
      </c>
    </row>
    <row r="257" spans="3:29" x14ac:dyDescent="0.25">
      <c r="C257" s="4">
        <v>250</v>
      </c>
      <c r="D257" s="28">
        <v>42360</v>
      </c>
      <c r="E257" s="30">
        <v>14.944000000000001</v>
      </c>
      <c r="F257" s="30">
        <v>32.965126894285191</v>
      </c>
      <c r="G257" s="30">
        <v>6.4177469417564366</v>
      </c>
      <c r="H257" s="30">
        <v>43.454445864524381</v>
      </c>
      <c r="I257" s="8">
        <v>0</v>
      </c>
      <c r="J257" s="31">
        <v>0</v>
      </c>
      <c r="K257" s="31">
        <v>0</v>
      </c>
      <c r="L257" s="31">
        <v>0</v>
      </c>
      <c r="M257" s="31">
        <v>0</v>
      </c>
      <c r="N257" s="31">
        <v>0</v>
      </c>
      <c r="O257" s="31">
        <v>0</v>
      </c>
      <c r="P257" s="31">
        <v>0</v>
      </c>
      <c r="Q257" s="31">
        <v>0</v>
      </c>
      <c r="R257" s="31">
        <v>0</v>
      </c>
      <c r="S257" s="31">
        <v>0</v>
      </c>
      <c r="T257" s="21" cm="1">
        <f t="array" aca="1" ref="T257" ca="1">+fair_value_gap(OFFSET(S256,0,0,-1*$I$5,-1*$Z$1),OFFSET(E256,0,0,-1*$I$5,1),F257:S257,0)</f>
        <v>15.302503378530171</v>
      </c>
      <c r="U257" s="7" t="str" cm="1">
        <f t="array" aca="1" ref="U257" ca="1">z_score_diff(OFFSET(T257,0,0,$I$5*-1,1),OFFSET(E257,0,0,$I$5*-1,1))</f>
        <v/>
      </c>
      <c r="V257" s="7" t="str">
        <f t="shared" ca="1" si="217"/>
        <v/>
      </c>
      <c r="W257" s="14">
        <f t="shared" ca="1" si="212"/>
        <v>-0.17244013242146833</v>
      </c>
      <c r="X257" s="10">
        <f t="shared" ref="X257:Y257" ca="1" si="276">+X256</f>
        <v>0</v>
      </c>
      <c r="Y257" s="10">
        <f t="shared" ca="1" si="276"/>
        <v>0</v>
      </c>
      <c r="Z257" t="str">
        <f t="shared" ca="1" si="219"/>
        <v/>
      </c>
      <c r="AA257" t="str">
        <f t="shared" ca="1" si="220"/>
        <v/>
      </c>
      <c r="AB257" s="19" t="str">
        <f t="shared" ca="1" si="221"/>
        <v/>
      </c>
      <c r="AC257" s="19" t="str">
        <f t="shared" ca="1" si="222"/>
        <v/>
      </c>
    </row>
    <row r="258" spans="3:29" x14ac:dyDescent="0.25">
      <c r="C258" s="4">
        <v>251</v>
      </c>
      <c r="D258" s="28">
        <v>42361</v>
      </c>
      <c r="E258" s="30">
        <v>14.566000000000001</v>
      </c>
      <c r="F258" s="30">
        <v>34.246952057933818</v>
      </c>
      <c r="G258" s="30">
        <v>6.4442203685030712</v>
      </c>
      <c r="H258" s="30">
        <v>45.879548996241631</v>
      </c>
      <c r="I258" s="8">
        <v>0</v>
      </c>
      <c r="J258" s="31">
        <v>0</v>
      </c>
      <c r="K258" s="31">
        <v>0</v>
      </c>
      <c r="L258" s="31">
        <v>0</v>
      </c>
      <c r="M258" s="31">
        <v>0</v>
      </c>
      <c r="N258" s="31">
        <v>0</v>
      </c>
      <c r="O258" s="31">
        <v>0</v>
      </c>
      <c r="P258" s="31">
        <v>0</v>
      </c>
      <c r="Q258" s="31">
        <v>0</v>
      </c>
      <c r="R258" s="31">
        <v>0</v>
      </c>
      <c r="S258" s="31">
        <v>0</v>
      </c>
      <c r="T258" s="21" cm="1">
        <f t="array" aca="1" ref="T258" ca="1">+fair_value_gap(OFFSET(S257,0,0,-1*$I$5,-1*$Z$1),OFFSET(E257,0,0,-1*$I$5,1),F258:S258,0)</f>
        <v>15.967631899354021</v>
      </c>
      <c r="U258" s="7" t="str" cm="1">
        <f t="array" aca="1" ref="U258" ca="1">z_score_diff(OFFSET(T258,0,0,$I$5*-1,1),OFFSET(E258,0,0,$I$5*-1,1))</f>
        <v/>
      </c>
      <c r="V258" s="7" t="str">
        <f t="shared" ca="1" si="217"/>
        <v/>
      </c>
      <c r="W258" s="14">
        <f t="shared" ca="1" si="212"/>
        <v>-7.911632102959712E-2</v>
      </c>
      <c r="X258" s="10">
        <f t="shared" ref="X258:Y258" ca="1" si="277">+X257</f>
        <v>0</v>
      </c>
      <c r="Y258" s="10">
        <f t="shared" ca="1" si="277"/>
        <v>0</v>
      </c>
      <c r="Z258" t="str">
        <f t="shared" ca="1" si="219"/>
        <v/>
      </c>
      <c r="AA258" t="str">
        <f t="shared" ca="1" si="220"/>
        <v/>
      </c>
      <c r="AB258" s="19" t="str">
        <f t="shared" ca="1" si="221"/>
        <v/>
      </c>
      <c r="AC258" s="19" t="str">
        <f t="shared" ca="1" si="222"/>
        <v/>
      </c>
    </row>
    <row r="259" spans="3:29" x14ac:dyDescent="0.25">
      <c r="C259" s="4">
        <v>252</v>
      </c>
      <c r="D259" s="28">
        <v>42362</v>
      </c>
      <c r="E259" s="30">
        <v>14.457000000000001</v>
      </c>
      <c r="F259" s="30">
        <v>34.542802443249158</v>
      </c>
      <c r="G259" s="30">
        <v>6.3451545263925606</v>
      </c>
      <c r="H259" s="30">
        <v>45.628589661774086</v>
      </c>
      <c r="I259" s="8">
        <v>0</v>
      </c>
      <c r="J259" s="31">
        <v>0</v>
      </c>
      <c r="K259" s="31">
        <v>0</v>
      </c>
      <c r="L259" s="31">
        <v>0</v>
      </c>
      <c r="M259" s="31">
        <v>0</v>
      </c>
      <c r="N259" s="31">
        <v>0</v>
      </c>
      <c r="O259" s="31">
        <v>0</v>
      </c>
      <c r="P259" s="31">
        <v>0</v>
      </c>
      <c r="Q259" s="31">
        <v>0</v>
      </c>
      <c r="R259" s="31">
        <v>0</v>
      </c>
      <c r="S259" s="31">
        <v>0</v>
      </c>
      <c r="T259" s="21" cm="1">
        <f t="array" aca="1" ref="T259" ca="1">+fair_value_gap(OFFSET(S258,0,0,-1*$I$5,-1*$Z$1),OFFSET(E258,0,0,-1*$I$5,1),F259:S259,0)</f>
        <v>15.81238464449703</v>
      </c>
      <c r="U259" s="7" t="str" cm="1">
        <f t="array" aca="1" ref="U259" ca="1">z_score_diff(OFFSET(T259,0,0,$I$5*-1,1),OFFSET(E259,0,0,$I$5*-1,1))</f>
        <v/>
      </c>
      <c r="V259" s="7" t="str">
        <f t="shared" ca="1" si="217"/>
        <v/>
      </c>
      <c r="W259" s="14">
        <f t="shared" ca="1" si="212"/>
        <v>-0.12509858577015251</v>
      </c>
      <c r="X259" s="10">
        <f t="shared" ref="X259:Y259" ca="1" si="278">+X258</f>
        <v>0</v>
      </c>
      <c r="Y259" s="10">
        <f t="shared" ca="1" si="278"/>
        <v>0</v>
      </c>
      <c r="Z259" t="str">
        <f t="shared" ca="1" si="219"/>
        <v/>
      </c>
      <c r="AA259" t="str">
        <f t="shared" ca="1" si="220"/>
        <v/>
      </c>
      <c r="AB259" s="19" t="str">
        <f t="shared" ca="1" si="221"/>
        <v/>
      </c>
      <c r="AC259" s="19" t="str">
        <f t="shared" ca="1" si="222"/>
        <v/>
      </c>
    </row>
    <row r="260" spans="3:29" x14ac:dyDescent="0.25">
      <c r="C260" s="4">
        <v>253</v>
      </c>
      <c r="D260" s="28">
        <v>42366</v>
      </c>
      <c r="E260" s="30">
        <v>14.83</v>
      </c>
      <c r="F260" s="30">
        <v>33.397172822617414</v>
      </c>
      <c r="G260" s="30">
        <v>6.315549475604195</v>
      </c>
      <c r="H260" s="30">
        <v>44.459644322845413</v>
      </c>
      <c r="I260" s="8">
        <v>0</v>
      </c>
      <c r="J260" s="31">
        <v>0</v>
      </c>
      <c r="K260" s="31">
        <v>0</v>
      </c>
      <c r="L260" s="31">
        <v>0</v>
      </c>
      <c r="M260" s="31">
        <v>0</v>
      </c>
      <c r="N260" s="31">
        <v>0</v>
      </c>
      <c r="O260" s="31">
        <v>0</v>
      </c>
      <c r="P260" s="31">
        <v>0</v>
      </c>
      <c r="Q260" s="31">
        <v>0</v>
      </c>
      <c r="R260" s="31">
        <v>0</v>
      </c>
      <c r="S260" s="31">
        <v>0</v>
      </c>
      <c r="T260" s="21" cm="1">
        <f t="array" aca="1" ref="T260" ca="1">+fair_value_gap(OFFSET(S259,0,0,-1*$I$5,-1*$Z$1),OFFSET(E259,0,0,-1*$I$5,1),F260:S260,0)</f>
        <v>15.354908427069311</v>
      </c>
      <c r="U260" s="7" t="str" cm="1">
        <f t="array" aca="1" ref="U260" ca="1">z_score_diff(OFFSET(T260,0,0,$I$5*-1,1),OFFSET(E260,0,0,$I$5*-1,1))</f>
        <v/>
      </c>
      <c r="V260" s="7" t="str">
        <f t="shared" ca="1" si="217"/>
        <v/>
      </c>
      <c r="W260" s="14">
        <f t="shared" ca="1" si="212"/>
        <v>-0.1400451921966494</v>
      </c>
      <c r="X260" s="10">
        <f t="shared" ref="X260:Y260" ca="1" si="279">+X259</f>
        <v>0</v>
      </c>
      <c r="Y260" s="10">
        <f t="shared" ca="1" si="279"/>
        <v>0</v>
      </c>
      <c r="Z260" t="str">
        <f t="shared" ca="1" si="219"/>
        <v/>
      </c>
      <c r="AA260" t="str">
        <f t="shared" ca="1" si="220"/>
        <v/>
      </c>
      <c r="AB260" s="19" t="str">
        <f t="shared" ca="1" si="221"/>
        <v/>
      </c>
      <c r="AC260" s="19" t="str">
        <f t="shared" ca="1" si="222"/>
        <v/>
      </c>
    </row>
    <row r="261" spans="3:29" x14ac:dyDescent="0.25">
      <c r="C261" s="4">
        <v>254</v>
      </c>
      <c r="D261" s="28">
        <v>42367</v>
      </c>
      <c r="E261" s="30">
        <v>15.393000000000001</v>
      </c>
      <c r="F261" s="30">
        <v>34.615736924063391</v>
      </c>
      <c r="G261" s="30">
        <v>6.2837775945772654</v>
      </c>
      <c r="H261" s="30">
        <v>44.884125675551893</v>
      </c>
      <c r="I261" s="8">
        <v>0</v>
      </c>
      <c r="J261" s="31">
        <v>0</v>
      </c>
      <c r="K261" s="31">
        <v>0</v>
      </c>
      <c r="L261" s="31">
        <v>0</v>
      </c>
      <c r="M261" s="31">
        <v>0</v>
      </c>
      <c r="N261" s="31">
        <v>0</v>
      </c>
      <c r="O261" s="31">
        <v>0</v>
      </c>
      <c r="P261" s="31">
        <v>0</v>
      </c>
      <c r="Q261" s="31">
        <v>0</v>
      </c>
      <c r="R261" s="31">
        <v>0</v>
      </c>
      <c r="S261" s="31">
        <v>0</v>
      </c>
      <c r="T261" s="21" cm="1">
        <f t="array" aca="1" ref="T261" ca="1">+fair_value_gap(OFFSET(S260,0,0,-1*$I$5,-1*$Z$1),OFFSET(E260,0,0,-1*$I$5,1),F261:S261,0)</f>
        <v>15.520242350518544</v>
      </c>
      <c r="U261" s="7" t="str" cm="1">
        <f t="array" aca="1" ref="U261" ca="1">z_score_diff(OFFSET(T261,0,0,$I$5*-1,1),OFFSET(E261,0,0,$I$5*-1,1))</f>
        <v/>
      </c>
      <c r="V261" s="7" t="str">
        <f t="shared" ca="1" si="217"/>
        <v/>
      </c>
      <c r="W261" s="14">
        <f t="shared" ca="1" si="212"/>
        <v>-0.14735255711343728</v>
      </c>
      <c r="X261" s="10">
        <f t="shared" ref="X261:Y261" ca="1" si="280">+X260</f>
        <v>0</v>
      </c>
      <c r="Y261" s="10">
        <f t="shared" ca="1" si="280"/>
        <v>0</v>
      </c>
      <c r="Z261" t="str">
        <f t="shared" ca="1" si="219"/>
        <v/>
      </c>
      <c r="AA261" t="str">
        <f t="shared" ca="1" si="220"/>
        <v/>
      </c>
      <c r="AB261" s="19" t="str">
        <f t="shared" ca="1" si="221"/>
        <v/>
      </c>
      <c r="AC261" s="19" t="str">
        <f t="shared" ca="1" si="222"/>
        <v/>
      </c>
    </row>
    <row r="262" spans="3:29" x14ac:dyDescent="0.25">
      <c r="C262" s="4">
        <v>255</v>
      </c>
      <c r="D262" s="28">
        <v>42368</v>
      </c>
      <c r="E262" s="30">
        <v>14.911</v>
      </c>
      <c r="F262" s="30">
        <v>33.360783237258673</v>
      </c>
      <c r="G262" s="30">
        <v>6.2768780309268921</v>
      </c>
      <c r="H262" s="30">
        <v>45.246591636929274</v>
      </c>
      <c r="I262" s="8">
        <v>0</v>
      </c>
      <c r="J262" s="31">
        <v>0</v>
      </c>
      <c r="K262" s="31">
        <v>0</v>
      </c>
      <c r="L262" s="31">
        <v>0</v>
      </c>
      <c r="M262" s="31">
        <v>0</v>
      </c>
      <c r="N262" s="31">
        <v>0</v>
      </c>
      <c r="O262" s="31">
        <v>0</v>
      </c>
      <c r="P262" s="31">
        <v>0</v>
      </c>
      <c r="Q262" s="31">
        <v>0</v>
      </c>
      <c r="R262" s="31">
        <v>0</v>
      </c>
      <c r="S262" s="31">
        <v>0</v>
      </c>
      <c r="T262" s="21" cm="1">
        <f t="array" aca="1" ref="T262" ca="1">+fair_value_gap(OFFSET(S261,0,0,-1*$I$5,-1*$Z$1),OFFSET(E261,0,0,-1*$I$5,1),F262:S262,0)</f>
        <v>15.449389709157</v>
      </c>
      <c r="U262" s="7" t="str" cm="1">
        <f t="array" aca="1" ref="U262" ca="1">z_score_diff(OFFSET(T262,0,0,$I$5*-1,1),OFFSET(E262,0,0,$I$5*-1,1))</f>
        <v/>
      </c>
      <c r="V262" s="7" t="str">
        <f t="shared" ca="1" si="217"/>
        <v/>
      </c>
      <c r="W262" s="14">
        <f t="shared" ca="1" si="212"/>
        <v>-8.6968700438254429E-2</v>
      </c>
      <c r="X262" s="10">
        <f t="shared" ref="X262:Y262" ca="1" si="281">+X261</f>
        <v>0</v>
      </c>
      <c r="Y262" s="10">
        <f t="shared" ca="1" si="281"/>
        <v>0</v>
      </c>
      <c r="Z262" t="str">
        <f t="shared" ca="1" si="219"/>
        <v/>
      </c>
      <c r="AA262" t="str">
        <f t="shared" ca="1" si="220"/>
        <v/>
      </c>
      <c r="AB262" s="19" t="str">
        <f t="shared" ca="1" si="221"/>
        <v/>
      </c>
      <c r="AC262" s="19" t="str">
        <f t="shared" ca="1" si="222"/>
        <v/>
      </c>
    </row>
    <row r="263" spans="3:29" x14ac:dyDescent="0.25">
      <c r="C263" s="4">
        <v>256</v>
      </c>
      <c r="D263" s="28">
        <v>42369</v>
      </c>
      <c r="E263" s="30">
        <v>14.786</v>
      </c>
      <c r="F263" s="30">
        <v>34.32780847145488</v>
      </c>
      <c r="G263" s="30">
        <v>6.3167587476979739</v>
      </c>
      <c r="H263" s="30">
        <v>45.994475138121544</v>
      </c>
      <c r="I263" s="8">
        <v>0</v>
      </c>
      <c r="J263" s="31">
        <v>0</v>
      </c>
      <c r="K263" s="31">
        <v>0</v>
      </c>
      <c r="L263" s="31">
        <v>0</v>
      </c>
      <c r="M263" s="31">
        <v>0</v>
      </c>
      <c r="N263" s="31">
        <v>0</v>
      </c>
      <c r="O263" s="31">
        <v>0</v>
      </c>
      <c r="P263" s="31">
        <v>0</v>
      </c>
      <c r="Q263" s="31">
        <v>0</v>
      </c>
      <c r="R263" s="31">
        <v>0</v>
      </c>
      <c r="S263" s="31">
        <v>0</v>
      </c>
      <c r="T263" s="21" cm="1">
        <f t="array" aca="1" ref="T263" ca="1">+fair_value_gap(OFFSET(S262,0,0,-1*$I$5,-1*$Z$1),OFFSET(E262,0,0,-1*$I$5,1),F263:S263,0)</f>
        <v>15.677613261100358</v>
      </c>
      <c r="U263" s="7" t="str" cm="1">
        <f t="array" aca="1" ref="U263" ca="1">z_score_diff(OFFSET(T263,0,0,$I$5*-1,1),OFFSET(E263,0,0,$I$5*-1,1))</f>
        <v/>
      </c>
      <c r="V263" s="7" t="str">
        <f t="shared" ca="1" si="217"/>
        <v/>
      </c>
      <c r="W263" s="14">
        <f t="shared" ref="W263:W326" ca="1" si="282">+LN(OFFSET(E263,$W$3,0,1,1)/E263)</f>
        <v>-0.10021873079256255</v>
      </c>
      <c r="X263" s="10">
        <f t="shared" ref="X263:Y263" ca="1" si="283">+X262</f>
        <v>0</v>
      </c>
      <c r="Y263" s="10">
        <f t="shared" ca="1" si="283"/>
        <v>0</v>
      </c>
      <c r="Z263" t="str">
        <f t="shared" ca="1" si="219"/>
        <v/>
      </c>
      <c r="AA263" t="str">
        <f t="shared" ca="1" si="220"/>
        <v/>
      </c>
      <c r="AB263" s="19" t="str">
        <f t="shared" ca="1" si="221"/>
        <v/>
      </c>
      <c r="AC263" s="19" t="str">
        <f t="shared" ca="1" si="222"/>
        <v/>
      </c>
    </row>
    <row r="264" spans="3:29" x14ac:dyDescent="0.25">
      <c r="C264" s="4">
        <v>257</v>
      </c>
      <c r="D264" s="28">
        <v>42373</v>
      </c>
      <c r="E264" s="30">
        <v>14.605</v>
      </c>
      <c r="F264" s="30">
        <v>34.370671345461261</v>
      </c>
      <c r="G264" s="30">
        <v>6.3348416289592766</v>
      </c>
      <c r="H264" s="30">
        <v>46.079970449718346</v>
      </c>
      <c r="I264" s="8">
        <v>1</v>
      </c>
      <c r="J264" s="31">
        <v>0</v>
      </c>
      <c r="K264" s="31">
        <v>0</v>
      </c>
      <c r="L264" s="31">
        <v>0</v>
      </c>
      <c r="M264" s="31">
        <v>0</v>
      </c>
      <c r="N264" s="31">
        <v>0</v>
      </c>
      <c r="O264" s="31">
        <v>0</v>
      </c>
      <c r="P264" s="31">
        <v>0</v>
      </c>
      <c r="Q264" s="31">
        <v>0</v>
      </c>
      <c r="R264" s="31">
        <v>0</v>
      </c>
      <c r="S264" s="31">
        <v>0</v>
      </c>
      <c r="T264" s="21" cm="1">
        <f t="array" aca="1" ref="T264" ca="1">+fair_value_gap(OFFSET(S263,0,0,-1*$I$5,-1*$Z$1),OFFSET(E263,0,0,-1*$I$5,1),F264:S264,0)</f>
        <v>17.258182574164024</v>
      </c>
      <c r="U264" s="7" t="str" cm="1">
        <f t="array" aca="1" ref="U264" ca="1">z_score_diff(OFFSET(T264,0,0,$I$5*-1,1),OFFSET(E264,0,0,$I$5*-1,1))</f>
        <v/>
      </c>
      <c r="V264" s="7" t="str">
        <f t="shared" ca="1" si="217"/>
        <v/>
      </c>
      <c r="W264" s="14">
        <f t="shared" ca="1" si="282"/>
        <v>-0.13168441737566233</v>
      </c>
      <c r="X264" s="10">
        <f t="shared" ref="X264:Y264" ca="1" si="284">+X263</f>
        <v>0</v>
      </c>
      <c r="Y264" s="10">
        <f t="shared" ca="1" si="284"/>
        <v>0</v>
      </c>
      <c r="Z264" t="str">
        <f t="shared" ca="1" si="219"/>
        <v/>
      </c>
      <c r="AA264" t="str">
        <f t="shared" ca="1" si="220"/>
        <v/>
      </c>
      <c r="AB264" s="19" t="str">
        <f t="shared" ca="1" si="221"/>
        <v/>
      </c>
      <c r="AC264" s="19" t="str">
        <f t="shared" ca="1" si="222"/>
        <v/>
      </c>
    </row>
    <row r="265" spans="3:29" x14ac:dyDescent="0.25">
      <c r="C265" s="4">
        <v>258</v>
      </c>
      <c r="D265" s="28">
        <v>42374</v>
      </c>
      <c r="E265" s="30">
        <v>14.784000000000001</v>
      </c>
      <c r="F265" s="30">
        <v>33.891680625348968</v>
      </c>
      <c r="G265" s="30">
        <v>6.3512004466778338</v>
      </c>
      <c r="H265" s="30">
        <v>47.459519821328868</v>
      </c>
      <c r="I265" s="8">
        <v>1</v>
      </c>
      <c r="J265" s="31">
        <v>0</v>
      </c>
      <c r="K265" s="31">
        <v>0</v>
      </c>
      <c r="L265" s="31">
        <v>0</v>
      </c>
      <c r="M265" s="31">
        <v>0</v>
      </c>
      <c r="N265" s="31">
        <v>0</v>
      </c>
      <c r="O265" s="31">
        <v>0</v>
      </c>
      <c r="P265" s="31">
        <v>0</v>
      </c>
      <c r="Q265" s="31">
        <v>0</v>
      </c>
      <c r="R265" s="31">
        <v>0</v>
      </c>
      <c r="S265" s="31">
        <v>0</v>
      </c>
      <c r="T265" s="21" cm="1">
        <f t="array" aca="1" ref="T265" ca="1">+fair_value_gap(OFFSET(S264,0,0,-1*$I$5,-1*$Z$1),OFFSET(E264,0,0,-1*$I$5,1),F265:S265,0)</f>
        <v>17.182252909682777</v>
      </c>
      <c r="U265" s="7" t="str" cm="1">
        <f t="array" aca="1" ref="U265" ca="1">z_score_diff(OFFSET(T265,0,0,$I$5*-1,1),OFFSET(E265,0,0,$I$5*-1,1))</f>
        <v/>
      </c>
      <c r="V265" s="7" t="str">
        <f t="shared" ca="1" si="217"/>
        <v/>
      </c>
      <c r="W265" s="14">
        <f t="shared" ca="1" si="282"/>
        <v>-0.14566406594993972</v>
      </c>
      <c r="X265" s="10">
        <f t="shared" ref="X265:Y265" ca="1" si="285">+X264</f>
        <v>0</v>
      </c>
      <c r="Y265" s="10">
        <f t="shared" ca="1" si="285"/>
        <v>0</v>
      </c>
      <c r="Z265" t="str">
        <f t="shared" ca="1" si="219"/>
        <v/>
      </c>
      <c r="AA265" t="str">
        <f t="shared" ca="1" si="220"/>
        <v/>
      </c>
      <c r="AB265" s="19" t="str">
        <f t="shared" ca="1" si="221"/>
        <v/>
      </c>
      <c r="AC265" s="19" t="str">
        <f t="shared" ca="1" si="222"/>
        <v/>
      </c>
    </row>
    <row r="266" spans="3:29" x14ac:dyDescent="0.25">
      <c r="C266" s="4">
        <v>259</v>
      </c>
      <c r="D266" s="28">
        <v>42375</v>
      </c>
      <c r="E266" s="30">
        <v>15.125999999999999</v>
      </c>
      <c r="F266" s="30">
        <v>31.759138986825008</v>
      </c>
      <c r="G266" s="30">
        <v>6.3137873445908328</v>
      </c>
      <c r="H266" s="30">
        <v>48.107255520504729</v>
      </c>
      <c r="I266" s="8">
        <v>1</v>
      </c>
      <c r="J266" s="31">
        <v>0</v>
      </c>
      <c r="K266" s="31">
        <v>0</v>
      </c>
      <c r="L266" s="31">
        <v>0</v>
      </c>
      <c r="M266" s="31">
        <v>0</v>
      </c>
      <c r="N266" s="31">
        <v>0</v>
      </c>
      <c r="O266" s="31">
        <v>0</v>
      </c>
      <c r="P266" s="31">
        <v>0</v>
      </c>
      <c r="Q266" s="31">
        <v>0</v>
      </c>
      <c r="R266" s="31">
        <v>0</v>
      </c>
      <c r="S266" s="31">
        <v>0</v>
      </c>
      <c r="T266" s="21" cm="1">
        <f t="array" aca="1" ref="T266" ca="1">+fair_value_gap(OFFSET(S265,0,0,-1*$I$5,-1*$Z$1),OFFSET(E265,0,0,-1*$I$5,1),F266:S266,0)</f>
        <v>16.717202942012662</v>
      </c>
      <c r="U266" s="7" t="str" cm="1">
        <f t="array" aca="1" ref="U266" ca="1">z_score_diff(OFFSET(T266,0,0,$I$5*-1,1),OFFSET(E266,0,0,$I$5*-1,1))</f>
        <v/>
      </c>
      <c r="V266" s="7" t="str">
        <f t="shared" ca="1" si="217"/>
        <v/>
      </c>
      <c r="W266" s="14">
        <f t="shared" ca="1" si="282"/>
        <v>-0.15732906947158601</v>
      </c>
      <c r="X266" s="10">
        <f t="shared" ref="X266:Y266" ca="1" si="286">+X265</f>
        <v>0</v>
      </c>
      <c r="Y266" s="10">
        <f t="shared" ca="1" si="286"/>
        <v>0</v>
      </c>
      <c r="Z266" t="str">
        <f t="shared" ca="1" si="219"/>
        <v/>
      </c>
      <c r="AA266" t="str">
        <f t="shared" ca="1" si="220"/>
        <v/>
      </c>
      <c r="AB266" s="19" t="str">
        <f t="shared" ca="1" si="221"/>
        <v/>
      </c>
      <c r="AC266" s="19" t="str">
        <f t="shared" ca="1" si="222"/>
        <v/>
      </c>
    </row>
    <row r="267" spans="3:29" x14ac:dyDescent="0.25">
      <c r="C267" s="4">
        <v>260</v>
      </c>
      <c r="D267" s="28">
        <v>42376</v>
      </c>
      <c r="E267" s="30">
        <v>15.528</v>
      </c>
      <c r="F267" s="30">
        <v>30.867020303640025</v>
      </c>
      <c r="G267" s="30">
        <v>6.1962685202121826</v>
      </c>
      <c r="H267" s="30">
        <v>46.963599780501191</v>
      </c>
      <c r="I267" s="8">
        <v>1</v>
      </c>
      <c r="J267" s="31">
        <v>0</v>
      </c>
      <c r="K267" s="31">
        <v>0</v>
      </c>
      <c r="L267" s="31">
        <v>0</v>
      </c>
      <c r="M267" s="31">
        <v>0</v>
      </c>
      <c r="N267" s="31">
        <v>0</v>
      </c>
      <c r="O267" s="31">
        <v>0</v>
      </c>
      <c r="P267" s="31">
        <v>0</v>
      </c>
      <c r="Q267" s="31">
        <v>0</v>
      </c>
      <c r="R267" s="31">
        <v>0</v>
      </c>
      <c r="S267" s="31">
        <v>0</v>
      </c>
      <c r="T267" s="21" cm="1">
        <f t="array" aca="1" ref="T267" ca="1">+fair_value_gap(OFFSET(S266,0,0,-1*$I$5,-1*$Z$1),OFFSET(E266,0,0,-1*$I$5,1),F267:S267,0)</f>
        <v>16.113542540377264</v>
      </c>
      <c r="U267" s="7" t="str" cm="1">
        <f t="array" aca="1" ref="U267" ca="1">z_score_diff(OFFSET(T267,0,0,$I$5*-1,1),OFFSET(E267,0,0,$I$5*-1,1))</f>
        <v/>
      </c>
      <c r="V267" s="7" t="str">
        <f t="shared" ref="V267:V330" ca="1" si="287">+IF(ISERROR(AVERAGE(OFFSET(U267,0,0,$V$5*-1,1))),"",AVERAGE(OFFSET(U267,0,0,$V$5*-1,1)))</f>
        <v/>
      </c>
      <c r="W267" s="14">
        <f t="shared" ca="1" si="282"/>
        <v>-0.2244646193157834</v>
      </c>
      <c r="X267" s="10">
        <f t="shared" ref="X267:Y267" ca="1" si="288">+X266</f>
        <v>0</v>
      </c>
      <c r="Y267" s="10">
        <f t="shared" ca="1" si="288"/>
        <v>0</v>
      </c>
      <c r="Z267" t="str">
        <f t="shared" ref="Z267:Z330" ca="1" si="289">+IF(V267="","",IF(V267&lt;X267,1,0))</f>
        <v/>
      </c>
      <c r="AA267" t="str">
        <f t="shared" ref="AA267:AA330" ca="1" si="290">+IF(V267="","",IF(V267&gt;Y267,1,0))</f>
        <v/>
      </c>
      <c r="AB267" s="19" t="str">
        <f t="shared" ref="AB267:AB330" ca="1" si="291">+IF(ISERROR(Z267*W267),"",Z267*W267)</f>
        <v/>
      </c>
      <c r="AC267" s="19" t="str">
        <f t="shared" ref="AC267:AC330" ca="1" si="292">+IF(ISERROR(AA267*W267),"",AA267*W267)</f>
        <v/>
      </c>
    </row>
    <row r="268" spans="3:29" x14ac:dyDescent="0.25">
      <c r="C268" s="4">
        <v>261</v>
      </c>
      <c r="D268" s="28">
        <v>42377</v>
      </c>
      <c r="E268" s="30">
        <v>14.766</v>
      </c>
      <c r="F268" s="30">
        <v>30.69814255650105</v>
      </c>
      <c r="G268" s="30">
        <v>6.1991033031384397</v>
      </c>
      <c r="H268" s="30">
        <v>46.070088754689358</v>
      </c>
      <c r="I268" s="8">
        <v>1</v>
      </c>
      <c r="J268" s="31">
        <v>0</v>
      </c>
      <c r="K268" s="31">
        <v>0</v>
      </c>
      <c r="L268" s="31">
        <v>0</v>
      </c>
      <c r="M268" s="31">
        <v>0</v>
      </c>
      <c r="N268" s="31">
        <v>0</v>
      </c>
      <c r="O268" s="31">
        <v>0</v>
      </c>
      <c r="P268" s="31">
        <v>0</v>
      </c>
      <c r="Q268" s="31">
        <v>0</v>
      </c>
      <c r="R268" s="31">
        <v>0</v>
      </c>
      <c r="S268" s="31">
        <v>0</v>
      </c>
      <c r="T268" s="21" cm="1">
        <f t="array" aca="1" ref="T268" ca="1">+fair_value_gap(OFFSET(S267,0,0,-1*$I$5,-1*$Z$1),OFFSET(E267,0,0,-1*$I$5,1),F268:S268,0)</f>
        <v>15.851696995608027</v>
      </c>
      <c r="U268" s="7" t="str" cm="1">
        <f t="array" aca="1" ref="U268" ca="1">z_score_diff(OFFSET(T268,0,0,$I$5*-1,1),OFFSET(E268,0,0,$I$5*-1,1))</f>
        <v/>
      </c>
      <c r="V268" s="7" t="str">
        <f t="shared" ca="1" si="287"/>
        <v/>
      </c>
      <c r="W268" s="14">
        <f t="shared" ca="1" si="282"/>
        <v>-0.1850069960120734</v>
      </c>
      <c r="X268" s="10">
        <f t="shared" ref="X268:Y268" ca="1" si="293">+X267</f>
        <v>0</v>
      </c>
      <c r="Y268" s="10">
        <f t="shared" ca="1" si="293"/>
        <v>0</v>
      </c>
      <c r="Z268" t="str">
        <f t="shared" ca="1" si="289"/>
        <v/>
      </c>
      <c r="AA268" t="str">
        <f t="shared" ca="1" si="290"/>
        <v/>
      </c>
      <c r="AB268" s="19" t="str">
        <f t="shared" ca="1" si="291"/>
        <v/>
      </c>
      <c r="AC268" s="19" t="str">
        <f t="shared" ca="1" si="292"/>
        <v/>
      </c>
    </row>
    <row r="269" spans="3:29" x14ac:dyDescent="0.25">
      <c r="C269" s="4">
        <v>262</v>
      </c>
      <c r="D269" s="28">
        <v>42380</v>
      </c>
      <c r="E269" s="30">
        <v>14.641999999999999</v>
      </c>
      <c r="F269" s="30">
        <v>29.054240721981763</v>
      </c>
      <c r="G269" s="30">
        <v>6.2390643705681921</v>
      </c>
      <c r="H269" s="30">
        <v>45.768486969334191</v>
      </c>
      <c r="I269" s="8">
        <v>1</v>
      </c>
      <c r="J269" s="31">
        <v>0</v>
      </c>
      <c r="K269" s="31">
        <v>0</v>
      </c>
      <c r="L269" s="31">
        <v>0</v>
      </c>
      <c r="M269" s="31">
        <v>0</v>
      </c>
      <c r="N269" s="31">
        <v>0</v>
      </c>
      <c r="O269" s="31">
        <v>0</v>
      </c>
      <c r="P269" s="31">
        <v>0</v>
      </c>
      <c r="Q269" s="31">
        <v>0</v>
      </c>
      <c r="R269" s="31">
        <v>0</v>
      </c>
      <c r="S269" s="31">
        <v>0</v>
      </c>
      <c r="T269" s="21" cm="1">
        <f t="array" aca="1" ref="T269" ca="1">+fair_value_gap(OFFSET(S268,0,0,-1*$I$5,-1*$Z$1),OFFSET(E268,0,0,-1*$I$5,1),F269:S269,0)</f>
        <v>15.45477778253359</v>
      </c>
      <c r="U269" s="7" t="str" cm="1">
        <f t="array" aca="1" ref="U269" ca="1">z_score_diff(OFFSET(T269,0,0,$I$5*-1,1),OFFSET(E269,0,0,$I$5*-1,1))</f>
        <v/>
      </c>
      <c r="V269" s="7" t="str">
        <f t="shared" ca="1" si="287"/>
        <v/>
      </c>
      <c r="W269" s="14">
        <f t="shared" ca="1" si="282"/>
        <v>-0.17918483414027081</v>
      </c>
      <c r="X269" s="10">
        <f t="shared" ref="X269:Y269" ca="1" si="294">+X268</f>
        <v>0</v>
      </c>
      <c r="Y269" s="10">
        <f t="shared" ca="1" si="294"/>
        <v>0</v>
      </c>
      <c r="Z269" t="str">
        <f t="shared" ca="1" si="289"/>
        <v/>
      </c>
      <c r="AA269" t="str">
        <f t="shared" ca="1" si="290"/>
        <v/>
      </c>
      <c r="AB269" s="19" t="str">
        <f t="shared" ca="1" si="291"/>
        <v/>
      </c>
      <c r="AC269" s="19" t="str">
        <f t="shared" ca="1" si="292"/>
        <v/>
      </c>
    </row>
    <row r="270" spans="3:29" x14ac:dyDescent="0.25">
      <c r="C270" s="4">
        <v>263</v>
      </c>
      <c r="D270" s="28">
        <v>42381</v>
      </c>
      <c r="E270" s="30">
        <v>14.048</v>
      </c>
      <c r="F270" s="30">
        <v>28.431914501566244</v>
      </c>
      <c r="G270" s="30">
        <v>6.2235120692832142</v>
      </c>
      <c r="H270" s="30">
        <v>45.605306799336653</v>
      </c>
      <c r="I270" s="8">
        <v>1</v>
      </c>
      <c r="J270" s="31">
        <v>0</v>
      </c>
      <c r="K270" s="31">
        <v>0</v>
      </c>
      <c r="L270" s="31">
        <v>0</v>
      </c>
      <c r="M270" s="31">
        <v>0</v>
      </c>
      <c r="N270" s="31">
        <v>0</v>
      </c>
      <c r="O270" s="31">
        <v>0</v>
      </c>
      <c r="P270" s="31">
        <v>0</v>
      </c>
      <c r="Q270" s="31">
        <v>0</v>
      </c>
      <c r="R270" s="31">
        <v>0</v>
      </c>
      <c r="S270" s="31">
        <v>0</v>
      </c>
      <c r="T270" s="21" cm="1">
        <f t="array" aca="1" ref="T270" ca="1">+fair_value_gap(OFFSET(S269,0,0,-1*$I$5,-1*$Z$1),OFFSET(E269,0,0,-1*$I$5,1),F270:S270,0)</f>
        <v>15.217275392994486</v>
      </c>
      <c r="U270" s="7" t="str" cm="1">
        <f t="array" aca="1" ref="U270" ca="1">z_score_diff(OFFSET(T270,0,0,$I$5*-1,1),OFFSET(E270,0,0,$I$5*-1,1))</f>
        <v/>
      </c>
      <c r="V270" s="7" t="str">
        <f t="shared" ca="1" si="287"/>
        <v/>
      </c>
      <c r="W270" s="14">
        <f t="shared" ca="1" si="282"/>
        <v>-0.14465716183821417</v>
      </c>
      <c r="X270" s="10">
        <f t="shared" ref="X270:Y270" ca="1" si="295">+X269</f>
        <v>0</v>
      </c>
      <c r="Y270" s="10">
        <f t="shared" ca="1" si="295"/>
        <v>0</v>
      </c>
      <c r="Z270" t="str">
        <f t="shared" ca="1" si="289"/>
        <v/>
      </c>
      <c r="AA270" t="str">
        <f t="shared" ca="1" si="290"/>
        <v/>
      </c>
      <c r="AB270" s="19" t="str">
        <f t="shared" ca="1" si="291"/>
        <v/>
      </c>
      <c r="AC270" s="19" t="str">
        <f t="shared" ca="1" si="292"/>
        <v/>
      </c>
    </row>
    <row r="271" spans="3:29" x14ac:dyDescent="0.25">
      <c r="C271" s="4">
        <v>264</v>
      </c>
      <c r="D271" s="28">
        <v>42382</v>
      </c>
      <c r="E271" s="30">
        <v>14.172000000000001</v>
      </c>
      <c r="F271" s="30">
        <v>27.876391060424908</v>
      </c>
      <c r="G271" s="30">
        <v>6.1988411661914844</v>
      </c>
      <c r="H271" s="30">
        <v>45.295686563046083</v>
      </c>
      <c r="I271" s="8">
        <v>1</v>
      </c>
      <c r="J271" s="31">
        <v>0</v>
      </c>
      <c r="K271" s="31">
        <v>0</v>
      </c>
      <c r="L271" s="31">
        <v>0</v>
      </c>
      <c r="M271" s="31">
        <v>0</v>
      </c>
      <c r="N271" s="31">
        <v>0</v>
      </c>
      <c r="O271" s="31">
        <v>0</v>
      </c>
      <c r="P271" s="31">
        <v>0</v>
      </c>
      <c r="Q271" s="31">
        <v>0</v>
      </c>
      <c r="R271" s="31">
        <v>0</v>
      </c>
      <c r="S271" s="31">
        <v>0</v>
      </c>
      <c r="T271" s="21" cm="1">
        <f t="array" aca="1" ref="T271" ca="1">+fair_value_gap(OFFSET(S270,0,0,-1*$I$5,-1*$Z$1),OFFSET(E270,0,0,-1*$I$5,1),F271:S271,0)</f>
        <v>14.908801212992032</v>
      </c>
      <c r="U271" s="7" t="str" cm="1">
        <f t="array" aca="1" ref="U271" ca="1">z_score_diff(OFFSET(T271,0,0,$I$5*-1,1),OFFSET(E271,0,0,$I$5*-1,1))</f>
        <v/>
      </c>
      <c r="V271" s="7" t="str">
        <f t="shared" ca="1" si="287"/>
        <v/>
      </c>
      <c r="W271" s="14">
        <f t="shared" ca="1" si="282"/>
        <v>-0.16794612534546363</v>
      </c>
      <c r="X271" s="10">
        <f t="shared" ref="X271:Y271" ca="1" si="296">+X270</f>
        <v>0</v>
      </c>
      <c r="Y271" s="10">
        <f t="shared" ca="1" si="296"/>
        <v>0</v>
      </c>
      <c r="Z271" t="str">
        <f t="shared" ca="1" si="289"/>
        <v/>
      </c>
      <c r="AA271" t="str">
        <f t="shared" ca="1" si="290"/>
        <v/>
      </c>
      <c r="AB271" s="19" t="str">
        <f t="shared" ca="1" si="291"/>
        <v/>
      </c>
      <c r="AC271" s="19" t="str">
        <f t="shared" ca="1" si="292"/>
        <v/>
      </c>
    </row>
    <row r="272" spans="3:29" x14ac:dyDescent="0.25">
      <c r="C272" s="4">
        <v>265</v>
      </c>
      <c r="D272" s="28">
        <v>42383</v>
      </c>
      <c r="E272" s="30">
        <v>13.757</v>
      </c>
      <c r="F272" s="30">
        <v>28.56222385861561</v>
      </c>
      <c r="G272" s="30">
        <v>6.1901693667157582</v>
      </c>
      <c r="H272" s="30">
        <v>45.563328424153163</v>
      </c>
      <c r="I272" s="8">
        <v>1</v>
      </c>
      <c r="J272" s="31">
        <v>0</v>
      </c>
      <c r="K272" s="31">
        <v>0</v>
      </c>
      <c r="L272" s="31">
        <v>0</v>
      </c>
      <c r="M272" s="31">
        <v>0</v>
      </c>
      <c r="N272" s="31">
        <v>0</v>
      </c>
      <c r="O272" s="31">
        <v>0</v>
      </c>
      <c r="P272" s="31">
        <v>0</v>
      </c>
      <c r="Q272" s="31">
        <v>0</v>
      </c>
      <c r="R272" s="31">
        <v>0</v>
      </c>
      <c r="S272" s="31">
        <v>0</v>
      </c>
      <c r="T272" s="21" cm="1">
        <f t="array" aca="1" ref="T272" ca="1">+fair_value_gap(OFFSET(S271,0,0,-1*$I$5,-1*$Z$1),OFFSET(E271,0,0,-1*$I$5,1),F272:S272,0)</f>
        <v>14.953988100743757</v>
      </c>
      <c r="U272" s="7" t="str" cm="1">
        <f t="array" aca="1" ref="U272" ca="1">z_score_diff(OFFSET(T272,0,0,$I$5*-1,1),OFFSET(E272,0,0,$I$5*-1,1))</f>
        <v/>
      </c>
      <c r="V272" s="7" t="str">
        <f t="shared" ca="1" si="287"/>
        <v/>
      </c>
      <c r="W272" s="14">
        <f t="shared" ca="1" si="282"/>
        <v>-0.14846071249620033</v>
      </c>
      <c r="X272" s="10">
        <f t="shared" ref="X272:Y272" ca="1" si="297">+X271</f>
        <v>0</v>
      </c>
      <c r="Y272" s="10">
        <f t="shared" ca="1" si="297"/>
        <v>0</v>
      </c>
      <c r="Z272" t="str">
        <f t="shared" ca="1" si="289"/>
        <v/>
      </c>
      <c r="AA272" t="str">
        <f t="shared" ca="1" si="290"/>
        <v/>
      </c>
      <c r="AB272" s="19" t="str">
        <f t="shared" ca="1" si="291"/>
        <v/>
      </c>
      <c r="AC272" s="19" t="str">
        <f t="shared" ca="1" si="292"/>
        <v/>
      </c>
    </row>
    <row r="273" spans="3:29" x14ac:dyDescent="0.25">
      <c r="C273" s="4">
        <v>266</v>
      </c>
      <c r="D273" s="28">
        <v>42384</v>
      </c>
      <c r="E273" s="30">
        <v>13.321</v>
      </c>
      <c r="F273" s="30">
        <v>26.516400952904529</v>
      </c>
      <c r="G273" s="30">
        <v>6.1618105185999639</v>
      </c>
      <c r="H273" s="30">
        <v>45.171339563862929</v>
      </c>
      <c r="I273" s="8">
        <v>1</v>
      </c>
      <c r="J273" s="31">
        <v>0</v>
      </c>
      <c r="K273" s="31">
        <v>0</v>
      </c>
      <c r="L273" s="31">
        <v>0</v>
      </c>
      <c r="M273" s="31">
        <v>0</v>
      </c>
      <c r="N273" s="31">
        <v>0</v>
      </c>
      <c r="O273" s="31">
        <v>0</v>
      </c>
      <c r="P273" s="31">
        <v>0</v>
      </c>
      <c r="Q273" s="31">
        <v>0</v>
      </c>
      <c r="R273" s="31">
        <v>0</v>
      </c>
      <c r="S273" s="31">
        <v>0</v>
      </c>
      <c r="T273" s="21" cm="1">
        <f t="array" aca="1" ref="T273" ca="1">+fair_value_gap(OFFSET(S272,0,0,-1*$I$5,-1*$Z$1),OFFSET(E272,0,0,-1*$I$5,1),F273:S273,0)</f>
        <v>14.424818949876435</v>
      </c>
      <c r="U273" s="7" t="str" cm="1">
        <f t="array" aca="1" ref="U273" ca="1">z_score_diff(OFFSET(T273,0,0,$I$5*-1,1),OFFSET(E273,0,0,$I$5*-1,1))</f>
        <v/>
      </c>
      <c r="V273" s="7" t="str">
        <f t="shared" ca="1" si="287"/>
        <v/>
      </c>
      <c r="W273" s="14">
        <f t="shared" ca="1" si="282"/>
        <v>-9.7624995652776159E-2</v>
      </c>
      <c r="X273" s="10">
        <f t="shared" ref="X273:Y273" ca="1" si="298">+X272</f>
        <v>0</v>
      </c>
      <c r="Y273" s="10">
        <f t="shared" ca="1" si="298"/>
        <v>0</v>
      </c>
      <c r="Z273" t="str">
        <f t="shared" ca="1" si="289"/>
        <v/>
      </c>
      <c r="AA273" t="str">
        <f t="shared" ca="1" si="290"/>
        <v/>
      </c>
      <c r="AB273" s="19" t="str">
        <f t="shared" ca="1" si="291"/>
        <v/>
      </c>
      <c r="AC273" s="19" t="str">
        <f t="shared" ca="1" si="292"/>
        <v/>
      </c>
    </row>
    <row r="274" spans="3:29" x14ac:dyDescent="0.25">
      <c r="C274" s="4">
        <v>267</v>
      </c>
      <c r="D274" s="28">
        <v>42387</v>
      </c>
      <c r="E274" s="30">
        <v>13.39</v>
      </c>
      <c r="F274" s="30">
        <v>26.216712580348947</v>
      </c>
      <c r="G274" s="30">
        <v>6.1753902662993569</v>
      </c>
      <c r="H274" s="30">
        <v>45.362718089990814</v>
      </c>
      <c r="I274" s="8">
        <v>1</v>
      </c>
      <c r="J274" s="31">
        <v>0</v>
      </c>
      <c r="K274" s="31">
        <v>0</v>
      </c>
      <c r="L274" s="31">
        <v>0</v>
      </c>
      <c r="M274" s="31">
        <v>0</v>
      </c>
      <c r="N274" s="31">
        <v>0</v>
      </c>
      <c r="O274" s="31">
        <v>0</v>
      </c>
      <c r="P274" s="31">
        <v>0</v>
      </c>
      <c r="Q274" s="31">
        <v>0</v>
      </c>
      <c r="R274" s="31">
        <v>0</v>
      </c>
      <c r="S274" s="31">
        <v>0</v>
      </c>
      <c r="T274" s="21" cm="1">
        <f t="array" aca="1" ref="T274" ca="1">+fair_value_gap(OFFSET(S273,0,0,-1*$I$5,-1*$Z$1),OFFSET(E273,0,0,-1*$I$5,1),F274:S274,0)</f>
        <v>14.267992298959664</v>
      </c>
      <c r="U274" s="7" t="str" cm="1">
        <f t="array" aca="1" ref="U274" ca="1">z_score_diff(OFFSET(T274,0,0,$I$5*-1,1),OFFSET(E274,0,0,$I$5*-1,1))</f>
        <v/>
      </c>
      <c r="V274" s="7" t="str">
        <f t="shared" ca="1" si="287"/>
        <v/>
      </c>
      <c r="W274" s="14">
        <f t="shared" ca="1" si="282"/>
        <v>-0.11252243834274456</v>
      </c>
      <c r="X274" s="10">
        <f t="shared" ref="X274:Y274" ca="1" si="299">+X273</f>
        <v>0</v>
      </c>
      <c r="Y274" s="10">
        <f t="shared" ca="1" si="299"/>
        <v>0</v>
      </c>
      <c r="Z274" t="str">
        <f t="shared" ca="1" si="289"/>
        <v/>
      </c>
      <c r="AA274" t="str">
        <f t="shared" ca="1" si="290"/>
        <v/>
      </c>
      <c r="AB274" s="19" t="str">
        <f t="shared" ca="1" si="291"/>
        <v/>
      </c>
      <c r="AC274" s="19" t="str">
        <f t="shared" ca="1" si="292"/>
        <v/>
      </c>
    </row>
    <row r="275" spans="3:29" x14ac:dyDescent="0.25">
      <c r="C275" s="4">
        <v>268</v>
      </c>
      <c r="D275" s="28">
        <v>42388</v>
      </c>
      <c r="E275" s="30">
        <v>13.35</v>
      </c>
      <c r="F275" s="30">
        <v>26.373223292067859</v>
      </c>
      <c r="G275" s="30">
        <v>5.0298028427326917</v>
      </c>
      <c r="H275" s="30">
        <v>45.437872535534154</v>
      </c>
      <c r="I275" s="8">
        <v>1</v>
      </c>
      <c r="J275" s="31">
        <v>0</v>
      </c>
      <c r="K275" s="31">
        <v>0</v>
      </c>
      <c r="L275" s="31">
        <v>0</v>
      </c>
      <c r="M275" s="31">
        <v>0</v>
      </c>
      <c r="N275" s="31">
        <v>0</v>
      </c>
      <c r="O275" s="31">
        <v>0</v>
      </c>
      <c r="P275" s="31">
        <v>0</v>
      </c>
      <c r="Q275" s="31">
        <v>0</v>
      </c>
      <c r="R275" s="31">
        <v>0</v>
      </c>
      <c r="S275" s="31">
        <v>0</v>
      </c>
      <c r="T275" s="21" cm="1">
        <f t="array" aca="1" ref="T275" ca="1">+fair_value_gap(OFFSET(S274,0,0,-1*$I$5,-1*$Z$1),OFFSET(E274,0,0,-1*$I$5,1),F275:S275,0)</f>
        <v>13.800508096375804</v>
      </c>
      <c r="U275" s="7" t="str" cm="1">
        <f t="array" aca="1" ref="U275" ca="1">z_score_diff(OFFSET(T275,0,0,$I$5*-1,1),OFFSET(E275,0,0,$I$5*-1,1))</f>
        <v/>
      </c>
      <c r="V275" s="7" t="str">
        <f t="shared" ca="1" si="287"/>
        <v/>
      </c>
      <c r="W275" s="14">
        <f t="shared" ca="1" si="282"/>
        <v>-0.12970778630423513</v>
      </c>
      <c r="X275" s="10">
        <f t="shared" ref="X275:Y275" ca="1" si="300">+X274</f>
        <v>0</v>
      </c>
      <c r="Y275" s="10">
        <f t="shared" ca="1" si="300"/>
        <v>0</v>
      </c>
      <c r="Z275" t="str">
        <f t="shared" ca="1" si="289"/>
        <v/>
      </c>
      <c r="AA275" t="str">
        <f t="shared" ca="1" si="290"/>
        <v/>
      </c>
      <c r="AB275" s="19" t="str">
        <f t="shared" ca="1" si="291"/>
        <v/>
      </c>
      <c r="AC275" s="19" t="str">
        <f t="shared" ca="1" si="292"/>
        <v/>
      </c>
    </row>
    <row r="276" spans="3:29" x14ac:dyDescent="0.25">
      <c r="C276" s="4">
        <v>269</v>
      </c>
      <c r="D276" s="28">
        <v>42389</v>
      </c>
      <c r="E276" s="30">
        <v>12.797000000000001</v>
      </c>
      <c r="F276" s="30">
        <v>25.603820369179907</v>
      </c>
      <c r="G276" s="30">
        <v>4.8718890623565061</v>
      </c>
      <c r="H276" s="30">
        <v>45.871980898154106</v>
      </c>
      <c r="I276" s="8">
        <v>1</v>
      </c>
      <c r="J276" s="31">
        <v>0</v>
      </c>
      <c r="K276" s="31">
        <v>0</v>
      </c>
      <c r="L276" s="31">
        <v>0</v>
      </c>
      <c r="M276" s="31">
        <v>0</v>
      </c>
      <c r="N276" s="31">
        <v>0</v>
      </c>
      <c r="O276" s="31">
        <v>0</v>
      </c>
      <c r="P276" s="31">
        <v>0</v>
      </c>
      <c r="Q276" s="31">
        <v>0</v>
      </c>
      <c r="R276" s="31">
        <v>0</v>
      </c>
      <c r="S276" s="31">
        <v>0</v>
      </c>
      <c r="T276" s="21" cm="1">
        <f t="array" aca="1" ref="T276" ca="1">+fair_value_gap(OFFSET(S275,0,0,-1*$I$5,-1*$Z$1),OFFSET(E275,0,0,-1*$I$5,1),F276:S276,0)</f>
        <v>13.534369677413384</v>
      </c>
      <c r="U276" s="7" t="str" cm="1">
        <f t="array" aca="1" ref="U276" ca="1">z_score_diff(OFFSET(T276,0,0,$I$5*-1,1),OFFSET(E276,0,0,$I$5*-1,1))</f>
        <v/>
      </c>
      <c r="V276" s="7" t="str">
        <f t="shared" ca="1" si="287"/>
        <v/>
      </c>
      <c r="W276" s="14">
        <f t="shared" ca="1" si="282"/>
        <v>-7.3849531510990149E-2</v>
      </c>
      <c r="X276" s="10">
        <f t="shared" ref="X276:Y276" ca="1" si="301">+X275</f>
        <v>0</v>
      </c>
      <c r="Y276" s="10">
        <f t="shared" ca="1" si="301"/>
        <v>0</v>
      </c>
      <c r="Z276" t="str">
        <f t="shared" ca="1" si="289"/>
        <v/>
      </c>
      <c r="AA276" t="str">
        <f t="shared" ca="1" si="290"/>
        <v/>
      </c>
      <c r="AB276" s="19" t="str">
        <f t="shared" ca="1" si="291"/>
        <v/>
      </c>
      <c r="AC276" s="19" t="str">
        <f t="shared" ca="1" si="292"/>
        <v/>
      </c>
    </row>
    <row r="277" spans="3:29" x14ac:dyDescent="0.25">
      <c r="C277" s="4">
        <v>270</v>
      </c>
      <c r="D277" s="28">
        <v>42390</v>
      </c>
      <c r="E277" s="30">
        <v>12.577</v>
      </c>
      <c r="F277" s="30">
        <v>26.903973509933778</v>
      </c>
      <c r="G277" s="30">
        <v>4.727740986019132</v>
      </c>
      <c r="H277" s="30">
        <v>46.449595290654898</v>
      </c>
      <c r="I277" s="8">
        <v>1</v>
      </c>
      <c r="J277" s="31">
        <v>0</v>
      </c>
      <c r="K277" s="31">
        <v>0</v>
      </c>
      <c r="L277" s="31">
        <v>0</v>
      </c>
      <c r="M277" s="31">
        <v>0</v>
      </c>
      <c r="N277" s="31">
        <v>0</v>
      </c>
      <c r="O277" s="31">
        <v>0</v>
      </c>
      <c r="P277" s="31">
        <v>0</v>
      </c>
      <c r="Q277" s="31">
        <v>0</v>
      </c>
      <c r="R277" s="31">
        <v>0</v>
      </c>
      <c r="S277" s="31">
        <v>0</v>
      </c>
      <c r="T277" s="21" cm="1">
        <f t="array" aca="1" ref="T277" ca="1">+fair_value_gap(OFFSET(S276,0,0,-1*$I$5,-1*$Z$1),OFFSET(E276,0,0,-1*$I$5,1),F277:S277,0)</f>
        <v>13.486063831631549</v>
      </c>
      <c r="U277" s="7" t="str" cm="1">
        <f t="array" aca="1" ref="U277" ca="1">z_score_diff(OFFSET(T277,0,0,$I$5*-1,1),OFFSET(E277,0,0,$I$5*-1,1))</f>
        <v/>
      </c>
      <c r="V277" s="7" t="str">
        <f t="shared" ca="1" si="287"/>
        <v/>
      </c>
      <c r="W277" s="14">
        <f t="shared" ca="1" si="282"/>
        <v>-3.5446339149352003E-2</v>
      </c>
      <c r="X277" s="10">
        <f t="shared" ref="X277:Y277" ca="1" si="302">+X276</f>
        <v>0</v>
      </c>
      <c r="Y277" s="10">
        <f t="shared" ca="1" si="302"/>
        <v>0</v>
      </c>
      <c r="Z277" t="str">
        <f t="shared" ca="1" si="289"/>
        <v/>
      </c>
      <c r="AA277" t="str">
        <f t="shared" ca="1" si="290"/>
        <v/>
      </c>
      <c r="AB277" s="19" t="str">
        <f t="shared" ca="1" si="291"/>
        <v/>
      </c>
      <c r="AC277" s="19" t="str">
        <f t="shared" ca="1" si="292"/>
        <v/>
      </c>
    </row>
    <row r="278" spans="3:29" x14ac:dyDescent="0.25">
      <c r="C278" s="4">
        <v>271</v>
      </c>
      <c r="D278" s="28">
        <v>42391</v>
      </c>
      <c r="E278" s="30">
        <v>13.458</v>
      </c>
      <c r="F278" s="30">
        <v>29.812858995738374</v>
      </c>
      <c r="G278" s="30">
        <v>4.7433759496016314</v>
      </c>
      <c r="H278" s="30">
        <v>47.016861219195853</v>
      </c>
      <c r="I278" s="8">
        <v>1</v>
      </c>
      <c r="J278" s="31">
        <v>0</v>
      </c>
      <c r="K278" s="31">
        <v>0</v>
      </c>
      <c r="L278" s="31">
        <v>0</v>
      </c>
      <c r="M278" s="31">
        <v>0</v>
      </c>
      <c r="N278" s="31">
        <v>0</v>
      </c>
      <c r="O278" s="31">
        <v>0</v>
      </c>
      <c r="P278" s="31">
        <v>0</v>
      </c>
      <c r="Q278" s="31">
        <v>0</v>
      </c>
      <c r="R278" s="31">
        <v>0</v>
      </c>
      <c r="S278" s="31">
        <v>0</v>
      </c>
      <c r="T278" s="21" cm="1">
        <f t="array" aca="1" ref="T278" ca="1">+fair_value_gap(OFFSET(S277,0,0,-1*$I$5,-1*$Z$1),OFFSET(E277,0,0,-1*$I$5,1),F278:S278,0)</f>
        <v>13.698157730043468</v>
      </c>
      <c r="U278" s="7" t="str" cm="1">
        <f t="array" aca="1" ref="U278" ca="1">z_score_diff(OFFSET(T278,0,0,$I$5*-1,1),OFFSET(E278,0,0,$I$5*-1,1))</f>
        <v/>
      </c>
      <c r="V278" s="7" t="str">
        <f t="shared" ca="1" si="287"/>
        <v/>
      </c>
      <c r="W278" s="14">
        <f t="shared" ca="1" si="282"/>
        <v>-0.11508382847446848</v>
      </c>
      <c r="X278" s="10">
        <f t="shared" ref="X278:Y278" ca="1" si="303">+X277</f>
        <v>0</v>
      </c>
      <c r="Y278" s="10">
        <f t="shared" ca="1" si="303"/>
        <v>0</v>
      </c>
      <c r="Z278" t="str">
        <f t="shared" ca="1" si="289"/>
        <v/>
      </c>
      <c r="AA278" t="str">
        <f t="shared" ca="1" si="290"/>
        <v/>
      </c>
      <c r="AB278" s="19" t="str">
        <f t="shared" ca="1" si="291"/>
        <v/>
      </c>
      <c r="AC278" s="19" t="str">
        <f t="shared" ca="1" si="292"/>
        <v/>
      </c>
    </row>
    <row r="279" spans="3:29" x14ac:dyDescent="0.25">
      <c r="C279" s="4">
        <v>272</v>
      </c>
      <c r="D279" s="28">
        <v>42394</v>
      </c>
      <c r="E279" s="30">
        <v>12.757</v>
      </c>
      <c r="F279" s="30">
        <v>28.11837374389232</v>
      </c>
      <c r="G279" s="30">
        <v>4.7201991334009401</v>
      </c>
      <c r="H279" s="30">
        <v>46.879321471374574</v>
      </c>
      <c r="I279" s="8">
        <v>1</v>
      </c>
      <c r="J279" s="31">
        <v>0</v>
      </c>
      <c r="K279" s="31">
        <v>0</v>
      </c>
      <c r="L279" s="31">
        <v>0</v>
      </c>
      <c r="M279" s="31">
        <v>0</v>
      </c>
      <c r="N279" s="31">
        <v>0</v>
      </c>
      <c r="O279" s="31">
        <v>0</v>
      </c>
      <c r="P279" s="31">
        <v>0</v>
      </c>
      <c r="Q279" s="31">
        <v>0</v>
      </c>
      <c r="R279" s="31">
        <v>0</v>
      </c>
      <c r="S279" s="31">
        <v>0</v>
      </c>
      <c r="T279" s="21" cm="1">
        <f t="array" aca="1" ref="T279" ca="1">+fair_value_gap(OFFSET(S278,0,0,-1*$I$5,-1*$Z$1),OFFSET(E278,0,0,-1*$I$5,1),F279:S279,0)</f>
        <v>13.390563812772861</v>
      </c>
      <c r="U279" s="7" t="str" cm="1">
        <f t="array" aca="1" ref="U279" ca="1">z_score_diff(OFFSET(T279,0,0,$I$5*-1,1),OFFSET(E279,0,0,$I$5*-1,1))</f>
        <v/>
      </c>
      <c r="V279" s="7" t="str">
        <f t="shared" ca="1" si="287"/>
        <v/>
      </c>
      <c r="W279" s="14">
        <f t="shared" ca="1" si="282"/>
        <v>-2.9917101117598467E-2</v>
      </c>
      <c r="X279" s="10">
        <f t="shared" ref="X279:Y279" ca="1" si="304">+X278</f>
        <v>0</v>
      </c>
      <c r="Y279" s="10">
        <f t="shared" ca="1" si="304"/>
        <v>0</v>
      </c>
      <c r="Z279" t="str">
        <f t="shared" ca="1" si="289"/>
        <v/>
      </c>
      <c r="AA279" t="str">
        <f t="shared" ca="1" si="290"/>
        <v/>
      </c>
      <c r="AB279" s="19" t="str">
        <f t="shared" ca="1" si="291"/>
        <v/>
      </c>
      <c r="AC279" s="19" t="str">
        <f t="shared" ca="1" si="292"/>
        <v/>
      </c>
    </row>
    <row r="280" spans="3:29" x14ac:dyDescent="0.25">
      <c r="C280" s="4">
        <v>273</v>
      </c>
      <c r="D280" s="28">
        <v>42395</v>
      </c>
      <c r="E280" s="30">
        <v>12.891999999999999</v>
      </c>
      <c r="F280" s="30">
        <v>29.257521391112338</v>
      </c>
      <c r="G280" s="30">
        <v>4.7106449535375843</v>
      </c>
      <c r="H280" s="30">
        <v>46.738430398380714</v>
      </c>
      <c r="I280" s="8">
        <v>1</v>
      </c>
      <c r="J280" s="31">
        <v>0</v>
      </c>
      <c r="K280" s="31">
        <v>0</v>
      </c>
      <c r="L280" s="31">
        <v>0</v>
      </c>
      <c r="M280" s="31">
        <v>0</v>
      </c>
      <c r="N280" s="31">
        <v>0</v>
      </c>
      <c r="O280" s="31">
        <v>0</v>
      </c>
      <c r="P280" s="31">
        <v>0</v>
      </c>
      <c r="Q280" s="31">
        <v>0</v>
      </c>
      <c r="R280" s="31">
        <v>0</v>
      </c>
      <c r="S280" s="31">
        <v>0</v>
      </c>
      <c r="T280" s="21" cm="1">
        <f t="array" aca="1" ref="T280" ca="1">+fair_value_gap(OFFSET(S279,0,0,-1*$I$5,-1*$Z$1),OFFSET(E279,0,0,-1*$I$5,1),F280:S280,0)</f>
        <v>13.352047109795109</v>
      </c>
      <c r="U280" s="7" t="str" cm="1">
        <f t="array" aca="1" ref="U280" ca="1">z_score_diff(OFFSET(T280,0,0,$I$5*-1,1),OFFSET(E280,0,0,$I$5*-1,1))</f>
        <v/>
      </c>
      <c r="V280" s="7" t="str">
        <f t="shared" ca="1" si="287"/>
        <v/>
      </c>
      <c r="W280" s="14">
        <f t="shared" ca="1" si="282"/>
        <v>-4.6276261825032756E-2</v>
      </c>
      <c r="X280" s="10">
        <f t="shared" ref="X280:Y280" ca="1" si="305">+X279</f>
        <v>0</v>
      </c>
      <c r="Y280" s="10">
        <f t="shared" ca="1" si="305"/>
        <v>0</v>
      </c>
      <c r="Z280" t="str">
        <f t="shared" ca="1" si="289"/>
        <v/>
      </c>
      <c r="AA280" t="str">
        <f t="shared" ca="1" si="290"/>
        <v/>
      </c>
      <c r="AB280" s="19" t="str">
        <f t="shared" ca="1" si="291"/>
        <v/>
      </c>
      <c r="AC280" s="19" t="str">
        <f t="shared" ca="1" si="292"/>
        <v/>
      </c>
    </row>
    <row r="281" spans="3:29" x14ac:dyDescent="0.25">
      <c r="C281" s="4">
        <v>274</v>
      </c>
      <c r="D281" s="28">
        <v>42396</v>
      </c>
      <c r="E281" s="30">
        <v>13.284000000000001</v>
      </c>
      <c r="F281" s="30">
        <v>30.392066844183272</v>
      </c>
      <c r="G281" s="30">
        <v>4.6414470663850889</v>
      </c>
      <c r="H281" s="30">
        <v>46.36856119731889</v>
      </c>
      <c r="I281" s="8">
        <v>1</v>
      </c>
      <c r="J281" s="31">
        <v>0</v>
      </c>
      <c r="K281" s="31">
        <v>0</v>
      </c>
      <c r="L281" s="31">
        <v>0</v>
      </c>
      <c r="M281" s="31">
        <v>0</v>
      </c>
      <c r="N281" s="31">
        <v>0</v>
      </c>
      <c r="O281" s="31">
        <v>0</v>
      </c>
      <c r="P281" s="31">
        <v>0</v>
      </c>
      <c r="Q281" s="31">
        <v>0</v>
      </c>
      <c r="R281" s="31">
        <v>0</v>
      </c>
      <c r="S281" s="31">
        <v>0</v>
      </c>
      <c r="T281" s="21" cm="1">
        <f t="array" aca="1" ref="T281" ca="1">+fair_value_gap(OFFSET(S280,0,0,-1*$I$5,-1*$Z$1),OFFSET(E280,0,0,-1*$I$5,1),F281:S281,0)</f>
        <v>13.285089243923039</v>
      </c>
      <c r="U281" s="7" t="str" cm="1">
        <f t="array" aca="1" ref="U281" ca="1">z_score_diff(OFFSET(T281,0,0,$I$5*-1,1),OFFSET(E281,0,0,$I$5*-1,1))</f>
        <v/>
      </c>
      <c r="V281" s="7" t="str">
        <f t="shared" ca="1" si="287"/>
        <v/>
      </c>
      <c r="W281" s="14">
        <f t="shared" ca="1" si="282"/>
        <v>-9.7412659469245336E-2</v>
      </c>
      <c r="X281" s="10">
        <f t="shared" ref="X281:Y281" ca="1" si="306">+X280</f>
        <v>0</v>
      </c>
      <c r="Y281" s="10">
        <f t="shared" ca="1" si="306"/>
        <v>0</v>
      </c>
      <c r="Z281" t="str">
        <f t="shared" ca="1" si="289"/>
        <v/>
      </c>
      <c r="AA281" t="str">
        <f t="shared" ca="1" si="290"/>
        <v/>
      </c>
      <c r="AB281" s="19" t="str">
        <f t="shared" ca="1" si="291"/>
        <v/>
      </c>
      <c r="AC281" s="19" t="str">
        <f t="shared" ca="1" si="292"/>
        <v/>
      </c>
    </row>
    <row r="282" spans="3:29" x14ac:dyDescent="0.25">
      <c r="C282" s="4">
        <v>275</v>
      </c>
      <c r="D282" s="28">
        <v>42397</v>
      </c>
      <c r="E282" s="30">
        <v>13.669</v>
      </c>
      <c r="F282" s="30">
        <v>30.986559385571915</v>
      </c>
      <c r="G282" s="30">
        <v>4.6219255737405138</v>
      </c>
      <c r="H282" s="30">
        <v>46.173539361799399</v>
      </c>
      <c r="I282" s="8">
        <v>1</v>
      </c>
      <c r="J282" s="31">
        <v>0</v>
      </c>
      <c r="K282" s="31">
        <v>0</v>
      </c>
      <c r="L282" s="31">
        <v>0</v>
      </c>
      <c r="M282" s="31">
        <v>0</v>
      </c>
      <c r="N282" s="31">
        <v>0</v>
      </c>
      <c r="O282" s="31">
        <v>0</v>
      </c>
      <c r="P282" s="31">
        <v>0</v>
      </c>
      <c r="Q282" s="31">
        <v>0</v>
      </c>
      <c r="R282" s="31">
        <v>0</v>
      </c>
      <c r="S282" s="31">
        <v>0</v>
      </c>
      <c r="T282" s="21" cm="1">
        <f t="array" aca="1" ref="T282" ca="1">+fair_value_gap(OFFSET(S281,0,0,-1*$I$5,-1*$Z$1),OFFSET(E281,0,0,-1*$I$5,1),F282:S282,0)</f>
        <v>13.290085487713144</v>
      </c>
      <c r="U282" s="7" t="str" cm="1">
        <f t="array" aca="1" ref="U282" ca="1">z_score_diff(OFFSET(T282,0,0,$I$5*-1,1),OFFSET(E282,0,0,$I$5*-1,1))</f>
        <v/>
      </c>
      <c r="V282" s="7" t="str">
        <f t="shared" ca="1" si="287"/>
        <v/>
      </c>
      <c r="W282" s="14">
        <f t="shared" ca="1" si="282"/>
        <v>-0.13825601707977991</v>
      </c>
      <c r="X282" s="10">
        <f t="shared" ref="X282:Y282" ca="1" si="307">+X281</f>
        <v>0</v>
      </c>
      <c r="Y282" s="10">
        <f t="shared" ca="1" si="307"/>
        <v>0</v>
      </c>
      <c r="Z282" t="str">
        <f t="shared" ca="1" si="289"/>
        <v/>
      </c>
      <c r="AA282" t="str">
        <f t="shared" ca="1" si="290"/>
        <v/>
      </c>
      <c r="AB282" s="19" t="str">
        <f t="shared" ca="1" si="291"/>
        <v/>
      </c>
      <c r="AC282" s="19" t="str">
        <f t="shared" ca="1" si="292"/>
        <v/>
      </c>
    </row>
    <row r="283" spans="3:29" x14ac:dyDescent="0.25">
      <c r="C283" s="4">
        <v>276</v>
      </c>
      <c r="D283" s="28">
        <v>42398</v>
      </c>
      <c r="E283" s="30">
        <v>13.375999999999999</v>
      </c>
      <c r="F283" s="30">
        <v>32.065719032674913</v>
      </c>
      <c r="G283" s="30">
        <v>4.6658667158944063</v>
      </c>
      <c r="H283" s="30">
        <v>46.658667158944063</v>
      </c>
      <c r="I283" s="8">
        <v>1</v>
      </c>
      <c r="J283" s="31">
        <v>0</v>
      </c>
      <c r="K283" s="31">
        <v>0</v>
      </c>
      <c r="L283" s="31">
        <v>0</v>
      </c>
      <c r="M283" s="31">
        <v>0</v>
      </c>
      <c r="N283" s="31">
        <v>0</v>
      </c>
      <c r="O283" s="31">
        <v>0</v>
      </c>
      <c r="P283" s="31">
        <v>0</v>
      </c>
      <c r="Q283" s="31">
        <v>0</v>
      </c>
      <c r="R283" s="31">
        <v>0</v>
      </c>
      <c r="S283" s="31">
        <v>0</v>
      </c>
      <c r="T283" s="21" cm="1">
        <f t="array" aca="1" ref="T283" ca="1">+fair_value_gap(OFFSET(S282,0,0,-1*$I$5,-1*$Z$1),OFFSET(E282,0,0,-1*$I$5,1),F283:S283,0)</f>
        <v>13.521929459958304</v>
      </c>
      <c r="U283" s="7" t="str" cm="1">
        <f t="array" aca="1" ref="U283" ca="1">z_score_diff(OFFSET(T283,0,0,$I$5*-1,1),OFFSET(E283,0,0,$I$5*-1,1))</f>
        <v/>
      </c>
      <c r="V283" s="7" t="str">
        <f t="shared" ca="1" si="287"/>
        <v/>
      </c>
      <c r="W283" s="14">
        <f t="shared" ca="1" si="282"/>
        <v>-9.4981286527227621E-2</v>
      </c>
      <c r="X283" s="10">
        <f t="shared" ref="X283:Y283" ca="1" si="308">+X282</f>
        <v>0</v>
      </c>
      <c r="Y283" s="10">
        <f t="shared" ca="1" si="308"/>
        <v>0</v>
      </c>
      <c r="Z283" t="str">
        <f t="shared" ca="1" si="289"/>
        <v/>
      </c>
      <c r="AA283" t="str">
        <f t="shared" ca="1" si="290"/>
        <v/>
      </c>
      <c r="AB283" s="19" t="str">
        <f t="shared" ca="1" si="291"/>
        <v/>
      </c>
      <c r="AC283" s="19" t="str">
        <f t="shared" ca="1" si="292"/>
        <v/>
      </c>
    </row>
    <row r="284" spans="3:29" x14ac:dyDescent="0.25">
      <c r="C284" s="4">
        <v>277</v>
      </c>
      <c r="D284" s="28">
        <v>42401</v>
      </c>
      <c r="E284" s="30">
        <v>12.803000000000001</v>
      </c>
      <c r="F284" s="30">
        <v>31.453242697042075</v>
      </c>
      <c r="G284" s="30">
        <v>4.6895094616939188</v>
      </c>
      <c r="H284" s="30">
        <v>46.573580745912182</v>
      </c>
      <c r="I284" s="8">
        <v>0</v>
      </c>
      <c r="J284" s="31">
        <v>1</v>
      </c>
      <c r="K284" s="31">
        <v>0</v>
      </c>
      <c r="L284" s="31">
        <v>0</v>
      </c>
      <c r="M284" s="31">
        <v>0</v>
      </c>
      <c r="N284" s="31">
        <v>0</v>
      </c>
      <c r="O284" s="31">
        <v>0</v>
      </c>
      <c r="P284" s="31">
        <v>0</v>
      </c>
      <c r="Q284" s="31">
        <v>0</v>
      </c>
      <c r="R284" s="31">
        <v>0</v>
      </c>
      <c r="S284" s="31">
        <v>0</v>
      </c>
      <c r="T284" s="21" cm="1">
        <f t="array" aca="1" ref="T284" ca="1">+fair_value_gap(OFFSET(S283,0,0,-1*$I$5,-1*$Z$1),OFFSET(E283,0,0,-1*$I$5,1),F284:S284,0)</f>
        <v>17.866451712231946</v>
      </c>
      <c r="U284" s="7" t="str" cm="1">
        <f t="array" aca="1" ref="U284" ca="1">z_score_diff(OFFSET(T284,0,0,$I$5*-1,1),OFFSET(E284,0,0,$I$5*-1,1))</f>
        <v/>
      </c>
      <c r="V284" s="7" t="str">
        <f t="shared" ca="1" si="287"/>
        <v/>
      </c>
      <c r="W284" s="14">
        <f t="shared" ca="1" si="282"/>
        <v>-4.8817501885914334E-2</v>
      </c>
      <c r="X284" s="10">
        <f t="shared" ref="X284:Y284" ca="1" si="309">+X283</f>
        <v>0</v>
      </c>
      <c r="Y284" s="10">
        <f t="shared" ca="1" si="309"/>
        <v>0</v>
      </c>
      <c r="Z284" t="str">
        <f t="shared" ca="1" si="289"/>
        <v/>
      </c>
      <c r="AA284" t="str">
        <f t="shared" ca="1" si="290"/>
        <v/>
      </c>
      <c r="AB284" s="19" t="str">
        <f t="shared" ca="1" si="291"/>
        <v/>
      </c>
      <c r="AC284" s="19" t="str">
        <f t="shared" ca="1" si="292"/>
        <v/>
      </c>
    </row>
    <row r="285" spans="3:29" x14ac:dyDescent="0.25">
      <c r="C285" s="4">
        <v>278</v>
      </c>
      <c r="D285" s="28">
        <v>42402</v>
      </c>
      <c r="E285" s="30">
        <v>12.78</v>
      </c>
      <c r="F285" s="30">
        <v>29.974349578600222</v>
      </c>
      <c r="G285" s="30">
        <v>4.7911322828875056</v>
      </c>
      <c r="H285" s="30">
        <v>47.132649322096015</v>
      </c>
      <c r="I285" s="8">
        <v>0</v>
      </c>
      <c r="J285" s="31">
        <v>1</v>
      </c>
      <c r="K285" s="31">
        <v>0</v>
      </c>
      <c r="L285" s="31">
        <v>0</v>
      </c>
      <c r="M285" s="31">
        <v>0</v>
      </c>
      <c r="N285" s="31">
        <v>0</v>
      </c>
      <c r="O285" s="31">
        <v>0</v>
      </c>
      <c r="P285" s="31">
        <v>0</v>
      </c>
      <c r="Q285" s="31">
        <v>0</v>
      </c>
      <c r="R285" s="31">
        <v>0</v>
      </c>
      <c r="S285" s="31">
        <v>0</v>
      </c>
      <c r="T285" s="21" cm="1">
        <f t="array" aca="1" ref="T285" ca="1">+fair_value_gap(OFFSET(S284,0,0,-1*$I$5,-1*$Z$1),OFFSET(E284,0,0,-1*$I$5,1),F285:S285,0)</f>
        <v>16.49110108465015</v>
      </c>
      <c r="U285" s="7" t="str" cm="1">
        <f t="array" aca="1" ref="U285" ca="1">z_score_diff(OFFSET(T285,0,0,$I$5*-1,1),OFFSET(E285,0,0,$I$5*-1,1))</f>
        <v/>
      </c>
      <c r="V285" s="7" t="str">
        <f t="shared" ca="1" si="287"/>
        <v/>
      </c>
      <c r="W285" s="14">
        <f t="shared" ca="1" si="282"/>
        <v>-4.8743216914663982E-2</v>
      </c>
      <c r="X285" s="10">
        <f t="shared" ref="X285:Y285" ca="1" si="310">+X284</f>
        <v>0</v>
      </c>
      <c r="Y285" s="10">
        <f t="shared" ca="1" si="310"/>
        <v>0</v>
      </c>
      <c r="Z285" t="str">
        <f t="shared" ca="1" si="289"/>
        <v/>
      </c>
      <c r="AA285" t="str">
        <f t="shared" ca="1" si="290"/>
        <v/>
      </c>
      <c r="AB285" s="19" t="str">
        <f t="shared" ca="1" si="291"/>
        <v/>
      </c>
      <c r="AC285" s="19" t="str">
        <f t="shared" ca="1" si="292"/>
        <v/>
      </c>
    </row>
    <row r="286" spans="3:29" x14ac:dyDescent="0.25">
      <c r="C286" s="4">
        <v>279</v>
      </c>
      <c r="D286" s="28">
        <v>42403</v>
      </c>
      <c r="E286" s="30">
        <v>12.923999999999999</v>
      </c>
      <c r="F286" s="30">
        <v>31.559038097811399</v>
      </c>
      <c r="G286" s="30">
        <v>4.7779879311897684</v>
      </c>
      <c r="H286" s="30">
        <v>47.149419075925422</v>
      </c>
      <c r="I286" s="8">
        <v>0</v>
      </c>
      <c r="J286" s="31">
        <v>1</v>
      </c>
      <c r="K286" s="31">
        <v>0</v>
      </c>
      <c r="L286" s="31">
        <v>0</v>
      </c>
      <c r="M286" s="31">
        <v>0</v>
      </c>
      <c r="N286" s="31">
        <v>0</v>
      </c>
      <c r="O286" s="31">
        <v>0</v>
      </c>
      <c r="P286" s="31">
        <v>0</v>
      </c>
      <c r="Q286" s="31">
        <v>0</v>
      </c>
      <c r="R286" s="31">
        <v>0</v>
      </c>
      <c r="S286" s="31">
        <v>0</v>
      </c>
      <c r="T286" s="21" cm="1">
        <f t="array" aca="1" ref="T286" ca="1">+fair_value_gap(OFFSET(S285,0,0,-1*$I$5,-1*$Z$1),OFFSET(E285,0,0,-1*$I$5,1),F286:S286,0)</f>
        <v>15.834020732608728</v>
      </c>
      <c r="U286" s="7" t="str" cm="1">
        <f t="array" aca="1" ref="U286" ca="1">z_score_diff(OFFSET(T286,0,0,$I$5*-1,1),OFFSET(E286,0,0,$I$5*-1,1))</f>
        <v/>
      </c>
      <c r="V286" s="7" t="str">
        <f t="shared" ca="1" si="287"/>
        <v/>
      </c>
      <c r="W286" s="14">
        <f t="shared" ca="1" si="282"/>
        <v>-5.6503213161308741E-2</v>
      </c>
      <c r="X286" s="10">
        <f t="shared" ref="X286:Y286" ca="1" si="311">+X285</f>
        <v>0</v>
      </c>
      <c r="Y286" s="10">
        <f t="shared" ca="1" si="311"/>
        <v>0</v>
      </c>
      <c r="Z286" t="str">
        <f t="shared" ca="1" si="289"/>
        <v/>
      </c>
      <c r="AA286" t="str">
        <f t="shared" ca="1" si="290"/>
        <v/>
      </c>
      <c r="AB286" s="19" t="str">
        <f t="shared" ca="1" si="291"/>
        <v/>
      </c>
      <c r="AC286" s="19" t="str">
        <f t="shared" ca="1" si="292"/>
        <v/>
      </c>
    </row>
    <row r="287" spans="3:29" x14ac:dyDescent="0.25">
      <c r="C287" s="4">
        <v>280</v>
      </c>
      <c r="D287" s="28">
        <v>42404</v>
      </c>
      <c r="E287" s="30">
        <v>12.406000000000001</v>
      </c>
      <c r="F287" s="30">
        <v>30.751383187578082</v>
      </c>
      <c r="G287" s="30">
        <v>4.8009994645725502</v>
      </c>
      <c r="H287" s="30">
        <v>46.671426021774046</v>
      </c>
      <c r="I287" s="8">
        <v>0</v>
      </c>
      <c r="J287" s="31">
        <v>1</v>
      </c>
      <c r="K287" s="31">
        <v>0</v>
      </c>
      <c r="L287" s="31">
        <v>0</v>
      </c>
      <c r="M287" s="31">
        <v>0</v>
      </c>
      <c r="N287" s="31">
        <v>0</v>
      </c>
      <c r="O287" s="31">
        <v>0</v>
      </c>
      <c r="P287" s="31">
        <v>0</v>
      </c>
      <c r="Q287" s="31">
        <v>0</v>
      </c>
      <c r="R287" s="31">
        <v>0</v>
      </c>
      <c r="S287" s="31">
        <v>0</v>
      </c>
      <c r="T287" s="21" cm="1">
        <f t="array" aca="1" ref="T287" ca="1">+fair_value_gap(OFFSET(S286,0,0,-1*$I$5,-1*$Z$1),OFFSET(E286,0,0,-1*$I$5,1),F287:S287,0)</f>
        <v>14.968737084535416</v>
      </c>
      <c r="U287" s="7" t="str" cm="1">
        <f t="array" aca="1" ref="U287" ca="1">z_score_diff(OFFSET(T287,0,0,$I$5*-1,1),OFFSET(E287,0,0,$I$5*-1,1))</f>
        <v/>
      </c>
      <c r="V287" s="7" t="str">
        <f t="shared" ca="1" si="287"/>
        <v/>
      </c>
      <c r="W287" s="14">
        <f t="shared" ca="1" si="282"/>
        <v>-3.0278067783127114E-2</v>
      </c>
      <c r="X287" s="10">
        <f t="shared" ref="X287:Y287" ca="1" si="312">+X286</f>
        <v>0</v>
      </c>
      <c r="Y287" s="10">
        <f t="shared" ca="1" si="312"/>
        <v>0</v>
      </c>
      <c r="Z287" t="str">
        <f t="shared" ca="1" si="289"/>
        <v/>
      </c>
      <c r="AA287" t="str">
        <f t="shared" ca="1" si="290"/>
        <v/>
      </c>
      <c r="AB287" s="19" t="str">
        <f t="shared" ca="1" si="291"/>
        <v/>
      </c>
      <c r="AC287" s="19" t="str">
        <f t="shared" ca="1" si="292"/>
        <v/>
      </c>
    </row>
    <row r="288" spans="3:29" x14ac:dyDescent="0.25">
      <c r="C288" s="4">
        <v>281</v>
      </c>
      <c r="D288" s="28">
        <v>42405</v>
      </c>
      <c r="E288" s="30">
        <v>12.272</v>
      </c>
      <c r="F288" s="30">
        <v>30.530656149157409</v>
      </c>
      <c r="G288" s="30">
        <v>4.8225170311939767</v>
      </c>
      <c r="H288" s="30">
        <v>46.880602366439582</v>
      </c>
      <c r="I288" s="8">
        <v>0</v>
      </c>
      <c r="J288" s="31">
        <v>1</v>
      </c>
      <c r="K288" s="31">
        <v>0</v>
      </c>
      <c r="L288" s="31">
        <v>0</v>
      </c>
      <c r="M288" s="31">
        <v>0</v>
      </c>
      <c r="N288" s="31">
        <v>0</v>
      </c>
      <c r="O288" s="31">
        <v>0</v>
      </c>
      <c r="P288" s="31">
        <v>0</v>
      </c>
      <c r="Q288" s="31">
        <v>0</v>
      </c>
      <c r="R288" s="31">
        <v>0</v>
      </c>
      <c r="S288" s="31">
        <v>0</v>
      </c>
      <c r="T288" s="21" cm="1">
        <f t="array" aca="1" ref="T288" ca="1">+fair_value_gap(OFFSET(S287,0,0,-1*$I$5,-1*$Z$1),OFFSET(E287,0,0,-1*$I$5,1),F288:S288,0)</f>
        <v>14.497131824468646</v>
      </c>
      <c r="U288" s="7" t="str" cm="1">
        <f t="array" aca="1" ref="U288" ca="1">z_score_diff(OFFSET(T288,0,0,$I$5*-1,1),OFFSET(E288,0,0,$I$5*-1,1))</f>
        <v/>
      </c>
      <c r="V288" s="7" t="str">
        <f t="shared" ca="1" si="287"/>
        <v/>
      </c>
      <c r="W288" s="14">
        <f t="shared" ca="1" si="282"/>
        <v>-3.4823614913581546E-2</v>
      </c>
      <c r="X288" s="10">
        <f t="shared" ref="X288:Y288" ca="1" si="313">+X287</f>
        <v>0</v>
      </c>
      <c r="Y288" s="10">
        <f t="shared" ca="1" si="313"/>
        <v>0</v>
      </c>
      <c r="Z288" t="str">
        <f t="shared" ca="1" si="289"/>
        <v/>
      </c>
      <c r="AA288" t="str">
        <f t="shared" ca="1" si="290"/>
        <v/>
      </c>
      <c r="AB288" s="19" t="str">
        <f t="shared" ca="1" si="291"/>
        <v/>
      </c>
      <c r="AC288" s="19" t="str">
        <f t="shared" ca="1" si="292"/>
        <v/>
      </c>
    </row>
    <row r="289" spans="3:29" x14ac:dyDescent="0.25">
      <c r="C289" s="4">
        <v>282</v>
      </c>
      <c r="D289" s="28">
        <v>42408</v>
      </c>
      <c r="E289" s="30">
        <v>12.24</v>
      </c>
      <c r="F289" s="30">
        <v>29.370254577936581</v>
      </c>
      <c r="G289" s="30">
        <v>4.8057168378740514</v>
      </c>
      <c r="H289" s="30">
        <v>46.359982134881648</v>
      </c>
      <c r="I289" s="8">
        <v>0</v>
      </c>
      <c r="J289" s="31">
        <v>1</v>
      </c>
      <c r="K289" s="31">
        <v>0</v>
      </c>
      <c r="L289" s="31">
        <v>0</v>
      </c>
      <c r="M289" s="31">
        <v>0</v>
      </c>
      <c r="N289" s="31">
        <v>0</v>
      </c>
      <c r="O289" s="31">
        <v>0</v>
      </c>
      <c r="P289" s="31">
        <v>0</v>
      </c>
      <c r="Q289" s="31">
        <v>0</v>
      </c>
      <c r="R289" s="31">
        <v>0</v>
      </c>
      <c r="S289" s="31">
        <v>0</v>
      </c>
      <c r="T289" s="21" cm="1">
        <f t="array" aca="1" ref="T289" ca="1">+fair_value_gap(OFFSET(S288,0,0,-1*$I$5,-1*$Z$1),OFFSET(E288,0,0,-1*$I$5,1),F289:S289,0)</f>
        <v>13.833791507529508</v>
      </c>
      <c r="U289" s="7" t="str" cm="1">
        <f t="array" aca="1" ref="U289" ca="1">z_score_diff(OFFSET(T289,0,0,$I$5*-1,1),OFFSET(E289,0,0,$I$5*-1,1))</f>
        <v/>
      </c>
      <c r="V289" s="7" t="str">
        <f t="shared" ca="1" si="287"/>
        <v/>
      </c>
      <c r="W289" s="14">
        <f t="shared" ca="1" si="282"/>
        <v>-3.4493342706183462E-2</v>
      </c>
      <c r="X289" s="10">
        <f t="shared" ref="X289:Y289" ca="1" si="314">+X288</f>
        <v>0</v>
      </c>
      <c r="Y289" s="10">
        <f t="shared" ca="1" si="314"/>
        <v>0</v>
      </c>
      <c r="Z289" t="str">
        <f t="shared" ca="1" si="289"/>
        <v/>
      </c>
      <c r="AA289" t="str">
        <f t="shared" ca="1" si="290"/>
        <v/>
      </c>
      <c r="AB289" s="19" t="str">
        <f t="shared" ca="1" si="291"/>
        <v/>
      </c>
      <c r="AC289" s="19" t="str">
        <f t="shared" ca="1" si="292"/>
        <v/>
      </c>
    </row>
    <row r="290" spans="3:29" x14ac:dyDescent="0.25">
      <c r="C290" s="4">
        <v>283</v>
      </c>
      <c r="D290" s="28">
        <v>42409</v>
      </c>
      <c r="E290" s="30">
        <v>12.156000000000001</v>
      </c>
      <c r="F290" s="30">
        <v>26.853245948100259</v>
      </c>
      <c r="G290" s="30">
        <v>4.7648569657249134</v>
      </c>
      <c r="H290" s="30">
        <v>45.345850677530777</v>
      </c>
      <c r="I290" s="8">
        <v>0</v>
      </c>
      <c r="J290" s="31">
        <v>1</v>
      </c>
      <c r="K290" s="31">
        <v>0</v>
      </c>
      <c r="L290" s="31">
        <v>0</v>
      </c>
      <c r="M290" s="31">
        <v>0</v>
      </c>
      <c r="N290" s="31">
        <v>0</v>
      </c>
      <c r="O290" s="31">
        <v>0</v>
      </c>
      <c r="P290" s="31">
        <v>0</v>
      </c>
      <c r="Q290" s="31">
        <v>0</v>
      </c>
      <c r="R290" s="31">
        <v>0</v>
      </c>
      <c r="S290" s="31">
        <v>0</v>
      </c>
      <c r="T290" s="21" cm="1">
        <f t="array" aca="1" ref="T290" ca="1">+fair_value_gap(OFFSET(S289,0,0,-1*$I$5,-1*$Z$1),OFFSET(E289,0,0,-1*$I$5,1),F290:S290,0)</f>
        <v>12.857507009938445</v>
      </c>
      <c r="U290" s="7" t="str" cm="1">
        <f t="array" aca="1" ref="U290" ca="1">z_score_diff(OFFSET(T290,0,0,$I$5*-1,1),OFFSET(E290,0,0,$I$5*-1,1))</f>
        <v/>
      </c>
      <c r="V290" s="7" t="str">
        <f t="shared" ca="1" si="287"/>
        <v/>
      </c>
      <c r="W290" s="14">
        <f t="shared" ca="1" si="282"/>
        <v>-1.7761276929746026E-2</v>
      </c>
      <c r="X290" s="10">
        <f t="shared" ref="X290:Y290" ca="1" si="315">+X289</f>
        <v>0</v>
      </c>
      <c r="Y290" s="10">
        <f t="shared" ca="1" si="315"/>
        <v>0</v>
      </c>
      <c r="Z290" t="str">
        <f t="shared" ca="1" si="289"/>
        <v/>
      </c>
      <c r="AA290" t="str">
        <f t="shared" ca="1" si="290"/>
        <v/>
      </c>
      <c r="AB290" s="19" t="str">
        <f t="shared" ca="1" si="291"/>
        <v/>
      </c>
      <c r="AC290" s="19" t="str">
        <f t="shared" ca="1" si="292"/>
        <v/>
      </c>
    </row>
    <row r="291" spans="3:29" x14ac:dyDescent="0.25">
      <c r="C291" s="4">
        <v>284</v>
      </c>
      <c r="D291" s="28">
        <v>42410</v>
      </c>
      <c r="E291" s="30">
        <v>11.981</v>
      </c>
      <c r="F291" s="30">
        <v>27.318628753654</v>
      </c>
      <c r="G291" s="30">
        <v>4.7657011249889267</v>
      </c>
      <c r="H291" s="30">
        <v>45.353884312162286</v>
      </c>
      <c r="I291" s="8">
        <v>0</v>
      </c>
      <c r="J291" s="31">
        <v>1</v>
      </c>
      <c r="K291" s="31">
        <v>0</v>
      </c>
      <c r="L291" s="31">
        <v>0</v>
      </c>
      <c r="M291" s="31">
        <v>0</v>
      </c>
      <c r="N291" s="31">
        <v>0</v>
      </c>
      <c r="O291" s="31">
        <v>0</v>
      </c>
      <c r="P291" s="31">
        <v>0</v>
      </c>
      <c r="Q291" s="31">
        <v>0</v>
      </c>
      <c r="R291" s="31">
        <v>0</v>
      </c>
      <c r="S291" s="31">
        <v>0</v>
      </c>
      <c r="T291" s="21" cm="1">
        <f t="array" aca="1" ref="T291" ca="1">+fair_value_gap(OFFSET(S290,0,0,-1*$I$5,-1*$Z$1),OFFSET(E290,0,0,-1*$I$5,1),F291:S291,0)</f>
        <v>12.862901512487184</v>
      </c>
      <c r="U291" s="7" t="str" cm="1">
        <f t="array" aca="1" ref="U291" ca="1">z_score_diff(OFFSET(T291,0,0,$I$5*-1,1),OFFSET(E291,0,0,$I$5*-1,1))</f>
        <v/>
      </c>
      <c r="V291" s="7" t="str">
        <f t="shared" ca="1" si="287"/>
        <v/>
      </c>
      <c r="W291" s="14">
        <f t="shared" ca="1" si="282"/>
        <v>7.7323187164724892E-3</v>
      </c>
      <c r="X291" s="10">
        <f t="shared" ref="X291:Y291" ca="1" si="316">+X290</f>
        <v>0</v>
      </c>
      <c r="Y291" s="10">
        <f t="shared" ca="1" si="316"/>
        <v>0</v>
      </c>
      <c r="Z291" t="str">
        <f t="shared" ca="1" si="289"/>
        <v/>
      </c>
      <c r="AA291" t="str">
        <f t="shared" ca="1" si="290"/>
        <v/>
      </c>
      <c r="AB291" s="19" t="str">
        <f t="shared" ca="1" si="291"/>
        <v/>
      </c>
      <c r="AC291" s="19" t="str">
        <f t="shared" ca="1" si="292"/>
        <v/>
      </c>
    </row>
    <row r="292" spans="3:29" x14ac:dyDescent="0.25">
      <c r="C292" s="4">
        <v>285</v>
      </c>
      <c r="D292" s="28">
        <v>42411</v>
      </c>
      <c r="E292" s="30">
        <v>11.859</v>
      </c>
      <c r="F292" s="30">
        <v>26.552424697464886</v>
      </c>
      <c r="G292" s="30">
        <v>4.7522303683420191</v>
      </c>
      <c r="H292" s="30">
        <v>45.35818390601537</v>
      </c>
      <c r="I292" s="8">
        <v>0</v>
      </c>
      <c r="J292" s="31">
        <v>1</v>
      </c>
      <c r="K292" s="31">
        <v>0</v>
      </c>
      <c r="L292" s="31">
        <v>0</v>
      </c>
      <c r="M292" s="31">
        <v>0</v>
      </c>
      <c r="N292" s="31">
        <v>0</v>
      </c>
      <c r="O292" s="31">
        <v>0</v>
      </c>
      <c r="P292" s="31">
        <v>0</v>
      </c>
      <c r="Q292" s="31">
        <v>0</v>
      </c>
      <c r="R292" s="31">
        <v>0</v>
      </c>
      <c r="S292" s="31">
        <v>0</v>
      </c>
      <c r="T292" s="21" cm="1">
        <f t="array" aca="1" ref="T292" ca="1">+fair_value_gap(OFFSET(S291,0,0,-1*$I$5,-1*$Z$1),OFFSET(E291,0,0,-1*$I$5,1),F292:S292,0)</f>
        <v>12.511292411821836</v>
      </c>
      <c r="U292" s="7" t="str" cm="1">
        <f t="array" aca="1" ref="U292" ca="1">z_score_diff(OFFSET(T292,0,0,$I$5*-1,1),OFFSET(E292,0,0,$I$5*-1,1))</f>
        <v/>
      </c>
      <c r="V292" s="7" t="str">
        <f t="shared" ca="1" si="287"/>
        <v/>
      </c>
      <c r="W292" s="14">
        <f t="shared" ca="1" si="282"/>
        <v>1.5166838094450967E-3</v>
      </c>
      <c r="X292" s="10">
        <f t="shared" ref="X292:Y292" ca="1" si="317">+X291</f>
        <v>0</v>
      </c>
      <c r="Y292" s="10">
        <f t="shared" ca="1" si="317"/>
        <v>0</v>
      </c>
      <c r="Z292" t="str">
        <f t="shared" ca="1" si="289"/>
        <v/>
      </c>
      <c r="AA292" t="str">
        <f t="shared" ca="1" si="290"/>
        <v/>
      </c>
      <c r="AB292" s="19" t="str">
        <f t="shared" ca="1" si="291"/>
        <v/>
      </c>
      <c r="AC292" s="19" t="str">
        <f t="shared" ca="1" si="292"/>
        <v/>
      </c>
    </row>
    <row r="293" spans="3:29" x14ac:dyDescent="0.25">
      <c r="C293" s="4">
        <v>286</v>
      </c>
      <c r="D293" s="28">
        <v>42412</v>
      </c>
      <c r="E293" s="30">
        <v>12.082000000000001</v>
      </c>
      <c r="F293" s="30">
        <v>29.63226150293125</v>
      </c>
      <c r="G293" s="30">
        <v>4.7788239474151721</v>
      </c>
      <c r="H293" s="30">
        <v>45.92289927162907</v>
      </c>
      <c r="I293" s="8">
        <v>0</v>
      </c>
      <c r="J293" s="31">
        <v>1</v>
      </c>
      <c r="K293" s="31">
        <v>0</v>
      </c>
      <c r="L293" s="31">
        <v>0</v>
      </c>
      <c r="M293" s="31">
        <v>0</v>
      </c>
      <c r="N293" s="31">
        <v>0</v>
      </c>
      <c r="O293" s="31">
        <v>0</v>
      </c>
      <c r="P293" s="31">
        <v>0</v>
      </c>
      <c r="Q293" s="31">
        <v>0</v>
      </c>
      <c r="R293" s="31">
        <v>0</v>
      </c>
      <c r="S293" s="31">
        <v>0</v>
      </c>
      <c r="T293" s="21" cm="1">
        <f t="array" aca="1" ref="T293" ca="1">+fair_value_gap(OFFSET(S292,0,0,-1*$I$5,-1*$Z$1),OFFSET(E292,0,0,-1*$I$5,1),F293:S293,0)</f>
        <v>13.298723651382604</v>
      </c>
      <c r="U293" s="7" t="str" cm="1">
        <f t="array" aca="1" ref="U293" ca="1">z_score_diff(OFFSET(T293,0,0,$I$5*-1,1),OFFSET(E293,0,0,$I$5*-1,1))</f>
        <v/>
      </c>
      <c r="V293" s="7" t="str">
        <f t="shared" ca="1" si="287"/>
        <v/>
      </c>
      <c r="W293" s="14">
        <f t="shared" ca="1" si="282"/>
        <v>-6.810091928549266E-3</v>
      </c>
      <c r="X293" s="10">
        <f t="shared" ref="X293:Y293" ca="1" si="318">+X292</f>
        <v>0</v>
      </c>
      <c r="Y293" s="10">
        <f t="shared" ca="1" si="318"/>
        <v>0</v>
      </c>
      <c r="Z293" t="str">
        <f t="shared" ca="1" si="289"/>
        <v/>
      </c>
      <c r="AA293" t="str">
        <f t="shared" ca="1" si="290"/>
        <v/>
      </c>
      <c r="AB293" s="19" t="str">
        <f t="shared" ca="1" si="291"/>
        <v/>
      </c>
      <c r="AC293" s="19" t="str">
        <f t="shared" ca="1" si="292"/>
        <v/>
      </c>
    </row>
    <row r="294" spans="3:29" x14ac:dyDescent="0.25">
      <c r="C294" s="4">
        <v>287</v>
      </c>
      <c r="D294" s="28">
        <v>42415</v>
      </c>
      <c r="E294" s="30">
        <v>11.965</v>
      </c>
      <c r="F294" s="30">
        <v>29.938133237693897</v>
      </c>
      <c r="G294" s="30">
        <v>4.8238142203891332</v>
      </c>
      <c r="H294" s="30">
        <v>46.400071729579487</v>
      </c>
      <c r="I294" s="8">
        <v>0</v>
      </c>
      <c r="J294" s="31">
        <v>1</v>
      </c>
      <c r="K294" s="31">
        <v>0</v>
      </c>
      <c r="L294" s="31">
        <v>0</v>
      </c>
      <c r="M294" s="31">
        <v>0</v>
      </c>
      <c r="N294" s="31">
        <v>0</v>
      </c>
      <c r="O294" s="31">
        <v>0</v>
      </c>
      <c r="P294" s="31">
        <v>0</v>
      </c>
      <c r="Q294" s="31">
        <v>0</v>
      </c>
      <c r="R294" s="31">
        <v>0</v>
      </c>
      <c r="S294" s="31">
        <v>0</v>
      </c>
      <c r="T294" s="21" cm="1">
        <f t="array" aca="1" ref="T294" ca="1">+fair_value_gap(OFFSET(S293,0,0,-1*$I$5,-1*$Z$1),OFFSET(E293,0,0,-1*$I$5,1),F294:S294,0)</f>
        <v>13.274391765152881</v>
      </c>
      <c r="U294" s="7" t="str" cm="1">
        <f t="array" aca="1" ref="U294" ca="1">z_score_diff(OFFSET(T294,0,0,$I$5*-1,1),OFFSET(E294,0,0,$I$5*-1,1))</f>
        <v/>
      </c>
      <c r="V294" s="7" t="str">
        <f t="shared" ca="1" si="287"/>
        <v/>
      </c>
      <c r="W294" s="14">
        <f t="shared" ca="1" si="282"/>
        <v>4.5862077467248644E-3</v>
      </c>
      <c r="X294" s="10">
        <f t="shared" ref="X294:Y294" ca="1" si="319">+X293</f>
        <v>0</v>
      </c>
      <c r="Y294" s="10">
        <f t="shared" ca="1" si="319"/>
        <v>0</v>
      </c>
      <c r="Z294" t="str">
        <f t="shared" ca="1" si="289"/>
        <v/>
      </c>
      <c r="AA294" t="str">
        <f t="shared" ca="1" si="290"/>
        <v/>
      </c>
      <c r="AB294" s="19" t="str">
        <f t="shared" ca="1" si="291"/>
        <v/>
      </c>
      <c r="AC294" s="19" t="str">
        <f t="shared" ca="1" si="292"/>
        <v/>
      </c>
    </row>
    <row r="295" spans="3:29" x14ac:dyDescent="0.25">
      <c r="C295" s="4">
        <v>288</v>
      </c>
      <c r="D295" s="28">
        <v>42416</v>
      </c>
      <c r="E295" s="30">
        <v>11.726000000000001</v>
      </c>
      <c r="F295" s="30">
        <v>28.884301229692127</v>
      </c>
      <c r="G295" s="30">
        <v>4.2186518265864823</v>
      </c>
      <c r="H295" s="30">
        <v>46.450049367202219</v>
      </c>
      <c r="I295" s="8">
        <v>0</v>
      </c>
      <c r="J295" s="31">
        <v>1</v>
      </c>
      <c r="K295" s="31">
        <v>0</v>
      </c>
      <c r="L295" s="31">
        <v>0</v>
      </c>
      <c r="M295" s="31">
        <v>0</v>
      </c>
      <c r="N295" s="31">
        <v>0</v>
      </c>
      <c r="O295" s="31">
        <v>0</v>
      </c>
      <c r="P295" s="31">
        <v>0</v>
      </c>
      <c r="Q295" s="31">
        <v>0</v>
      </c>
      <c r="R295" s="31">
        <v>0</v>
      </c>
      <c r="S295" s="31">
        <v>0</v>
      </c>
      <c r="T295" s="21" cm="1">
        <f t="array" aca="1" ref="T295" ca="1">+fair_value_gap(OFFSET(S294,0,0,-1*$I$5,-1*$Z$1),OFFSET(E294,0,0,-1*$I$5,1),F295:S295,0)</f>
        <v>12.229848981599133</v>
      </c>
      <c r="U295" s="7" t="str" cm="1">
        <f t="array" aca="1" ref="U295" ca="1">z_score_diff(OFFSET(T295,0,0,$I$5*-1,1),OFFSET(E295,0,0,$I$5*-1,1))</f>
        <v/>
      </c>
      <c r="V295" s="7" t="str">
        <f t="shared" ca="1" si="287"/>
        <v/>
      </c>
      <c r="W295" s="14">
        <f t="shared" ca="1" si="282"/>
        <v>2.6758012077463957E-2</v>
      </c>
      <c r="X295" s="10">
        <f t="shared" ref="X295:Y295" ca="1" si="320">+X294</f>
        <v>0</v>
      </c>
      <c r="Y295" s="10">
        <f t="shared" ca="1" si="320"/>
        <v>0</v>
      </c>
      <c r="Z295" t="str">
        <f t="shared" ca="1" si="289"/>
        <v/>
      </c>
      <c r="AA295" t="str">
        <f t="shared" ca="1" si="290"/>
        <v/>
      </c>
      <c r="AB295" s="19" t="str">
        <f t="shared" ca="1" si="291"/>
        <v/>
      </c>
      <c r="AC295" s="19" t="str">
        <f t="shared" ca="1" si="292"/>
        <v/>
      </c>
    </row>
    <row r="296" spans="3:29" x14ac:dyDescent="0.25">
      <c r="C296" s="4">
        <v>289</v>
      </c>
      <c r="D296" s="28">
        <v>42417</v>
      </c>
      <c r="E296" s="30">
        <v>11.885999999999999</v>
      </c>
      <c r="F296" s="30">
        <v>31.005661903478025</v>
      </c>
      <c r="G296" s="30">
        <v>4.2239597375752673</v>
      </c>
      <c r="H296" s="30">
        <v>46.867978790329829</v>
      </c>
      <c r="I296" s="8">
        <v>0</v>
      </c>
      <c r="J296" s="31">
        <v>1</v>
      </c>
      <c r="K296" s="31">
        <v>0</v>
      </c>
      <c r="L296" s="31">
        <v>0</v>
      </c>
      <c r="M296" s="31">
        <v>0</v>
      </c>
      <c r="N296" s="31">
        <v>0</v>
      </c>
      <c r="O296" s="31">
        <v>0</v>
      </c>
      <c r="P296" s="31">
        <v>0</v>
      </c>
      <c r="Q296" s="31">
        <v>0</v>
      </c>
      <c r="R296" s="31">
        <v>0</v>
      </c>
      <c r="S296" s="31">
        <v>0</v>
      </c>
      <c r="T296" s="21" cm="1">
        <f t="array" aca="1" ref="T296" ca="1">+fair_value_gap(OFFSET(S295,0,0,-1*$I$5,-1*$Z$1),OFFSET(E295,0,0,-1*$I$5,1),F296:S296,0)</f>
        <v>12.653913463383509</v>
      </c>
      <c r="U296" s="7" t="str" cm="1">
        <f t="array" aca="1" ref="U296" ca="1">z_score_diff(OFFSET(T296,0,0,$I$5*-1,1),OFFSET(E296,0,0,$I$5*-1,1))</f>
        <v/>
      </c>
      <c r="V296" s="7" t="str">
        <f t="shared" ca="1" si="287"/>
        <v/>
      </c>
      <c r="W296" s="14">
        <f t="shared" ca="1" si="282"/>
        <v>9.1286593471891133E-3</v>
      </c>
      <c r="X296" s="10">
        <f t="shared" ref="X296:Y296" ca="1" si="321">+X295</f>
        <v>0</v>
      </c>
      <c r="Y296" s="10">
        <f t="shared" ca="1" si="321"/>
        <v>0</v>
      </c>
      <c r="Z296" t="str">
        <f t="shared" ca="1" si="289"/>
        <v/>
      </c>
      <c r="AA296" t="str">
        <f t="shared" ca="1" si="290"/>
        <v/>
      </c>
      <c r="AB296" s="19" t="str">
        <f t="shared" ca="1" si="291"/>
        <v/>
      </c>
      <c r="AC296" s="19" t="str">
        <f t="shared" ca="1" si="292"/>
        <v/>
      </c>
    </row>
    <row r="297" spans="3:29" x14ac:dyDescent="0.25">
      <c r="C297" s="4">
        <v>290</v>
      </c>
      <c r="D297" s="28">
        <v>42418</v>
      </c>
      <c r="E297" s="30">
        <v>12.138999999999999</v>
      </c>
      <c r="F297" s="30">
        <v>30.87453841304152</v>
      </c>
      <c r="G297" s="30">
        <v>4.1925605692155274</v>
      </c>
      <c r="H297" s="30">
        <v>47.19445194992344</v>
      </c>
      <c r="I297" s="8">
        <v>0</v>
      </c>
      <c r="J297" s="31">
        <v>1</v>
      </c>
      <c r="K297" s="31">
        <v>0</v>
      </c>
      <c r="L297" s="31">
        <v>0</v>
      </c>
      <c r="M297" s="31">
        <v>0</v>
      </c>
      <c r="N297" s="31">
        <v>0</v>
      </c>
      <c r="O297" s="31">
        <v>0</v>
      </c>
      <c r="P297" s="31">
        <v>0</v>
      </c>
      <c r="Q297" s="31">
        <v>0</v>
      </c>
      <c r="R297" s="31">
        <v>0</v>
      </c>
      <c r="S297" s="31">
        <v>0</v>
      </c>
      <c r="T297" s="21" cm="1">
        <f t="array" aca="1" ref="T297" ca="1">+fair_value_gap(OFFSET(S296,0,0,-1*$I$5,-1*$Z$1),OFFSET(E296,0,0,-1*$I$5,1),F297:S297,0)</f>
        <v>12.363069518828974</v>
      </c>
      <c r="U297" s="7" t="str" cm="1">
        <f t="array" aca="1" ref="U297" ca="1">z_score_diff(OFFSET(T297,0,0,$I$5*-1,1),OFFSET(E297,0,0,$I$5*-1,1))</f>
        <v/>
      </c>
      <c r="V297" s="7" t="str">
        <f t="shared" ca="1" si="287"/>
        <v/>
      </c>
      <c r="W297" s="14">
        <f t="shared" ca="1" si="282"/>
        <v>-6.8609485914722552E-3</v>
      </c>
      <c r="X297" s="10">
        <f t="shared" ref="X297:Y297" ca="1" si="322">+X296</f>
        <v>0</v>
      </c>
      <c r="Y297" s="10">
        <f t="shared" ca="1" si="322"/>
        <v>0</v>
      </c>
      <c r="Z297" t="str">
        <f t="shared" ca="1" si="289"/>
        <v/>
      </c>
      <c r="AA297" t="str">
        <f t="shared" ca="1" si="290"/>
        <v/>
      </c>
      <c r="AB297" s="19" t="str">
        <f t="shared" ca="1" si="291"/>
        <v/>
      </c>
      <c r="AC297" s="19" t="str">
        <f t="shared" ca="1" si="292"/>
        <v/>
      </c>
    </row>
    <row r="298" spans="3:29" x14ac:dyDescent="0.25">
      <c r="C298" s="4">
        <v>291</v>
      </c>
      <c r="D298" s="28">
        <v>42419</v>
      </c>
      <c r="E298" s="30">
        <v>11.994999999999999</v>
      </c>
      <c r="F298" s="30">
        <v>29.653251886453468</v>
      </c>
      <c r="G298" s="30">
        <v>4.181638519583184</v>
      </c>
      <c r="H298" s="30">
        <v>47.161336687028388</v>
      </c>
      <c r="I298" s="8">
        <v>0</v>
      </c>
      <c r="J298" s="31">
        <v>1</v>
      </c>
      <c r="K298" s="31">
        <v>0</v>
      </c>
      <c r="L298" s="31">
        <v>0</v>
      </c>
      <c r="M298" s="31">
        <v>0</v>
      </c>
      <c r="N298" s="31">
        <v>0</v>
      </c>
      <c r="O298" s="31">
        <v>0</v>
      </c>
      <c r="P298" s="31">
        <v>0</v>
      </c>
      <c r="Q298" s="31">
        <v>0</v>
      </c>
      <c r="R298" s="31">
        <v>0</v>
      </c>
      <c r="S298" s="31">
        <v>0</v>
      </c>
      <c r="T298" s="21" cm="1">
        <f t="array" aca="1" ref="T298" ca="1">+fair_value_gap(OFFSET(S297,0,0,-1*$I$5,-1*$Z$1),OFFSET(E297,0,0,-1*$I$5,1),F298:S298,0)</f>
        <v>11.997243416032417</v>
      </c>
      <c r="U298" s="7" t="str" cm="1">
        <f t="array" aca="1" ref="U298" ca="1">z_score_diff(OFFSET(T298,0,0,$I$5*-1,1),OFFSET(E298,0,0,$I$5*-1,1))</f>
        <v/>
      </c>
      <c r="V298" s="7" t="str">
        <f t="shared" ca="1" si="287"/>
        <v/>
      </c>
      <c r="W298" s="14">
        <f t="shared" ca="1" si="282"/>
        <v>1.0449589196717091E-2</v>
      </c>
      <c r="X298" s="10">
        <f t="shared" ref="X298:Y298" ca="1" si="323">+X297</f>
        <v>0</v>
      </c>
      <c r="Y298" s="10">
        <f t="shared" ca="1" si="323"/>
        <v>0</v>
      </c>
      <c r="Z298" t="str">
        <f t="shared" ca="1" si="289"/>
        <v/>
      </c>
      <c r="AA298" t="str">
        <f t="shared" ca="1" si="290"/>
        <v/>
      </c>
      <c r="AB298" s="19" t="str">
        <f t="shared" ca="1" si="291"/>
        <v/>
      </c>
      <c r="AC298" s="19" t="str">
        <f t="shared" ca="1" si="292"/>
        <v/>
      </c>
    </row>
    <row r="299" spans="3:29" x14ac:dyDescent="0.25">
      <c r="C299" s="4">
        <v>292</v>
      </c>
      <c r="D299" s="28">
        <v>42422</v>
      </c>
      <c r="E299" s="30">
        <v>12.381</v>
      </c>
      <c r="F299" s="30">
        <v>31.46199891166334</v>
      </c>
      <c r="G299" s="30">
        <v>4.1492835116996192</v>
      </c>
      <c r="H299" s="30">
        <v>47.569381461998915</v>
      </c>
      <c r="I299" s="8">
        <v>0</v>
      </c>
      <c r="J299" s="31">
        <v>1</v>
      </c>
      <c r="K299" s="31">
        <v>0</v>
      </c>
      <c r="L299" s="31">
        <v>0</v>
      </c>
      <c r="M299" s="31">
        <v>0</v>
      </c>
      <c r="N299" s="31">
        <v>0</v>
      </c>
      <c r="O299" s="31">
        <v>0</v>
      </c>
      <c r="P299" s="31">
        <v>0</v>
      </c>
      <c r="Q299" s="31">
        <v>0</v>
      </c>
      <c r="R299" s="31">
        <v>0</v>
      </c>
      <c r="S299" s="31">
        <v>0</v>
      </c>
      <c r="T299" s="21" cm="1">
        <f t="array" aca="1" ref="T299" ca="1">+fair_value_gap(OFFSET(S298,0,0,-1*$I$5,-1*$Z$1),OFFSET(E298,0,0,-1*$I$5,1),F299:S299,0)</f>
        <v>12.2276977572816</v>
      </c>
      <c r="U299" s="7" t="str" cm="1">
        <f t="array" aca="1" ref="U299" ca="1">z_score_diff(OFFSET(T299,0,0,$I$5*-1,1),OFFSET(E299,0,0,$I$5*-1,1))</f>
        <v/>
      </c>
      <c r="V299" s="7" t="str">
        <f t="shared" ca="1" si="287"/>
        <v/>
      </c>
      <c r="W299" s="14">
        <f t="shared" ca="1" si="282"/>
        <v>-3.7358301842022532E-2</v>
      </c>
      <c r="X299" s="10">
        <f t="shared" ref="X299:Y299" ca="1" si="324">+X298</f>
        <v>0</v>
      </c>
      <c r="Y299" s="10">
        <f t="shared" ca="1" si="324"/>
        <v>0</v>
      </c>
      <c r="Z299" t="str">
        <f t="shared" ca="1" si="289"/>
        <v/>
      </c>
      <c r="AA299" t="str">
        <f t="shared" ca="1" si="290"/>
        <v/>
      </c>
      <c r="AB299" s="19" t="str">
        <f t="shared" ca="1" si="291"/>
        <v/>
      </c>
      <c r="AC299" s="19" t="str">
        <f t="shared" ca="1" si="292"/>
        <v/>
      </c>
    </row>
    <row r="300" spans="3:29" x14ac:dyDescent="0.25">
      <c r="C300" s="4">
        <v>293</v>
      </c>
      <c r="D300" s="28">
        <v>42423</v>
      </c>
      <c r="E300" s="30">
        <v>12.308999999999999</v>
      </c>
      <c r="F300" s="30">
        <v>30.198783697921399</v>
      </c>
      <c r="G300" s="30">
        <v>4.1163656167740772</v>
      </c>
      <c r="H300" s="30">
        <v>47.562857402196606</v>
      </c>
      <c r="I300" s="8">
        <v>0</v>
      </c>
      <c r="J300" s="31">
        <v>1</v>
      </c>
      <c r="K300" s="31">
        <v>0</v>
      </c>
      <c r="L300" s="31">
        <v>0</v>
      </c>
      <c r="M300" s="31">
        <v>0</v>
      </c>
      <c r="N300" s="31">
        <v>0</v>
      </c>
      <c r="O300" s="31">
        <v>0</v>
      </c>
      <c r="P300" s="31">
        <v>0</v>
      </c>
      <c r="Q300" s="31">
        <v>0</v>
      </c>
      <c r="R300" s="31">
        <v>0</v>
      </c>
      <c r="S300" s="31">
        <v>0</v>
      </c>
      <c r="T300" s="21" cm="1">
        <f t="array" aca="1" ref="T300" ca="1">+fair_value_gap(OFFSET(S299,0,0,-1*$I$5,-1*$Z$1),OFFSET(E299,0,0,-1*$I$5,1),F300:S300,0)</f>
        <v>12.069758076129336</v>
      </c>
      <c r="U300" s="7" t="str" cm="1">
        <f t="array" aca="1" ref="U300" ca="1">z_score_diff(OFFSET(T300,0,0,$I$5*-1,1),OFFSET(E300,0,0,$I$5*-1,1))</f>
        <v/>
      </c>
      <c r="V300" s="7" t="str">
        <f t="shared" ca="1" si="287"/>
        <v/>
      </c>
      <c r="W300" s="14">
        <f t="shared" ca="1" si="282"/>
        <v>-3.2029151392294203E-2</v>
      </c>
      <c r="X300" s="10">
        <f t="shared" ref="X300:Y300" ca="1" si="325">+X299</f>
        <v>0</v>
      </c>
      <c r="Y300" s="10">
        <f t="shared" ca="1" si="325"/>
        <v>0</v>
      </c>
      <c r="Z300" t="str">
        <f t="shared" ca="1" si="289"/>
        <v/>
      </c>
      <c r="AA300" t="str">
        <f t="shared" ca="1" si="290"/>
        <v/>
      </c>
      <c r="AB300" s="19" t="str">
        <f t="shared" ca="1" si="291"/>
        <v/>
      </c>
      <c r="AC300" s="19" t="str">
        <f t="shared" ca="1" si="292"/>
        <v/>
      </c>
    </row>
    <row r="301" spans="3:29" x14ac:dyDescent="0.25">
      <c r="C301" s="4">
        <v>294</v>
      </c>
      <c r="D301" s="28">
        <v>42424</v>
      </c>
      <c r="E301" s="30">
        <v>12.051</v>
      </c>
      <c r="F301" s="30">
        <v>31.250567614203977</v>
      </c>
      <c r="G301" s="30">
        <v>4.0550358732176912</v>
      </c>
      <c r="H301" s="30">
        <v>47.543365725183911</v>
      </c>
      <c r="I301" s="8">
        <v>0</v>
      </c>
      <c r="J301" s="31">
        <v>1</v>
      </c>
      <c r="K301" s="31">
        <v>0</v>
      </c>
      <c r="L301" s="31">
        <v>0</v>
      </c>
      <c r="M301" s="31">
        <v>0</v>
      </c>
      <c r="N301" s="31">
        <v>0</v>
      </c>
      <c r="O301" s="31">
        <v>0</v>
      </c>
      <c r="P301" s="31">
        <v>0</v>
      </c>
      <c r="Q301" s="31">
        <v>0</v>
      </c>
      <c r="R301" s="31">
        <v>0</v>
      </c>
      <c r="S301" s="31">
        <v>0</v>
      </c>
      <c r="T301" s="21" cm="1">
        <f t="array" aca="1" ref="T301" ca="1">+fair_value_gap(OFFSET(S300,0,0,-1*$I$5,-1*$Z$1),OFFSET(E300,0,0,-1*$I$5,1),F301:S301,0)</f>
        <v>12.147649224163919</v>
      </c>
      <c r="U301" s="7" t="str" cm="1">
        <f t="array" aca="1" ref="U301" ca="1">z_score_diff(OFFSET(T301,0,0,$I$5*-1,1),OFFSET(E301,0,0,$I$5*-1,1))</f>
        <v/>
      </c>
      <c r="V301" s="7" t="str">
        <f t="shared" ca="1" si="287"/>
        <v/>
      </c>
      <c r="W301" s="14">
        <f t="shared" ca="1" si="282"/>
        <v>-7.7471335865421211E-3</v>
      </c>
      <c r="X301" s="10">
        <f t="shared" ref="X301:Y301" ca="1" si="326">+X300</f>
        <v>0</v>
      </c>
      <c r="Y301" s="10">
        <f t="shared" ca="1" si="326"/>
        <v>0</v>
      </c>
      <c r="Z301" t="str">
        <f t="shared" ca="1" si="289"/>
        <v/>
      </c>
      <c r="AA301" t="str">
        <f t="shared" ca="1" si="290"/>
        <v/>
      </c>
      <c r="AB301" s="19" t="str">
        <f t="shared" ca="1" si="291"/>
        <v/>
      </c>
      <c r="AC301" s="19" t="str">
        <f t="shared" ca="1" si="292"/>
        <v/>
      </c>
    </row>
    <row r="302" spans="3:29" x14ac:dyDescent="0.25">
      <c r="C302" s="4">
        <v>295</v>
      </c>
      <c r="D302" s="28">
        <v>42425</v>
      </c>
      <c r="E302" s="30">
        <v>11.904</v>
      </c>
      <c r="F302" s="30">
        <v>32.020687777878592</v>
      </c>
      <c r="G302" s="30">
        <v>4.0513565012249337</v>
      </c>
      <c r="H302" s="30">
        <v>47.590962707558297</v>
      </c>
      <c r="I302" s="8">
        <v>0</v>
      </c>
      <c r="J302" s="31">
        <v>1</v>
      </c>
      <c r="K302" s="31">
        <v>0</v>
      </c>
      <c r="L302" s="31">
        <v>0</v>
      </c>
      <c r="M302" s="31">
        <v>0</v>
      </c>
      <c r="N302" s="31">
        <v>0</v>
      </c>
      <c r="O302" s="31">
        <v>0</v>
      </c>
      <c r="P302" s="31">
        <v>0</v>
      </c>
      <c r="Q302" s="31">
        <v>0</v>
      </c>
      <c r="R302" s="31">
        <v>0</v>
      </c>
      <c r="S302" s="31">
        <v>0</v>
      </c>
      <c r="T302" s="21" cm="1">
        <f t="array" aca="1" ref="T302" ca="1">+fair_value_gap(OFFSET(S301,0,0,-1*$I$5,-1*$Z$1),OFFSET(E301,0,0,-1*$I$5,1),F302:S302,0)</f>
        <v>12.22845214412469</v>
      </c>
      <c r="U302" s="7" t="str" cm="1">
        <f t="array" aca="1" ref="U302" ca="1">z_score_diff(OFFSET(T302,0,0,$I$5*-1,1),OFFSET(E302,0,0,$I$5*-1,1))</f>
        <v/>
      </c>
      <c r="V302" s="7" t="str">
        <f t="shared" ca="1" si="287"/>
        <v/>
      </c>
      <c r="W302" s="14">
        <f t="shared" ca="1" si="282"/>
        <v>1.1526060951519933E-2</v>
      </c>
      <c r="X302" s="10">
        <f t="shared" ref="X302:Y302" ca="1" si="327">+X301</f>
        <v>0</v>
      </c>
      <c r="Y302" s="10">
        <f t="shared" ca="1" si="327"/>
        <v>0</v>
      </c>
      <c r="Z302" t="str">
        <f t="shared" ca="1" si="289"/>
        <v/>
      </c>
      <c r="AA302" t="str">
        <f t="shared" ca="1" si="290"/>
        <v/>
      </c>
      <c r="AB302" s="19" t="str">
        <f t="shared" ca="1" si="291"/>
        <v/>
      </c>
      <c r="AC302" s="19" t="str">
        <f t="shared" ca="1" si="292"/>
        <v/>
      </c>
    </row>
    <row r="303" spans="3:29" x14ac:dyDescent="0.25">
      <c r="C303" s="4">
        <v>296</v>
      </c>
      <c r="D303" s="28">
        <v>42426</v>
      </c>
      <c r="E303" s="30">
        <v>12.164</v>
      </c>
      <c r="F303" s="30">
        <v>32.110511389625835</v>
      </c>
      <c r="G303" s="30">
        <v>4.0572683194584211</v>
      </c>
      <c r="H303" s="30">
        <v>48.074284146006768</v>
      </c>
      <c r="I303" s="8">
        <v>0</v>
      </c>
      <c r="J303" s="31">
        <v>1</v>
      </c>
      <c r="K303" s="31">
        <v>0</v>
      </c>
      <c r="L303" s="31">
        <v>0</v>
      </c>
      <c r="M303" s="31">
        <v>0</v>
      </c>
      <c r="N303" s="31">
        <v>0</v>
      </c>
      <c r="O303" s="31">
        <v>0</v>
      </c>
      <c r="P303" s="31">
        <v>0</v>
      </c>
      <c r="Q303" s="31">
        <v>0</v>
      </c>
      <c r="R303" s="31">
        <v>0</v>
      </c>
      <c r="S303" s="31">
        <v>0</v>
      </c>
      <c r="T303" s="21" cm="1">
        <f t="array" aca="1" ref="T303" ca="1">+fair_value_gap(OFFSET(S302,0,0,-1*$I$5,-1*$Z$1),OFFSET(E302,0,0,-1*$I$5,1),F303:S303,0)</f>
        <v>12.298504268917704</v>
      </c>
      <c r="U303" s="7" t="str" cm="1">
        <f t="array" aca="1" ref="U303" ca="1">z_score_diff(OFFSET(T303,0,0,$I$5*-1,1),OFFSET(E303,0,0,$I$5*-1,1))</f>
        <v/>
      </c>
      <c r="V303" s="7" t="str">
        <f t="shared" ca="1" si="287"/>
        <v/>
      </c>
      <c r="W303" s="14">
        <f t="shared" ca="1" si="282"/>
        <v>-9.9141591956307083E-3</v>
      </c>
      <c r="X303" s="10">
        <f t="shared" ref="X303:Y303" ca="1" si="328">+X302</f>
        <v>0</v>
      </c>
      <c r="Y303" s="10">
        <f t="shared" ca="1" si="328"/>
        <v>0</v>
      </c>
      <c r="Z303" t="str">
        <f t="shared" ca="1" si="289"/>
        <v/>
      </c>
      <c r="AA303" t="str">
        <f t="shared" ca="1" si="290"/>
        <v/>
      </c>
      <c r="AB303" s="19" t="str">
        <f t="shared" ca="1" si="291"/>
        <v/>
      </c>
      <c r="AC303" s="19" t="str">
        <f t="shared" ca="1" si="292"/>
        <v/>
      </c>
    </row>
    <row r="304" spans="3:29" x14ac:dyDescent="0.25">
      <c r="C304" s="4">
        <v>297</v>
      </c>
      <c r="D304" s="28">
        <v>42429</v>
      </c>
      <c r="E304" s="30">
        <v>12.193</v>
      </c>
      <c r="F304" s="30">
        <v>33.088032379725874</v>
      </c>
      <c r="G304" s="30">
        <v>4.0796614846840216</v>
      </c>
      <c r="H304" s="30">
        <v>47.557722380645757</v>
      </c>
      <c r="I304" s="8">
        <v>0</v>
      </c>
      <c r="J304" s="31">
        <v>1</v>
      </c>
      <c r="K304" s="31">
        <v>0</v>
      </c>
      <c r="L304" s="31">
        <v>0</v>
      </c>
      <c r="M304" s="31">
        <v>0</v>
      </c>
      <c r="N304" s="31">
        <v>0</v>
      </c>
      <c r="O304" s="31">
        <v>0</v>
      </c>
      <c r="P304" s="31">
        <v>0</v>
      </c>
      <c r="Q304" s="31">
        <v>0</v>
      </c>
      <c r="R304" s="31">
        <v>0</v>
      </c>
      <c r="S304" s="31">
        <v>0</v>
      </c>
      <c r="T304" s="21" cm="1">
        <f t="array" aca="1" ref="T304" ca="1">+fair_value_gap(OFFSET(S303,0,0,-1*$I$5,-1*$Z$1),OFFSET(E303,0,0,-1*$I$5,1),F304:S304,0)</f>
        <v>12.333716347315724</v>
      </c>
      <c r="U304" s="7" t="str" cm="1">
        <f t="array" aca="1" ref="U304" ca="1">z_score_diff(OFFSET(T304,0,0,$I$5*-1,1),OFFSET(E304,0,0,$I$5*-1,1))</f>
        <v/>
      </c>
      <c r="V304" s="7" t="str">
        <f t="shared" ca="1" si="287"/>
        <v/>
      </c>
      <c r="W304" s="14">
        <f t="shared" ca="1" si="282"/>
        <v>-9.8904622278772822E-3</v>
      </c>
      <c r="X304" s="10">
        <f t="shared" ref="X304:Y304" ca="1" si="329">+X303</f>
        <v>0</v>
      </c>
      <c r="Y304" s="10">
        <f t="shared" ca="1" si="329"/>
        <v>0</v>
      </c>
      <c r="Z304" t="str">
        <f t="shared" ca="1" si="289"/>
        <v/>
      </c>
      <c r="AA304" t="str">
        <f t="shared" ca="1" si="290"/>
        <v/>
      </c>
      <c r="AB304" s="19" t="str">
        <f t="shared" ca="1" si="291"/>
        <v/>
      </c>
      <c r="AC304" s="19" t="str">
        <f t="shared" ca="1" si="292"/>
        <v/>
      </c>
    </row>
    <row r="305" spans="3:29" x14ac:dyDescent="0.25">
      <c r="C305" s="4">
        <v>298</v>
      </c>
      <c r="D305" s="28">
        <v>42430</v>
      </c>
      <c r="E305" s="30">
        <v>12.172000000000001</v>
      </c>
      <c r="F305" s="30">
        <v>33.882547864506627</v>
      </c>
      <c r="G305" s="30">
        <v>4.054675994108984</v>
      </c>
      <c r="H305" s="30">
        <v>47.818483063328422</v>
      </c>
      <c r="I305" s="8">
        <v>0</v>
      </c>
      <c r="J305" s="31">
        <v>0</v>
      </c>
      <c r="K305" s="31">
        <v>1</v>
      </c>
      <c r="L305" s="31">
        <v>0</v>
      </c>
      <c r="M305" s="31">
        <v>0</v>
      </c>
      <c r="N305" s="31">
        <v>0</v>
      </c>
      <c r="O305" s="31">
        <v>0</v>
      </c>
      <c r="P305" s="31">
        <v>0</v>
      </c>
      <c r="Q305" s="31">
        <v>0</v>
      </c>
      <c r="R305" s="31">
        <v>0</v>
      </c>
      <c r="S305" s="31">
        <v>0</v>
      </c>
      <c r="T305" s="21" cm="1">
        <f t="array" aca="1" ref="T305" ca="1">+fair_value_gap(OFFSET(S304,0,0,-1*$I$5,-1*$Z$1),OFFSET(E304,0,0,-1*$I$5,1),F305:S305,0)</f>
        <v>15.851552351056107</v>
      </c>
      <c r="U305" s="7" t="str" cm="1">
        <f t="array" aca="1" ref="U305" ca="1">z_score_diff(OFFSET(T305,0,0,$I$5*-1,1),OFFSET(E305,0,0,$I$5*-1,1))</f>
        <v/>
      </c>
      <c r="V305" s="7" t="str">
        <f t="shared" ca="1" si="287"/>
        <v/>
      </c>
      <c r="W305" s="14">
        <f t="shared" ca="1" si="282"/>
        <v>-1.9495411921823413E-2</v>
      </c>
      <c r="X305" s="10">
        <f t="shared" ref="X305:Y305" ca="1" si="330">+X304</f>
        <v>0</v>
      </c>
      <c r="Y305" s="10">
        <f t="shared" ca="1" si="330"/>
        <v>0</v>
      </c>
      <c r="Z305" t="str">
        <f t="shared" ca="1" si="289"/>
        <v/>
      </c>
      <c r="AA305" t="str">
        <f t="shared" ca="1" si="290"/>
        <v/>
      </c>
      <c r="AB305" s="19" t="str">
        <f t="shared" ca="1" si="291"/>
        <v/>
      </c>
      <c r="AC305" s="19" t="str">
        <f t="shared" ca="1" si="292"/>
        <v/>
      </c>
    </row>
    <row r="306" spans="3:29" x14ac:dyDescent="0.25">
      <c r="C306" s="4">
        <v>299</v>
      </c>
      <c r="D306" s="28">
        <v>42431</v>
      </c>
      <c r="E306" s="30">
        <v>12.214</v>
      </c>
      <c r="F306" s="30">
        <v>33.98674765323026</v>
      </c>
      <c r="G306" s="30">
        <v>4.0539296889379717</v>
      </c>
      <c r="H306" s="30">
        <v>47.487575924903368</v>
      </c>
      <c r="I306" s="8">
        <v>0</v>
      </c>
      <c r="J306" s="31">
        <v>0</v>
      </c>
      <c r="K306" s="31">
        <v>1</v>
      </c>
      <c r="L306" s="31">
        <v>0</v>
      </c>
      <c r="M306" s="31">
        <v>0</v>
      </c>
      <c r="N306" s="31">
        <v>0</v>
      </c>
      <c r="O306" s="31">
        <v>0</v>
      </c>
      <c r="P306" s="31">
        <v>0</v>
      </c>
      <c r="Q306" s="31">
        <v>0</v>
      </c>
      <c r="R306" s="31">
        <v>0</v>
      </c>
      <c r="S306" s="31">
        <v>0</v>
      </c>
      <c r="T306" s="21" cm="1">
        <f t="array" aca="1" ref="T306" ca="1">+fair_value_gap(OFFSET(S305,0,0,-1*$I$5,-1*$Z$1),OFFSET(E305,0,0,-1*$I$5,1),F306:S306,0)</f>
        <v>14.755478331737596</v>
      </c>
      <c r="U306" s="7" t="str" cm="1">
        <f t="array" aca="1" ref="U306" ca="1">z_score_diff(OFFSET(T306,0,0,$I$5*-1,1),OFFSET(E306,0,0,$I$5*-1,1))</f>
        <v/>
      </c>
      <c r="V306" s="7" t="str">
        <f t="shared" ca="1" si="287"/>
        <v/>
      </c>
      <c r="W306" s="14">
        <f t="shared" ca="1" si="282"/>
        <v>-4.8221306841103852E-2</v>
      </c>
      <c r="X306" s="10">
        <f t="shared" ref="X306:Y306" ca="1" si="331">+X305</f>
        <v>0</v>
      </c>
      <c r="Y306" s="10">
        <f t="shared" ca="1" si="331"/>
        <v>0</v>
      </c>
      <c r="Z306" t="str">
        <f t="shared" ca="1" si="289"/>
        <v/>
      </c>
      <c r="AA306" t="str">
        <f t="shared" ca="1" si="290"/>
        <v/>
      </c>
      <c r="AB306" s="19" t="str">
        <f t="shared" ca="1" si="291"/>
        <v/>
      </c>
      <c r="AC306" s="19" t="str">
        <f t="shared" ca="1" si="292"/>
        <v/>
      </c>
    </row>
    <row r="307" spans="3:29" x14ac:dyDescent="0.25">
      <c r="C307" s="4">
        <v>300</v>
      </c>
      <c r="D307" s="28">
        <v>42432</v>
      </c>
      <c r="E307" s="30">
        <v>12.036</v>
      </c>
      <c r="F307" s="30">
        <v>33.838429940666366</v>
      </c>
      <c r="G307" s="30">
        <v>4.0209949794614337</v>
      </c>
      <c r="H307" s="30">
        <v>47.832040164308538</v>
      </c>
      <c r="I307" s="8">
        <v>0</v>
      </c>
      <c r="J307" s="31">
        <v>0</v>
      </c>
      <c r="K307" s="31">
        <v>1</v>
      </c>
      <c r="L307" s="31">
        <v>0</v>
      </c>
      <c r="M307" s="31">
        <v>0</v>
      </c>
      <c r="N307" s="31">
        <v>0</v>
      </c>
      <c r="O307" s="31">
        <v>0</v>
      </c>
      <c r="P307" s="31">
        <v>0</v>
      </c>
      <c r="Q307" s="31">
        <v>0</v>
      </c>
      <c r="R307" s="31">
        <v>0</v>
      </c>
      <c r="S307" s="31">
        <v>0</v>
      </c>
      <c r="T307" s="21" cm="1">
        <f t="array" aca="1" ref="T307" ca="1">+fair_value_gap(OFFSET(S306,0,0,-1*$I$5,-1*$Z$1),OFFSET(E306,0,0,-1*$I$5,1),F307:S307,0)</f>
        <v>14.124253460500267</v>
      </c>
      <c r="U307" s="7" t="str" cm="1">
        <f t="array" aca="1" ref="U307" ca="1">z_score_diff(OFFSET(T307,0,0,$I$5*-1,1),OFFSET(E307,0,0,$I$5*-1,1))</f>
        <v/>
      </c>
      <c r="V307" s="7" t="str">
        <f t="shared" ca="1" si="287"/>
        <v/>
      </c>
      <c r="W307" s="14">
        <f t="shared" ca="1" si="282"/>
        <v>-5.6484193930784701E-2</v>
      </c>
      <c r="X307" s="10">
        <f t="shared" ref="X307:Y307" ca="1" si="332">+X306</f>
        <v>0</v>
      </c>
      <c r="Y307" s="10">
        <f t="shared" ca="1" si="332"/>
        <v>0</v>
      </c>
      <c r="Z307" t="str">
        <f t="shared" ca="1" si="289"/>
        <v/>
      </c>
      <c r="AA307" t="str">
        <f t="shared" ca="1" si="290"/>
        <v/>
      </c>
      <c r="AB307" s="19" t="str">
        <f t="shared" ca="1" si="291"/>
        <v/>
      </c>
      <c r="AC307" s="19" t="str">
        <f t="shared" ca="1" si="292"/>
        <v/>
      </c>
    </row>
    <row r="308" spans="3:29" x14ac:dyDescent="0.25">
      <c r="C308" s="4">
        <v>301</v>
      </c>
      <c r="D308" s="28">
        <v>42433</v>
      </c>
      <c r="E308" s="30">
        <v>11.852</v>
      </c>
      <c r="F308" s="30">
        <v>35.196800290882642</v>
      </c>
      <c r="G308" s="30">
        <v>3.9905463139714565</v>
      </c>
      <c r="H308" s="30">
        <v>47.904735933096987</v>
      </c>
      <c r="I308" s="8">
        <v>0</v>
      </c>
      <c r="J308" s="31">
        <v>0</v>
      </c>
      <c r="K308" s="31">
        <v>1</v>
      </c>
      <c r="L308" s="31">
        <v>0</v>
      </c>
      <c r="M308" s="31">
        <v>0</v>
      </c>
      <c r="N308" s="31">
        <v>0</v>
      </c>
      <c r="O308" s="31">
        <v>0</v>
      </c>
      <c r="P308" s="31">
        <v>0</v>
      </c>
      <c r="Q308" s="31">
        <v>0</v>
      </c>
      <c r="R308" s="31">
        <v>0</v>
      </c>
      <c r="S308" s="31">
        <v>0</v>
      </c>
      <c r="T308" s="21" cm="1">
        <f t="array" aca="1" ref="T308" ca="1">+fair_value_gap(OFFSET(S307,0,0,-1*$I$5,-1*$Z$1),OFFSET(E307,0,0,-1*$I$5,1),F308:S308,0)</f>
        <v>13.909826507195888</v>
      </c>
      <c r="U308" s="7" t="str" cm="1">
        <f t="array" aca="1" ref="U308" ca="1">z_score_diff(OFFSET(T308,0,0,$I$5*-1,1),OFFSET(E308,0,0,$I$5*-1,1))</f>
        <v/>
      </c>
      <c r="V308" s="7" t="str">
        <f t="shared" ca="1" si="287"/>
        <v/>
      </c>
      <c r="W308" s="14">
        <f t="shared" ca="1" si="282"/>
        <v>-5.3284724785553544E-2</v>
      </c>
      <c r="X308" s="10">
        <f t="shared" ref="X308:Y308" ca="1" si="333">+X307</f>
        <v>0</v>
      </c>
      <c r="Y308" s="10">
        <f t="shared" ca="1" si="333"/>
        <v>0</v>
      </c>
      <c r="Z308" t="str">
        <f t="shared" ca="1" si="289"/>
        <v/>
      </c>
      <c r="AA308" t="str">
        <f t="shared" ca="1" si="290"/>
        <v/>
      </c>
      <c r="AB308" s="19" t="str">
        <f t="shared" ca="1" si="291"/>
        <v/>
      </c>
      <c r="AC308" s="19" t="str">
        <f t="shared" ca="1" si="292"/>
        <v/>
      </c>
    </row>
    <row r="309" spans="3:29" x14ac:dyDescent="0.25">
      <c r="C309" s="4">
        <v>302</v>
      </c>
      <c r="D309" s="28">
        <v>42436</v>
      </c>
      <c r="E309" s="30">
        <v>11.824999999999999</v>
      </c>
      <c r="F309" s="30">
        <v>37.086814384308035</v>
      </c>
      <c r="G309" s="30">
        <v>3.9865601162368325</v>
      </c>
      <c r="H309" s="30">
        <v>47.902288412640758</v>
      </c>
      <c r="I309" s="8">
        <v>0</v>
      </c>
      <c r="J309" s="31">
        <v>0</v>
      </c>
      <c r="K309" s="31">
        <v>1</v>
      </c>
      <c r="L309" s="31">
        <v>0</v>
      </c>
      <c r="M309" s="31">
        <v>0</v>
      </c>
      <c r="N309" s="31">
        <v>0</v>
      </c>
      <c r="O309" s="31">
        <v>0</v>
      </c>
      <c r="P309" s="31">
        <v>0</v>
      </c>
      <c r="Q309" s="31">
        <v>0</v>
      </c>
      <c r="R309" s="31">
        <v>0</v>
      </c>
      <c r="S309" s="31">
        <v>0</v>
      </c>
      <c r="T309" s="21" cm="1">
        <f t="array" aca="1" ref="T309" ca="1">+fair_value_gap(OFFSET(S308,0,0,-1*$I$5,-1*$Z$1),OFFSET(E308,0,0,-1*$I$5,1),F309:S309,0)</f>
        <v>13.951682578504515</v>
      </c>
      <c r="U309" s="7" t="str" cm="1">
        <f t="array" aca="1" ref="U309" ca="1">z_score_diff(OFFSET(T309,0,0,$I$5*-1,1),OFFSET(E309,0,0,$I$5*-1,1))</f>
        <v/>
      </c>
      <c r="V309" s="7" t="str">
        <f t="shared" ca="1" si="287"/>
        <v/>
      </c>
      <c r="W309" s="14">
        <f t="shared" ca="1" si="282"/>
        <v>-3.6602578977546853E-2</v>
      </c>
      <c r="X309" s="10">
        <f t="shared" ref="X309:Y309" ca="1" si="334">+X308</f>
        <v>0</v>
      </c>
      <c r="Y309" s="10">
        <f t="shared" ca="1" si="334"/>
        <v>0</v>
      </c>
      <c r="Z309" t="str">
        <f t="shared" ca="1" si="289"/>
        <v/>
      </c>
      <c r="AA309" t="str">
        <f t="shared" ca="1" si="290"/>
        <v/>
      </c>
      <c r="AB309" s="19" t="str">
        <f t="shared" ca="1" si="291"/>
        <v/>
      </c>
      <c r="AC309" s="19" t="str">
        <f t="shared" ca="1" si="292"/>
        <v/>
      </c>
    </row>
    <row r="310" spans="3:29" x14ac:dyDescent="0.25">
      <c r="C310" s="4">
        <v>303</v>
      </c>
      <c r="D310" s="28">
        <v>42437</v>
      </c>
      <c r="E310" s="30">
        <v>11.942</v>
      </c>
      <c r="F310" s="30">
        <v>36.015986919792894</v>
      </c>
      <c r="G310" s="30">
        <v>3.9967299482241807</v>
      </c>
      <c r="H310" s="30">
        <v>48.324098464892366</v>
      </c>
      <c r="I310" s="8">
        <v>0</v>
      </c>
      <c r="J310" s="31">
        <v>0</v>
      </c>
      <c r="K310" s="31">
        <v>1</v>
      </c>
      <c r="L310" s="31">
        <v>0</v>
      </c>
      <c r="M310" s="31">
        <v>0</v>
      </c>
      <c r="N310" s="31">
        <v>0</v>
      </c>
      <c r="O310" s="31">
        <v>0</v>
      </c>
      <c r="P310" s="31">
        <v>0</v>
      </c>
      <c r="Q310" s="31">
        <v>0</v>
      </c>
      <c r="R310" s="31">
        <v>0</v>
      </c>
      <c r="S310" s="31">
        <v>0</v>
      </c>
      <c r="T310" s="21" cm="1">
        <f t="array" aca="1" ref="T310" ca="1">+fair_value_gap(OFFSET(S309,0,0,-1*$I$5,-1*$Z$1),OFFSET(E309,0,0,-1*$I$5,1),F310:S310,0)</f>
        <v>13.463735120918646</v>
      </c>
      <c r="U310" s="7" t="str" cm="1">
        <f t="array" aca="1" ref="U310" ca="1">z_score_diff(OFFSET(T310,0,0,$I$5*-1,1),OFFSET(E310,0,0,$I$5*-1,1))</f>
        <v/>
      </c>
      <c r="V310" s="7" t="str">
        <f t="shared" ca="1" si="287"/>
        <v/>
      </c>
      <c r="W310" s="14">
        <f t="shared" ca="1" si="282"/>
        <v>-6.8622100218672863E-2</v>
      </c>
      <c r="X310" s="10">
        <f t="shared" ref="X310:Y310" ca="1" si="335">+X309</f>
        <v>0</v>
      </c>
      <c r="Y310" s="10">
        <f t="shared" ca="1" si="335"/>
        <v>0</v>
      </c>
      <c r="Z310" t="str">
        <f t="shared" ca="1" si="289"/>
        <v/>
      </c>
      <c r="AA310" t="str">
        <f t="shared" ca="1" si="290"/>
        <v/>
      </c>
      <c r="AB310" s="19" t="str">
        <f t="shared" ca="1" si="291"/>
        <v/>
      </c>
      <c r="AC310" s="19" t="str">
        <f t="shared" ca="1" si="292"/>
        <v/>
      </c>
    </row>
    <row r="311" spans="3:29" x14ac:dyDescent="0.25">
      <c r="C311" s="4">
        <v>304</v>
      </c>
      <c r="D311" s="28">
        <v>42438</v>
      </c>
      <c r="E311" s="30">
        <v>12.074</v>
      </c>
      <c r="F311" s="30">
        <v>37.346549058834228</v>
      </c>
      <c r="G311" s="30">
        <v>4.0238246794580341</v>
      </c>
      <c r="H311" s="30">
        <v>49.013367281986</v>
      </c>
      <c r="I311" s="8">
        <v>0</v>
      </c>
      <c r="J311" s="31">
        <v>0</v>
      </c>
      <c r="K311" s="31">
        <v>1</v>
      </c>
      <c r="L311" s="31">
        <v>0</v>
      </c>
      <c r="M311" s="31">
        <v>0</v>
      </c>
      <c r="N311" s="31">
        <v>0</v>
      </c>
      <c r="O311" s="31">
        <v>0</v>
      </c>
      <c r="P311" s="31">
        <v>0</v>
      </c>
      <c r="Q311" s="31">
        <v>0</v>
      </c>
      <c r="R311" s="31">
        <v>0</v>
      </c>
      <c r="S311" s="31">
        <v>0</v>
      </c>
      <c r="T311" s="21" cm="1">
        <f t="array" aca="1" ref="T311" ca="1">+fair_value_gap(OFFSET(S310,0,0,-1*$I$5,-1*$Z$1),OFFSET(E310,0,0,-1*$I$5,1),F311:S311,0)</f>
        <v>13.573318374340122</v>
      </c>
      <c r="U311" s="7" t="str" cm="1">
        <f t="array" aca="1" ref="U311" ca="1">z_score_diff(OFFSET(T311,0,0,$I$5*-1,1),OFFSET(E311,0,0,$I$5*-1,1))</f>
        <v/>
      </c>
      <c r="V311" s="7" t="str">
        <f t="shared" ca="1" si="287"/>
        <v/>
      </c>
      <c r="W311" s="14">
        <f t="shared" ca="1" si="282"/>
        <v>-7.2821863854226718E-2</v>
      </c>
      <c r="X311" s="10">
        <f t="shared" ref="X311:Y311" ca="1" si="336">+X310</f>
        <v>0</v>
      </c>
      <c r="Y311" s="10">
        <f t="shared" ca="1" si="336"/>
        <v>0</v>
      </c>
      <c r="Z311" t="str">
        <f t="shared" ca="1" si="289"/>
        <v/>
      </c>
      <c r="AA311" t="str">
        <f t="shared" ca="1" si="290"/>
        <v/>
      </c>
      <c r="AB311" s="19" t="str">
        <f t="shared" ca="1" si="291"/>
        <v/>
      </c>
      <c r="AC311" s="19" t="str">
        <f t="shared" ca="1" si="292"/>
        <v/>
      </c>
    </row>
    <row r="312" spans="3:29" x14ac:dyDescent="0.25">
      <c r="C312" s="4">
        <v>305</v>
      </c>
      <c r="D312" s="28">
        <v>42439</v>
      </c>
      <c r="E312" s="30">
        <v>11.877000000000001</v>
      </c>
      <c r="F312" s="30">
        <v>35.835719398711525</v>
      </c>
      <c r="G312" s="30">
        <v>3.977272727272728</v>
      </c>
      <c r="H312" s="30">
        <v>48.765211166785974</v>
      </c>
      <c r="I312" s="8">
        <v>0</v>
      </c>
      <c r="J312" s="31">
        <v>0</v>
      </c>
      <c r="K312" s="31">
        <v>1</v>
      </c>
      <c r="L312" s="31">
        <v>0</v>
      </c>
      <c r="M312" s="31">
        <v>0</v>
      </c>
      <c r="N312" s="31">
        <v>0</v>
      </c>
      <c r="O312" s="31">
        <v>0</v>
      </c>
      <c r="P312" s="31">
        <v>0</v>
      </c>
      <c r="Q312" s="31">
        <v>0</v>
      </c>
      <c r="R312" s="31">
        <v>0</v>
      </c>
      <c r="S312" s="31">
        <v>0</v>
      </c>
      <c r="T312" s="21" cm="1">
        <f t="array" aca="1" ref="T312" ca="1">+fair_value_gap(OFFSET(S311,0,0,-1*$I$5,-1*$Z$1),OFFSET(E311,0,0,-1*$I$5,1),F312:S312,0)</f>
        <v>13.004974228073355</v>
      </c>
      <c r="U312" s="7" t="str" cm="1">
        <f t="array" aca="1" ref="U312" ca="1">z_score_diff(OFFSET(T312,0,0,$I$5*-1,1),OFFSET(E312,0,0,$I$5*-1,1))</f>
        <v/>
      </c>
      <c r="V312" s="7" t="str">
        <f t="shared" ca="1" si="287"/>
        <v/>
      </c>
      <c r="W312" s="14">
        <f t="shared" ca="1" si="282"/>
        <v>-5.9761981452389923E-2</v>
      </c>
      <c r="X312" s="10">
        <f t="shared" ref="X312:Y312" ca="1" si="337">+X311</f>
        <v>0</v>
      </c>
      <c r="Y312" s="10">
        <f t="shared" ca="1" si="337"/>
        <v>0</v>
      </c>
      <c r="Z312" t="str">
        <f t="shared" ca="1" si="289"/>
        <v/>
      </c>
      <c r="AA312" t="str">
        <f t="shared" ca="1" si="290"/>
        <v/>
      </c>
      <c r="AB312" s="19" t="str">
        <f t="shared" ca="1" si="291"/>
        <v/>
      </c>
      <c r="AC312" s="19" t="str">
        <f t="shared" ca="1" si="292"/>
        <v/>
      </c>
    </row>
    <row r="313" spans="3:29" x14ac:dyDescent="0.25">
      <c r="C313" s="4">
        <v>306</v>
      </c>
      <c r="D313" s="28">
        <v>42440</v>
      </c>
      <c r="E313" s="30">
        <v>12</v>
      </c>
      <c r="F313" s="30">
        <v>36.224215246636774</v>
      </c>
      <c r="G313" s="30">
        <v>4</v>
      </c>
      <c r="H313" s="30">
        <v>48.744394618834079</v>
      </c>
      <c r="I313" s="8">
        <v>0</v>
      </c>
      <c r="J313" s="31">
        <v>0</v>
      </c>
      <c r="K313" s="31">
        <v>1</v>
      </c>
      <c r="L313" s="31">
        <v>0</v>
      </c>
      <c r="M313" s="31">
        <v>0</v>
      </c>
      <c r="N313" s="31">
        <v>0</v>
      </c>
      <c r="O313" s="31">
        <v>0</v>
      </c>
      <c r="P313" s="31">
        <v>0</v>
      </c>
      <c r="Q313" s="31">
        <v>0</v>
      </c>
      <c r="R313" s="31">
        <v>0</v>
      </c>
      <c r="S313" s="31">
        <v>0</v>
      </c>
      <c r="T313" s="21" cm="1">
        <f t="array" aca="1" ref="T313" ca="1">+fair_value_gap(OFFSET(S312,0,0,-1*$I$5,-1*$Z$1),OFFSET(E312,0,0,-1*$I$5,1),F313:S313,0)</f>
        <v>12.992418664097471</v>
      </c>
      <c r="U313" s="7" t="str" cm="1">
        <f t="array" aca="1" ref="U313" ca="1">z_score_diff(OFFSET(T313,0,0,$I$5*-1,1),OFFSET(E313,0,0,$I$5*-1,1))</f>
        <v/>
      </c>
      <c r="V313" s="7" t="str">
        <f t="shared" ca="1" si="287"/>
        <v/>
      </c>
      <c r="W313" s="14">
        <f t="shared" ca="1" si="282"/>
        <v>-6.3650027076455964E-2</v>
      </c>
      <c r="X313" s="10">
        <f t="shared" ref="X313:Y313" ca="1" si="338">+X312</f>
        <v>0</v>
      </c>
      <c r="Y313" s="10">
        <f t="shared" ca="1" si="338"/>
        <v>0</v>
      </c>
      <c r="Z313" t="str">
        <f t="shared" ca="1" si="289"/>
        <v/>
      </c>
      <c r="AA313" t="str">
        <f t="shared" ca="1" si="290"/>
        <v/>
      </c>
      <c r="AB313" s="19" t="str">
        <f t="shared" ca="1" si="291"/>
        <v/>
      </c>
      <c r="AC313" s="19" t="str">
        <f t="shared" ca="1" si="292"/>
        <v/>
      </c>
    </row>
    <row r="314" spans="3:29" x14ac:dyDescent="0.25">
      <c r="C314" s="4">
        <v>307</v>
      </c>
      <c r="D314" s="28">
        <v>42443</v>
      </c>
      <c r="E314" s="30">
        <v>12.02</v>
      </c>
      <c r="F314" s="30">
        <v>35.599783861671469</v>
      </c>
      <c r="G314" s="30">
        <v>4.0165706051873196</v>
      </c>
      <c r="H314" s="30">
        <v>49.216498559077806</v>
      </c>
      <c r="I314" s="8">
        <v>0</v>
      </c>
      <c r="J314" s="31">
        <v>0</v>
      </c>
      <c r="K314" s="31">
        <v>1</v>
      </c>
      <c r="L314" s="31">
        <v>0</v>
      </c>
      <c r="M314" s="31">
        <v>0</v>
      </c>
      <c r="N314" s="31">
        <v>0</v>
      </c>
      <c r="O314" s="31">
        <v>0</v>
      </c>
      <c r="P314" s="31">
        <v>0</v>
      </c>
      <c r="Q314" s="31">
        <v>0</v>
      </c>
      <c r="R314" s="31">
        <v>0</v>
      </c>
      <c r="S314" s="31">
        <v>0</v>
      </c>
      <c r="T314" s="21" cm="1">
        <f t="array" aca="1" ref="T314" ca="1">+fair_value_gap(OFFSET(S313,0,0,-1*$I$5,-1*$Z$1),OFFSET(E313,0,0,-1*$I$5,1),F314:S314,0)</f>
        <v>12.750479146725866</v>
      </c>
      <c r="U314" s="7" t="str" cm="1">
        <f t="array" aca="1" ref="U314" ca="1">z_score_diff(OFFSET(T314,0,0,$I$5*-1,1),OFFSET(E314,0,0,$I$5*-1,1))</f>
        <v/>
      </c>
      <c r="V314" s="7" t="str">
        <f t="shared" ca="1" si="287"/>
        <v/>
      </c>
      <c r="W314" s="14">
        <f t="shared" ca="1" si="282"/>
        <v>-5.9824193492593346E-2</v>
      </c>
      <c r="X314" s="10">
        <f t="shared" ref="X314:Y314" ca="1" si="339">+X313</f>
        <v>0</v>
      </c>
      <c r="Y314" s="10">
        <f t="shared" ca="1" si="339"/>
        <v>0</v>
      </c>
      <c r="Z314" t="str">
        <f t="shared" ca="1" si="289"/>
        <v/>
      </c>
      <c r="AA314" t="str">
        <f t="shared" ca="1" si="290"/>
        <v/>
      </c>
      <c r="AB314" s="19" t="str">
        <f t="shared" ca="1" si="291"/>
        <v/>
      </c>
      <c r="AC314" s="19" t="str">
        <f t="shared" ca="1" si="292"/>
        <v/>
      </c>
    </row>
    <row r="315" spans="3:29" x14ac:dyDescent="0.25">
      <c r="C315" s="4">
        <v>308</v>
      </c>
      <c r="D315" s="28">
        <v>42444</v>
      </c>
      <c r="E315" s="30">
        <v>12.044</v>
      </c>
      <c r="F315" s="30">
        <v>34.875765214259992</v>
      </c>
      <c r="G315" s="30">
        <v>4.0151242347857403</v>
      </c>
      <c r="H315" s="30">
        <v>48.748649621894131</v>
      </c>
      <c r="I315" s="8">
        <v>0</v>
      </c>
      <c r="J315" s="31">
        <v>0</v>
      </c>
      <c r="K315" s="31">
        <v>1</v>
      </c>
      <c r="L315" s="31">
        <v>0</v>
      </c>
      <c r="M315" s="31">
        <v>0</v>
      </c>
      <c r="N315" s="31">
        <v>0</v>
      </c>
      <c r="O315" s="31">
        <v>0</v>
      </c>
      <c r="P315" s="31">
        <v>0</v>
      </c>
      <c r="Q315" s="31">
        <v>0</v>
      </c>
      <c r="R315" s="31">
        <v>0</v>
      </c>
      <c r="S315" s="31">
        <v>0</v>
      </c>
      <c r="T315" s="21" cm="1">
        <f t="array" aca="1" ref="T315" ca="1">+fair_value_gap(OFFSET(S314,0,0,-1*$I$5,-1*$Z$1),OFFSET(E314,0,0,-1*$I$5,1),F315:S315,0)</f>
        <v>12.502203259202794</v>
      </c>
      <c r="U315" s="7" t="str" cm="1">
        <f t="array" aca="1" ref="U315" ca="1">z_score_diff(OFFSET(T315,0,0,$I$5*-1,1),OFFSET(E315,0,0,$I$5*-1,1))</f>
        <v/>
      </c>
      <c r="V315" s="7" t="str">
        <f t="shared" ca="1" si="287"/>
        <v/>
      </c>
      <c r="W315" s="14">
        <f t="shared" ca="1" si="282"/>
        <v>-7.0423176991169442E-2</v>
      </c>
      <c r="X315" s="10">
        <f t="shared" ref="X315:Y315" ca="1" si="340">+X314</f>
        <v>0</v>
      </c>
      <c r="Y315" s="10">
        <f t="shared" ca="1" si="340"/>
        <v>0</v>
      </c>
      <c r="Z315" t="str">
        <f t="shared" ca="1" si="289"/>
        <v/>
      </c>
      <c r="AA315" t="str">
        <f t="shared" ca="1" si="290"/>
        <v/>
      </c>
      <c r="AB315" s="19" t="str">
        <f t="shared" ca="1" si="291"/>
        <v/>
      </c>
      <c r="AC315" s="19" t="str">
        <f t="shared" ca="1" si="292"/>
        <v/>
      </c>
    </row>
    <row r="316" spans="3:29" x14ac:dyDescent="0.25">
      <c r="C316" s="4">
        <v>309</v>
      </c>
      <c r="D316" s="28">
        <v>42445</v>
      </c>
      <c r="E316" s="30">
        <v>11.994999999999999</v>
      </c>
      <c r="F316" s="30">
        <v>35.938335412582425</v>
      </c>
      <c r="G316" s="30">
        <v>3.9208697201924791</v>
      </c>
      <c r="H316" s="30">
        <v>47.852432721440024</v>
      </c>
      <c r="I316" s="8">
        <v>0</v>
      </c>
      <c r="J316" s="31">
        <v>0</v>
      </c>
      <c r="K316" s="31">
        <v>1</v>
      </c>
      <c r="L316" s="31">
        <v>0</v>
      </c>
      <c r="M316" s="31">
        <v>0</v>
      </c>
      <c r="N316" s="31">
        <v>0</v>
      </c>
      <c r="O316" s="31">
        <v>0</v>
      </c>
      <c r="P316" s="31">
        <v>0</v>
      </c>
      <c r="Q316" s="31">
        <v>0</v>
      </c>
      <c r="R316" s="31">
        <v>0</v>
      </c>
      <c r="S316" s="31">
        <v>0</v>
      </c>
      <c r="T316" s="21" cm="1">
        <f t="array" aca="1" ref="T316" ca="1">+fair_value_gap(OFFSET(S315,0,0,-1*$I$5,-1*$Z$1),OFFSET(E315,0,0,-1*$I$5,1),F316:S316,0)</f>
        <v>12.550671609036161</v>
      </c>
      <c r="U316" s="7" t="str" cm="1">
        <f t="array" aca="1" ref="U316" ca="1">z_score_diff(OFFSET(T316,0,0,$I$5*-1,1),OFFSET(E316,0,0,$I$5*-1,1))</f>
        <v/>
      </c>
      <c r="V316" s="7" t="str">
        <f t="shared" ca="1" si="287"/>
        <v/>
      </c>
      <c r="W316" s="14">
        <f t="shared" ca="1" si="282"/>
        <v>-6.7683659207589203E-2</v>
      </c>
      <c r="X316" s="10">
        <f t="shared" ref="X316:Y316" ca="1" si="341">+X315</f>
        <v>0</v>
      </c>
      <c r="Y316" s="10">
        <f t="shared" ca="1" si="341"/>
        <v>0</v>
      </c>
      <c r="Z316" t="str">
        <f t="shared" ca="1" si="289"/>
        <v/>
      </c>
      <c r="AA316" t="str">
        <f t="shared" ca="1" si="290"/>
        <v/>
      </c>
      <c r="AB316" s="19" t="str">
        <f t="shared" ca="1" si="291"/>
        <v/>
      </c>
      <c r="AC316" s="19" t="str">
        <f t="shared" ca="1" si="292"/>
        <v/>
      </c>
    </row>
    <row r="317" spans="3:29" x14ac:dyDescent="0.25">
      <c r="C317" s="4">
        <v>310</v>
      </c>
      <c r="D317" s="28">
        <v>42446</v>
      </c>
      <c r="E317" s="30">
        <v>12.055999999999999</v>
      </c>
      <c r="F317" s="30">
        <v>36.705840770522222</v>
      </c>
      <c r="G317" s="30">
        <v>3.8879561721304237</v>
      </c>
      <c r="H317" s="30">
        <v>47.671644428735533</v>
      </c>
      <c r="I317" s="8">
        <v>0</v>
      </c>
      <c r="J317" s="31">
        <v>0</v>
      </c>
      <c r="K317" s="31">
        <v>1</v>
      </c>
      <c r="L317" s="31">
        <v>0</v>
      </c>
      <c r="M317" s="31">
        <v>0</v>
      </c>
      <c r="N317" s="31">
        <v>0</v>
      </c>
      <c r="O317" s="31">
        <v>0</v>
      </c>
      <c r="P317" s="31">
        <v>0</v>
      </c>
      <c r="Q317" s="31">
        <v>0</v>
      </c>
      <c r="R317" s="31">
        <v>0</v>
      </c>
      <c r="S317" s="31">
        <v>0</v>
      </c>
      <c r="T317" s="21" cm="1">
        <f t="array" aca="1" ref="T317" ca="1">+fair_value_gap(OFFSET(S316,0,0,-1*$I$5,-1*$Z$1),OFFSET(E316,0,0,-1*$I$5,1),F317:S317,0)</f>
        <v>12.580707308528993</v>
      </c>
      <c r="U317" s="7" t="str" cm="1">
        <f t="array" aca="1" ref="U317" ca="1">z_score_diff(OFFSET(T317,0,0,$I$5*-1,1),OFFSET(E317,0,0,$I$5*-1,1))</f>
        <v/>
      </c>
      <c r="V317" s="7" t="str">
        <f t="shared" ca="1" si="287"/>
        <v/>
      </c>
      <c r="W317" s="14">
        <f t="shared" ca="1" si="282"/>
        <v>-6.0961647747288739E-2</v>
      </c>
      <c r="X317" s="10">
        <f t="shared" ref="X317:Y317" ca="1" si="342">+X316</f>
        <v>0</v>
      </c>
      <c r="Y317" s="10">
        <f t="shared" ca="1" si="342"/>
        <v>0</v>
      </c>
      <c r="Z317" t="str">
        <f t="shared" ca="1" si="289"/>
        <v/>
      </c>
      <c r="AA317" t="str">
        <f t="shared" ca="1" si="290"/>
        <v/>
      </c>
      <c r="AB317" s="19" t="str">
        <f t="shared" ca="1" si="291"/>
        <v/>
      </c>
      <c r="AC317" s="19" t="str">
        <f t="shared" ca="1" si="292"/>
        <v/>
      </c>
    </row>
    <row r="318" spans="3:29" x14ac:dyDescent="0.25">
      <c r="C318" s="4">
        <v>311</v>
      </c>
      <c r="D318" s="28">
        <v>42447</v>
      </c>
      <c r="E318" s="30">
        <v>12.121</v>
      </c>
      <c r="F318" s="30">
        <v>36.566965474394252</v>
      </c>
      <c r="G318" s="30">
        <v>3.9052099050323958</v>
      </c>
      <c r="H318" s="30">
        <v>47.794443951362382</v>
      </c>
      <c r="I318" s="8">
        <v>0</v>
      </c>
      <c r="J318" s="31">
        <v>0</v>
      </c>
      <c r="K318" s="31">
        <v>1</v>
      </c>
      <c r="L318" s="31">
        <v>0</v>
      </c>
      <c r="M318" s="31">
        <v>0</v>
      </c>
      <c r="N318" s="31">
        <v>0</v>
      </c>
      <c r="O318" s="31">
        <v>0</v>
      </c>
      <c r="P318" s="31">
        <v>0</v>
      </c>
      <c r="Q318" s="31">
        <v>0</v>
      </c>
      <c r="R318" s="31">
        <v>0</v>
      </c>
      <c r="S318" s="31">
        <v>0</v>
      </c>
      <c r="T318" s="21" cm="1">
        <f t="array" aca="1" ref="T318" ca="1">+fair_value_gap(OFFSET(S317,0,0,-1*$I$5,-1*$Z$1),OFFSET(E317,0,0,-1*$I$5,1),F318:S318,0)</f>
        <v>12.432398387655574</v>
      </c>
      <c r="U318" s="7" t="str" cm="1">
        <f t="array" aca="1" ref="U318" ca="1">z_score_diff(OFFSET(T318,0,0,$I$5*-1,1),OFFSET(E318,0,0,$I$5*-1,1))</f>
        <v/>
      </c>
      <c r="V318" s="7" t="str">
        <f t="shared" ca="1" si="287"/>
        <v/>
      </c>
      <c r="W318" s="14">
        <f t="shared" ca="1" si="282"/>
        <v>-3.8518047779462189E-2</v>
      </c>
      <c r="X318" s="10">
        <f t="shared" ref="X318:Y318" ca="1" si="343">+X317</f>
        <v>0</v>
      </c>
      <c r="Y318" s="10">
        <f t="shared" ca="1" si="343"/>
        <v>0</v>
      </c>
      <c r="Z318" t="str">
        <f t="shared" ca="1" si="289"/>
        <v/>
      </c>
      <c r="AA318" t="str">
        <f t="shared" ca="1" si="290"/>
        <v/>
      </c>
      <c r="AB318" s="19" t="str">
        <f t="shared" ca="1" si="291"/>
        <v/>
      </c>
      <c r="AC318" s="19" t="str">
        <f t="shared" ca="1" si="292"/>
        <v/>
      </c>
    </row>
    <row r="319" spans="3:29" x14ac:dyDescent="0.25">
      <c r="C319" s="4">
        <v>312</v>
      </c>
      <c r="D319" s="28">
        <v>42450</v>
      </c>
      <c r="E319" s="30">
        <v>11.927</v>
      </c>
      <c r="F319" s="30">
        <v>36.960583681822229</v>
      </c>
      <c r="G319" s="30">
        <v>3.839309547112733</v>
      </c>
      <c r="H319" s="30">
        <v>48.002491324850972</v>
      </c>
      <c r="I319" s="8">
        <v>0</v>
      </c>
      <c r="J319" s="31">
        <v>0</v>
      </c>
      <c r="K319" s="31">
        <v>1</v>
      </c>
      <c r="L319" s="31">
        <v>0</v>
      </c>
      <c r="M319" s="31">
        <v>0</v>
      </c>
      <c r="N319" s="31">
        <v>0</v>
      </c>
      <c r="O319" s="31">
        <v>0</v>
      </c>
      <c r="P319" s="31">
        <v>0</v>
      </c>
      <c r="Q319" s="31">
        <v>0</v>
      </c>
      <c r="R319" s="31">
        <v>0</v>
      </c>
      <c r="S319" s="31">
        <v>0</v>
      </c>
      <c r="T319" s="21" cm="1">
        <f t="array" aca="1" ref="T319" ca="1">+fair_value_gap(OFFSET(S318,0,0,-1*$I$5,-1*$Z$1),OFFSET(E318,0,0,-1*$I$5,1),F319:S319,0)</f>
        <v>12.26330728544448</v>
      </c>
      <c r="U319" s="7" t="str" cm="1">
        <f t="array" aca="1" ref="U319" ca="1">z_score_diff(OFFSET(T319,0,0,$I$5*-1,1),OFFSET(E319,0,0,$I$5*-1,1))</f>
        <v/>
      </c>
      <c r="V319" s="7" t="str">
        <f t="shared" ca="1" si="287"/>
        <v/>
      </c>
      <c r="W319" s="14">
        <f t="shared" ca="1" si="282"/>
        <v>-1.0789955478749839E-2</v>
      </c>
      <c r="X319" s="10">
        <f t="shared" ref="X319:Y319" ca="1" si="344">+X318</f>
        <v>0</v>
      </c>
      <c r="Y319" s="10">
        <f t="shared" ca="1" si="344"/>
        <v>0</v>
      </c>
      <c r="Z319" t="str">
        <f t="shared" ca="1" si="289"/>
        <v/>
      </c>
      <c r="AA319" t="str">
        <f t="shared" ca="1" si="290"/>
        <v/>
      </c>
      <c r="AB319" s="19" t="str">
        <f t="shared" ca="1" si="291"/>
        <v/>
      </c>
      <c r="AC319" s="19" t="str">
        <f t="shared" ca="1" si="292"/>
        <v/>
      </c>
    </row>
    <row r="320" spans="3:29" x14ac:dyDescent="0.25">
      <c r="C320" s="4">
        <v>313</v>
      </c>
      <c r="D320" s="28">
        <v>42451</v>
      </c>
      <c r="E320" s="30">
        <v>11.920999999999999</v>
      </c>
      <c r="F320" s="30">
        <v>37.265917602996254</v>
      </c>
      <c r="G320" s="30">
        <v>3.8478687355091856</v>
      </c>
      <c r="H320" s="30">
        <v>47.797396112002858</v>
      </c>
      <c r="I320" s="8">
        <v>0</v>
      </c>
      <c r="J320" s="31">
        <v>0</v>
      </c>
      <c r="K320" s="31">
        <v>1</v>
      </c>
      <c r="L320" s="31">
        <v>0</v>
      </c>
      <c r="M320" s="31">
        <v>0</v>
      </c>
      <c r="N320" s="31">
        <v>0</v>
      </c>
      <c r="O320" s="31">
        <v>0</v>
      </c>
      <c r="P320" s="31">
        <v>0</v>
      </c>
      <c r="Q320" s="31">
        <v>0</v>
      </c>
      <c r="R320" s="31">
        <v>0</v>
      </c>
      <c r="S320" s="31">
        <v>0</v>
      </c>
      <c r="T320" s="21" cm="1">
        <f t="array" aca="1" ref="T320" ca="1">+fair_value_gap(OFFSET(S319,0,0,-1*$I$5,-1*$Z$1),OFFSET(E319,0,0,-1*$I$5,1),F320:S320,0)</f>
        <v>11.993674710894997</v>
      </c>
      <c r="U320" s="7" t="str" cm="1">
        <f t="array" aca="1" ref="U320" ca="1">z_score_diff(OFFSET(T320,0,0,$I$5*-1,1),OFFSET(E320,0,0,$I$5*-1,1))</f>
        <v/>
      </c>
      <c r="V320" s="7" t="str">
        <f t="shared" ca="1" si="287"/>
        <v/>
      </c>
      <c r="W320" s="14">
        <f t="shared" ca="1" si="282"/>
        <v>4.7427093572390992E-2</v>
      </c>
      <c r="X320" s="10">
        <f t="shared" ref="X320:Y320" ca="1" si="345">+X319</f>
        <v>0</v>
      </c>
      <c r="Y320" s="10">
        <f t="shared" ca="1" si="345"/>
        <v>0</v>
      </c>
      <c r="Z320" t="str">
        <f t="shared" ca="1" si="289"/>
        <v/>
      </c>
      <c r="AA320" t="str">
        <f t="shared" ca="1" si="290"/>
        <v/>
      </c>
      <c r="AB320" s="19" t="str">
        <f t="shared" ca="1" si="291"/>
        <v/>
      </c>
      <c r="AC320" s="19" t="str">
        <f t="shared" ca="1" si="292"/>
        <v/>
      </c>
    </row>
    <row r="321" spans="3:29" x14ac:dyDescent="0.25">
      <c r="C321" s="4">
        <v>314</v>
      </c>
      <c r="D321" s="28">
        <v>42452</v>
      </c>
      <c r="E321" s="30">
        <v>11.958</v>
      </c>
      <c r="F321" s="30">
        <v>36.188858088169539</v>
      </c>
      <c r="G321" s="30">
        <v>3.8585352767593668</v>
      </c>
      <c r="H321" s="30">
        <v>48.019315031744611</v>
      </c>
      <c r="I321" s="8">
        <v>0</v>
      </c>
      <c r="J321" s="31">
        <v>0</v>
      </c>
      <c r="K321" s="31">
        <v>1</v>
      </c>
      <c r="L321" s="31">
        <v>0</v>
      </c>
      <c r="M321" s="31">
        <v>0</v>
      </c>
      <c r="N321" s="31">
        <v>0</v>
      </c>
      <c r="O321" s="31">
        <v>0</v>
      </c>
      <c r="P321" s="31">
        <v>0</v>
      </c>
      <c r="Q321" s="31">
        <v>0</v>
      </c>
      <c r="R321" s="31">
        <v>0</v>
      </c>
      <c r="S321" s="31">
        <v>0</v>
      </c>
      <c r="T321" s="21" cm="1">
        <f t="array" aca="1" ref="T321" ca="1">+fair_value_gap(OFFSET(S320,0,0,-1*$I$5,-1*$Z$1),OFFSET(E320,0,0,-1*$I$5,1),F321:S321,0)</f>
        <v>11.92991591269749</v>
      </c>
      <c r="U321" s="7" t="str" cm="1">
        <f t="array" aca="1" ref="U321" ca="1">z_score_diff(OFFSET(T321,0,0,$I$5*-1,1),OFFSET(E321,0,0,$I$5*-1,1))</f>
        <v/>
      </c>
      <c r="V321" s="7" t="str">
        <f t="shared" ca="1" si="287"/>
        <v/>
      </c>
      <c r="W321" s="14">
        <f t="shared" ca="1" si="282"/>
        <v>8.9683835570339918E-2</v>
      </c>
      <c r="X321" s="10">
        <f t="shared" ref="X321:Y321" ca="1" si="346">+X320</f>
        <v>0</v>
      </c>
      <c r="Y321" s="10">
        <f t="shared" ca="1" si="346"/>
        <v>0</v>
      </c>
      <c r="Z321" t="str">
        <f t="shared" ca="1" si="289"/>
        <v/>
      </c>
      <c r="AA321" t="str">
        <f t="shared" ca="1" si="290"/>
        <v/>
      </c>
      <c r="AB321" s="19" t="str">
        <f t="shared" ca="1" si="291"/>
        <v/>
      </c>
      <c r="AC321" s="19" t="str">
        <f t="shared" ca="1" si="292"/>
        <v/>
      </c>
    </row>
    <row r="322" spans="3:29" x14ac:dyDescent="0.25">
      <c r="C322" s="4">
        <v>315</v>
      </c>
      <c r="D322" s="28">
        <v>42453</v>
      </c>
      <c r="E322" s="30">
        <v>12.042</v>
      </c>
      <c r="F322" s="30">
        <v>36.194397207553926</v>
      </c>
      <c r="G322" s="30">
        <v>3.8619887228139271</v>
      </c>
      <c r="H322" s="30">
        <v>48.017542289447775</v>
      </c>
      <c r="I322" s="8">
        <v>0</v>
      </c>
      <c r="J322" s="31">
        <v>0</v>
      </c>
      <c r="K322" s="31">
        <v>1</v>
      </c>
      <c r="L322" s="31">
        <v>0</v>
      </c>
      <c r="M322" s="31">
        <v>0</v>
      </c>
      <c r="N322" s="31">
        <v>0</v>
      </c>
      <c r="O322" s="31">
        <v>0</v>
      </c>
      <c r="P322" s="31">
        <v>0</v>
      </c>
      <c r="Q322" s="31">
        <v>0</v>
      </c>
      <c r="R322" s="31">
        <v>0</v>
      </c>
      <c r="S322" s="31">
        <v>0</v>
      </c>
      <c r="T322" s="21" cm="1">
        <f t="array" aca="1" ref="T322" ca="1">+fair_value_gap(OFFSET(S321,0,0,-1*$I$5,-1*$Z$1),OFFSET(E321,0,0,-1*$I$5,1),F322:S322,0)</f>
        <v>11.939546223414105</v>
      </c>
      <c r="U322" s="7" t="str" cm="1">
        <f t="array" aca="1" ref="U322" ca="1">z_score_diff(OFFSET(T322,0,0,$I$5*-1,1),OFFSET(E322,0,0,$I$5*-1,1))</f>
        <v/>
      </c>
      <c r="V322" s="7" t="str">
        <f t="shared" ca="1" si="287"/>
        <v/>
      </c>
      <c r="W322" s="14">
        <f t="shared" ca="1" si="282"/>
        <v>7.4161355311348362E-2</v>
      </c>
      <c r="X322" s="10">
        <f t="shared" ref="X322:Y322" ca="1" si="347">+X321</f>
        <v>0</v>
      </c>
      <c r="Y322" s="10">
        <f t="shared" ca="1" si="347"/>
        <v>0</v>
      </c>
      <c r="Z322" t="str">
        <f t="shared" ca="1" si="289"/>
        <v/>
      </c>
      <c r="AA322" t="str">
        <f t="shared" ca="1" si="290"/>
        <v/>
      </c>
      <c r="AB322" s="19" t="str">
        <f t="shared" ca="1" si="291"/>
        <v/>
      </c>
      <c r="AC322" s="19" t="str">
        <f t="shared" ca="1" si="292"/>
        <v/>
      </c>
    </row>
    <row r="323" spans="3:29" x14ac:dyDescent="0.25">
      <c r="C323" s="4">
        <v>316</v>
      </c>
      <c r="D323" s="28">
        <v>42458</v>
      </c>
      <c r="E323" s="30">
        <v>12.044</v>
      </c>
      <c r="F323" s="30">
        <v>34.670918593320934</v>
      </c>
      <c r="G323" s="30">
        <v>3.822304898573833</v>
      </c>
      <c r="H323" s="30">
        <v>46.638320488971566</v>
      </c>
      <c r="I323" s="8">
        <v>0</v>
      </c>
      <c r="J323" s="31">
        <v>0</v>
      </c>
      <c r="K323" s="31">
        <v>1</v>
      </c>
      <c r="L323" s="31">
        <v>0</v>
      </c>
      <c r="M323" s="31">
        <v>0</v>
      </c>
      <c r="N323" s="31">
        <v>0</v>
      </c>
      <c r="O323" s="31">
        <v>0</v>
      </c>
      <c r="P323" s="31">
        <v>0</v>
      </c>
      <c r="Q323" s="31">
        <v>0</v>
      </c>
      <c r="R323" s="31">
        <v>0</v>
      </c>
      <c r="S323" s="31">
        <v>0</v>
      </c>
      <c r="T323" s="21" cm="1">
        <f t="array" aca="1" ref="T323" ca="1">+fair_value_gap(OFFSET(S322,0,0,-1*$I$5,-1*$Z$1),OFFSET(E322,0,0,-1*$I$5,1),F323:S323,0)</f>
        <v>11.535009029508215</v>
      </c>
      <c r="U323" s="7" t="str" cm="1">
        <f t="array" aca="1" ref="U323" ca="1">z_score_diff(OFFSET(T323,0,0,$I$5*-1,1),OFFSET(E323,0,0,$I$5*-1,1))</f>
        <v/>
      </c>
      <c r="V323" s="7" t="str">
        <f t="shared" ca="1" si="287"/>
        <v/>
      </c>
      <c r="W323" s="14">
        <f t="shared" ca="1" si="282"/>
        <v>0.14906112618617673</v>
      </c>
      <c r="X323" s="10">
        <f t="shared" ref="X323:Y323" ca="1" si="348">+X322</f>
        <v>0</v>
      </c>
      <c r="Y323" s="10">
        <f t="shared" ca="1" si="348"/>
        <v>0</v>
      </c>
      <c r="Z323" t="str">
        <f t="shared" ca="1" si="289"/>
        <v/>
      </c>
      <c r="AA323" t="str">
        <f t="shared" ca="1" si="290"/>
        <v/>
      </c>
      <c r="AB323" s="19" t="str">
        <f t="shared" ca="1" si="291"/>
        <v/>
      </c>
      <c r="AC323" s="19" t="str">
        <f t="shared" ca="1" si="292"/>
        <v/>
      </c>
    </row>
    <row r="324" spans="3:29" x14ac:dyDescent="0.25">
      <c r="C324" s="4">
        <v>317</v>
      </c>
      <c r="D324" s="28">
        <v>42459</v>
      </c>
      <c r="E324" s="30">
        <v>12.073</v>
      </c>
      <c r="F324" s="30">
        <v>34.633027522935777</v>
      </c>
      <c r="G324" s="30">
        <v>3.8064573041637266</v>
      </c>
      <c r="H324" s="30">
        <v>46.841919548341572</v>
      </c>
      <c r="I324" s="8">
        <v>0</v>
      </c>
      <c r="J324" s="31">
        <v>0</v>
      </c>
      <c r="K324" s="31">
        <v>1</v>
      </c>
      <c r="L324" s="31">
        <v>0</v>
      </c>
      <c r="M324" s="31">
        <v>0</v>
      </c>
      <c r="N324" s="31">
        <v>0</v>
      </c>
      <c r="O324" s="31">
        <v>0</v>
      </c>
      <c r="P324" s="31">
        <v>0</v>
      </c>
      <c r="Q324" s="31">
        <v>0</v>
      </c>
      <c r="R324" s="31">
        <v>0</v>
      </c>
      <c r="S324" s="31">
        <v>0</v>
      </c>
      <c r="T324" s="21" cm="1">
        <f t="array" aca="1" ref="T324" ca="1">+fair_value_gap(OFFSET(S323,0,0,-1*$I$5,-1*$Z$1),OFFSET(E323,0,0,-1*$I$5,1),F324:S324,0)</f>
        <v>11.575591309678741</v>
      </c>
      <c r="U324" s="7" t="str" cm="1">
        <f t="array" aca="1" ref="U324" ca="1">z_score_diff(OFFSET(T324,0,0,$I$5*-1,1),OFFSET(E324,0,0,$I$5*-1,1))</f>
        <v/>
      </c>
      <c r="V324" s="7" t="str">
        <f t="shared" ca="1" si="287"/>
        <v/>
      </c>
      <c r="W324" s="14">
        <f t="shared" ca="1" si="282"/>
        <v>0.14665618245541392</v>
      </c>
      <c r="X324" s="10">
        <f t="shared" ref="X324:Y324" ca="1" si="349">+X323</f>
        <v>0</v>
      </c>
      <c r="Y324" s="10">
        <f t="shared" ca="1" si="349"/>
        <v>0</v>
      </c>
      <c r="Z324" t="str">
        <f t="shared" ca="1" si="289"/>
        <v/>
      </c>
      <c r="AA324" t="str">
        <f t="shared" ca="1" si="290"/>
        <v/>
      </c>
      <c r="AB324" s="19" t="str">
        <f t="shared" ca="1" si="291"/>
        <v/>
      </c>
      <c r="AC324" s="19" t="str">
        <f t="shared" ca="1" si="292"/>
        <v/>
      </c>
    </row>
    <row r="325" spans="3:29" x14ac:dyDescent="0.25">
      <c r="C325" s="4">
        <v>318</v>
      </c>
      <c r="D325" s="28">
        <v>42460</v>
      </c>
      <c r="E325" s="30">
        <v>11.936999999999999</v>
      </c>
      <c r="F325" s="30">
        <v>34.804007734223944</v>
      </c>
      <c r="G325" s="30">
        <v>3.7660397257866061</v>
      </c>
      <c r="H325" s="30">
        <v>46.712954825101072</v>
      </c>
      <c r="I325" s="8">
        <v>0</v>
      </c>
      <c r="J325" s="31">
        <v>0</v>
      </c>
      <c r="K325" s="31">
        <v>1</v>
      </c>
      <c r="L325" s="31">
        <v>0</v>
      </c>
      <c r="M325" s="31">
        <v>0</v>
      </c>
      <c r="N325" s="31">
        <v>0</v>
      </c>
      <c r="O325" s="31">
        <v>0</v>
      </c>
      <c r="P325" s="31">
        <v>0</v>
      </c>
      <c r="Q325" s="31">
        <v>0</v>
      </c>
      <c r="R325" s="31">
        <v>0</v>
      </c>
      <c r="S325" s="31">
        <v>0</v>
      </c>
      <c r="T325" s="21" cm="1">
        <f t="array" aca="1" ref="T325" ca="1">+fair_value_gap(OFFSET(S324,0,0,-1*$I$5,-1*$Z$1),OFFSET(E324,0,0,-1*$I$5,1),F325:S325,0)</f>
        <v>11.572192457336882</v>
      </c>
      <c r="U325" s="7" t="str" cm="1">
        <f t="array" aca="1" ref="U325" ca="1">z_score_diff(OFFSET(T325,0,0,$I$5*-1,1),OFFSET(E325,0,0,$I$5*-1,1))</f>
        <v/>
      </c>
      <c r="V325" s="7" t="str">
        <f t="shared" ca="1" si="287"/>
        <v/>
      </c>
      <c r="W325" s="14">
        <f t="shared" ca="1" si="282"/>
        <v>5.7460882216859507E-2</v>
      </c>
      <c r="X325" s="10">
        <f t="shared" ref="X325:Y325" ca="1" si="350">+X324</f>
        <v>0</v>
      </c>
      <c r="Y325" s="10">
        <f t="shared" ca="1" si="350"/>
        <v>0</v>
      </c>
      <c r="Z325" t="str">
        <f t="shared" ca="1" si="289"/>
        <v/>
      </c>
      <c r="AA325" t="str">
        <f t="shared" ca="1" si="290"/>
        <v/>
      </c>
      <c r="AB325" s="19" t="str">
        <f t="shared" ca="1" si="291"/>
        <v/>
      </c>
      <c r="AC325" s="19" t="str">
        <f t="shared" ca="1" si="292"/>
        <v/>
      </c>
    </row>
    <row r="326" spans="3:29" x14ac:dyDescent="0.25">
      <c r="C326" s="4">
        <v>319</v>
      </c>
      <c r="D326" s="28">
        <v>42461</v>
      </c>
      <c r="E326" s="30">
        <v>11.638999999999999</v>
      </c>
      <c r="F326" s="30">
        <v>33.962761285789568</v>
      </c>
      <c r="G326" s="30">
        <v>3.7633936413138942</v>
      </c>
      <c r="H326" s="30">
        <v>46.197084138415597</v>
      </c>
      <c r="I326" s="8">
        <v>0</v>
      </c>
      <c r="J326" s="31">
        <v>0</v>
      </c>
      <c r="K326" s="31">
        <v>0</v>
      </c>
      <c r="L326" s="31">
        <v>1</v>
      </c>
      <c r="M326" s="31">
        <v>0</v>
      </c>
      <c r="N326" s="31">
        <v>0</v>
      </c>
      <c r="O326" s="31">
        <v>0</v>
      </c>
      <c r="P326" s="31">
        <v>0</v>
      </c>
      <c r="Q326" s="31">
        <v>0</v>
      </c>
      <c r="R326" s="31">
        <v>0</v>
      </c>
      <c r="S326" s="31">
        <v>0</v>
      </c>
      <c r="T326" s="21" cm="1">
        <f t="array" aca="1" ref="T326" ca="1">+fair_value_gap(OFFSET(S325,0,0,-1*$I$5,-1*$Z$1),OFFSET(E325,0,0,-1*$I$5,1),F326:S326,0)</f>
        <v>14.87395751151556</v>
      </c>
      <c r="U326" s="7" t="str" cm="1">
        <f t="array" aca="1" ref="U326" ca="1">z_score_diff(OFFSET(T326,0,0,$I$5*-1,1),OFFSET(E326,0,0,$I$5*-1,1))</f>
        <v/>
      </c>
      <c r="V326" s="7" t="str">
        <f t="shared" ca="1" si="287"/>
        <v/>
      </c>
      <c r="W326" s="14">
        <f t="shared" ca="1" si="282"/>
        <v>9.3441670666727095E-2</v>
      </c>
      <c r="X326" s="10">
        <f t="shared" ref="X326:Y326" ca="1" si="351">+X325</f>
        <v>0</v>
      </c>
      <c r="Y326" s="10">
        <f t="shared" ca="1" si="351"/>
        <v>0</v>
      </c>
      <c r="Z326" t="str">
        <f t="shared" ca="1" si="289"/>
        <v/>
      </c>
      <c r="AA326" t="str">
        <f t="shared" ca="1" si="290"/>
        <v/>
      </c>
      <c r="AB326" s="19" t="str">
        <f t="shared" ca="1" si="291"/>
        <v/>
      </c>
      <c r="AC326" s="19" t="str">
        <f t="shared" ca="1" si="292"/>
        <v/>
      </c>
    </row>
    <row r="327" spans="3:29" x14ac:dyDescent="0.25">
      <c r="C327" s="4">
        <v>320</v>
      </c>
      <c r="D327" s="28">
        <v>42464</v>
      </c>
      <c r="E327" s="30">
        <v>11.375</v>
      </c>
      <c r="F327" s="30">
        <v>33.090430201931518</v>
      </c>
      <c r="G327" s="30">
        <v>3.7445127304653201</v>
      </c>
      <c r="H327" s="30">
        <v>46.049165935030729</v>
      </c>
      <c r="I327" s="8">
        <v>0</v>
      </c>
      <c r="J327" s="31">
        <v>0</v>
      </c>
      <c r="K327" s="31">
        <v>0</v>
      </c>
      <c r="L327" s="31">
        <v>1</v>
      </c>
      <c r="M327" s="31">
        <v>0</v>
      </c>
      <c r="N327" s="31">
        <v>0</v>
      </c>
      <c r="O327" s="31">
        <v>0</v>
      </c>
      <c r="P327" s="31">
        <v>0</v>
      </c>
      <c r="Q327" s="31">
        <v>0</v>
      </c>
      <c r="R327" s="31">
        <v>0</v>
      </c>
      <c r="S327" s="31">
        <v>0</v>
      </c>
      <c r="T327" s="21" cm="1">
        <f t="array" aca="1" ref="T327" ca="1">+fair_value_gap(OFFSET(S326,0,0,-1*$I$5,-1*$Z$1),OFFSET(E326,0,0,-1*$I$5,1),F327:S327,0)</f>
        <v>13.199993291478641</v>
      </c>
      <c r="U327" s="7" t="str" cm="1">
        <f t="array" aca="1" ref="U327" ca="1">z_score_diff(OFFSET(T327,0,0,$I$5*-1,1),OFFSET(E327,0,0,$I$5*-1,1))</f>
        <v/>
      </c>
      <c r="V327" s="7" t="str">
        <f t="shared" ca="1" si="287"/>
        <v/>
      </c>
      <c r="W327" s="14">
        <f t="shared" ref="W327:W390" ca="1" si="352">+LN(OFFSET(E327,$W$3,0,1,1)/E327)</f>
        <v>7.614670884357011E-2</v>
      </c>
      <c r="X327" s="10">
        <f t="shared" ref="X327:Y327" ca="1" si="353">+X326</f>
        <v>0</v>
      </c>
      <c r="Y327" s="10">
        <f t="shared" ca="1" si="353"/>
        <v>0</v>
      </c>
      <c r="Z327" t="str">
        <f t="shared" ca="1" si="289"/>
        <v/>
      </c>
      <c r="AA327" t="str">
        <f t="shared" ca="1" si="290"/>
        <v/>
      </c>
      <c r="AB327" s="19" t="str">
        <f t="shared" ca="1" si="291"/>
        <v/>
      </c>
      <c r="AC327" s="19" t="str">
        <f t="shared" ca="1" si="292"/>
        <v/>
      </c>
    </row>
    <row r="328" spans="3:29" x14ac:dyDescent="0.25">
      <c r="C328" s="4">
        <v>321</v>
      </c>
      <c r="D328" s="28">
        <v>42465</v>
      </c>
      <c r="E328" s="30">
        <v>11.237</v>
      </c>
      <c r="F328" s="30">
        <v>33.271832718327175</v>
      </c>
      <c r="G328" s="30">
        <v>3.7471446143032852</v>
      </c>
      <c r="H328" s="30">
        <v>45.949745211737827</v>
      </c>
      <c r="I328" s="8">
        <v>0</v>
      </c>
      <c r="J328" s="31">
        <v>0</v>
      </c>
      <c r="K328" s="31">
        <v>0</v>
      </c>
      <c r="L328" s="31">
        <v>1</v>
      </c>
      <c r="M328" s="31">
        <v>0</v>
      </c>
      <c r="N328" s="31">
        <v>0</v>
      </c>
      <c r="O328" s="31">
        <v>0</v>
      </c>
      <c r="P328" s="31">
        <v>0</v>
      </c>
      <c r="Q328" s="31">
        <v>0</v>
      </c>
      <c r="R328" s="31">
        <v>0</v>
      </c>
      <c r="S328" s="31">
        <v>0</v>
      </c>
      <c r="T328" s="21" cm="1">
        <f t="array" aca="1" ref="T328" ca="1">+fair_value_gap(OFFSET(S327,0,0,-1*$I$5,-1*$Z$1),OFFSET(E327,0,0,-1*$I$5,1),F328:S328,0)</f>
        <v>12.58549508179088</v>
      </c>
      <c r="U328" s="7" t="str" cm="1">
        <f t="array" aca="1" ref="U328" ca="1">z_score_diff(OFFSET(T328,0,0,$I$5*-1,1),OFFSET(E328,0,0,$I$5*-1,1))</f>
        <v/>
      </c>
      <c r="V328" s="7" t="str">
        <f t="shared" ca="1" si="287"/>
        <v/>
      </c>
      <c r="W328" s="14">
        <f t="shared" ca="1" si="352"/>
        <v>7.795264225773707E-2</v>
      </c>
      <c r="X328" s="10">
        <f t="shared" ref="X328:Y328" ca="1" si="354">+X327</f>
        <v>0</v>
      </c>
      <c r="Y328" s="10">
        <f t="shared" ca="1" si="354"/>
        <v>0</v>
      </c>
      <c r="Z328" t="str">
        <f t="shared" ca="1" si="289"/>
        <v/>
      </c>
      <c r="AA328" t="str">
        <f t="shared" ca="1" si="290"/>
        <v/>
      </c>
      <c r="AB328" s="19" t="str">
        <f t="shared" ca="1" si="291"/>
        <v/>
      </c>
      <c r="AC328" s="19" t="str">
        <f t="shared" ca="1" si="292"/>
        <v/>
      </c>
    </row>
    <row r="329" spans="3:29" x14ac:dyDescent="0.25">
      <c r="C329" s="4">
        <v>322</v>
      </c>
      <c r="D329" s="28">
        <v>42466</v>
      </c>
      <c r="E329" s="30">
        <v>11.4</v>
      </c>
      <c r="F329" s="30">
        <v>34.956567517767837</v>
      </c>
      <c r="G329" s="30">
        <v>3.7334386241993509</v>
      </c>
      <c r="H329" s="30">
        <v>45.58217074668773</v>
      </c>
      <c r="I329" s="8">
        <v>0</v>
      </c>
      <c r="J329" s="31">
        <v>0</v>
      </c>
      <c r="K329" s="31">
        <v>0</v>
      </c>
      <c r="L329" s="31">
        <v>1</v>
      </c>
      <c r="M329" s="31">
        <v>0</v>
      </c>
      <c r="N329" s="31">
        <v>0</v>
      </c>
      <c r="O329" s="31">
        <v>0</v>
      </c>
      <c r="P329" s="31">
        <v>0</v>
      </c>
      <c r="Q329" s="31">
        <v>0</v>
      </c>
      <c r="R329" s="31">
        <v>0</v>
      </c>
      <c r="S329" s="31">
        <v>0</v>
      </c>
      <c r="T329" s="21" cm="1">
        <f t="array" aca="1" ref="T329" ca="1">+fair_value_gap(OFFSET(S328,0,0,-1*$I$5,-1*$Z$1),OFFSET(E328,0,0,-1*$I$5,1),F329:S329,0)</f>
        <v>12.571068291725934</v>
      </c>
      <c r="U329" s="7" t="str" cm="1">
        <f t="array" aca="1" ref="U329" ca="1">z_score_diff(OFFSET(T329,0,0,$I$5*-1,1),OFFSET(E329,0,0,$I$5*-1,1))</f>
        <v/>
      </c>
      <c r="V329" s="7" t="str">
        <f t="shared" ca="1" si="287"/>
        <v/>
      </c>
      <c r="W329" s="14">
        <f t="shared" ca="1" si="352"/>
        <v>8.6097216582242744E-2</v>
      </c>
      <c r="X329" s="10">
        <f t="shared" ref="X329:Y329" ca="1" si="355">+X328</f>
        <v>0</v>
      </c>
      <c r="Y329" s="10">
        <f t="shared" ca="1" si="355"/>
        <v>0</v>
      </c>
      <c r="Z329" t="str">
        <f t="shared" ca="1" si="289"/>
        <v/>
      </c>
      <c r="AA329" t="str">
        <f t="shared" ca="1" si="290"/>
        <v/>
      </c>
      <c r="AB329" s="19" t="str">
        <f t="shared" ca="1" si="291"/>
        <v/>
      </c>
      <c r="AC329" s="19" t="str">
        <f t="shared" ca="1" si="292"/>
        <v/>
      </c>
    </row>
    <row r="330" spans="3:29" x14ac:dyDescent="0.25">
      <c r="C330" s="4">
        <v>323</v>
      </c>
      <c r="D330" s="28">
        <v>42467</v>
      </c>
      <c r="E330" s="30">
        <v>11.15</v>
      </c>
      <c r="F330" s="30">
        <v>34.663736263736261</v>
      </c>
      <c r="G330" s="30">
        <v>3.7406593406593407</v>
      </c>
      <c r="H330" s="30">
        <v>44.879120879120876</v>
      </c>
      <c r="I330" s="8">
        <v>0</v>
      </c>
      <c r="J330" s="31">
        <v>0</v>
      </c>
      <c r="K330" s="31">
        <v>0</v>
      </c>
      <c r="L330" s="31">
        <v>1</v>
      </c>
      <c r="M330" s="31">
        <v>0</v>
      </c>
      <c r="N330" s="31">
        <v>0</v>
      </c>
      <c r="O330" s="31">
        <v>0</v>
      </c>
      <c r="P330" s="31">
        <v>0</v>
      </c>
      <c r="Q330" s="31">
        <v>0</v>
      </c>
      <c r="R330" s="31">
        <v>0</v>
      </c>
      <c r="S330" s="31">
        <v>0</v>
      </c>
      <c r="T330" s="21" cm="1">
        <f t="array" aca="1" ref="T330" ca="1">+fair_value_gap(OFFSET(S329,0,0,-1*$I$5,-1*$Z$1),OFFSET(E329,0,0,-1*$I$5,1),F330:S330,0)</f>
        <v>12.268196941511947</v>
      </c>
      <c r="U330" s="7" t="str" cm="1">
        <f t="array" aca="1" ref="U330" ca="1">z_score_diff(OFFSET(T330,0,0,$I$5*-1,1),OFFSET(E330,0,0,$I$5*-1,1))</f>
        <v/>
      </c>
      <c r="V330" s="7" t="str">
        <f t="shared" ca="1" si="287"/>
        <v/>
      </c>
      <c r="W330" s="14">
        <f t="shared" ca="1" si="352"/>
        <v>0.14065840142219571</v>
      </c>
      <c r="X330" s="10">
        <f t="shared" ref="X330:Y330" ca="1" si="356">+X329</f>
        <v>0</v>
      </c>
      <c r="Y330" s="10">
        <f t="shared" ca="1" si="356"/>
        <v>0</v>
      </c>
      <c r="Z330" t="str">
        <f t="shared" ca="1" si="289"/>
        <v/>
      </c>
      <c r="AA330" t="str">
        <f t="shared" ca="1" si="290"/>
        <v/>
      </c>
      <c r="AB330" s="19" t="str">
        <f t="shared" ca="1" si="291"/>
        <v/>
      </c>
      <c r="AC330" s="19" t="str">
        <f t="shared" ca="1" si="292"/>
        <v/>
      </c>
    </row>
    <row r="331" spans="3:29" x14ac:dyDescent="0.25">
      <c r="C331" s="4">
        <v>324</v>
      </c>
      <c r="D331" s="28">
        <v>42468</v>
      </c>
      <c r="E331" s="30">
        <v>11.226000000000001</v>
      </c>
      <c r="F331" s="30">
        <v>36.792701114132818</v>
      </c>
      <c r="G331" s="30">
        <v>3.7327835775067992</v>
      </c>
      <c r="H331" s="30">
        <v>45.398719185893505</v>
      </c>
      <c r="I331" s="8">
        <v>0</v>
      </c>
      <c r="J331" s="31">
        <v>0</v>
      </c>
      <c r="K331" s="31">
        <v>0</v>
      </c>
      <c r="L331" s="31">
        <v>1</v>
      </c>
      <c r="M331" s="31">
        <v>0</v>
      </c>
      <c r="N331" s="31">
        <v>0</v>
      </c>
      <c r="O331" s="31">
        <v>0</v>
      </c>
      <c r="P331" s="31">
        <v>0</v>
      </c>
      <c r="Q331" s="31">
        <v>0</v>
      </c>
      <c r="R331" s="31">
        <v>0</v>
      </c>
      <c r="S331" s="31">
        <v>0</v>
      </c>
      <c r="T331" s="21" cm="1">
        <f t="array" aca="1" ref="T331" ca="1">+fair_value_gap(OFFSET(S330,0,0,-1*$I$5,-1*$Z$1),OFFSET(E330,0,0,-1*$I$5,1),F331:S331,0)</f>
        <v>12.603668953418872</v>
      </c>
      <c r="U331" s="7" t="str" cm="1">
        <f t="array" aca="1" ref="U331" ca="1">z_score_diff(OFFSET(T331,0,0,$I$5*-1,1),OFFSET(E331,0,0,$I$5*-1,1))</f>
        <v/>
      </c>
      <c r="V331" s="7" t="str">
        <f t="shared" ref="V331:V394" ca="1" si="357">+IF(ISERROR(AVERAGE(OFFSET(U331,0,0,$V$5*-1,1))),"",AVERAGE(OFFSET(U331,0,0,$V$5*-1,1)))</f>
        <v/>
      </c>
      <c r="W331" s="14">
        <f t="shared" ca="1" si="352"/>
        <v>0.13705493002979213</v>
      </c>
      <c r="X331" s="10">
        <f t="shared" ref="X331:Y331" ca="1" si="358">+X330</f>
        <v>0</v>
      </c>
      <c r="Y331" s="10">
        <f t="shared" ca="1" si="358"/>
        <v>0</v>
      </c>
      <c r="Z331" t="str">
        <f t="shared" ref="Z331:Z394" ca="1" si="359">+IF(V331="","",IF(V331&lt;X331,1,0))</f>
        <v/>
      </c>
      <c r="AA331" t="str">
        <f t="shared" ref="AA331:AA394" ca="1" si="360">+IF(V331="","",IF(V331&gt;Y331,1,0))</f>
        <v/>
      </c>
      <c r="AB331" s="19" t="str">
        <f t="shared" ref="AB331:AB394" ca="1" si="361">+IF(ISERROR(Z331*W331),"",Z331*W331)</f>
        <v/>
      </c>
      <c r="AC331" s="19" t="str">
        <f t="shared" ref="AC331:AC394" ca="1" si="362">+IF(ISERROR(AA331*W331),"",AA331*W331)</f>
        <v/>
      </c>
    </row>
    <row r="332" spans="3:29" x14ac:dyDescent="0.25">
      <c r="C332" s="4">
        <v>325</v>
      </c>
      <c r="D332" s="28">
        <v>42471</v>
      </c>
      <c r="E332" s="30">
        <v>11.188000000000001</v>
      </c>
      <c r="F332" s="30">
        <v>37.550412063826052</v>
      </c>
      <c r="G332" s="30">
        <v>3.7304927231281777</v>
      </c>
      <c r="H332" s="30">
        <v>45.809223215851304</v>
      </c>
      <c r="I332" s="8">
        <v>0</v>
      </c>
      <c r="J332" s="31">
        <v>0</v>
      </c>
      <c r="K332" s="31">
        <v>0</v>
      </c>
      <c r="L332" s="31">
        <v>1</v>
      </c>
      <c r="M332" s="31">
        <v>0</v>
      </c>
      <c r="N332" s="31">
        <v>0</v>
      </c>
      <c r="O332" s="31">
        <v>0</v>
      </c>
      <c r="P332" s="31">
        <v>0</v>
      </c>
      <c r="Q332" s="31">
        <v>0</v>
      </c>
      <c r="R332" s="31">
        <v>0</v>
      </c>
      <c r="S332" s="31">
        <v>0</v>
      </c>
      <c r="T332" s="21" cm="1">
        <f t="array" aca="1" ref="T332" ca="1">+fair_value_gap(OFFSET(S331,0,0,-1*$I$5,-1*$Z$1),OFFSET(E331,0,0,-1*$I$5,1),F332:S332,0)</f>
        <v>12.620699877065757</v>
      </c>
      <c r="U332" s="7" t="str" cm="1">
        <f t="array" aca="1" ref="U332" ca="1">z_score_diff(OFFSET(T332,0,0,$I$5*-1,1),OFFSET(E332,0,0,$I$5*-1,1))</f>
        <v/>
      </c>
      <c r="V332" s="7" t="str">
        <f t="shared" ca="1" si="357"/>
        <v/>
      </c>
      <c r="W332" s="14">
        <f t="shared" ca="1" si="352"/>
        <v>0.1595246405744363</v>
      </c>
      <c r="X332" s="10">
        <f t="shared" ref="X332:Y332" ca="1" si="363">+X331</f>
        <v>0</v>
      </c>
      <c r="Y332" s="10">
        <f t="shared" ca="1" si="363"/>
        <v>0</v>
      </c>
      <c r="Z332" t="str">
        <f t="shared" ca="1" si="359"/>
        <v/>
      </c>
      <c r="AA332" t="str">
        <f t="shared" ca="1" si="360"/>
        <v/>
      </c>
      <c r="AB332" s="19" t="str">
        <f t="shared" ca="1" si="361"/>
        <v/>
      </c>
      <c r="AC332" s="19" t="str">
        <f t="shared" ca="1" si="362"/>
        <v/>
      </c>
    </row>
    <row r="333" spans="3:29" x14ac:dyDescent="0.25">
      <c r="C333" s="4">
        <v>326</v>
      </c>
      <c r="D333" s="28">
        <v>42472</v>
      </c>
      <c r="E333" s="30">
        <v>11.26</v>
      </c>
      <c r="F333" s="30">
        <v>39.256851721714682</v>
      </c>
      <c r="G333" s="30">
        <v>3.7377020379479968</v>
      </c>
      <c r="H333" s="30">
        <v>46.073436401967676</v>
      </c>
      <c r="I333" s="8">
        <v>0</v>
      </c>
      <c r="J333" s="31">
        <v>0</v>
      </c>
      <c r="K333" s="31">
        <v>0</v>
      </c>
      <c r="L333" s="31">
        <v>1</v>
      </c>
      <c r="M333" s="31">
        <v>0</v>
      </c>
      <c r="N333" s="31">
        <v>0</v>
      </c>
      <c r="O333" s="31">
        <v>0</v>
      </c>
      <c r="P333" s="31">
        <v>0</v>
      </c>
      <c r="Q333" s="31">
        <v>0</v>
      </c>
      <c r="R333" s="31">
        <v>0</v>
      </c>
      <c r="S333" s="31">
        <v>0</v>
      </c>
      <c r="T333" s="21" cm="1">
        <f t="array" aca="1" ref="T333" ca="1">+fair_value_gap(OFFSET(S332,0,0,-1*$I$5,-1*$Z$1),OFFSET(E332,0,0,-1*$I$5,1),F333:S333,0)</f>
        <v>12.854177579963764</v>
      </c>
      <c r="U333" s="7" t="str" cm="1">
        <f t="array" aca="1" ref="U333" ca="1">z_score_diff(OFFSET(T333,0,0,$I$5*-1,1),OFFSET(E333,0,0,$I$5*-1,1))</f>
        <v/>
      </c>
      <c r="V333" s="7" t="str">
        <f t="shared" ca="1" si="357"/>
        <v/>
      </c>
      <c r="W333" s="14">
        <f t="shared" ca="1" si="352"/>
        <v>0.13744247326661985</v>
      </c>
      <c r="X333" s="10">
        <f t="shared" ref="X333:Y333" ca="1" si="364">+X332</f>
        <v>0</v>
      </c>
      <c r="Y333" s="10">
        <f t="shared" ca="1" si="364"/>
        <v>0</v>
      </c>
      <c r="Z333" t="str">
        <f t="shared" ca="1" si="359"/>
        <v/>
      </c>
      <c r="AA333" t="str">
        <f t="shared" ca="1" si="360"/>
        <v/>
      </c>
      <c r="AB333" s="19" t="str">
        <f t="shared" ca="1" si="361"/>
        <v/>
      </c>
      <c r="AC333" s="19" t="str">
        <f t="shared" ca="1" si="362"/>
        <v/>
      </c>
    </row>
    <row r="334" spans="3:29" x14ac:dyDescent="0.25">
      <c r="C334" s="4">
        <v>327</v>
      </c>
      <c r="D334" s="28">
        <v>42473</v>
      </c>
      <c r="E334" s="30">
        <v>11.321999999999999</v>
      </c>
      <c r="F334" s="30">
        <v>39.194464158978001</v>
      </c>
      <c r="G334" s="30">
        <v>3.7748403122782115</v>
      </c>
      <c r="H334" s="30">
        <v>47.063520227111425</v>
      </c>
      <c r="I334" s="8">
        <v>0</v>
      </c>
      <c r="J334" s="31">
        <v>0</v>
      </c>
      <c r="K334" s="31">
        <v>0</v>
      </c>
      <c r="L334" s="31">
        <v>1</v>
      </c>
      <c r="M334" s="31">
        <v>0</v>
      </c>
      <c r="N334" s="31">
        <v>0</v>
      </c>
      <c r="O334" s="31">
        <v>0</v>
      </c>
      <c r="P334" s="31">
        <v>0</v>
      </c>
      <c r="Q334" s="31">
        <v>0</v>
      </c>
      <c r="R334" s="31">
        <v>0</v>
      </c>
      <c r="S334" s="31">
        <v>0</v>
      </c>
      <c r="T334" s="21" cm="1">
        <f t="array" aca="1" ref="T334" ca="1">+fair_value_gap(OFFSET(S333,0,0,-1*$I$5,-1*$Z$1),OFFSET(E333,0,0,-1*$I$5,1),F334:S334,0)</f>
        <v>12.715258194757316</v>
      </c>
      <c r="U334" s="7" t="str" cm="1">
        <f t="array" aca="1" ref="U334" ca="1">z_score_diff(OFFSET(T334,0,0,$I$5*-1,1),OFFSET(E334,0,0,$I$5*-1,1))</f>
        <v/>
      </c>
      <c r="V334" s="7" t="str">
        <f t="shared" ca="1" si="357"/>
        <v/>
      </c>
      <c r="W334" s="14">
        <f t="shared" ca="1" si="352"/>
        <v>0.13904741790687064</v>
      </c>
      <c r="X334" s="10">
        <f t="shared" ref="X334:Y334" ca="1" si="365">+X333</f>
        <v>0</v>
      </c>
      <c r="Y334" s="10">
        <f t="shared" ca="1" si="365"/>
        <v>0</v>
      </c>
      <c r="Z334" t="str">
        <f t="shared" ca="1" si="359"/>
        <v/>
      </c>
      <c r="AA334" t="str">
        <f t="shared" ca="1" si="360"/>
        <v/>
      </c>
      <c r="AB334" s="19" t="str">
        <f t="shared" ca="1" si="361"/>
        <v/>
      </c>
      <c r="AC334" s="19" t="str">
        <f t="shared" ca="1" si="362"/>
        <v/>
      </c>
    </row>
    <row r="335" spans="3:29" x14ac:dyDescent="0.25">
      <c r="C335" s="4">
        <v>328</v>
      </c>
      <c r="D335" s="28">
        <v>42474</v>
      </c>
      <c r="E335" s="30">
        <v>11.225</v>
      </c>
      <c r="F335" s="30">
        <v>38.91354518018818</v>
      </c>
      <c r="G335" s="30">
        <v>3.7768507012249244</v>
      </c>
      <c r="H335" s="30">
        <v>47.576779691105983</v>
      </c>
      <c r="I335" s="8">
        <v>0</v>
      </c>
      <c r="J335" s="31">
        <v>0</v>
      </c>
      <c r="K335" s="31">
        <v>0</v>
      </c>
      <c r="L335" s="31">
        <v>1</v>
      </c>
      <c r="M335" s="31">
        <v>0</v>
      </c>
      <c r="N335" s="31">
        <v>0</v>
      </c>
      <c r="O335" s="31">
        <v>0</v>
      </c>
      <c r="P335" s="31">
        <v>0</v>
      </c>
      <c r="Q335" s="31">
        <v>0</v>
      </c>
      <c r="R335" s="31">
        <v>0</v>
      </c>
      <c r="S335" s="31">
        <v>0</v>
      </c>
      <c r="T335" s="21" cm="1">
        <f t="array" aca="1" ref="T335" ca="1">+fair_value_gap(OFFSET(S334,0,0,-1*$I$5,-1*$Z$1),OFFSET(E334,0,0,-1*$I$5,1),F335:S335,0)</f>
        <v>12.518222323922448</v>
      </c>
      <c r="U335" s="7" t="str" cm="1">
        <f t="array" aca="1" ref="U335" ca="1">z_score_diff(OFFSET(T335,0,0,$I$5*-1,1),OFFSET(E335,0,0,$I$5*-1,1))</f>
        <v/>
      </c>
      <c r="V335" s="7" t="str">
        <f t="shared" ca="1" si="357"/>
        <v/>
      </c>
      <c r="W335" s="14">
        <f t="shared" ca="1" si="352"/>
        <v>0.14016856057595725</v>
      </c>
      <c r="X335" s="10">
        <f t="shared" ref="X335:Y335" ca="1" si="366">+X334</f>
        <v>0</v>
      </c>
      <c r="Y335" s="10">
        <f t="shared" ca="1" si="366"/>
        <v>0</v>
      </c>
      <c r="Z335" t="str">
        <f t="shared" ca="1" si="359"/>
        <v/>
      </c>
      <c r="AA335" t="str">
        <f t="shared" ca="1" si="360"/>
        <v/>
      </c>
      <c r="AB335" s="19" t="str">
        <f t="shared" ca="1" si="361"/>
        <v/>
      </c>
      <c r="AC335" s="19" t="str">
        <f t="shared" ca="1" si="362"/>
        <v/>
      </c>
    </row>
    <row r="336" spans="3:29" x14ac:dyDescent="0.25">
      <c r="C336" s="4">
        <v>329</v>
      </c>
      <c r="D336" s="28">
        <v>42475</v>
      </c>
      <c r="E336" s="30">
        <v>11.21</v>
      </c>
      <c r="F336" s="30">
        <v>38.209219858156033</v>
      </c>
      <c r="G336" s="30">
        <v>3.772163120567376</v>
      </c>
      <c r="H336" s="30">
        <v>47.384751773049651</v>
      </c>
      <c r="I336" s="8">
        <v>0</v>
      </c>
      <c r="J336" s="31">
        <v>0</v>
      </c>
      <c r="K336" s="31">
        <v>0</v>
      </c>
      <c r="L336" s="31">
        <v>1</v>
      </c>
      <c r="M336" s="31">
        <v>0</v>
      </c>
      <c r="N336" s="31">
        <v>0</v>
      </c>
      <c r="O336" s="31">
        <v>0</v>
      </c>
      <c r="P336" s="31">
        <v>0</v>
      </c>
      <c r="Q336" s="31">
        <v>0</v>
      </c>
      <c r="R336" s="31">
        <v>0</v>
      </c>
      <c r="S336" s="31">
        <v>0</v>
      </c>
      <c r="T336" s="21" cm="1">
        <f t="array" aca="1" ref="T336" ca="1">+fair_value_gap(OFFSET(S335,0,0,-1*$I$5,-1*$Z$1),OFFSET(E335,0,0,-1*$I$5,1),F336:S336,0)</f>
        <v>12.211068014083192</v>
      </c>
      <c r="U336" s="7" t="str" cm="1">
        <f t="array" aca="1" ref="U336" ca="1">z_score_diff(OFFSET(T336,0,0,$I$5*-1,1),OFFSET(E336,0,0,$I$5*-1,1))</f>
        <v/>
      </c>
      <c r="V336" s="7" t="str">
        <f t="shared" ca="1" si="357"/>
        <v/>
      </c>
      <c r="W336" s="14">
        <f t="shared" ca="1" si="352"/>
        <v>0.13684880986502576</v>
      </c>
      <c r="X336" s="10">
        <f t="shared" ref="X336:Y336" ca="1" si="367">+X335</f>
        <v>0</v>
      </c>
      <c r="Y336" s="10">
        <f t="shared" ca="1" si="367"/>
        <v>0</v>
      </c>
      <c r="Z336" t="str">
        <f t="shared" ca="1" si="359"/>
        <v/>
      </c>
      <c r="AA336" t="str">
        <f t="shared" ca="1" si="360"/>
        <v/>
      </c>
      <c r="AB336" s="19" t="str">
        <f t="shared" ca="1" si="361"/>
        <v/>
      </c>
      <c r="AC336" s="19" t="str">
        <f t="shared" ca="1" si="362"/>
        <v/>
      </c>
    </row>
    <row r="337" spans="3:29" x14ac:dyDescent="0.25">
      <c r="C337" s="4">
        <v>330</v>
      </c>
      <c r="D337" s="28">
        <v>42478</v>
      </c>
      <c r="E337" s="30">
        <v>11.343</v>
      </c>
      <c r="F337" s="30">
        <v>37.933168316831683</v>
      </c>
      <c r="G337" s="30">
        <v>3.536067892503536</v>
      </c>
      <c r="H337" s="30">
        <v>47.294908062234796</v>
      </c>
      <c r="I337" s="8">
        <v>0</v>
      </c>
      <c r="J337" s="31">
        <v>0</v>
      </c>
      <c r="K337" s="31">
        <v>0</v>
      </c>
      <c r="L337" s="31">
        <v>1</v>
      </c>
      <c r="M337" s="31">
        <v>0</v>
      </c>
      <c r="N337" s="31">
        <v>0</v>
      </c>
      <c r="O337" s="31">
        <v>0</v>
      </c>
      <c r="P337" s="31">
        <v>0</v>
      </c>
      <c r="Q337" s="31">
        <v>0</v>
      </c>
      <c r="R337" s="31">
        <v>0</v>
      </c>
      <c r="S337" s="31">
        <v>0</v>
      </c>
      <c r="T337" s="21" cm="1">
        <f t="array" aca="1" ref="T337" ca="1">+fair_value_gap(OFFSET(S336,0,0,-1*$I$5,-1*$Z$1),OFFSET(E336,0,0,-1*$I$5,1),F337:S337,0)</f>
        <v>11.800802781541737</v>
      </c>
      <c r="U337" s="7" t="str" cm="1">
        <f t="array" aca="1" ref="U337" ca="1">z_score_diff(OFFSET(T337,0,0,$I$5*-1,1),OFFSET(E337,0,0,$I$5*-1,1))</f>
        <v/>
      </c>
      <c r="V337" s="7" t="str">
        <f t="shared" ca="1" si="357"/>
        <v/>
      </c>
      <c r="W337" s="14">
        <f t="shared" ca="1" si="352"/>
        <v>0.14355329644199402</v>
      </c>
      <c r="X337" s="10">
        <f t="shared" ref="X337:Y337" ca="1" si="368">+X336</f>
        <v>0</v>
      </c>
      <c r="Y337" s="10">
        <f t="shared" ca="1" si="368"/>
        <v>0</v>
      </c>
      <c r="Z337" t="str">
        <f t="shared" ca="1" si="359"/>
        <v/>
      </c>
      <c r="AA337" t="str">
        <f t="shared" ca="1" si="360"/>
        <v/>
      </c>
      <c r="AB337" s="19" t="str">
        <f t="shared" ca="1" si="361"/>
        <v/>
      </c>
      <c r="AC337" s="19" t="str">
        <f t="shared" ca="1" si="362"/>
        <v/>
      </c>
    </row>
    <row r="338" spans="3:29" x14ac:dyDescent="0.25">
      <c r="C338" s="4">
        <v>331</v>
      </c>
      <c r="D338" s="28">
        <v>42479</v>
      </c>
      <c r="E338" s="30">
        <v>11.663</v>
      </c>
      <c r="F338" s="30">
        <v>38.772455089820362</v>
      </c>
      <c r="G338" s="30">
        <v>3.5223670306445936</v>
      </c>
      <c r="H338" s="30">
        <v>47.331806974286721</v>
      </c>
      <c r="I338" s="8">
        <v>0</v>
      </c>
      <c r="J338" s="31">
        <v>0</v>
      </c>
      <c r="K338" s="31">
        <v>0</v>
      </c>
      <c r="L338" s="31">
        <v>1</v>
      </c>
      <c r="M338" s="31">
        <v>0</v>
      </c>
      <c r="N338" s="31">
        <v>0</v>
      </c>
      <c r="O338" s="31">
        <v>0</v>
      </c>
      <c r="P338" s="31">
        <v>0</v>
      </c>
      <c r="Q338" s="31">
        <v>0</v>
      </c>
      <c r="R338" s="31">
        <v>0</v>
      </c>
      <c r="S338" s="31">
        <v>0</v>
      </c>
      <c r="T338" s="21" cm="1">
        <f t="array" aca="1" ref="T338" ca="1">+fair_value_gap(OFFSET(S337,0,0,-1*$I$5,-1*$Z$1),OFFSET(E337,0,0,-1*$I$5,1),F338:S338,0)</f>
        <v>11.885671577869823</v>
      </c>
      <c r="U338" s="7" t="str" cm="1">
        <f t="array" aca="1" ref="U338" ca="1">z_score_diff(OFFSET(T338,0,0,$I$5*-1,1),OFFSET(E338,0,0,$I$5*-1,1))</f>
        <v/>
      </c>
      <c r="V338" s="7" t="str">
        <f t="shared" ca="1" si="357"/>
        <v/>
      </c>
      <c r="W338" s="14">
        <f t="shared" ca="1" si="352"/>
        <v>0.11954394302605406</v>
      </c>
      <c r="X338" s="10">
        <f t="shared" ref="X338:Y338" ca="1" si="369">+X337</f>
        <v>0</v>
      </c>
      <c r="Y338" s="10">
        <f t="shared" ca="1" si="369"/>
        <v>0</v>
      </c>
      <c r="Z338" t="str">
        <f t="shared" ca="1" si="359"/>
        <v/>
      </c>
      <c r="AA338" t="str">
        <f t="shared" ca="1" si="360"/>
        <v/>
      </c>
      <c r="AB338" s="19" t="str">
        <f t="shared" ca="1" si="361"/>
        <v/>
      </c>
      <c r="AC338" s="19" t="str">
        <f t="shared" ca="1" si="362"/>
        <v/>
      </c>
    </row>
    <row r="339" spans="3:29" x14ac:dyDescent="0.25">
      <c r="C339" s="4">
        <v>332</v>
      </c>
      <c r="D339" s="28">
        <v>42480</v>
      </c>
      <c r="E339" s="30">
        <v>11.798999999999999</v>
      </c>
      <c r="F339" s="30">
        <v>40.548915449313853</v>
      </c>
      <c r="G339" s="30">
        <v>3.5812306330234618</v>
      </c>
      <c r="H339" s="30">
        <v>47.189021691013721</v>
      </c>
      <c r="I339" s="8">
        <v>0</v>
      </c>
      <c r="J339" s="31">
        <v>0</v>
      </c>
      <c r="K339" s="31">
        <v>0</v>
      </c>
      <c r="L339" s="31">
        <v>1</v>
      </c>
      <c r="M339" s="31">
        <v>0</v>
      </c>
      <c r="N339" s="31">
        <v>0</v>
      </c>
      <c r="O339" s="31">
        <v>0</v>
      </c>
      <c r="P339" s="31">
        <v>0</v>
      </c>
      <c r="Q339" s="31">
        <v>0</v>
      </c>
      <c r="R339" s="31">
        <v>0</v>
      </c>
      <c r="S339" s="31">
        <v>0</v>
      </c>
      <c r="T339" s="21" cm="1">
        <f t="array" aca="1" ref="T339" ca="1">+fair_value_gap(OFFSET(S338,0,0,-1*$I$5,-1*$Z$1),OFFSET(E338,0,0,-1*$I$5,1),F339:S339,0)</f>
        <v>12.132354138958018</v>
      </c>
      <c r="U339" s="7" t="str" cm="1">
        <f t="array" aca="1" ref="U339" ca="1">z_score_diff(OFFSET(T339,0,0,$I$5*-1,1),OFFSET(E339,0,0,$I$5*-1,1))</f>
        <v/>
      </c>
      <c r="V339" s="7" t="str">
        <f t="shared" ca="1" si="357"/>
        <v/>
      </c>
      <c r="W339" s="14">
        <f t="shared" ca="1" si="352"/>
        <v>0.1042920579510517</v>
      </c>
      <c r="X339" s="10">
        <f t="shared" ref="X339:Y339" ca="1" si="370">+X338</f>
        <v>0</v>
      </c>
      <c r="Y339" s="10">
        <f t="shared" ca="1" si="370"/>
        <v>0</v>
      </c>
      <c r="Z339" t="str">
        <f t="shared" ca="1" si="359"/>
        <v/>
      </c>
      <c r="AA339" t="str">
        <f t="shared" ca="1" si="360"/>
        <v/>
      </c>
      <c r="AB339" s="19" t="str">
        <f t="shared" ca="1" si="361"/>
        <v/>
      </c>
      <c r="AC339" s="19" t="str">
        <f t="shared" ca="1" si="362"/>
        <v/>
      </c>
    </row>
    <row r="340" spans="3:29" x14ac:dyDescent="0.25">
      <c r="C340" s="4">
        <v>333</v>
      </c>
      <c r="D340" s="28">
        <v>42481</v>
      </c>
      <c r="E340" s="30">
        <v>12.5</v>
      </c>
      <c r="F340" s="30">
        <v>39.455963140173665</v>
      </c>
      <c r="G340" s="30">
        <v>3.805599858231437</v>
      </c>
      <c r="H340" s="30">
        <v>46.916533758639019</v>
      </c>
      <c r="I340" s="8">
        <v>0</v>
      </c>
      <c r="J340" s="31">
        <v>0</v>
      </c>
      <c r="K340" s="31">
        <v>0</v>
      </c>
      <c r="L340" s="31">
        <v>1</v>
      </c>
      <c r="M340" s="31">
        <v>0</v>
      </c>
      <c r="N340" s="31">
        <v>0</v>
      </c>
      <c r="O340" s="31">
        <v>0</v>
      </c>
      <c r="P340" s="31">
        <v>0</v>
      </c>
      <c r="Q340" s="31">
        <v>0</v>
      </c>
      <c r="R340" s="31">
        <v>0</v>
      </c>
      <c r="S340" s="31">
        <v>0</v>
      </c>
      <c r="T340" s="21" cm="1">
        <f t="array" aca="1" ref="T340" ca="1">+fair_value_gap(OFFSET(S339,0,0,-1*$I$5,-1*$Z$1),OFFSET(E339,0,0,-1*$I$5,1),F340:S340,0)</f>
        <v>11.820967570724532</v>
      </c>
      <c r="U340" s="7" t="str" cm="1">
        <f t="array" aca="1" ref="U340" ca="1">z_score_diff(OFFSET(T340,0,0,$I$5*-1,1),OFFSET(E340,0,0,$I$5*-1,1))</f>
        <v/>
      </c>
      <c r="V340" s="7" t="str">
        <f t="shared" ca="1" si="357"/>
        <v/>
      </c>
      <c r="W340" s="14">
        <f t="shared" ca="1" si="352"/>
        <v>3.5444360933194814E-2</v>
      </c>
      <c r="X340" s="10">
        <f t="shared" ref="X340:Y340" ca="1" si="371">+X339</f>
        <v>0</v>
      </c>
      <c r="Y340" s="10">
        <f t="shared" ca="1" si="371"/>
        <v>0</v>
      </c>
      <c r="Z340" t="str">
        <f t="shared" ca="1" si="359"/>
        <v/>
      </c>
      <c r="AA340" t="str">
        <f t="shared" ca="1" si="360"/>
        <v/>
      </c>
      <c r="AB340" s="19" t="str">
        <f t="shared" ca="1" si="361"/>
        <v/>
      </c>
      <c r="AC340" s="19" t="str">
        <f t="shared" ca="1" si="362"/>
        <v/>
      </c>
    </row>
    <row r="341" spans="3:29" x14ac:dyDescent="0.25">
      <c r="C341" s="4">
        <v>334</v>
      </c>
      <c r="D341" s="28">
        <v>42482</v>
      </c>
      <c r="E341" s="30">
        <v>13.08</v>
      </c>
      <c r="F341" s="30">
        <v>40.169189670525377</v>
      </c>
      <c r="G341" s="30">
        <v>3.8245770258236864</v>
      </c>
      <c r="H341" s="30">
        <v>47.150489759572579</v>
      </c>
      <c r="I341" s="8">
        <v>0</v>
      </c>
      <c r="J341" s="31">
        <v>0</v>
      </c>
      <c r="K341" s="31">
        <v>0</v>
      </c>
      <c r="L341" s="31">
        <v>1</v>
      </c>
      <c r="M341" s="31">
        <v>0</v>
      </c>
      <c r="N341" s="31">
        <v>0</v>
      </c>
      <c r="O341" s="31">
        <v>0</v>
      </c>
      <c r="P341" s="31">
        <v>0</v>
      </c>
      <c r="Q341" s="31">
        <v>0</v>
      </c>
      <c r="R341" s="31">
        <v>0</v>
      </c>
      <c r="S341" s="31">
        <v>0</v>
      </c>
      <c r="T341" s="21" cm="1">
        <f t="array" aca="1" ref="T341" ca="1">+fair_value_gap(OFFSET(S340,0,0,-1*$I$5,-1*$Z$1),OFFSET(E340,0,0,-1*$I$5,1),F341:S341,0)</f>
        <v>12.009486957690802</v>
      </c>
      <c r="U341" s="7" t="str" cm="1">
        <f t="array" aca="1" ref="U341" ca="1">z_score_diff(OFFSET(T341,0,0,$I$5*-1,1),OFFSET(E341,0,0,$I$5*-1,1))</f>
        <v/>
      </c>
      <c r="V341" s="7" t="str">
        <f t="shared" ca="1" si="357"/>
        <v/>
      </c>
      <c r="W341" s="14">
        <f t="shared" ca="1" si="352"/>
        <v>-3.9834586150655762E-3</v>
      </c>
      <c r="X341" s="10">
        <f t="shared" ref="X341:Y341" ca="1" si="372">+X340</f>
        <v>0</v>
      </c>
      <c r="Y341" s="10">
        <f t="shared" ca="1" si="372"/>
        <v>0</v>
      </c>
      <c r="Z341" t="str">
        <f t="shared" ca="1" si="359"/>
        <v/>
      </c>
      <c r="AA341" t="str">
        <f t="shared" ca="1" si="360"/>
        <v/>
      </c>
      <c r="AB341" s="19" t="str">
        <f t="shared" ca="1" si="361"/>
        <v/>
      </c>
      <c r="AC341" s="19" t="str">
        <f t="shared" ca="1" si="362"/>
        <v/>
      </c>
    </row>
    <row r="342" spans="3:29" x14ac:dyDescent="0.25">
      <c r="C342" s="4">
        <v>335</v>
      </c>
      <c r="D342" s="28">
        <v>42485</v>
      </c>
      <c r="E342" s="30">
        <v>12.968999999999999</v>
      </c>
      <c r="F342" s="30">
        <v>39.492142413211397</v>
      </c>
      <c r="G342" s="30">
        <v>3.9154754505904288</v>
      </c>
      <c r="H342" s="30">
        <v>46.923555003107516</v>
      </c>
      <c r="I342" s="8">
        <v>0</v>
      </c>
      <c r="J342" s="31">
        <v>0</v>
      </c>
      <c r="K342" s="31">
        <v>0</v>
      </c>
      <c r="L342" s="31">
        <v>1</v>
      </c>
      <c r="M342" s="31">
        <v>0</v>
      </c>
      <c r="N342" s="31">
        <v>0</v>
      </c>
      <c r="O342" s="31">
        <v>0</v>
      </c>
      <c r="P342" s="31">
        <v>0</v>
      </c>
      <c r="Q342" s="31">
        <v>0</v>
      </c>
      <c r="R342" s="31">
        <v>0</v>
      </c>
      <c r="S342" s="31">
        <v>0</v>
      </c>
      <c r="T342" s="21" cm="1">
        <f t="array" aca="1" ref="T342" ca="1">+fair_value_gap(OFFSET(S341,0,0,-1*$I$5,-1*$Z$1),OFFSET(E341,0,0,-1*$I$5,1),F342:S342,0)</f>
        <v>12.025875558427371</v>
      </c>
      <c r="U342" s="7" t="str" cm="1">
        <f t="array" aca="1" ref="U342" ca="1">z_score_diff(OFFSET(T342,0,0,$I$5*-1,1),OFFSET(E342,0,0,$I$5*-1,1))</f>
        <v/>
      </c>
      <c r="V342" s="7" t="str">
        <f t="shared" ca="1" si="357"/>
        <v/>
      </c>
      <c r="W342" s="14">
        <f t="shared" ca="1" si="352"/>
        <v>-3.9402067433234296E-3</v>
      </c>
      <c r="X342" s="10">
        <f t="shared" ref="X342:Y342" ca="1" si="373">+X341</f>
        <v>0</v>
      </c>
      <c r="Y342" s="10">
        <f t="shared" ca="1" si="373"/>
        <v>0</v>
      </c>
      <c r="Z342" t="str">
        <f t="shared" ca="1" si="359"/>
        <v/>
      </c>
      <c r="AA342" t="str">
        <f t="shared" ca="1" si="360"/>
        <v/>
      </c>
      <c r="AB342" s="19" t="str">
        <f t="shared" ca="1" si="361"/>
        <v/>
      </c>
      <c r="AC342" s="19" t="str">
        <f t="shared" ca="1" si="362"/>
        <v/>
      </c>
    </row>
    <row r="343" spans="3:29" x14ac:dyDescent="0.25">
      <c r="C343" s="4">
        <v>336</v>
      </c>
      <c r="D343" s="28">
        <v>42486</v>
      </c>
      <c r="E343" s="30">
        <v>13.98</v>
      </c>
      <c r="F343" s="30">
        <v>40.485041600283239</v>
      </c>
      <c r="G343" s="30">
        <v>3.9608780315100018</v>
      </c>
      <c r="H343" s="30">
        <v>46.733935209771644</v>
      </c>
      <c r="I343" s="8">
        <v>0</v>
      </c>
      <c r="J343" s="31">
        <v>0</v>
      </c>
      <c r="K343" s="31">
        <v>0</v>
      </c>
      <c r="L343" s="31">
        <v>1</v>
      </c>
      <c r="M343" s="31">
        <v>0</v>
      </c>
      <c r="N343" s="31">
        <v>0</v>
      </c>
      <c r="O343" s="31">
        <v>0</v>
      </c>
      <c r="P343" s="31">
        <v>0</v>
      </c>
      <c r="Q343" s="31">
        <v>0</v>
      </c>
      <c r="R343" s="31">
        <v>0</v>
      </c>
      <c r="S343" s="31">
        <v>0</v>
      </c>
      <c r="T343" s="21" cm="1">
        <f t="array" aca="1" ref="T343" ca="1">+fair_value_gap(OFFSET(S342,0,0,-1*$I$5,-1*$Z$1),OFFSET(E342,0,0,-1*$I$5,1),F343:S343,0)</f>
        <v>12.225402375340371</v>
      </c>
      <c r="U343" s="7" t="str" cm="1">
        <f t="array" aca="1" ref="U343" ca="1">z_score_diff(OFFSET(T343,0,0,$I$5*-1,1),OFFSET(E343,0,0,$I$5*-1,1))</f>
        <v/>
      </c>
      <c r="V343" s="7" t="str">
        <f t="shared" ca="1" si="357"/>
        <v/>
      </c>
      <c r="W343" s="14">
        <f t="shared" ca="1" si="352"/>
        <v>-7.2755305379782087E-2</v>
      </c>
      <c r="X343" s="10">
        <f t="shared" ref="X343:Y343" ca="1" si="374">+X342</f>
        <v>0</v>
      </c>
      <c r="Y343" s="10">
        <f t="shared" ca="1" si="374"/>
        <v>0</v>
      </c>
      <c r="Z343" t="str">
        <f t="shared" ca="1" si="359"/>
        <v/>
      </c>
      <c r="AA343" t="str">
        <f t="shared" ca="1" si="360"/>
        <v/>
      </c>
      <c r="AB343" s="19" t="str">
        <f t="shared" ca="1" si="361"/>
        <v/>
      </c>
      <c r="AC343" s="19" t="str">
        <f t="shared" ca="1" si="362"/>
        <v/>
      </c>
    </row>
    <row r="344" spans="3:29" x14ac:dyDescent="0.25">
      <c r="C344" s="4">
        <v>337</v>
      </c>
      <c r="D344" s="28">
        <v>42487</v>
      </c>
      <c r="E344" s="30">
        <v>13.98</v>
      </c>
      <c r="F344" s="30">
        <v>41.682127396413115</v>
      </c>
      <c r="G344" s="30">
        <v>4.0109550313631948</v>
      </c>
      <c r="H344" s="30">
        <v>46.603056807138444</v>
      </c>
      <c r="I344" s="8">
        <v>0</v>
      </c>
      <c r="J344" s="31">
        <v>0</v>
      </c>
      <c r="K344" s="31">
        <v>0</v>
      </c>
      <c r="L344" s="31">
        <v>1</v>
      </c>
      <c r="M344" s="31">
        <v>0</v>
      </c>
      <c r="N344" s="31">
        <v>0</v>
      </c>
      <c r="O344" s="31">
        <v>0</v>
      </c>
      <c r="P344" s="31">
        <v>0</v>
      </c>
      <c r="Q344" s="31">
        <v>0</v>
      </c>
      <c r="R344" s="31">
        <v>0</v>
      </c>
      <c r="S344" s="31">
        <v>0</v>
      </c>
      <c r="T344" s="21" cm="1">
        <f t="array" aca="1" ref="T344" ca="1">+fair_value_gap(OFFSET(S343,0,0,-1*$I$5,-1*$Z$1),OFFSET(E343,0,0,-1*$I$5,1),F344:S344,0)</f>
        <v>12.536310669493563</v>
      </c>
      <c r="U344" s="7" t="str" cm="1">
        <f t="array" aca="1" ref="U344" ca="1">z_score_diff(OFFSET(T344,0,0,$I$5*-1,1),OFFSET(E344,0,0,$I$5*-1,1))</f>
        <v/>
      </c>
      <c r="V344" s="7" t="str">
        <f t="shared" ca="1" si="357"/>
        <v/>
      </c>
      <c r="W344" s="14">
        <f t="shared" ca="1" si="352"/>
        <v>-5.0164498692571904E-2</v>
      </c>
      <c r="X344" s="10">
        <f t="shared" ref="X344:Y344" ca="1" si="375">+X343</f>
        <v>0</v>
      </c>
      <c r="Y344" s="10">
        <f t="shared" ca="1" si="375"/>
        <v>0</v>
      </c>
      <c r="Z344" t="str">
        <f t="shared" ca="1" si="359"/>
        <v/>
      </c>
      <c r="AA344" t="str">
        <f t="shared" ca="1" si="360"/>
        <v/>
      </c>
      <c r="AB344" s="19" t="str">
        <f t="shared" ca="1" si="361"/>
        <v/>
      </c>
      <c r="AC344" s="19" t="str">
        <f t="shared" ca="1" si="362"/>
        <v/>
      </c>
    </row>
    <row r="345" spans="3:29" x14ac:dyDescent="0.25">
      <c r="C345" s="4">
        <v>338</v>
      </c>
      <c r="D345" s="28">
        <v>42488</v>
      </c>
      <c r="E345" s="30">
        <v>12.643000000000001</v>
      </c>
      <c r="F345" s="30">
        <v>42.410360320676595</v>
      </c>
      <c r="G345" s="30">
        <v>4.0260769976213551</v>
      </c>
      <c r="H345" s="30">
        <v>46.559774469209763</v>
      </c>
      <c r="I345" s="8">
        <v>0</v>
      </c>
      <c r="J345" s="31">
        <v>0</v>
      </c>
      <c r="K345" s="31">
        <v>0</v>
      </c>
      <c r="L345" s="31">
        <v>1</v>
      </c>
      <c r="M345" s="31">
        <v>0</v>
      </c>
      <c r="N345" s="31">
        <v>0</v>
      </c>
      <c r="O345" s="31">
        <v>0</v>
      </c>
      <c r="P345" s="31">
        <v>0</v>
      </c>
      <c r="Q345" s="31">
        <v>0</v>
      </c>
      <c r="R345" s="31">
        <v>0</v>
      </c>
      <c r="S345" s="31">
        <v>0</v>
      </c>
      <c r="T345" s="21" cm="1">
        <f t="array" aca="1" ref="T345" ca="1">+fair_value_gap(OFFSET(S344,0,0,-1*$I$5,-1*$Z$1),OFFSET(E344,0,0,-1*$I$5,1),F345:S345,0)</f>
        <v>12.766300044562183</v>
      </c>
      <c r="U345" s="7" t="str" cm="1">
        <f t="array" aca="1" ref="U345" ca="1">z_score_diff(OFFSET(T345,0,0,$I$5*-1,1),OFFSET(E345,0,0,$I$5*-1,1))</f>
        <v/>
      </c>
      <c r="V345" s="7" t="str">
        <f t="shared" ca="1" si="357"/>
        <v/>
      </c>
      <c r="W345" s="14">
        <f t="shared" ca="1" si="352"/>
        <v>6.4548407982629494E-2</v>
      </c>
      <c r="X345" s="10">
        <f t="shared" ref="X345:Y345" ca="1" si="376">+X344</f>
        <v>0</v>
      </c>
      <c r="Y345" s="10">
        <f t="shared" ca="1" si="376"/>
        <v>0</v>
      </c>
      <c r="Z345" t="str">
        <f t="shared" ca="1" si="359"/>
        <v/>
      </c>
      <c r="AA345" t="str">
        <f t="shared" ca="1" si="360"/>
        <v/>
      </c>
      <c r="AB345" s="19" t="str">
        <f t="shared" ca="1" si="361"/>
        <v/>
      </c>
      <c r="AC345" s="19" t="str">
        <f t="shared" ca="1" si="362"/>
        <v/>
      </c>
    </row>
    <row r="346" spans="3:29" x14ac:dyDescent="0.25">
      <c r="C346" s="4">
        <v>339</v>
      </c>
      <c r="D346" s="28">
        <v>42489</v>
      </c>
      <c r="E346" s="30">
        <v>12.779</v>
      </c>
      <c r="F346" s="30">
        <v>42.020254932774577</v>
      </c>
      <c r="G346" s="30">
        <v>3.9898725336127119</v>
      </c>
      <c r="H346" s="30">
        <v>46.09743321110529</v>
      </c>
      <c r="I346" s="8">
        <v>0</v>
      </c>
      <c r="J346" s="31">
        <v>0</v>
      </c>
      <c r="K346" s="31">
        <v>0</v>
      </c>
      <c r="L346" s="31">
        <v>1</v>
      </c>
      <c r="M346" s="31">
        <v>0</v>
      </c>
      <c r="N346" s="31">
        <v>0</v>
      </c>
      <c r="O346" s="31">
        <v>0</v>
      </c>
      <c r="P346" s="31">
        <v>0</v>
      </c>
      <c r="Q346" s="31">
        <v>0</v>
      </c>
      <c r="R346" s="31">
        <v>0</v>
      </c>
      <c r="S346" s="31">
        <v>0</v>
      </c>
      <c r="T346" s="21" cm="1">
        <f t="array" aca="1" ref="T346" ca="1">+fair_value_gap(OFFSET(S345,0,0,-1*$I$5,-1*$Z$1),OFFSET(E345,0,0,-1*$I$5,1),F346:S346,0)</f>
        <v>12.613771662357006</v>
      </c>
      <c r="U346" s="7" t="str" cm="1">
        <f t="array" aca="1" ref="U346" ca="1">z_score_diff(OFFSET(T346,0,0,$I$5*-1,1),OFFSET(E346,0,0,$I$5*-1,1))</f>
        <v/>
      </c>
      <c r="V346" s="7" t="str">
        <f t="shared" ca="1" si="357"/>
        <v/>
      </c>
      <c r="W346" s="14">
        <f t="shared" ca="1" si="352"/>
        <v>7.8096519447966292E-2</v>
      </c>
      <c r="X346" s="10">
        <f t="shared" ref="X346:Y346" ca="1" si="377">+X345</f>
        <v>0</v>
      </c>
      <c r="Y346" s="10">
        <f t="shared" ca="1" si="377"/>
        <v>0</v>
      </c>
      <c r="Z346" t="str">
        <f t="shared" ca="1" si="359"/>
        <v/>
      </c>
      <c r="AA346" t="str">
        <f t="shared" ca="1" si="360"/>
        <v/>
      </c>
      <c r="AB346" s="19" t="str">
        <f t="shared" ca="1" si="361"/>
        <v/>
      </c>
      <c r="AC346" s="19" t="str">
        <f t="shared" ca="1" si="362"/>
        <v/>
      </c>
    </row>
    <row r="347" spans="3:29" x14ac:dyDescent="0.25">
      <c r="C347" s="4">
        <v>340</v>
      </c>
      <c r="D347" s="28">
        <v>42492</v>
      </c>
      <c r="E347" s="30">
        <v>12.275</v>
      </c>
      <c r="F347" s="30">
        <v>39.751929915864338</v>
      </c>
      <c r="G347" s="30">
        <v>3.963917078671177</v>
      </c>
      <c r="H347" s="30">
        <v>45.927660681759043</v>
      </c>
      <c r="I347" s="8">
        <v>0</v>
      </c>
      <c r="J347" s="31">
        <v>0</v>
      </c>
      <c r="K347" s="31">
        <v>0</v>
      </c>
      <c r="L347" s="31">
        <v>0</v>
      </c>
      <c r="M347" s="31">
        <v>1</v>
      </c>
      <c r="N347" s="31">
        <v>0</v>
      </c>
      <c r="O347" s="31">
        <v>0</v>
      </c>
      <c r="P347" s="31">
        <v>0</v>
      </c>
      <c r="Q347" s="31">
        <v>0</v>
      </c>
      <c r="R347" s="31">
        <v>0</v>
      </c>
      <c r="S347" s="31">
        <v>0</v>
      </c>
      <c r="T347" s="21" cm="1">
        <f t="array" aca="1" ref="T347" ca="1">+fair_value_gap(OFFSET(S346,0,0,-1*$I$5,-1*$Z$1),OFFSET(E346,0,0,-1*$I$5,1),F347:S347,0)</f>
        <v>14.200076632437288</v>
      </c>
      <c r="U347" s="7" t="str" cm="1">
        <f t="array" aca="1" ref="U347" ca="1">z_score_diff(OFFSET(T347,0,0,$I$5*-1,1),OFFSET(E347,0,0,$I$5*-1,1))</f>
        <v/>
      </c>
      <c r="V347" s="7" t="str">
        <f t="shared" ca="1" si="357"/>
        <v/>
      </c>
      <c r="W347" s="14">
        <f t="shared" ca="1" si="352"/>
        <v>0.12504333225476727</v>
      </c>
      <c r="X347" s="10">
        <f t="shared" ref="X347:Y347" ca="1" si="378">+X346</f>
        <v>0</v>
      </c>
      <c r="Y347" s="10">
        <f t="shared" ca="1" si="378"/>
        <v>0</v>
      </c>
      <c r="Z347" t="str">
        <f t="shared" ca="1" si="359"/>
        <v/>
      </c>
      <c r="AA347" t="str">
        <f t="shared" ca="1" si="360"/>
        <v/>
      </c>
      <c r="AB347" s="19" t="str">
        <f t="shared" ca="1" si="361"/>
        <v/>
      </c>
      <c r="AC347" s="19" t="str">
        <f t="shared" ca="1" si="362"/>
        <v/>
      </c>
    </row>
    <row r="348" spans="3:29" x14ac:dyDescent="0.25">
      <c r="C348" s="4">
        <v>341</v>
      </c>
      <c r="D348" s="28">
        <v>42493</v>
      </c>
      <c r="E348" s="30">
        <v>12.148</v>
      </c>
      <c r="F348" s="30">
        <v>39.121357111787731</v>
      </c>
      <c r="G348" s="30">
        <v>3.9321444106133097</v>
      </c>
      <c r="H348" s="30">
        <v>45.976511526750762</v>
      </c>
      <c r="I348" s="8">
        <v>0</v>
      </c>
      <c r="J348" s="31">
        <v>0</v>
      </c>
      <c r="K348" s="31">
        <v>0</v>
      </c>
      <c r="L348" s="31">
        <v>0</v>
      </c>
      <c r="M348" s="31">
        <v>1</v>
      </c>
      <c r="N348" s="31">
        <v>0</v>
      </c>
      <c r="O348" s="31">
        <v>0</v>
      </c>
      <c r="P348" s="31">
        <v>0</v>
      </c>
      <c r="Q348" s="31">
        <v>0</v>
      </c>
      <c r="R348" s="31">
        <v>0</v>
      </c>
      <c r="S348" s="31">
        <v>0</v>
      </c>
      <c r="T348" s="21" cm="1">
        <f t="array" aca="1" ref="T348" ca="1">+fair_value_gap(OFFSET(S347,0,0,-1*$I$5,-1*$Z$1),OFFSET(E347,0,0,-1*$I$5,1),F348:S348,0)</f>
        <v>13.555898996537438</v>
      </c>
      <c r="U348" s="7" t="str" cm="1">
        <f t="array" aca="1" ref="U348" ca="1">z_score_diff(OFFSET(T348,0,0,$I$5*-1,1),OFFSET(E348,0,0,$I$5*-1,1))</f>
        <v/>
      </c>
      <c r="V348" s="7" t="str">
        <f t="shared" ca="1" si="357"/>
        <v/>
      </c>
      <c r="W348" s="14">
        <f t="shared" ca="1" si="352"/>
        <v>0.15874989949817911</v>
      </c>
      <c r="X348" s="10">
        <f t="shared" ref="X348:Y348" ca="1" si="379">+X347</f>
        <v>0</v>
      </c>
      <c r="Y348" s="10">
        <f t="shared" ca="1" si="379"/>
        <v>0</v>
      </c>
      <c r="Z348" t="str">
        <f t="shared" ca="1" si="359"/>
        <v/>
      </c>
      <c r="AA348" t="str">
        <f t="shared" ca="1" si="360"/>
        <v/>
      </c>
      <c r="AB348" s="19" t="str">
        <f t="shared" ca="1" si="361"/>
        <v/>
      </c>
      <c r="AC348" s="19" t="str">
        <f t="shared" ca="1" si="362"/>
        <v/>
      </c>
    </row>
    <row r="349" spans="3:29" x14ac:dyDescent="0.25">
      <c r="C349" s="4">
        <v>342</v>
      </c>
      <c r="D349" s="28">
        <v>42494</v>
      </c>
      <c r="E349" s="30">
        <v>12.425000000000001</v>
      </c>
      <c r="F349" s="30">
        <v>38.850674793208526</v>
      </c>
      <c r="G349" s="30">
        <v>3.9181541140618195</v>
      </c>
      <c r="H349" s="30">
        <v>46.321288637353071</v>
      </c>
      <c r="I349" s="8">
        <v>0</v>
      </c>
      <c r="J349" s="31">
        <v>0</v>
      </c>
      <c r="K349" s="31">
        <v>0</v>
      </c>
      <c r="L349" s="31">
        <v>0</v>
      </c>
      <c r="M349" s="31">
        <v>1</v>
      </c>
      <c r="N349" s="31">
        <v>0</v>
      </c>
      <c r="O349" s="31">
        <v>0</v>
      </c>
      <c r="P349" s="31">
        <v>0</v>
      </c>
      <c r="Q349" s="31">
        <v>0</v>
      </c>
      <c r="R349" s="31">
        <v>0</v>
      </c>
      <c r="S349" s="31">
        <v>0</v>
      </c>
      <c r="T349" s="21" cm="1">
        <f t="array" aca="1" ref="T349" ca="1">+fair_value_gap(OFFSET(S348,0,0,-1*$I$5,-1*$Z$1),OFFSET(E348,0,0,-1*$I$5,1),F349:S349,0)</f>
        <v>13.163645365158727</v>
      </c>
      <c r="U349" s="7" t="str" cm="1">
        <f t="array" aca="1" ref="U349" ca="1">z_score_diff(OFFSET(T349,0,0,$I$5*-1,1),OFFSET(E349,0,0,$I$5*-1,1))</f>
        <v/>
      </c>
      <c r="V349" s="7" t="str">
        <f t="shared" ca="1" si="357"/>
        <v/>
      </c>
      <c r="W349" s="14">
        <f t="shared" ca="1" si="352"/>
        <v>0.12454749603173829</v>
      </c>
      <c r="X349" s="10">
        <f t="shared" ref="X349:Y349" ca="1" si="380">+X348</f>
        <v>0</v>
      </c>
      <c r="Y349" s="10">
        <f t="shared" ca="1" si="380"/>
        <v>0</v>
      </c>
      <c r="Z349" t="str">
        <f t="shared" ca="1" si="359"/>
        <v/>
      </c>
      <c r="AA349" t="str">
        <f t="shared" ca="1" si="360"/>
        <v/>
      </c>
      <c r="AB349" s="19" t="str">
        <f t="shared" ca="1" si="361"/>
        <v/>
      </c>
      <c r="AC349" s="19" t="str">
        <f t="shared" ca="1" si="362"/>
        <v/>
      </c>
    </row>
    <row r="350" spans="3:29" x14ac:dyDescent="0.25">
      <c r="C350" s="4">
        <v>343</v>
      </c>
      <c r="D350" s="28">
        <v>42495</v>
      </c>
      <c r="E350" s="30">
        <v>12.834</v>
      </c>
      <c r="F350" s="30">
        <v>39.468607506138191</v>
      </c>
      <c r="G350" s="30">
        <v>3.9459838653104171</v>
      </c>
      <c r="H350" s="30">
        <v>46.913363732023846</v>
      </c>
      <c r="I350" s="8">
        <v>0</v>
      </c>
      <c r="J350" s="31">
        <v>0</v>
      </c>
      <c r="K350" s="31">
        <v>0</v>
      </c>
      <c r="L350" s="31">
        <v>0</v>
      </c>
      <c r="M350" s="31">
        <v>1</v>
      </c>
      <c r="N350" s="31">
        <v>0</v>
      </c>
      <c r="O350" s="31">
        <v>0</v>
      </c>
      <c r="P350" s="31">
        <v>0</v>
      </c>
      <c r="Q350" s="31">
        <v>0</v>
      </c>
      <c r="R350" s="31">
        <v>0</v>
      </c>
      <c r="S350" s="31">
        <v>0</v>
      </c>
      <c r="T350" s="21" cm="1">
        <f t="array" aca="1" ref="T350" ca="1">+fair_value_gap(OFFSET(S349,0,0,-1*$I$5,-1*$Z$1),OFFSET(E349,0,0,-1*$I$5,1),F350:S350,0)</f>
        <v>13.15758032364929</v>
      </c>
      <c r="U350" s="7" t="str" cm="1">
        <f t="array" aca="1" ref="U350" ca="1">z_score_diff(OFFSET(T350,0,0,$I$5*-1,1),OFFSET(E350,0,0,$I$5*-1,1))</f>
        <v/>
      </c>
      <c r="V350" s="7" t="str">
        <f t="shared" ca="1" si="357"/>
        <v/>
      </c>
      <c r="W350" s="14">
        <f t="shared" ca="1" si="352"/>
        <v>0.1146440779522101</v>
      </c>
      <c r="X350" s="10">
        <f t="shared" ref="X350:Y350" ca="1" si="381">+X349</f>
        <v>0</v>
      </c>
      <c r="Y350" s="10">
        <f t="shared" ca="1" si="381"/>
        <v>0</v>
      </c>
      <c r="Z350" t="str">
        <f t="shared" ca="1" si="359"/>
        <v/>
      </c>
      <c r="AA350" t="str">
        <f t="shared" ca="1" si="360"/>
        <v/>
      </c>
      <c r="AB350" s="19" t="str">
        <f t="shared" ca="1" si="361"/>
        <v/>
      </c>
      <c r="AC350" s="19" t="str">
        <f t="shared" ca="1" si="362"/>
        <v/>
      </c>
    </row>
    <row r="351" spans="3:29" x14ac:dyDescent="0.25">
      <c r="C351" s="4">
        <v>344</v>
      </c>
      <c r="D351" s="28">
        <v>42496</v>
      </c>
      <c r="E351" s="30">
        <v>12.875</v>
      </c>
      <c r="F351" s="30">
        <v>39.791264690405185</v>
      </c>
      <c r="G351" s="30">
        <v>3.9203648482722322</v>
      </c>
      <c r="H351" s="30">
        <v>47.053148570426238</v>
      </c>
      <c r="I351" s="8">
        <v>0</v>
      </c>
      <c r="J351" s="31">
        <v>0</v>
      </c>
      <c r="K351" s="31">
        <v>0</v>
      </c>
      <c r="L351" s="31">
        <v>0</v>
      </c>
      <c r="M351" s="31">
        <v>1</v>
      </c>
      <c r="N351" s="31">
        <v>0</v>
      </c>
      <c r="O351" s="31">
        <v>0</v>
      </c>
      <c r="P351" s="31">
        <v>0</v>
      </c>
      <c r="Q351" s="31">
        <v>0</v>
      </c>
      <c r="R351" s="31">
        <v>0</v>
      </c>
      <c r="S351" s="31">
        <v>0</v>
      </c>
      <c r="T351" s="21" cm="1">
        <f t="array" aca="1" ref="T351" ca="1">+fair_value_gap(OFFSET(S350,0,0,-1*$I$5,-1*$Z$1),OFFSET(E350,0,0,-1*$I$5,1),F351:S351,0)</f>
        <v>13.097359625976795</v>
      </c>
      <c r="U351" s="7" t="str" cm="1">
        <f t="array" aca="1" ref="U351" ca="1">z_score_diff(OFFSET(T351,0,0,$I$5*-1,1),OFFSET(E351,0,0,$I$5*-1,1))</f>
        <v/>
      </c>
      <c r="V351" s="7" t="str">
        <f t="shared" ca="1" si="357"/>
        <v/>
      </c>
      <c r="W351" s="14">
        <f t="shared" ca="1" si="352"/>
        <v>0.10273182094684534</v>
      </c>
      <c r="X351" s="10">
        <f t="shared" ref="X351:Y351" ca="1" si="382">+X350</f>
        <v>0</v>
      </c>
      <c r="Y351" s="10">
        <f t="shared" ca="1" si="382"/>
        <v>0</v>
      </c>
      <c r="Z351" t="str">
        <f t="shared" ca="1" si="359"/>
        <v/>
      </c>
      <c r="AA351" t="str">
        <f t="shared" ca="1" si="360"/>
        <v/>
      </c>
      <c r="AB351" s="19" t="str">
        <f t="shared" ca="1" si="361"/>
        <v/>
      </c>
      <c r="AC351" s="19" t="str">
        <f t="shared" ca="1" si="362"/>
        <v/>
      </c>
    </row>
    <row r="352" spans="3:29" x14ac:dyDescent="0.25">
      <c r="C352" s="4">
        <v>345</v>
      </c>
      <c r="D352" s="28">
        <v>42499</v>
      </c>
      <c r="E352" s="30">
        <v>13.122999999999999</v>
      </c>
      <c r="F352" s="30">
        <v>38.33582286266585</v>
      </c>
      <c r="G352" s="30">
        <v>3.9144187681223097</v>
      </c>
      <c r="H352" s="30">
        <v>46.876372902205439</v>
      </c>
      <c r="I352" s="8">
        <v>0</v>
      </c>
      <c r="J352" s="31">
        <v>0</v>
      </c>
      <c r="K352" s="31">
        <v>0</v>
      </c>
      <c r="L352" s="31">
        <v>0</v>
      </c>
      <c r="M352" s="31">
        <v>1</v>
      </c>
      <c r="N352" s="31">
        <v>0</v>
      </c>
      <c r="O352" s="31">
        <v>0</v>
      </c>
      <c r="P352" s="31">
        <v>0</v>
      </c>
      <c r="Q352" s="31">
        <v>0</v>
      </c>
      <c r="R352" s="31">
        <v>0</v>
      </c>
      <c r="S352" s="31">
        <v>0</v>
      </c>
      <c r="T352" s="21" cm="1">
        <f t="array" aca="1" ref="T352" ca="1">+fair_value_gap(OFFSET(S351,0,0,-1*$I$5,-1*$Z$1),OFFSET(E351,0,0,-1*$I$5,1),F352:S352,0)</f>
        <v>12.76029143974193</v>
      </c>
      <c r="U352" s="7" t="str" cm="1">
        <f t="array" aca="1" ref="U352" ca="1">z_score_diff(OFFSET(T352,0,0,$I$5*-1,1),OFFSET(E352,0,0,$I$5*-1,1))</f>
        <v/>
      </c>
      <c r="V352" s="7" t="str">
        <f t="shared" ca="1" si="357"/>
        <v/>
      </c>
      <c r="W352" s="14">
        <f t="shared" ca="1" si="352"/>
        <v>9.9506333386473897E-2</v>
      </c>
      <c r="X352" s="10">
        <f t="shared" ref="X352:Y352" ca="1" si="383">+X351</f>
        <v>0</v>
      </c>
      <c r="Y352" s="10">
        <f t="shared" ca="1" si="383"/>
        <v>0</v>
      </c>
      <c r="Z352" t="str">
        <f t="shared" ca="1" si="359"/>
        <v/>
      </c>
      <c r="AA352" t="str">
        <f t="shared" ca="1" si="360"/>
        <v/>
      </c>
      <c r="AB352" s="19" t="str">
        <f t="shared" ca="1" si="361"/>
        <v/>
      </c>
      <c r="AC352" s="19" t="str">
        <f t="shared" ca="1" si="362"/>
        <v/>
      </c>
    </row>
    <row r="353" spans="3:29" x14ac:dyDescent="0.25">
      <c r="C353" s="4">
        <v>346</v>
      </c>
      <c r="D353" s="28">
        <v>42500</v>
      </c>
      <c r="E353" s="30">
        <v>12.919</v>
      </c>
      <c r="F353" s="30">
        <v>40.042223786066153</v>
      </c>
      <c r="G353" s="30">
        <v>3.9188951442646025</v>
      </c>
      <c r="H353" s="30">
        <v>46.842012667135819</v>
      </c>
      <c r="I353" s="8">
        <v>0</v>
      </c>
      <c r="J353" s="31">
        <v>0</v>
      </c>
      <c r="K353" s="31">
        <v>0</v>
      </c>
      <c r="L353" s="31">
        <v>0</v>
      </c>
      <c r="M353" s="31">
        <v>1</v>
      </c>
      <c r="N353" s="31">
        <v>0</v>
      </c>
      <c r="O353" s="31">
        <v>0</v>
      </c>
      <c r="P353" s="31">
        <v>0</v>
      </c>
      <c r="Q353" s="31">
        <v>0</v>
      </c>
      <c r="R353" s="31">
        <v>0</v>
      </c>
      <c r="S353" s="31">
        <v>0</v>
      </c>
      <c r="T353" s="21" cm="1">
        <f t="array" aca="1" ref="T353" ca="1">+fair_value_gap(OFFSET(S352,0,0,-1*$I$5,-1*$Z$1),OFFSET(E352,0,0,-1*$I$5,1),F353:S353,0)</f>
        <v>13.087453606922297</v>
      </c>
      <c r="U353" s="7" t="str" cm="1">
        <f t="array" aca="1" ref="U353" ca="1">z_score_diff(OFFSET(T353,0,0,$I$5*-1,1),OFFSET(E353,0,0,$I$5*-1,1))</f>
        <v/>
      </c>
      <c r="V353" s="7" t="str">
        <f t="shared" ca="1" si="357"/>
        <v/>
      </c>
      <c r="W353" s="14">
        <f t="shared" ca="1" si="352"/>
        <v>0.12369135834346812</v>
      </c>
      <c r="X353" s="10">
        <f t="shared" ref="X353:Y353" ca="1" si="384">+X352</f>
        <v>0</v>
      </c>
      <c r="Y353" s="10">
        <f t="shared" ca="1" si="384"/>
        <v>0</v>
      </c>
      <c r="Z353" t="str">
        <f t="shared" ca="1" si="359"/>
        <v/>
      </c>
      <c r="AA353" t="str">
        <f t="shared" ca="1" si="360"/>
        <v/>
      </c>
      <c r="AB353" s="19" t="str">
        <f t="shared" ca="1" si="361"/>
        <v/>
      </c>
      <c r="AC353" s="19" t="str">
        <f t="shared" ca="1" si="362"/>
        <v/>
      </c>
    </row>
    <row r="354" spans="3:29" x14ac:dyDescent="0.25">
      <c r="C354" s="4">
        <v>347</v>
      </c>
      <c r="D354" s="28">
        <v>42501</v>
      </c>
      <c r="E354" s="30">
        <v>13.010999999999999</v>
      </c>
      <c r="F354" s="30">
        <v>41.663019693654263</v>
      </c>
      <c r="G354" s="30">
        <v>3.8993435448577678</v>
      </c>
      <c r="H354" s="30">
        <v>46.870897155361043</v>
      </c>
      <c r="I354" s="8">
        <v>0</v>
      </c>
      <c r="J354" s="31">
        <v>0</v>
      </c>
      <c r="K354" s="31">
        <v>0</v>
      </c>
      <c r="L354" s="31">
        <v>0</v>
      </c>
      <c r="M354" s="31">
        <v>1</v>
      </c>
      <c r="N354" s="31">
        <v>0</v>
      </c>
      <c r="O354" s="31">
        <v>0</v>
      </c>
      <c r="P354" s="31">
        <v>0</v>
      </c>
      <c r="Q354" s="31">
        <v>0</v>
      </c>
      <c r="R354" s="31">
        <v>0</v>
      </c>
      <c r="S354" s="31">
        <v>0</v>
      </c>
      <c r="T354" s="21" cm="1">
        <f t="array" aca="1" ref="T354" ca="1">+fair_value_gap(OFFSET(S353,0,0,-1*$I$5,-1*$Z$1),OFFSET(E353,0,0,-1*$I$5,1),F354:S354,0)</f>
        <v>13.328254082384237</v>
      </c>
      <c r="U354" s="7" t="str" cm="1">
        <f t="array" aca="1" ref="U354" ca="1">z_score_diff(OFFSET(T354,0,0,$I$5*-1,1),OFFSET(E354,0,0,$I$5*-1,1))</f>
        <v/>
      </c>
      <c r="V354" s="7" t="str">
        <f t="shared" ca="1" si="357"/>
        <v/>
      </c>
      <c r="W354" s="14">
        <f t="shared" ca="1" si="352"/>
        <v>0.10143305306061622</v>
      </c>
      <c r="X354" s="10">
        <f t="shared" ref="X354:Y354" ca="1" si="385">+X353</f>
        <v>0</v>
      </c>
      <c r="Y354" s="10">
        <f t="shared" ca="1" si="385"/>
        <v>0</v>
      </c>
      <c r="Z354" t="str">
        <f t="shared" ca="1" si="359"/>
        <v/>
      </c>
      <c r="AA354" t="str">
        <f t="shared" ca="1" si="360"/>
        <v/>
      </c>
      <c r="AB354" s="19" t="str">
        <f t="shared" ca="1" si="361"/>
        <v/>
      </c>
      <c r="AC354" s="19" t="str">
        <f t="shared" ca="1" si="362"/>
        <v/>
      </c>
    </row>
    <row r="355" spans="3:29" x14ac:dyDescent="0.25">
      <c r="C355" s="4">
        <v>348</v>
      </c>
      <c r="D355" s="28">
        <v>42502</v>
      </c>
      <c r="E355" s="30">
        <v>12.914</v>
      </c>
      <c r="F355" s="30">
        <v>42.268131868131867</v>
      </c>
      <c r="G355" s="30">
        <v>3.9208791208791212</v>
      </c>
      <c r="H355" s="30">
        <v>47.120879120879124</v>
      </c>
      <c r="I355" s="8">
        <v>0</v>
      </c>
      <c r="J355" s="31">
        <v>0</v>
      </c>
      <c r="K355" s="31">
        <v>0</v>
      </c>
      <c r="L355" s="31">
        <v>0</v>
      </c>
      <c r="M355" s="31">
        <v>1</v>
      </c>
      <c r="N355" s="31">
        <v>0</v>
      </c>
      <c r="O355" s="31">
        <v>0</v>
      </c>
      <c r="P355" s="31">
        <v>0</v>
      </c>
      <c r="Q355" s="31">
        <v>0</v>
      </c>
      <c r="R355" s="31">
        <v>0</v>
      </c>
      <c r="S355" s="31">
        <v>0</v>
      </c>
      <c r="T355" s="21" cm="1">
        <f t="array" aca="1" ref="T355" ca="1">+fair_value_gap(OFFSET(S354,0,0,-1*$I$5,-1*$Z$1),OFFSET(E354,0,0,-1*$I$5,1),F355:S355,0)</f>
        <v>13.437101075078418</v>
      </c>
      <c r="U355" s="7" t="str" cm="1">
        <f t="array" aca="1" ref="U355" ca="1">z_score_diff(OFFSET(T355,0,0,$I$5*-1,1),OFFSET(E355,0,0,$I$5*-1,1))</f>
        <v/>
      </c>
      <c r="V355" s="7" t="str">
        <f t="shared" ca="1" si="357"/>
        <v/>
      </c>
      <c r="W355" s="14">
        <f t="shared" ca="1" si="352"/>
        <v>9.443689111284552E-2</v>
      </c>
      <c r="X355" s="10">
        <f t="shared" ref="X355:Y355" ca="1" si="386">+X354</f>
        <v>0</v>
      </c>
      <c r="Y355" s="10">
        <f t="shared" ca="1" si="386"/>
        <v>0</v>
      </c>
      <c r="Z355" t="str">
        <f t="shared" ca="1" si="359"/>
        <v/>
      </c>
      <c r="AA355" t="str">
        <f t="shared" ca="1" si="360"/>
        <v/>
      </c>
      <c r="AB355" s="19" t="str">
        <f t="shared" ca="1" si="361"/>
        <v/>
      </c>
      <c r="AC355" s="19" t="str">
        <f t="shared" ca="1" si="362"/>
        <v/>
      </c>
    </row>
    <row r="356" spans="3:29" x14ac:dyDescent="0.25">
      <c r="C356" s="4">
        <v>349</v>
      </c>
      <c r="D356" s="28">
        <v>42503</v>
      </c>
      <c r="E356" s="30">
        <v>12.853999999999999</v>
      </c>
      <c r="F356" s="30">
        <v>42.308712958867751</v>
      </c>
      <c r="G356" s="30">
        <v>3.94515701017249</v>
      </c>
      <c r="H356" s="30">
        <v>47.368421052631575</v>
      </c>
      <c r="I356" s="8">
        <v>0</v>
      </c>
      <c r="J356" s="31">
        <v>0</v>
      </c>
      <c r="K356" s="31">
        <v>0</v>
      </c>
      <c r="L356" s="31">
        <v>0</v>
      </c>
      <c r="M356" s="31">
        <v>1</v>
      </c>
      <c r="N356" s="31">
        <v>0</v>
      </c>
      <c r="O356" s="31">
        <v>0</v>
      </c>
      <c r="P356" s="31">
        <v>0</v>
      </c>
      <c r="Q356" s="31">
        <v>0</v>
      </c>
      <c r="R356" s="31">
        <v>0</v>
      </c>
      <c r="S356" s="31">
        <v>0</v>
      </c>
      <c r="T356" s="21" cm="1">
        <f t="array" aca="1" ref="T356" ca="1">+fair_value_gap(OFFSET(S355,0,0,-1*$I$5,-1*$Z$1),OFFSET(E355,0,0,-1*$I$5,1),F356:S356,0)</f>
        <v>13.431666690189777</v>
      </c>
      <c r="U356" s="7" t="str" cm="1">
        <f t="array" aca="1" ref="U356" ca="1">z_score_diff(OFFSET(T356,0,0,$I$5*-1,1),OFFSET(E356,0,0,$I$5*-1,1))</f>
        <v/>
      </c>
      <c r="V356" s="7" t="str">
        <f t="shared" ca="1" si="357"/>
        <v/>
      </c>
      <c r="W356" s="14">
        <f t="shared" ca="1" si="352"/>
        <v>8.4473279848072444E-2</v>
      </c>
      <c r="X356" s="10">
        <f t="shared" ref="X356:Y356" ca="1" si="387">+X355</f>
        <v>0</v>
      </c>
      <c r="Y356" s="10">
        <f t="shared" ca="1" si="387"/>
        <v>0</v>
      </c>
      <c r="Z356" t="str">
        <f t="shared" ca="1" si="359"/>
        <v/>
      </c>
      <c r="AA356" t="str">
        <f t="shared" ca="1" si="360"/>
        <v/>
      </c>
      <c r="AB356" s="19" t="str">
        <f t="shared" ca="1" si="361"/>
        <v/>
      </c>
      <c r="AC356" s="19" t="str">
        <f t="shared" ca="1" si="362"/>
        <v/>
      </c>
    </row>
    <row r="357" spans="3:29" x14ac:dyDescent="0.25">
      <c r="C357" s="4">
        <v>350</v>
      </c>
      <c r="D357" s="28">
        <v>42506</v>
      </c>
      <c r="E357" s="30">
        <v>13.093999999999999</v>
      </c>
      <c r="F357" s="30">
        <v>43.275008837044894</v>
      </c>
      <c r="G357" s="30">
        <v>3.9545775892541535</v>
      </c>
      <c r="H357" s="30">
        <v>47.587486744432667</v>
      </c>
      <c r="I357" s="8">
        <v>0</v>
      </c>
      <c r="J357" s="31">
        <v>0</v>
      </c>
      <c r="K357" s="31">
        <v>0</v>
      </c>
      <c r="L357" s="31">
        <v>0</v>
      </c>
      <c r="M357" s="31">
        <v>1</v>
      </c>
      <c r="N357" s="31">
        <v>0</v>
      </c>
      <c r="O357" s="31">
        <v>0</v>
      </c>
      <c r="P357" s="31">
        <v>0</v>
      </c>
      <c r="Q357" s="31">
        <v>0</v>
      </c>
      <c r="R357" s="31">
        <v>0</v>
      </c>
      <c r="S357" s="31">
        <v>0</v>
      </c>
      <c r="T357" s="21" cm="1">
        <f t="array" aca="1" ref="T357" ca="1">+fair_value_gap(OFFSET(S356,0,0,-1*$I$5,-1*$Z$1),OFFSET(E356,0,0,-1*$I$5,1),F357:S357,0)</f>
        <v>13.571765580673421</v>
      </c>
      <c r="U357" s="7" t="str" cm="1">
        <f t="array" aca="1" ref="U357" ca="1">z_score_diff(OFFSET(T357,0,0,$I$5*-1,1),OFFSET(E357,0,0,$I$5*-1,1))</f>
        <v/>
      </c>
      <c r="V357" s="7" t="str">
        <f t="shared" ca="1" si="357"/>
        <v/>
      </c>
      <c r="W357" s="14">
        <f t="shared" ca="1" si="352"/>
        <v>5.6131122614447963E-2</v>
      </c>
      <c r="X357" s="10">
        <f t="shared" ref="X357:Y357" ca="1" si="388">+X356</f>
        <v>0</v>
      </c>
      <c r="Y357" s="10">
        <f t="shared" ca="1" si="388"/>
        <v>0</v>
      </c>
      <c r="Z357" t="str">
        <f t="shared" ca="1" si="359"/>
        <v/>
      </c>
      <c r="AA357" t="str">
        <f t="shared" ca="1" si="360"/>
        <v/>
      </c>
      <c r="AB357" s="19" t="str">
        <f t="shared" ca="1" si="361"/>
        <v/>
      </c>
      <c r="AC357" s="19" t="str">
        <f t="shared" ca="1" si="362"/>
        <v/>
      </c>
    </row>
    <row r="358" spans="3:29" x14ac:dyDescent="0.25">
      <c r="C358" s="4">
        <v>351</v>
      </c>
      <c r="D358" s="28">
        <v>42507</v>
      </c>
      <c r="E358" s="30">
        <v>13.144</v>
      </c>
      <c r="F358" s="30">
        <v>43.568207939174258</v>
      </c>
      <c r="G358" s="30">
        <v>3.9563257006453894</v>
      </c>
      <c r="H358" s="30">
        <v>47.652727433471838</v>
      </c>
      <c r="I358" s="8">
        <v>0</v>
      </c>
      <c r="J358" s="31">
        <v>0</v>
      </c>
      <c r="K358" s="31">
        <v>0</v>
      </c>
      <c r="L358" s="31">
        <v>0</v>
      </c>
      <c r="M358" s="31">
        <v>1</v>
      </c>
      <c r="N358" s="31">
        <v>0</v>
      </c>
      <c r="O358" s="31">
        <v>0</v>
      </c>
      <c r="P358" s="31">
        <v>0</v>
      </c>
      <c r="Q358" s="31">
        <v>0</v>
      </c>
      <c r="R358" s="31">
        <v>0</v>
      </c>
      <c r="S358" s="31">
        <v>0</v>
      </c>
      <c r="T358" s="21" cm="1">
        <f t="array" aca="1" ref="T358" ca="1">+fair_value_gap(OFFSET(S357,0,0,-1*$I$5,-1*$Z$1),OFFSET(E357,0,0,-1*$I$5,1),F358:S358,0)</f>
        <v>13.568854999492439</v>
      </c>
      <c r="U358" s="7" t="str" cm="1">
        <f t="array" aca="1" ref="U358" ca="1">z_score_diff(OFFSET(T358,0,0,$I$5*-1,1),OFFSET(E358,0,0,$I$5*-1,1))</f>
        <v/>
      </c>
      <c r="V358" s="7" t="str">
        <f t="shared" ca="1" si="357"/>
        <v/>
      </c>
      <c r="W358" s="14">
        <f t="shared" ca="1" si="352"/>
        <v>6.4519500871477092E-2</v>
      </c>
      <c r="X358" s="10">
        <f t="shared" ref="X358:Y358" ca="1" si="389">+X357</f>
        <v>0</v>
      </c>
      <c r="Y358" s="10">
        <f t="shared" ca="1" si="389"/>
        <v>0</v>
      </c>
      <c r="Z358" t="str">
        <f t="shared" ca="1" si="359"/>
        <v/>
      </c>
      <c r="AA358" t="str">
        <f t="shared" ca="1" si="360"/>
        <v/>
      </c>
      <c r="AB358" s="19" t="str">
        <f t="shared" ca="1" si="361"/>
        <v/>
      </c>
      <c r="AC358" s="19" t="str">
        <f t="shared" ca="1" si="362"/>
        <v/>
      </c>
    </row>
    <row r="359" spans="3:29" x14ac:dyDescent="0.25">
      <c r="C359" s="4">
        <v>352</v>
      </c>
      <c r="D359" s="28">
        <v>42508</v>
      </c>
      <c r="E359" s="30">
        <v>13.096</v>
      </c>
      <c r="F359" s="30">
        <v>43.629068212215785</v>
      </c>
      <c r="G359" s="30">
        <v>4.1105662059741421</v>
      </c>
      <c r="H359" s="30">
        <v>47.882300490414629</v>
      </c>
      <c r="I359" s="8">
        <v>0</v>
      </c>
      <c r="J359" s="31">
        <v>0</v>
      </c>
      <c r="K359" s="31">
        <v>0</v>
      </c>
      <c r="L359" s="31">
        <v>0</v>
      </c>
      <c r="M359" s="31">
        <v>1</v>
      </c>
      <c r="N359" s="31">
        <v>0</v>
      </c>
      <c r="O359" s="31">
        <v>0</v>
      </c>
      <c r="P359" s="31">
        <v>0</v>
      </c>
      <c r="Q359" s="31">
        <v>0</v>
      </c>
      <c r="R359" s="31">
        <v>0</v>
      </c>
      <c r="S359" s="31">
        <v>0</v>
      </c>
      <c r="T359" s="21" cm="1">
        <f t="array" aca="1" ref="T359" ca="1">+fair_value_gap(OFFSET(S358,0,0,-1*$I$5,-1*$Z$1),OFFSET(E358,0,0,-1*$I$5,1),F359:S359,0)</f>
        <v>13.659509183270725</v>
      </c>
      <c r="U359" s="7" t="str" cm="1">
        <f t="array" aca="1" ref="U359" ca="1">z_score_diff(OFFSET(T359,0,0,$I$5*-1,1),OFFSET(E359,0,0,$I$5*-1,1))</f>
        <v/>
      </c>
      <c r="V359" s="7" t="str">
        <f t="shared" ca="1" si="357"/>
        <v/>
      </c>
      <c r="W359" s="14">
        <f t="shared" ca="1" si="352"/>
        <v>8.0935124538381184E-2</v>
      </c>
      <c r="X359" s="10">
        <f t="shared" ref="X359:Y359" ca="1" si="390">+X358</f>
        <v>0</v>
      </c>
      <c r="Y359" s="10">
        <f t="shared" ca="1" si="390"/>
        <v>0</v>
      </c>
      <c r="Z359" t="str">
        <f t="shared" ca="1" si="359"/>
        <v/>
      </c>
      <c r="AA359" t="str">
        <f t="shared" ca="1" si="360"/>
        <v/>
      </c>
      <c r="AB359" s="19" t="str">
        <f t="shared" ca="1" si="361"/>
        <v/>
      </c>
      <c r="AC359" s="19" t="str">
        <f t="shared" ca="1" si="362"/>
        <v/>
      </c>
    </row>
    <row r="360" spans="3:29" x14ac:dyDescent="0.25">
      <c r="C360" s="4">
        <v>353</v>
      </c>
      <c r="D360" s="28">
        <v>42509</v>
      </c>
      <c r="E360" s="30">
        <v>12.951000000000001</v>
      </c>
      <c r="F360" s="30">
        <v>43.572576325656129</v>
      </c>
      <c r="G360" s="30">
        <v>4.1153365470451702</v>
      </c>
      <c r="H360" s="30">
        <v>47.625424031422959</v>
      </c>
      <c r="I360" s="8">
        <v>0</v>
      </c>
      <c r="J360" s="31">
        <v>0</v>
      </c>
      <c r="K360" s="31">
        <v>0</v>
      </c>
      <c r="L360" s="31">
        <v>0</v>
      </c>
      <c r="M360" s="31">
        <v>1</v>
      </c>
      <c r="N360" s="31">
        <v>0</v>
      </c>
      <c r="O360" s="31">
        <v>0</v>
      </c>
      <c r="P360" s="31">
        <v>0</v>
      </c>
      <c r="Q360" s="31">
        <v>0</v>
      </c>
      <c r="R360" s="31">
        <v>0</v>
      </c>
      <c r="S360" s="31">
        <v>0</v>
      </c>
      <c r="T360" s="21" cm="1">
        <f t="array" aca="1" ref="T360" ca="1">+fair_value_gap(OFFSET(S359,0,0,-1*$I$5,-1*$Z$1),OFFSET(E359,0,0,-1*$I$5,1),F360:S360,0)</f>
        <v>13.506259103804325</v>
      </c>
      <c r="U360" s="7" t="str" cm="1">
        <f t="array" aca="1" ref="U360" ca="1">z_score_diff(OFFSET(T360,0,0,$I$5*-1,1),OFFSET(E360,0,0,$I$5*-1,1))</f>
        <v/>
      </c>
      <c r="V360" s="7" t="str">
        <f t="shared" ca="1" si="357"/>
        <v/>
      </c>
      <c r="W360" s="14">
        <f t="shared" ca="1" si="352"/>
        <v>9.0377388621274993E-2</v>
      </c>
      <c r="X360" s="10">
        <f t="shared" ref="X360:Y360" ca="1" si="391">+X359</f>
        <v>0</v>
      </c>
      <c r="Y360" s="10">
        <f t="shared" ca="1" si="391"/>
        <v>0</v>
      </c>
      <c r="Z360" t="str">
        <f t="shared" ca="1" si="359"/>
        <v/>
      </c>
      <c r="AA360" t="str">
        <f t="shared" ca="1" si="360"/>
        <v/>
      </c>
      <c r="AB360" s="19" t="str">
        <f t="shared" ca="1" si="361"/>
        <v/>
      </c>
      <c r="AC360" s="19" t="str">
        <f t="shared" ca="1" si="362"/>
        <v/>
      </c>
    </row>
    <row r="361" spans="3:29" x14ac:dyDescent="0.25">
      <c r="C361" s="4">
        <v>354</v>
      </c>
      <c r="D361" s="28">
        <v>42510</v>
      </c>
      <c r="E361" s="30">
        <v>13.028</v>
      </c>
      <c r="F361" s="30">
        <v>43.41472108358581</v>
      </c>
      <c r="G361" s="30">
        <v>4.1080021386562109</v>
      </c>
      <c r="H361" s="30">
        <v>47.629656032792731</v>
      </c>
      <c r="I361" s="8">
        <v>0</v>
      </c>
      <c r="J361" s="31">
        <v>0</v>
      </c>
      <c r="K361" s="31">
        <v>0</v>
      </c>
      <c r="L361" s="31">
        <v>0</v>
      </c>
      <c r="M361" s="31">
        <v>1</v>
      </c>
      <c r="N361" s="31">
        <v>0</v>
      </c>
      <c r="O361" s="31">
        <v>0</v>
      </c>
      <c r="P361" s="31">
        <v>0</v>
      </c>
      <c r="Q361" s="31">
        <v>0</v>
      </c>
      <c r="R361" s="31">
        <v>0</v>
      </c>
      <c r="S361" s="31">
        <v>0</v>
      </c>
      <c r="T361" s="21" cm="1">
        <f t="array" aca="1" ref="T361" ca="1">+fair_value_gap(OFFSET(S360,0,0,-1*$I$5,-1*$Z$1),OFFSET(E360,0,0,-1*$I$5,1),F361:S361,0)</f>
        <v>13.359980935137482</v>
      </c>
      <c r="U361" s="7" t="str" cm="1">
        <f t="array" aca="1" ref="U361" ca="1">z_score_diff(OFFSET(T361,0,0,$I$5*-1,1),OFFSET(E361,0,0,$I$5*-1,1))</f>
        <v/>
      </c>
      <c r="V361" s="7" t="str">
        <f t="shared" ca="1" si="357"/>
        <v/>
      </c>
      <c r="W361" s="14">
        <f t="shared" ca="1" si="352"/>
        <v>0.10828837144866177</v>
      </c>
      <c r="X361" s="10">
        <f t="shared" ref="X361:Y361" ca="1" si="392">+X360</f>
        <v>0</v>
      </c>
      <c r="Y361" s="10">
        <f t="shared" ca="1" si="392"/>
        <v>0</v>
      </c>
      <c r="Z361" t="str">
        <f t="shared" ca="1" si="359"/>
        <v/>
      </c>
      <c r="AA361" t="str">
        <f t="shared" ca="1" si="360"/>
        <v/>
      </c>
      <c r="AB361" s="19" t="str">
        <f t="shared" ca="1" si="361"/>
        <v/>
      </c>
      <c r="AC361" s="19" t="str">
        <f t="shared" ca="1" si="362"/>
        <v/>
      </c>
    </row>
    <row r="362" spans="3:29" x14ac:dyDescent="0.25">
      <c r="C362" s="4">
        <v>355</v>
      </c>
      <c r="D362" s="28">
        <v>42513</v>
      </c>
      <c r="E362" s="30">
        <v>12.917999999999999</v>
      </c>
      <c r="F362" s="30">
        <v>43.108059914407995</v>
      </c>
      <c r="G362" s="30">
        <v>4.1101997146932963</v>
      </c>
      <c r="H362" s="30">
        <v>47.521398002853068</v>
      </c>
      <c r="I362" s="8">
        <v>0</v>
      </c>
      <c r="J362" s="31">
        <v>0</v>
      </c>
      <c r="K362" s="31">
        <v>0</v>
      </c>
      <c r="L362" s="31">
        <v>0</v>
      </c>
      <c r="M362" s="31">
        <v>1</v>
      </c>
      <c r="N362" s="31">
        <v>0</v>
      </c>
      <c r="O362" s="31">
        <v>0</v>
      </c>
      <c r="P362" s="31">
        <v>0</v>
      </c>
      <c r="Q362" s="31">
        <v>0</v>
      </c>
      <c r="R362" s="31">
        <v>0</v>
      </c>
      <c r="S362" s="31">
        <v>0</v>
      </c>
      <c r="T362" s="21" cm="1">
        <f t="array" aca="1" ref="T362" ca="1">+fair_value_gap(OFFSET(S361,0,0,-1*$I$5,-1*$Z$1),OFFSET(E361,0,0,-1*$I$5,1),F362:S362,0)</f>
        <v>13.2844368265014</v>
      </c>
      <c r="U362" s="7" t="str" cm="1">
        <f t="array" aca="1" ref="U362" ca="1">z_score_diff(OFFSET(T362,0,0,$I$5*-1,1),OFFSET(E362,0,0,$I$5*-1,1))</f>
        <v/>
      </c>
      <c r="V362" s="7" t="str">
        <f t="shared" ca="1" si="357"/>
        <v/>
      </c>
      <c r="W362" s="14">
        <f t="shared" ca="1" si="352"/>
        <v>0.15898272629674073</v>
      </c>
      <c r="X362" s="10">
        <f t="shared" ref="X362:Y362" ca="1" si="393">+X361</f>
        <v>0</v>
      </c>
      <c r="Y362" s="10">
        <f t="shared" ca="1" si="393"/>
        <v>0</v>
      </c>
      <c r="Z362" t="str">
        <f t="shared" ca="1" si="359"/>
        <v/>
      </c>
      <c r="AA362" t="str">
        <f t="shared" ca="1" si="360"/>
        <v/>
      </c>
      <c r="AB362" s="19" t="str">
        <f t="shared" ca="1" si="361"/>
        <v/>
      </c>
      <c r="AC362" s="19" t="str">
        <f t="shared" ca="1" si="362"/>
        <v/>
      </c>
    </row>
    <row r="363" spans="3:29" x14ac:dyDescent="0.25">
      <c r="C363" s="4">
        <v>356</v>
      </c>
      <c r="D363" s="28">
        <v>42514</v>
      </c>
      <c r="E363" s="30">
        <v>12.999000000000001</v>
      </c>
      <c r="F363" s="30">
        <v>43.635547576301612</v>
      </c>
      <c r="G363" s="30">
        <v>4.1382405745062831</v>
      </c>
      <c r="H363" s="30">
        <v>47.845601436265703</v>
      </c>
      <c r="I363" s="8">
        <v>0</v>
      </c>
      <c r="J363" s="31">
        <v>0</v>
      </c>
      <c r="K363" s="31">
        <v>0</v>
      </c>
      <c r="L363" s="31">
        <v>0</v>
      </c>
      <c r="M363" s="31">
        <v>1</v>
      </c>
      <c r="N363" s="31">
        <v>0</v>
      </c>
      <c r="O363" s="31">
        <v>0</v>
      </c>
      <c r="P363" s="31">
        <v>0</v>
      </c>
      <c r="Q363" s="31">
        <v>0</v>
      </c>
      <c r="R363" s="31">
        <v>0</v>
      </c>
      <c r="S363" s="31">
        <v>0</v>
      </c>
      <c r="T363" s="21" cm="1">
        <f t="array" aca="1" ref="T363" ca="1">+fair_value_gap(OFFSET(S362,0,0,-1*$I$5,-1*$Z$1),OFFSET(E362,0,0,-1*$I$5,1),F363:S363,0)</f>
        <v>13.399742894070242</v>
      </c>
      <c r="U363" s="7" t="str" cm="1">
        <f t="array" aca="1" ref="U363" ca="1">z_score_diff(OFFSET(T363,0,0,$I$5*-1,1),OFFSET(E363,0,0,$I$5*-1,1))</f>
        <v/>
      </c>
      <c r="V363" s="7" t="str">
        <f t="shared" ca="1" si="357"/>
        <v/>
      </c>
      <c r="W363" s="14">
        <f t="shared" ca="1" si="352"/>
        <v>0.13541437905849391</v>
      </c>
      <c r="X363" s="10">
        <f t="shared" ref="X363:Y363" ca="1" si="394">+X362</f>
        <v>0</v>
      </c>
      <c r="Y363" s="10">
        <f t="shared" ca="1" si="394"/>
        <v>0</v>
      </c>
      <c r="Z363" t="str">
        <f t="shared" ca="1" si="359"/>
        <v/>
      </c>
      <c r="AA363" t="str">
        <f t="shared" ca="1" si="360"/>
        <v/>
      </c>
      <c r="AB363" s="19" t="str">
        <f t="shared" ca="1" si="361"/>
        <v/>
      </c>
      <c r="AC363" s="19" t="str">
        <f t="shared" ca="1" si="362"/>
        <v/>
      </c>
    </row>
    <row r="364" spans="3:29" x14ac:dyDescent="0.25">
      <c r="C364" s="4">
        <v>357</v>
      </c>
      <c r="D364" s="28">
        <v>42515</v>
      </c>
      <c r="E364" s="30">
        <v>13.295999999999999</v>
      </c>
      <c r="F364" s="30">
        <v>44.597866045010313</v>
      </c>
      <c r="G364" s="30">
        <v>4.1334170178427332</v>
      </c>
      <c r="H364" s="30">
        <v>47.834663319286292</v>
      </c>
      <c r="I364" s="8">
        <v>0</v>
      </c>
      <c r="J364" s="31">
        <v>0</v>
      </c>
      <c r="K364" s="31">
        <v>0</v>
      </c>
      <c r="L364" s="31">
        <v>0</v>
      </c>
      <c r="M364" s="31">
        <v>1</v>
      </c>
      <c r="N364" s="31">
        <v>0</v>
      </c>
      <c r="O364" s="31">
        <v>0</v>
      </c>
      <c r="P364" s="31">
        <v>0</v>
      </c>
      <c r="Q364" s="31">
        <v>0</v>
      </c>
      <c r="R364" s="31">
        <v>0</v>
      </c>
      <c r="S364" s="31">
        <v>0</v>
      </c>
      <c r="T364" s="21" cm="1">
        <f t="array" aca="1" ref="T364" ca="1">+fair_value_gap(OFFSET(S363,0,0,-1*$I$5,-1*$Z$1),OFFSET(E363,0,0,-1*$I$5,1),F364:S364,0)</f>
        <v>13.508586692433097</v>
      </c>
      <c r="U364" s="7" t="str" cm="1">
        <f t="array" aca="1" ref="U364" ca="1">z_score_diff(OFFSET(T364,0,0,$I$5*-1,1),OFFSET(E364,0,0,$I$5*-1,1))</f>
        <v/>
      </c>
      <c r="V364" s="7" t="str">
        <f t="shared" ca="1" si="357"/>
        <v/>
      </c>
      <c r="W364" s="14">
        <f t="shared" ca="1" si="352"/>
        <v>0.1377717877432186</v>
      </c>
      <c r="X364" s="10">
        <f t="shared" ref="X364:Y364" ca="1" si="395">+X363</f>
        <v>0</v>
      </c>
      <c r="Y364" s="10">
        <f t="shared" ca="1" si="395"/>
        <v>0</v>
      </c>
      <c r="Z364" t="str">
        <f t="shared" ca="1" si="359"/>
        <v/>
      </c>
      <c r="AA364" t="str">
        <f t="shared" ca="1" si="360"/>
        <v/>
      </c>
      <c r="AB364" s="19" t="str">
        <f t="shared" ca="1" si="361"/>
        <v/>
      </c>
      <c r="AC364" s="19" t="str">
        <f t="shared" ca="1" si="362"/>
        <v/>
      </c>
    </row>
    <row r="365" spans="3:29" x14ac:dyDescent="0.25">
      <c r="C365" s="4">
        <v>358</v>
      </c>
      <c r="D365" s="28">
        <v>42516</v>
      </c>
      <c r="E365" s="30">
        <v>13.486000000000001</v>
      </c>
      <c r="F365" s="30">
        <v>44.308434596140103</v>
      </c>
      <c r="G365" s="30">
        <v>4.1636883488205862</v>
      </c>
      <c r="H365" s="30">
        <v>47.623302358827736</v>
      </c>
      <c r="I365" s="8">
        <v>0</v>
      </c>
      <c r="J365" s="31">
        <v>0</v>
      </c>
      <c r="K365" s="31">
        <v>0</v>
      </c>
      <c r="L365" s="31">
        <v>0</v>
      </c>
      <c r="M365" s="31">
        <v>1</v>
      </c>
      <c r="N365" s="31">
        <v>0</v>
      </c>
      <c r="O365" s="31">
        <v>0</v>
      </c>
      <c r="P365" s="31">
        <v>0</v>
      </c>
      <c r="Q365" s="31">
        <v>0</v>
      </c>
      <c r="R365" s="31">
        <v>0</v>
      </c>
      <c r="S365" s="31">
        <v>0</v>
      </c>
      <c r="T365" s="21" cm="1">
        <f t="array" aca="1" ref="T365" ca="1">+fair_value_gap(OFFSET(S364,0,0,-1*$I$5,-1*$Z$1),OFFSET(E364,0,0,-1*$I$5,1),F365:S365,0)</f>
        <v>13.451828231930842</v>
      </c>
      <c r="U365" s="7" t="str" cm="1">
        <f t="array" aca="1" ref="U365" ca="1">z_score_diff(OFFSET(T365,0,0,$I$5*-1,1),OFFSET(E365,0,0,$I$5*-1,1))</f>
        <v/>
      </c>
      <c r="V365" s="7" t="str">
        <f t="shared" ca="1" si="357"/>
        <v/>
      </c>
      <c r="W365" s="14">
        <f t="shared" ca="1" si="352"/>
        <v>0.11773360045356535</v>
      </c>
      <c r="X365" s="10">
        <f t="shared" ref="X365:Y365" ca="1" si="396">+X364</f>
        <v>0</v>
      </c>
      <c r="Y365" s="10">
        <f t="shared" ca="1" si="396"/>
        <v>0</v>
      </c>
      <c r="Z365" t="str">
        <f t="shared" ca="1" si="359"/>
        <v/>
      </c>
      <c r="AA365" t="str">
        <f t="shared" ca="1" si="360"/>
        <v/>
      </c>
      <c r="AB365" s="19" t="str">
        <f t="shared" ca="1" si="361"/>
        <v/>
      </c>
      <c r="AC365" s="19" t="str">
        <f t="shared" ca="1" si="362"/>
        <v/>
      </c>
    </row>
    <row r="366" spans="3:29" x14ac:dyDescent="0.25">
      <c r="C366" s="4">
        <v>359</v>
      </c>
      <c r="D366" s="28">
        <v>42517</v>
      </c>
      <c r="E366" s="30">
        <v>13.817</v>
      </c>
      <c r="F366" s="30">
        <v>44.376462119848838</v>
      </c>
      <c r="G366" s="30">
        <v>4.1929098434407059</v>
      </c>
      <c r="H366" s="30">
        <v>48.00251934497031</v>
      </c>
      <c r="I366" s="8">
        <v>0</v>
      </c>
      <c r="J366" s="31">
        <v>0</v>
      </c>
      <c r="K366" s="31">
        <v>0</v>
      </c>
      <c r="L366" s="31">
        <v>0</v>
      </c>
      <c r="M366" s="31">
        <v>1</v>
      </c>
      <c r="N366" s="31">
        <v>0</v>
      </c>
      <c r="O366" s="31">
        <v>0</v>
      </c>
      <c r="P366" s="31">
        <v>0</v>
      </c>
      <c r="Q366" s="31">
        <v>0</v>
      </c>
      <c r="R366" s="31">
        <v>0</v>
      </c>
      <c r="S366" s="31">
        <v>0</v>
      </c>
      <c r="T366" s="21" cm="1">
        <f t="array" aca="1" ref="T366" ca="1">+fair_value_gap(OFFSET(S365,0,0,-1*$I$5,-1*$Z$1),OFFSET(E365,0,0,-1*$I$5,1),F366:S366,0)</f>
        <v>13.531641479633045</v>
      </c>
      <c r="U366" s="7" t="str" cm="1">
        <f t="array" aca="1" ref="U366" ca="1">z_score_diff(OFFSET(T366,0,0,$I$5*-1,1),OFFSET(E366,0,0,$I$5*-1,1))</f>
        <v/>
      </c>
      <c r="V366" s="7" t="str">
        <f t="shared" ca="1" si="357"/>
        <v/>
      </c>
      <c r="W366" s="14">
        <f t="shared" ca="1" si="352"/>
        <v>7.5461494876881086E-2</v>
      </c>
      <c r="X366" s="10">
        <f t="shared" ref="X366:Y366" ca="1" si="397">+X365</f>
        <v>0</v>
      </c>
      <c r="Y366" s="10">
        <f t="shared" ca="1" si="397"/>
        <v>0</v>
      </c>
      <c r="Z366" t="str">
        <f t="shared" ca="1" si="359"/>
        <v/>
      </c>
      <c r="AA366" t="str">
        <f t="shared" ca="1" si="360"/>
        <v/>
      </c>
      <c r="AB366" s="19" t="str">
        <f t="shared" ca="1" si="361"/>
        <v/>
      </c>
      <c r="AC366" s="19" t="str">
        <f t="shared" ca="1" si="362"/>
        <v/>
      </c>
    </row>
    <row r="367" spans="3:29" x14ac:dyDescent="0.25">
      <c r="C367" s="4">
        <v>360</v>
      </c>
      <c r="D367" s="28">
        <v>42520</v>
      </c>
      <c r="E367" s="30">
        <v>13.91</v>
      </c>
      <c r="F367" s="30">
        <v>44.651830581478819</v>
      </c>
      <c r="G367" s="30">
        <v>4.1816223977027995</v>
      </c>
      <c r="H367" s="30">
        <v>49.443646805455849</v>
      </c>
      <c r="I367" s="8">
        <v>0</v>
      </c>
      <c r="J367" s="31">
        <v>0</v>
      </c>
      <c r="K367" s="31">
        <v>0</v>
      </c>
      <c r="L367" s="31">
        <v>0</v>
      </c>
      <c r="M367" s="31">
        <v>1</v>
      </c>
      <c r="N367" s="31">
        <v>0</v>
      </c>
      <c r="O367" s="31">
        <v>0</v>
      </c>
      <c r="P367" s="31">
        <v>0</v>
      </c>
      <c r="Q367" s="31">
        <v>0</v>
      </c>
      <c r="R367" s="31">
        <v>0</v>
      </c>
      <c r="S367" s="31">
        <v>0</v>
      </c>
      <c r="T367" s="21" cm="1">
        <f t="array" aca="1" ref="T367" ca="1">+fair_value_gap(OFFSET(S366,0,0,-1*$I$5,-1*$Z$1),OFFSET(E366,0,0,-1*$I$5,1),F367:S367,0)</f>
        <v>13.745013426999636</v>
      </c>
      <c r="U367" s="7" t="str" cm="1">
        <f t="array" aca="1" ref="U367" ca="1">z_score_diff(OFFSET(T367,0,0,$I$5*-1,1),OFFSET(E367,0,0,$I$5*-1,1))</f>
        <v/>
      </c>
      <c r="V367" s="7" t="str">
        <f t="shared" ca="1" si="357"/>
        <v/>
      </c>
      <c r="W367" s="14">
        <f t="shared" ca="1" si="352"/>
        <v>2.7791381690852629E-2</v>
      </c>
      <c r="X367" s="10">
        <f t="shared" ref="X367:Y367" ca="1" si="398">+X366</f>
        <v>0</v>
      </c>
      <c r="Y367" s="10">
        <f t="shared" ca="1" si="398"/>
        <v>0</v>
      </c>
      <c r="Z367" t="str">
        <f t="shared" ca="1" si="359"/>
        <v/>
      </c>
      <c r="AA367" t="str">
        <f t="shared" ca="1" si="360"/>
        <v/>
      </c>
      <c r="AB367" s="19" t="str">
        <f t="shared" ca="1" si="361"/>
        <v/>
      </c>
      <c r="AC367" s="19" t="str">
        <f t="shared" ca="1" si="362"/>
        <v/>
      </c>
    </row>
    <row r="368" spans="3:29" x14ac:dyDescent="0.25">
      <c r="C368" s="4">
        <v>361</v>
      </c>
      <c r="D368" s="28">
        <v>42521</v>
      </c>
      <c r="E368" s="30">
        <v>14.238</v>
      </c>
      <c r="F368" s="30">
        <v>44.649114924970796</v>
      </c>
      <c r="G368" s="30">
        <v>4.2321861802497978</v>
      </c>
      <c r="H368" s="30">
        <v>49.689999101446666</v>
      </c>
      <c r="I368" s="8">
        <v>0</v>
      </c>
      <c r="J368" s="31">
        <v>0</v>
      </c>
      <c r="K368" s="31">
        <v>0</v>
      </c>
      <c r="L368" s="31">
        <v>0</v>
      </c>
      <c r="M368" s="31">
        <v>1</v>
      </c>
      <c r="N368" s="31">
        <v>0</v>
      </c>
      <c r="O368" s="31">
        <v>0</v>
      </c>
      <c r="P368" s="31">
        <v>0</v>
      </c>
      <c r="Q368" s="31">
        <v>0</v>
      </c>
      <c r="R368" s="31">
        <v>0</v>
      </c>
      <c r="S368" s="31">
        <v>0</v>
      </c>
      <c r="T368" s="21" cm="1">
        <f t="array" aca="1" ref="T368" ca="1">+fair_value_gap(OFFSET(S367,0,0,-1*$I$5,-1*$Z$1),OFFSET(E367,0,0,-1*$I$5,1),F368:S368,0)</f>
        <v>13.823203856217917</v>
      </c>
      <c r="U368" s="7" t="str" cm="1">
        <f t="array" aca="1" ref="U368" ca="1">z_score_diff(OFFSET(T368,0,0,$I$5*-1,1),OFFSET(E368,0,0,$I$5*-1,1))</f>
        <v/>
      </c>
      <c r="V368" s="7" t="str">
        <f t="shared" ca="1" si="357"/>
        <v/>
      </c>
      <c r="W368" s="14">
        <f t="shared" ca="1" si="352"/>
        <v>-5.9878309299795643E-3</v>
      </c>
      <c r="X368" s="10">
        <f t="shared" ref="X368:Y368" ca="1" si="399">+X367</f>
        <v>0</v>
      </c>
      <c r="Y368" s="10">
        <f t="shared" ca="1" si="399"/>
        <v>0</v>
      </c>
      <c r="Z368" t="str">
        <f t="shared" ca="1" si="359"/>
        <v/>
      </c>
      <c r="AA368" t="str">
        <f t="shared" ca="1" si="360"/>
        <v/>
      </c>
      <c r="AB368" s="19" t="str">
        <f t="shared" ca="1" si="361"/>
        <v/>
      </c>
      <c r="AC368" s="19" t="str">
        <f t="shared" ca="1" si="362"/>
        <v/>
      </c>
    </row>
    <row r="369" spans="3:29" x14ac:dyDescent="0.25">
      <c r="C369" s="4">
        <v>362</v>
      </c>
      <c r="D369" s="28">
        <v>42522</v>
      </c>
      <c r="E369" s="30">
        <v>14.073</v>
      </c>
      <c r="F369" s="30">
        <v>44.452391595887349</v>
      </c>
      <c r="G369" s="30">
        <v>4.193115780062584</v>
      </c>
      <c r="H369" s="30">
        <v>49.709432275368798</v>
      </c>
      <c r="I369" s="8">
        <v>0</v>
      </c>
      <c r="J369" s="31">
        <v>0</v>
      </c>
      <c r="K369" s="31">
        <v>0</v>
      </c>
      <c r="L369" s="31">
        <v>0</v>
      </c>
      <c r="M369" s="31">
        <v>0</v>
      </c>
      <c r="N369" s="31">
        <v>1</v>
      </c>
      <c r="O369" s="31">
        <v>0</v>
      </c>
      <c r="P369" s="31">
        <v>0</v>
      </c>
      <c r="Q369" s="31">
        <v>0</v>
      </c>
      <c r="R369" s="31">
        <v>0</v>
      </c>
      <c r="S369" s="31">
        <v>0</v>
      </c>
      <c r="T369" s="21" cm="1">
        <f t="array" aca="1" ref="T369" ca="1">+fair_value_gap(OFFSET(S368,0,0,-1*$I$5,-1*$Z$1),OFFSET(E368,0,0,-1*$I$5,1),F369:S369,0)</f>
        <v>16.097497754027216</v>
      </c>
      <c r="U369" s="7" t="str" cm="1">
        <f t="array" aca="1" ref="U369" ca="1">z_score_diff(OFFSET(T369,0,0,$I$5*-1,1),OFFSET(E369,0,0,$I$5*-1,1))</f>
        <v/>
      </c>
      <c r="V369" s="7" t="str">
        <f t="shared" ca="1" si="357"/>
        <v/>
      </c>
      <c r="W369" s="14">
        <f t="shared" ca="1" si="352"/>
        <v>2.4912695026861852E-2</v>
      </c>
      <c r="X369" s="10">
        <f t="shared" ref="X369:Y369" ca="1" si="400">+X368</f>
        <v>0</v>
      </c>
      <c r="Y369" s="10">
        <f t="shared" ca="1" si="400"/>
        <v>0</v>
      </c>
      <c r="Z369" t="str">
        <f t="shared" ca="1" si="359"/>
        <v/>
      </c>
      <c r="AA369" t="str">
        <f t="shared" ca="1" si="360"/>
        <v/>
      </c>
      <c r="AB369" s="19" t="str">
        <f t="shared" ca="1" si="361"/>
        <v/>
      </c>
      <c r="AC369" s="19" t="str">
        <f t="shared" ca="1" si="362"/>
        <v/>
      </c>
    </row>
    <row r="370" spans="3:29" x14ac:dyDescent="0.25">
      <c r="C370" s="4">
        <v>363</v>
      </c>
      <c r="D370" s="28">
        <v>42523</v>
      </c>
      <c r="E370" s="30">
        <v>14.393000000000001</v>
      </c>
      <c r="F370" s="30">
        <v>44.88294914342093</v>
      </c>
      <c r="G370" s="30">
        <v>4.2649564983406583</v>
      </c>
      <c r="H370" s="30">
        <v>50.587496636469638</v>
      </c>
      <c r="I370" s="8">
        <v>0</v>
      </c>
      <c r="J370" s="31">
        <v>0</v>
      </c>
      <c r="K370" s="31">
        <v>0</v>
      </c>
      <c r="L370" s="31">
        <v>0</v>
      </c>
      <c r="M370" s="31">
        <v>0</v>
      </c>
      <c r="N370" s="31">
        <v>1</v>
      </c>
      <c r="O370" s="31">
        <v>0</v>
      </c>
      <c r="P370" s="31">
        <v>0</v>
      </c>
      <c r="Q370" s="31">
        <v>0</v>
      </c>
      <c r="R370" s="31">
        <v>0</v>
      </c>
      <c r="S370" s="31">
        <v>0</v>
      </c>
      <c r="T370" s="21" cm="1">
        <f t="array" aca="1" ref="T370" ca="1">+fair_value_gap(OFFSET(S369,0,0,-1*$I$5,-1*$Z$1),OFFSET(E369,0,0,-1*$I$5,1),F370:S370,0)</f>
        <v>15.830675769301019</v>
      </c>
      <c r="U370" s="7" t="str" cm="1">
        <f t="array" aca="1" ref="U370" ca="1">z_score_diff(OFFSET(T370,0,0,$I$5*-1,1),OFFSET(E370,0,0,$I$5*-1,1))</f>
        <v/>
      </c>
      <c r="V370" s="7" t="str">
        <f t="shared" ca="1" si="357"/>
        <v/>
      </c>
      <c r="W370" s="14">
        <f t="shared" ca="1" si="352"/>
        <v>-1.2513905971195483E-3</v>
      </c>
      <c r="X370" s="10">
        <f t="shared" ref="X370:Y370" ca="1" si="401">+X369</f>
        <v>0</v>
      </c>
      <c r="Y370" s="10">
        <f t="shared" ca="1" si="401"/>
        <v>0</v>
      </c>
      <c r="Z370" t="str">
        <f t="shared" ca="1" si="359"/>
        <v/>
      </c>
      <c r="AA370" t="str">
        <f t="shared" ca="1" si="360"/>
        <v/>
      </c>
      <c r="AB370" s="19" t="str">
        <f t="shared" ca="1" si="361"/>
        <v/>
      </c>
      <c r="AC370" s="19" t="str">
        <f t="shared" ca="1" si="362"/>
        <v/>
      </c>
    </row>
    <row r="371" spans="3:29" x14ac:dyDescent="0.25">
      <c r="C371" s="4">
        <v>364</v>
      </c>
      <c r="D371" s="28">
        <v>42524</v>
      </c>
      <c r="E371" s="30">
        <v>14.268000000000001</v>
      </c>
      <c r="F371" s="30">
        <v>43.677958644962601</v>
      </c>
      <c r="G371" s="30">
        <v>4.1838979322481302</v>
      </c>
      <c r="H371" s="30">
        <v>50.593928728552569</v>
      </c>
      <c r="I371" s="8">
        <v>0</v>
      </c>
      <c r="J371" s="31">
        <v>0</v>
      </c>
      <c r="K371" s="31">
        <v>0</v>
      </c>
      <c r="L371" s="31">
        <v>0</v>
      </c>
      <c r="M371" s="31">
        <v>0</v>
      </c>
      <c r="N371" s="31">
        <v>1</v>
      </c>
      <c r="O371" s="31">
        <v>0</v>
      </c>
      <c r="P371" s="31">
        <v>0</v>
      </c>
      <c r="Q371" s="31">
        <v>0</v>
      </c>
      <c r="R371" s="31">
        <v>0</v>
      </c>
      <c r="S371" s="31">
        <v>0</v>
      </c>
      <c r="T371" s="21" cm="1">
        <f t="array" aca="1" ref="T371" ca="1">+fair_value_gap(OFFSET(S370,0,0,-1*$I$5,-1*$Z$1),OFFSET(E370,0,0,-1*$I$5,1),F371:S371,0)</f>
        <v>15.251636230292117</v>
      </c>
      <c r="U371" s="7" t="str" cm="1">
        <f t="array" aca="1" ref="U371" ca="1">z_score_diff(OFFSET(T371,0,0,$I$5*-1,1),OFFSET(E371,0,0,$I$5*-1,1))</f>
        <v/>
      </c>
      <c r="V371" s="7" t="str">
        <f t="shared" ca="1" si="357"/>
        <v/>
      </c>
      <c r="W371" s="14">
        <f t="shared" ca="1" si="352"/>
        <v>8.4068941479322379E-4</v>
      </c>
      <c r="X371" s="10">
        <f t="shared" ref="X371:Y371" ca="1" si="402">+X370</f>
        <v>0</v>
      </c>
      <c r="Y371" s="10">
        <f t="shared" ca="1" si="402"/>
        <v>0</v>
      </c>
      <c r="Z371" t="str">
        <f t="shared" ca="1" si="359"/>
        <v/>
      </c>
      <c r="AA371" t="str">
        <f t="shared" ca="1" si="360"/>
        <v/>
      </c>
      <c r="AB371" s="19" t="str">
        <f t="shared" ca="1" si="361"/>
        <v/>
      </c>
      <c r="AC371" s="19" t="str">
        <f t="shared" ca="1" si="362"/>
        <v/>
      </c>
    </row>
    <row r="372" spans="3:29" x14ac:dyDescent="0.25">
      <c r="C372" s="4">
        <v>365</v>
      </c>
      <c r="D372" s="28">
        <v>42527</v>
      </c>
      <c r="E372" s="30">
        <v>14.496</v>
      </c>
      <c r="F372" s="30">
        <v>44.533521275658529</v>
      </c>
      <c r="G372" s="30">
        <v>4.2022729274953745</v>
      </c>
      <c r="H372" s="30">
        <v>51.933750330367374</v>
      </c>
      <c r="I372" s="8">
        <v>0</v>
      </c>
      <c r="J372" s="31">
        <v>0</v>
      </c>
      <c r="K372" s="31">
        <v>0</v>
      </c>
      <c r="L372" s="31">
        <v>0</v>
      </c>
      <c r="M372" s="31">
        <v>0</v>
      </c>
      <c r="N372" s="31">
        <v>1</v>
      </c>
      <c r="O372" s="31">
        <v>0</v>
      </c>
      <c r="P372" s="31">
        <v>0</v>
      </c>
      <c r="Q372" s="31">
        <v>0</v>
      </c>
      <c r="R372" s="31">
        <v>0</v>
      </c>
      <c r="S372" s="31">
        <v>0</v>
      </c>
      <c r="T372" s="21" cm="1">
        <f t="array" aca="1" ref="T372" ca="1">+fair_value_gap(OFFSET(S371,0,0,-1*$I$5,-1*$Z$1),OFFSET(E371,0,0,-1*$I$5,1),F372:S372,0)</f>
        <v>15.312013843269083</v>
      </c>
      <c r="U372" s="7" t="str" cm="1">
        <f t="array" aca="1" ref="U372" ca="1">z_score_diff(OFFSET(T372,0,0,$I$5*-1,1),OFFSET(E372,0,0,$I$5*-1,1))</f>
        <v/>
      </c>
      <c r="V372" s="7" t="str">
        <f t="shared" ca="1" si="357"/>
        <v/>
      </c>
      <c r="W372" s="14">
        <f t="shared" ca="1" si="352"/>
        <v>2.9619446486648855E-3</v>
      </c>
      <c r="X372" s="10">
        <f t="shared" ref="X372:Y372" ca="1" si="403">+X371</f>
        <v>0</v>
      </c>
      <c r="Y372" s="10">
        <f t="shared" ca="1" si="403"/>
        <v>0</v>
      </c>
      <c r="Z372" t="str">
        <f t="shared" ca="1" si="359"/>
        <v/>
      </c>
      <c r="AA372" t="str">
        <f t="shared" ca="1" si="360"/>
        <v/>
      </c>
      <c r="AB372" s="19" t="str">
        <f t="shared" ca="1" si="361"/>
        <v/>
      </c>
      <c r="AC372" s="19" t="str">
        <f t="shared" ca="1" si="362"/>
        <v/>
      </c>
    </row>
    <row r="373" spans="3:29" x14ac:dyDescent="0.25">
      <c r="C373" s="4">
        <v>366</v>
      </c>
      <c r="D373" s="28">
        <v>42528</v>
      </c>
      <c r="E373" s="30">
        <v>14.62</v>
      </c>
      <c r="F373" s="30">
        <v>45.297640014089467</v>
      </c>
      <c r="G373" s="30">
        <v>4.2268404367735117</v>
      </c>
      <c r="H373" s="30">
        <v>51.426558647411063</v>
      </c>
      <c r="I373" s="8">
        <v>0</v>
      </c>
      <c r="J373" s="31">
        <v>0</v>
      </c>
      <c r="K373" s="31">
        <v>0</v>
      </c>
      <c r="L373" s="31">
        <v>0</v>
      </c>
      <c r="M373" s="31">
        <v>0</v>
      </c>
      <c r="N373" s="31">
        <v>1</v>
      </c>
      <c r="O373" s="31">
        <v>0</v>
      </c>
      <c r="P373" s="31">
        <v>0</v>
      </c>
      <c r="Q373" s="31">
        <v>0</v>
      </c>
      <c r="R373" s="31">
        <v>0</v>
      </c>
      <c r="S373" s="31">
        <v>0</v>
      </c>
      <c r="T373" s="21" cm="1">
        <f t="array" aca="1" ref="T373" ca="1">+fair_value_gap(OFFSET(S372,0,0,-1*$I$5,-1*$Z$1),OFFSET(E372,0,0,-1*$I$5,1),F373:S373,0)</f>
        <v>15.317467677145965</v>
      </c>
      <c r="U373" s="7" t="str" cm="1">
        <f t="array" aca="1" ref="U373" ca="1">z_score_diff(OFFSET(T373,0,0,$I$5*-1,1),OFFSET(E373,0,0,$I$5*-1,1))</f>
        <v/>
      </c>
      <c r="V373" s="7" t="str">
        <f t="shared" ca="1" si="357"/>
        <v/>
      </c>
      <c r="W373" s="14">
        <f t="shared" ca="1" si="352"/>
        <v>-2.6335548337802637E-2</v>
      </c>
      <c r="X373" s="10">
        <f t="shared" ref="X373:Y373" ca="1" si="404">+X372</f>
        <v>0</v>
      </c>
      <c r="Y373" s="10">
        <f t="shared" ca="1" si="404"/>
        <v>0</v>
      </c>
      <c r="Z373" t="str">
        <f t="shared" ca="1" si="359"/>
        <v/>
      </c>
      <c r="AA373" t="str">
        <f t="shared" ca="1" si="360"/>
        <v/>
      </c>
      <c r="AB373" s="19" t="str">
        <f t="shared" ca="1" si="361"/>
        <v/>
      </c>
      <c r="AC373" s="19" t="str">
        <f t="shared" ca="1" si="362"/>
        <v/>
      </c>
    </row>
    <row r="374" spans="3:29" x14ac:dyDescent="0.25">
      <c r="C374" s="4">
        <v>367</v>
      </c>
      <c r="D374" s="28">
        <v>42529</v>
      </c>
      <c r="E374" s="30">
        <v>14.4</v>
      </c>
      <c r="F374" s="30">
        <v>46.09375</v>
      </c>
      <c r="G374" s="30">
        <v>4.213483146067416</v>
      </c>
      <c r="H374" s="30">
        <v>50.386235955056179</v>
      </c>
      <c r="I374" s="8">
        <v>0</v>
      </c>
      <c r="J374" s="31">
        <v>0</v>
      </c>
      <c r="K374" s="31">
        <v>0</v>
      </c>
      <c r="L374" s="31">
        <v>0</v>
      </c>
      <c r="M374" s="31">
        <v>0</v>
      </c>
      <c r="N374" s="31">
        <v>1</v>
      </c>
      <c r="O374" s="31">
        <v>0</v>
      </c>
      <c r="P374" s="31">
        <v>0</v>
      </c>
      <c r="Q374" s="31">
        <v>0</v>
      </c>
      <c r="R374" s="31">
        <v>0</v>
      </c>
      <c r="S374" s="31">
        <v>0</v>
      </c>
      <c r="T374" s="21" cm="1">
        <f t="array" aca="1" ref="T374" ca="1">+fair_value_gap(OFFSET(S373,0,0,-1*$I$5,-1*$Z$1),OFFSET(E373,0,0,-1*$I$5,1),F374:S374,0)</f>
        <v>15.319911747514803</v>
      </c>
      <c r="U374" s="7" t="str" cm="1">
        <f t="array" aca="1" ref="U374" ca="1">z_score_diff(OFFSET(T374,0,0,$I$5*-1,1),OFFSET(E374,0,0,$I$5*-1,1))</f>
        <v/>
      </c>
      <c r="V374" s="7" t="str">
        <f t="shared" ca="1" si="357"/>
        <v/>
      </c>
      <c r="W374" s="14">
        <f t="shared" ca="1" si="352"/>
        <v>-1.6665885352372647E-2</v>
      </c>
      <c r="X374" s="10">
        <f t="shared" ref="X374:Y374" ca="1" si="405">+X373</f>
        <v>0</v>
      </c>
      <c r="Y374" s="10">
        <f t="shared" ca="1" si="405"/>
        <v>0</v>
      </c>
      <c r="Z374" t="str">
        <f t="shared" ca="1" si="359"/>
        <v/>
      </c>
      <c r="AA374" t="str">
        <f t="shared" ca="1" si="360"/>
        <v/>
      </c>
      <c r="AB374" s="19" t="str">
        <f t="shared" ca="1" si="361"/>
        <v/>
      </c>
      <c r="AC374" s="19" t="str">
        <f t="shared" ca="1" si="362"/>
        <v/>
      </c>
    </row>
    <row r="375" spans="3:29" x14ac:dyDescent="0.25">
      <c r="C375" s="4">
        <v>368</v>
      </c>
      <c r="D375" s="28">
        <v>42530</v>
      </c>
      <c r="E375" s="30">
        <v>14.193</v>
      </c>
      <c r="F375" s="30">
        <v>45.916563549584588</v>
      </c>
      <c r="G375" s="30">
        <v>4.2425313770549762</v>
      </c>
      <c r="H375" s="30">
        <v>50.424253137705499</v>
      </c>
      <c r="I375" s="8">
        <v>0</v>
      </c>
      <c r="J375" s="31">
        <v>0</v>
      </c>
      <c r="K375" s="31">
        <v>0</v>
      </c>
      <c r="L375" s="31">
        <v>0</v>
      </c>
      <c r="M375" s="31">
        <v>0</v>
      </c>
      <c r="N375" s="31">
        <v>1</v>
      </c>
      <c r="O375" s="31">
        <v>0</v>
      </c>
      <c r="P375" s="31">
        <v>0</v>
      </c>
      <c r="Q375" s="31">
        <v>0</v>
      </c>
      <c r="R375" s="31">
        <v>0</v>
      </c>
      <c r="S375" s="31">
        <v>0</v>
      </c>
      <c r="T375" s="21" cm="1">
        <f t="array" aca="1" ref="T375" ca="1">+fair_value_gap(OFFSET(S374,0,0,-1*$I$5,-1*$Z$1),OFFSET(E374,0,0,-1*$I$5,1),F375:S375,0)</f>
        <v>15.2131845843088</v>
      </c>
      <c r="U375" s="7" t="str" cm="1">
        <f t="array" aca="1" ref="U375" ca="1">z_score_diff(OFFSET(T375,0,0,$I$5*-1,1),OFFSET(E375,0,0,$I$5*-1,1))</f>
        <v/>
      </c>
      <c r="V375" s="7" t="str">
        <f t="shared" ca="1" si="357"/>
        <v/>
      </c>
      <c r="W375" s="14">
        <f t="shared" ca="1" si="352"/>
        <v>1.3576135737775353E-2</v>
      </c>
      <c r="X375" s="10">
        <f t="shared" ref="X375:Y375" ca="1" si="406">+X374</f>
        <v>0</v>
      </c>
      <c r="Y375" s="10">
        <f t="shared" ca="1" si="406"/>
        <v>0</v>
      </c>
      <c r="Z375" t="str">
        <f t="shared" ca="1" si="359"/>
        <v/>
      </c>
      <c r="AA375" t="str">
        <f t="shared" ca="1" si="360"/>
        <v/>
      </c>
      <c r="AB375" s="19" t="str">
        <f t="shared" ca="1" si="361"/>
        <v/>
      </c>
      <c r="AC375" s="19" t="str">
        <f t="shared" ca="1" si="362"/>
        <v/>
      </c>
    </row>
    <row r="376" spans="3:29" x14ac:dyDescent="0.25">
      <c r="C376" s="4">
        <v>369</v>
      </c>
      <c r="D376" s="28">
        <v>42531</v>
      </c>
      <c r="E376" s="30">
        <v>13.987</v>
      </c>
      <c r="F376" s="30">
        <v>44.928438083385188</v>
      </c>
      <c r="G376" s="30">
        <v>4.2848253178060274</v>
      </c>
      <c r="H376" s="30">
        <v>50.448928793670547</v>
      </c>
      <c r="I376" s="8">
        <v>0</v>
      </c>
      <c r="J376" s="31">
        <v>0</v>
      </c>
      <c r="K376" s="31">
        <v>0</v>
      </c>
      <c r="L376" s="31">
        <v>0</v>
      </c>
      <c r="M376" s="31">
        <v>0</v>
      </c>
      <c r="N376" s="31">
        <v>1</v>
      </c>
      <c r="O376" s="31">
        <v>0</v>
      </c>
      <c r="P376" s="31">
        <v>0</v>
      </c>
      <c r="Q376" s="31">
        <v>0</v>
      </c>
      <c r="R376" s="31">
        <v>0</v>
      </c>
      <c r="S376" s="31">
        <v>0</v>
      </c>
      <c r="T376" s="21" cm="1">
        <f t="array" aca="1" ref="T376" ca="1">+fair_value_gap(OFFSET(S375,0,0,-1*$I$5,-1*$Z$1),OFFSET(E375,0,0,-1*$I$5,1),F376:S376,0)</f>
        <v>14.94767245583173</v>
      </c>
      <c r="U376" s="7" t="str" cm="1">
        <f t="array" aca="1" ref="U376" ca="1">z_score_diff(OFFSET(T376,0,0,$I$5*-1,1),OFFSET(E376,0,0,$I$5*-1,1))</f>
        <v/>
      </c>
      <c r="V376" s="7" t="str">
        <f t="shared" ca="1" si="357"/>
        <v/>
      </c>
      <c r="W376" s="14">
        <f t="shared" ca="1" si="352"/>
        <v>1.0667147087728635E-2</v>
      </c>
      <c r="X376" s="10">
        <f t="shared" ref="X376:Y376" ca="1" si="407">+X375</f>
        <v>0</v>
      </c>
      <c r="Y376" s="10">
        <f t="shared" ca="1" si="407"/>
        <v>0</v>
      </c>
      <c r="Z376" t="str">
        <f t="shared" ca="1" si="359"/>
        <v/>
      </c>
      <c r="AA376" t="str">
        <f t="shared" ca="1" si="360"/>
        <v/>
      </c>
      <c r="AB376" s="19" t="str">
        <f t="shared" ca="1" si="361"/>
        <v/>
      </c>
      <c r="AC376" s="19" t="str">
        <f t="shared" ca="1" si="362"/>
        <v/>
      </c>
    </row>
    <row r="377" spans="3:29" x14ac:dyDescent="0.25">
      <c r="C377" s="4">
        <v>370</v>
      </c>
      <c r="D377" s="28">
        <v>42534</v>
      </c>
      <c r="E377" s="30">
        <v>13.85</v>
      </c>
      <c r="F377" s="30">
        <v>44.596988485385296</v>
      </c>
      <c r="G377" s="30">
        <v>4.2825509300265718</v>
      </c>
      <c r="H377" s="30">
        <v>50.531443755535868</v>
      </c>
      <c r="I377" s="8">
        <v>0</v>
      </c>
      <c r="J377" s="31">
        <v>0</v>
      </c>
      <c r="K377" s="31">
        <v>0</v>
      </c>
      <c r="L377" s="31">
        <v>0</v>
      </c>
      <c r="M377" s="31">
        <v>0</v>
      </c>
      <c r="N377" s="31">
        <v>1</v>
      </c>
      <c r="O377" s="31">
        <v>0</v>
      </c>
      <c r="P377" s="31">
        <v>0</v>
      </c>
      <c r="Q377" s="31">
        <v>0</v>
      </c>
      <c r="R377" s="31">
        <v>0</v>
      </c>
      <c r="S377" s="31">
        <v>0</v>
      </c>
      <c r="T377" s="21" cm="1">
        <f t="array" aca="1" ref="T377" ca="1">+fair_value_gap(OFFSET(S376,0,0,-1*$I$5,-1*$Z$1),OFFSET(E376,0,0,-1*$I$5,1),F377:S377,0)</f>
        <v>14.753398884153672</v>
      </c>
      <c r="U377" s="7" t="str" cm="1">
        <f t="array" aca="1" ref="U377" ca="1">z_score_diff(OFFSET(T377,0,0,$I$5*-1,1),OFFSET(E377,0,0,$I$5*-1,1))</f>
        <v/>
      </c>
      <c r="V377" s="7" t="str">
        <f t="shared" ca="1" si="357"/>
        <v/>
      </c>
      <c r="W377" s="14">
        <f t="shared" ca="1" si="352"/>
        <v>1.8881979945291172E-2</v>
      </c>
      <c r="X377" s="10">
        <f t="shared" ref="X377:Y377" ca="1" si="408">+X376</f>
        <v>0</v>
      </c>
      <c r="Y377" s="10">
        <f t="shared" ca="1" si="408"/>
        <v>0</v>
      </c>
      <c r="Z377" t="str">
        <f t="shared" ca="1" si="359"/>
        <v/>
      </c>
      <c r="AA377" t="str">
        <f t="shared" ca="1" si="360"/>
        <v/>
      </c>
      <c r="AB377" s="19" t="str">
        <f t="shared" ca="1" si="361"/>
        <v/>
      </c>
      <c r="AC377" s="19" t="str">
        <f t="shared" ca="1" si="362"/>
        <v/>
      </c>
    </row>
    <row r="378" spans="3:29" x14ac:dyDescent="0.25">
      <c r="C378" s="4">
        <v>371</v>
      </c>
      <c r="D378" s="28">
        <v>42535</v>
      </c>
      <c r="E378" s="30">
        <v>14.02</v>
      </c>
      <c r="F378" s="30">
        <v>44.467249687667319</v>
      </c>
      <c r="G378" s="30">
        <v>4.3146528645368551</v>
      </c>
      <c r="H378" s="30">
        <v>51.267178297340713</v>
      </c>
      <c r="I378" s="8">
        <v>0</v>
      </c>
      <c r="J378" s="31">
        <v>0</v>
      </c>
      <c r="K378" s="31">
        <v>0</v>
      </c>
      <c r="L378" s="31">
        <v>0</v>
      </c>
      <c r="M378" s="31">
        <v>0</v>
      </c>
      <c r="N378" s="31">
        <v>1</v>
      </c>
      <c r="O378" s="31">
        <v>0</v>
      </c>
      <c r="P378" s="31">
        <v>0</v>
      </c>
      <c r="Q378" s="31">
        <v>0</v>
      </c>
      <c r="R378" s="31">
        <v>0</v>
      </c>
      <c r="S378" s="31">
        <v>0</v>
      </c>
      <c r="T378" s="21" cm="1">
        <f t="array" aca="1" ref="T378" ca="1">+fair_value_gap(OFFSET(S377,0,0,-1*$I$5,-1*$Z$1),OFFSET(E377,0,0,-1*$I$5,1),F378:S378,0)</f>
        <v>14.683104765805089</v>
      </c>
      <c r="U378" s="7" t="str" cm="1">
        <f t="array" aca="1" ref="U378" ca="1">z_score_diff(OFFSET(T378,0,0,$I$5*-1,1),OFFSET(E378,0,0,$I$5*-1,1))</f>
        <v/>
      </c>
      <c r="V378" s="7" t="str">
        <f t="shared" ca="1" si="357"/>
        <v/>
      </c>
      <c r="W378" s="14">
        <f t="shared" ca="1" si="352"/>
        <v>1.9984423866319063E-2</v>
      </c>
      <c r="X378" s="10">
        <f t="shared" ref="X378:Y378" ca="1" si="409">+X377</f>
        <v>0</v>
      </c>
      <c r="Y378" s="10">
        <f t="shared" ca="1" si="409"/>
        <v>0</v>
      </c>
      <c r="Z378" t="str">
        <f t="shared" ca="1" si="359"/>
        <v/>
      </c>
      <c r="AA378" t="str">
        <f t="shared" ca="1" si="360"/>
        <v/>
      </c>
      <c r="AB378" s="19" t="str">
        <f t="shared" ca="1" si="361"/>
        <v/>
      </c>
      <c r="AC378" s="19" t="str">
        <f t="shared" ca="1" si="362"/>
        <v/>
      </c>
    </row>
    <row r="379" spans="3:29" x14ac:dyDescent="0.25">
      <c r="C379" s="4">
        <v>372</v>
      </c>
      <c r="D379" s="28">
        <v>42536</v>
      </c>
      <c r="E379" s="30">
        <v>14.2</v>
      </c>
      <c r="F379" s="30">
        <v>43.501821089100119</v>
      </c>
      <c r="G379" s="30">
        <v>4.2951052678333488</v>
      </c>
      <c r="H379" s="30">
        <v>51.212578839832993</v>
      </c>
      <c r="I379" s="8">
        <v>0</v>
      </c>
      <c r="J379" s="31">
        <v>0</v>
      </c>
      <c r="K379" s="31">
        <v>0</v>
      </c>
      <c r="L379" s="31">
        <v>0</v>
      </c>
      <c r="M379" s="31">
        <v>0</v>
      </c>
      <c r="N379" s="31">
        <v>1</v>
      </c>
      <c r="O379" s="31">
        <v>0</v>
      </c>
      <c r="P379" s="31">
        <v>0</v>
      </c>
      <c r="Q379" s="31">
        <v>0</v>
      </c>
      <c r="R379" s="31">
        <v>0</v>
      </c>
      <c r="S379" s="31">
        <v>0</v>
      </c>
      <c r="T379" s="21" cm="1">
        <f t="array" aca="1" ref="T379" ca="1">+fair_value_gap(OFFSET(S378,0,0,-1*$I$5,-1*$Z$1),OFFSET(E378,0,0,-1*$I$5,1),F379:S379,0)</f>
        <v>14.385119804216234</v>
      </c>
      <c r="U379" s="7" t="str" cm="1">
        <f t="array" aca="1" ref="U379" ca="1">z_score_diff(OFFSET(T379,0,0,$I$5*-1,1),OFFSET(E379,0,0,$I$5*-1,1))</f>
        <v/>
      </c>
      <c r="V379" s="7" t="str">
        <f t="shared" ca="1" si="357"/>
        <v/>
      </c>
      <c r="W379" s="14">
        <f t="shared" ca="1" si="352"/>
        <v>1.7590154051796245E-3</v>
      </c>
      <c r="X379" s="10">
        <f t="shared" ref="X379:Y379" ca="1" si="410">+X378</f>
        <v>0</v>
      </c>
      <c r="Y379" s="10">
        <f t="shared" ca="1" si="410"/>
        <v>0</v>
      </c>
      <c r="Z379" t="str">
        <f t="shared" ca="1" si="359"/>
        <v/>
      </c>
      <c r="AA379" t="str">
        <f t="shared" ca="1" si="360"/>
        <v/>
      </c>
      <c r="AB379" s="19" t="str">
        <f t="shared" ca="1" si="361"/>
        <v/>
      </c>
      <c r="AC379" s="19" t="str">
        <f t="shared" ca="1" si="362"/>
        <v/>
      </c>
    </row>
    <row r="380" spans="3:29" x14ac:dyDescent="0.25">
      <c r="C380" s="4">
        <v>373</v>
      </c>
      <c r="D380" s="28">
        <v>42537</v>
      </c>
      <c r="E380" s="30">
        <v>14.176</v>
      </c>
      <c r="F380" s="30">
        <v>42.047580860732417</v>
      </c>
      <c r="G380" s="30">
        <v>4.4996881404259108</v>
      </c>
      <c r="H380" s="30">
        <v>51.635035195580507</v>
      </c>
      <c r="I380" s="8">
        <v>0</v>
      </c>
      <c r="J380" s="31">
        <v>0</v>
      </c>
      <c r="K380" s="31">
        <v>0</v>
      </c>
      <c r="L380" s="31">
        <v>0</v>
      </c>
      <c r="M380" s="31">
        <v>0</v>
      </c>
      <c r="N380" s="31">
        <v>1</v>
      </c>
      <c r="O380" s="31">
        <v>0</v>
      </c>
      <c r="P380" s="31">
        <v>0</v>
      </c>
      <c r="Q380" s="31">
        <v>0</v>
      </c>
      <c r="R380" s="31">
        <v>0</v>
      </c>
      <c r="S380" s="31">
        <v>0</v>
      </c>
      <c r="T380" s="21" cm="1">
        <f t="array" aca="1" ref="T380" ca="1">+fair_value_gap(OFFSET(S379,0,0,-1*$I$5,-1*$Z$1),OFFSET(E379,0,0,-1*$I$5,1),F380:S380,0)</f>
        <v>14.31600048897878</v>
      </c>
      <c r="U380" s="7" t="str" cm="1">
        <f t="array" aca="1" ref="U380" ca="1">z_score_diff(OFFSET(T380,0,0,$I$5*-1,1),OFFSET(E380,0,0,$I$5*-1,1))</f>
        <v/>
      </c>
      <c r="V380" s="7" t="str">
        <f t="shared" ca="1" si="357"/>
        <v/>
      </c>
      <c r="W380" s="14">
        <f t="shared" ca="1" si="352"/>
        <v>9.1985341214717922E-3</v>
      </c>
      <c r="X380" s="10">
        <f t="shared" ref="X380:Y380" ca="1" si="411">+X379</f>
        <v>0</v>
      </c>
      <c r="Y380" s="10">
        <f t="shared" ca="1" si="411"/>
        <v>0</v>
      </c>
      <c r="Z380" t="str">
        <f t="shared" ca="1" si="359"/>
        <v/>
      </c>
      <c r="AA380" t="str">
        <f t="shared" ca="1" si="360"/>
        <v/>
      </c>
      <c r="AB380" s="19" t="str">
        <f t="shared" ca="1" si="361"/>
        <v/>
      </c>
      <c r="AC380" s="19" t="str">
        <f t="shared" ca="1" si="362"/>
        <v/>
      </c>
    </row>
    <row r="381" spans="3:29" x14ac:dyDescent="0.25">
      <c r="C381" s="4">
        <v>374</v>
      </c>
      <c r="D381" s="28">
        <v>42538</v>
      </c>
      <c r="E381" s="30">
        <v>14.518000000000001</v>
      </c>
      <c r="F381" s="30">
        <v>43.613624268227781</v>
      </c>
      <c r="G381" s="30">
        <v>4.4793329785346812</v>
      </c>
      <c r="H381" s="30">
        <v>51.135355685648392</v>
      </c>
      <c r="I381" s="8">
        <v>0</v>
      </c>
      <c r="J381" s="31">
        <v>0</v>
      </c>
      <c r="K381" s="31">
        <v>0</v>
      </c>
      <c r="L381" s="31">
        <v>0</v>
      </c>
      <c r="M381" s="31">
        <v>0</v>
      </c>
      <c r="N381" s="31">
        <v>1</v>
      </c>
      <c r="O381" s="31">
        <v>0</v>
      </c>
      <c r="P381" s="31">
        <v>0</v>
      </c>
      <c r="Q381" s="31">
        <v>0</v>
      </c>
      <c r="R381" s="31">
        <v>0</v>
      </c>
      <c r="S381" s="31">
        <v>0</v>
      </c>
      <c r="T381" s="21" cm="1">
        <f t="array" aca="1" ref="T381" ca="1">+fair_value_gap(OFFSET(S380,0,0,-1*$I$5,-1*$Z$1),OFFSET(E380,0,0,-1*$I$5,1),F381:S381,0)</f>
        <v>14.507395264468748</v>
      </c>
      <c r="U381" s="7" t="str" cm="1">
        <f t="array" aca="1" ref="U381" ca="1">z_score_diff(OFFSET(T381,0,0,$I$5*-1,1),OFFSET(E381,0,0,$I$5*-1,1))</f>
        <v/>
      </c>
      <c r="V381" s="7" t="str">
        <f t="shared" ca="1" si="357"/>
        <v/>
      </c>
      <c r="W381" s="14">
        <f t="shared" ca="1" si="352"/>
        <v>-2.0810160448411615E-2</v>
      </c>
      <c r="X381" s="10">
        <f t="shared" ref="X381:Y381" ca="1" si="412">+X380</f>
        <v>0</v>
      </c>
      <c r="Y381" s="10">
        <f t="shared" ca="1" si="412"/>
        <v>0</v>
      </c>
      <c r="Z381" t="str">
        <f t="shared" ca="1" si="359"/>
        <v/>
      </c>
      <c r="AA381" t="str">
        <f t="shared" ca="1" si="360"/>
        <v/>
      </c>
      <c r="AB381" s="19" t="str">
        <f t="shared" ca="1" si="361"/>
        <v/>
      </c>
      <c r="AC381" s="19" t="str">
        <f t="shared" ca="1" si="362"/>
        <v/>
      </c>
    </row>
    <row r="382" spans="3:29" x14ac:dyDescent="0.25">
      <c r="C382" s="4">
        <v>375</v>
      </c>
      <c r="D382" s="28">
        <v>42541</v>
      </c>
      <c r="E382" s="30">
        <v>15.144</v>
      </c>
      <c r="F382" s="30">
        <v>44.783377541998227</v>
      </c>
      <c r="G382" s="30">
        <v>4.5048629531388151</v>
      </c>
      <c r="H382" s="30">
        <v>51.591511936339522</v>
      </c>
      <c r="I382" s="8">
        <v>0</v>
      </c>
      <c r="J382" s="31">
        <v>0</v>
      </c>
      <c r="K382" s="31">
        <v>0</v>
      </c>
      <c r="L382" s="31">
        <v>0</v>
      </c>
      <c r="M382" s="31">
        <v>0</v>
      </c>
      <c r="N382" s="31">
        <v>1</v>
      </c>
      <c r="O382" s="31">
        <v>0</v>
      </c>
      <c r="P382" s="31">
        <v>0</v>
      </c>
      <c r="Q382" s="31">
        <v>0</v>
      </c>
      <c r="R382" s="31">
        <v>0</v>
      </c>
      <c r="S382" s="31">
        <v>0</v>
      </c>
      <c r="T382" s="21" cm="1">
        <f t="array" aca="1" ref="T382" ca="1">+fair_value_gap(OFFSET(S381,0,0,-1*$I$5,-1*$Z$1),OFFSET(E381,0,0,-1*$I$5,1),F382:S382,0)</f>
        <v>14.681708107050937</v>
      </c>
      <c r="U382" s="7" t="str" cm="1">
        <f t="array" aca="1" ref="U382" ca="1">z_score_diff(OFFSET(T382,0,0,$I$5*-1,1),OFFSET(E382,0,0,$I$5*-1,1))</f>
        <v/>
      </c>
      <c r="V382" s="7" t="str">
        <f t="shared" ca="1" si="357"/>
        <v/>
      </c>
      <c r="W382" s="14">
        <f t="shared" ca="1" si="352"/>
        <v>-5.8114403420188761E-2</v>
      </c>
      <c r="X382" s="10">
        <f t="shared" ref="X382:Y382" ca="1" si="413">+X381</f>
        <v>0</v>
      </c>
      <c r="Y382" s="10">
        <f t="shared" ca="1" si="413"/>
        <v>0</v>
      </c>
      <c r="Z382" t="str">
        <f t="shared" ca="1" si="359"/>
        <v/>
      </c>
      <c r="AA382" t="str">
        <f t="shared" ca="1" si="360"/>
        <v/>
      </c>
      <c r="AB382" s="19" t="str">
        <f t="shared" ca="1" si="361"/>
        <v/>
      </c>
      <c r="AC382" s="19" t="str">
        <f t="shared" ca="1" si="362"/>
        <v/>
      </c>
    </row>
    <row r="383" spans="3:29" x14ac:dyDescent="0.25">
      <c r="C383" s="4">
        <v>376</v>
      </c>
      <c r="D383" s="28">
        <v>42542</v>
      </c>
      <c r="E383" s="30">
        <v>14.884</v>
      </c>
      <c r="F383" s="30">
        <v>45.035587188612091</v>
      </c>
      <c r="G383" s="30">
        <v>4.6841637010676145</v>
      </c>
      <c r="H383" s="30">
        <v>51.690391459074732</v>
      </c>
      <c r="I383" s="8">
        <v>0</v>
      </c>
      <c r="J383" s="31">
        <v>0</v>
      </c>
      <c r="K383" s="31">
        <v>0</v>
      </c>
      <c r="L383" s="31">
        <v>0</v>
      </c>
      <c r="M383" s="31">
        <v>0</v>
      </c>
      <c r="N383" s="31">
        <v>1</v>
      </c>
      <c r="O383" s="31">
        <v>0</v>
      </c>
      <c r="P383" s="31">
        <v>0</v>
      </c>
      <c r="Q383" s="31">
        <v>0</v>
      </c>
      <c r="R383" s="31">
        <v>0</v>
      </c>
      <c r="S383" s="31">
        <v>0</v>
      </c>
      <c r="T383" s="21" cm="1">
        <f t="array" aca="1" ref="T383" ca="1">+fair_value_gap(OFFSET(S382,0,0,-1*$I$5,-1*$Z$1),OFFSET(E382,0,0,-1*$I$5,1),F383:S383,0)</f>
        <v>14.800642351542351</v>
      </c>
      <c r="U383" s="7" t="str" cm="1">
        <f t="array" aca="1" ref="U383" ca="1">z_score_diff(OFFSET(T383,0,0,$I$5*-1,1),OFFSET(E383,0,0,$I$5*-1,1))</f>
        <v/>
      </c>
      <c r="V383" s="7" t="str">
        <f t="shared" ca="1" si="357"/>
        <v/>
      </c>
      <c r="W383" s="14">
        <f t="shared" ca="1" si="352"/>
        <v>-3.2156233383410317E-2</v>
      </c>
      <c r="X383" s="10">
        <f t="shared" ref="X383:Y383" ca="1" si="414">+X382</f>
        <v>0</v>
      </c>
      <c r="Y383" s="10">
        <f t="shared" ca="1" si="414"/>
        <v>0</v>
      </c>
      <c r="Z383" t="str">
        <f t="shared" ca="1" si="359"/>
        <v/>
      </c>
      <c r="AA383" t="str">
        <f t="shared" ca="1" si="360"/>
        <v/>
      </c>
      <c r="AB383" s="19" t="str">
        <f t="shared" ca="1" si="361"/>
        <v/>
      </c>
      <c r="AC383" s="19" t="str">
        <f t="shared" ca="1" si="362"/>
        <v/>
      </c>
    </row>
    <row r="384" spans="3:29" x14ac:dyDescent="0.25">
      <c r="C384" s="4">
        <v>377</v>
      </c>
      <c r="D384" s="28">
        <v>42543</v>
      </c>
      <c r="E384" s="30">
        <v>15.26</v>
      </c>
      <c r="F384" s="30">
        <v>44.161133244798584</v>
      </c>
      <c r="G384" s="30">
        <v>4.6613545816733071</v>
      </c>
      <c r="H384" s="30">
        <v>51.305887560867646</v>
      </c>
      <c r="I384" s="8">
        <v>0</v>
      </c>
      <c r="J384" s="31">
        <v>0</v>
      </c>
      <c r="K384" s="31">
        <v>0</v>
      </c>
      <c r="L384" s="31">
        <v>0</v>
      </c>
      <c r="M384" s="31">
        <v>0</v>
      </c>
      <c r="N384" s="31">
        <v>1</v>
      </c>
      <c r="O384" s="31">
        <v>0</v>
      </c>
      <c r="P384" s="31">
        <v>0</v>
      </c>
      <c r="Q384" s="31">
        <v>0</v>
      </c>
      <c r="R384" s="31">
        <v>0</v>
      </c>
      <c r="S384" s="31">
        <v>0</v>
      </c>
      <c r="T384" s="21" cm="1">
        <f t="array" aca="1" ref="T384" ca="1">+fair_value_gap(OFFSET(S383,0,0,-1*$I$5,-1*$Z$1),OFFSET(E383,0,0,-1*$I$5,1),F384:S384,0)</f>
        <v>14.610881482622421</v>
      </c>
      <c r="U384" s="7" t="str" cm="1">
        <f t="array" aca="1" ref="U384" ca="1">z_score_diff(OFFSET(T384,0,0,$I$5*-1,1),OFFSET(E384,0,0,$I$5*-1,1))</f>
        <v/>
      </c>
      <c r="V384" s="7" t="str">
        <f t="shared" ca="1" si="357"/>
        <v/>
      </c>
      <c r="W384" s="14">
        <f t="shared" ca="1" si="352"/>
        <v>-3.5824128973039403E-2</v>
      </c>
      <c r="X384" s="10">
        <f t="shared" ref="X384:Y384" ca="1" si="415">+X383</f>
        <v>0</v>
      </c>
      <c r="Y384" s="10">
        <f t="shared" ca="1" si="415"/>
        <v>0</v>
      </c>
      <c r="Z384" t="str">
        <f t="shared" ca="1" si="359"/>
        <v/>
      </c>
      <c r="AA384" t="str">
        <f t="shared" ca="1" si="360"/>
        <v/>
      </c>
      <c r="AB384" s="19" t="str">
        <f t="shared" ca="1" si="361"/>
        <v/>
      </c>
      <c r="AC384" s="19" t="str">
        <f t="shared" ca="1" si="362"/>
        <v/>
      </c>
    </row>
    <row r="385" spans="3:29" x14ac:dyDescent="0.25">
      <c r="C385" s="4">
        <v>378</v>
      </c>
      <c r="D385" s="28">
        <v>42544</v>
      </c>
      <c r="E385" s="30">
        <v>15.170999999999999</v>
      </c>
      <c r="F385" s="30">
        <v>44.716732542819493</v>
      </c>
      <c r="G385" s="30">
        <v>4.6596398770311804</v>
      </c>
      <c r="H385" s="30">
        <v>50.900307422046552</v>
      </c>
      <c r="I385" s="8">
        <v>0</v>
      </c>
      <c r="J385" s="31">
        <v>0</v>
      </c>
      <c r="K385" s="31">
        <v>0</v>
      </c>
      <c r="L385" s="31">
        <v>0</v>
      </c>
      <c r="M385" s="31">
        <v>0</v>
      </c>
      <c r="N385" s="31">
        <v>1</v>
      </c>
      <c r="O385" s="31">
        <v>0</v>
      </c>
      <c r="P385" s="31">
        <v>0</v>
      </c>
      <c r="Q385" s="31">
        <v>0</v>
      </c>
      <c r="R385" s="31">
        <v>0</v>
      </c>
      <c r="S385" s="31">
        <v>0</v>
      </c>
      <c r="T385" s="21" cm="1">
        <f t="array" aca="1" ref="T385" ca="1">+fair_value_gap(OFFSET(S384,0,0,-1*$I$5,-1*$Z$1),OFFSET(E384,0,0,-1*$I$5,1),F385:S385,0)</f>
        <v>14.68699051413344</v>
      </c>
      <c r="U385" s="7" t="str" cm="1">
        <f t="array" aca="1" ref="U385" ca="1">z_score_diff(OFFSET(T385,0,0,$I$5*-1,1),OFFSET(E385,0,0,$I$5*-1,1))</f>
        <v/>
      </c>
      <c r="V385" s="7" t="str">
        <f t="shared" ca="1" si="357"/>
        <v/>
      </c>
      <c r="W385" s="14">
        <f t="shared" ca="1" si="352"/>
        <v>-1.246948570494848E-2</v>
      </c>
      <c r="X385" s="10">
        <f t="shared" ref="X385:Y385" ca="1" si="416">+X384</f>
        <v>0</v>
      </c>
      <c r="Y385" s="10">
        <f t="shared" ca="1" si="416"/>
        <v>0</v>
      </c>
      <c r="Z385" t="str">
        <f t="shared" ca="1" si="359"/>
        <v/>
      </c>
      <c r="AA385" t="str">
        <f t="shared" ca="1" si="360"/>
        <v/>
      </c>
      <c r="AB385" s="19" t="str">
        <f t="shared" ca="1" si="361"/>
        <v/>
      </c>
      <c r="AC385" s="19" t="str">
        <f t="shared" ca="1" si="362"/>
        <v/>
      </c>
    </row>
    <row r="386" spans="3:29" x14ac:dyDescent="0.25">
      <c r="C386" s="4">
        <v>379</v>
      </c>
      <c r="D386" s="28">
        <v>42545</v>
      </c>
      <c r="E386" s="30">
        <v>14.9</v>
      </c>
      <c r="F386" s="30">
        <v>43.553756185335132</v>
      </c>
      <c r="G386" s="30">
        <v>4.7728295096716149</v>
      </c>
      <c r="H386" s="30">
        <v>52.001799370220425</v>
      </c>
      <c r="I386" s="8">
        <v>0</v>
      </c>
      <c r="J386" s="31">
        <v>0</v>
      </c>
      <c r="K386" s="31">
        <v>0</v>
      </c>
      <c r="L386" s="31">
        <v>0</v>
      </c>
      <c r="M386" s="31">
        <v>0</v>
      </c>
      <c r="N386" s="31">
        <v>1</v>
      </c>
      <c r="O386" s="31">
        <v>0</v>
      </c>
      <c r="P386" s="31">
        <v>0</v>
      </c>
      <c r="Q386" s="31">
        <v>0</v>
      </c>
      <c r="R386" s="31">
        <v>0</v>
      </c>
      <c r="S386" s="31">
        <v>0</v>
      </c>
      <c r="T386" s="21" cm="1">
        <f t="array" aca="1" ref="T386" ca="1">+fair_value_gap(OFFSET(S385,0,0,-1*$I$5,-1*$Z$1),OFFSET(E385,0,0,-1*$I$5,1),F386:S386,0)</f>
        <v>14.757447532961113</v>
      </c>
      <c r="U386" s="7" t="str" cm="1">
        <f t="array" aca="1" ref="U386" ca="1">z_score_diff(OFFSET(T386,0,0,$I$5*-1,1),OFFSET(E386,0,0,$I$5*-1,1))</f>
        <v/>
      </c>
      <c r="V386" s="7" t="str">
        <f t="shared" ca="1" si="357"/>
        <v/>
      </c>
      <c r="W386" s="14">
        <f t="shared" ca="1" si="352"/>
        <v>-3.3613477027048832E-3</v>
      </c>
      <c r="X386" s="10">
        <f t="shared" ref="X386:Y386" ca="1" si="417">+X385</f>
        <v>0</v>
      </c>
      <c r="Y386" s="10">
        <f t="shared" ca="1" si="417"/>
        <v>0</v>
      </c>
      <c r="Z386" t="str">
        <f t="shared" ca="1" si="359"/>
        <v/>
      </c>
      <c r="AA386" t="str">
        <f t="shared" ca="1" si="360"/>
        <v/>
      </c>
      <c r="AB386" s="19" t="str">
        <f t="shared" ca="1" si="361"/>
        <v/>
      </c>
      <c r="AC386" s="19" t="str">
        <f t="shared" ca="1" si="362"/>
        <v/>
      </c>
    </row>
    <row r="387" spans="3:29" x14ac:dyDescent="0.25">
      <c r="C387" s="4">
        <v>380</v>
      </c>
      <c r="D387" s="28">
        <v>42548</v>
      </c>
      <c r="E387" s="30">
        <v>14.302</v>
      </c>
      <c r="F387" s="30">
        <v>42.787152966793677</v>
      </c>
      <c r="G387" s="30">
        <v>4.7541281074215203</v>
      </c>
      <c r="H387" s="30">
        <v>52.62202866993286</v>
      </c>
      <c r="I387" s="8">
        <v>0</v>
      </c>
      <c r="J387" s="31">
        <v>0</v>
      </c>
      <c r="K387" s="31">
        <v>0</v>
      </c>
      <c r="L387" s="31">
        <v>0</v>
      </c>
      <c r="M387" s="31">
        <v>0</v>
      </c>
      <c r="N387" s="31">
        <v>1</v>
      </c>
      <c r="O387" s="31">
        <v>0</v>
      </c>
      <c r="P387" s="31">
        <v>0</v>
      </c>
      <c r="Q387" s="31">
        <v>0</v>
      </c>
      <c r="R387" s="31">
        <v>0</v>
      </c>
      <c r="S387" s="31">
        <v>0</v>
      </c>
      <c r="T387" s="21" cm="1">
        <f t="array" aca="1" ref="T387" ca="1">+fair_value_gap(OFFSET(S386,0,0,-1*$I$5,-1*$Z$1),OFFSET(E386,0,0,-1*$I$5,1),F387:S387,0)</f>
        <v>14.704338561058066</v>
      </c>
      <c r="U387" s="7" t="str" cm="1">
        <f t="array" aca="1" ref="U387" ca="1">z_score_diff(OFFSET(T387,0,0,$I$5*-1,1),OFFSET(E387,0,0,$I$5*-1,1))</f>
        <v/>
      </c>
      <c r="V387" s="7" t="str">
        <f t="shared" ca="1" si="357"/>
        <v/>
      </c>
      <c r="W387" s="14">
        <f t="shared" ca="1" si="352"/>
        <v>3.7128986016423698E-2</v>
      </c>
      <c r="X387" s="10">
        <f t="shared" ref="X387:Y387" ca="1" si="418">+X386</f>
        <v>0</v>
      </c>
      <c r="Y387" s="10">
        <f t="shared" ca="1" si="418"/>
        <v>0</v>
      </c>
      <c r="Z387" t="str">
        <f t="shared" ca="1" si="359"/>
        <v/>
      </c>
      <c r="AA387" t="str">
        <f t="shared" ca="1" si="360"/>
        <v/>
      </c>
      <c r="AB387" s="19" t="str">
        <f t="shared" ca="1" si="361"/>
        <v/>
      </c>
      <c r="AC387" s="19" t="str">
        <f t="shared" ca="1" si="362"/>
        <v/>
      </c>
    </row>
    <row r="388" spans="3:29" x14ac:dyDescent="0.25">
      <c r="C388" s="4">
        <v>381</v>
      </c>
      <c r="D388" s="28">
        <v>42549</v>
      </c>
      <c r="E388" s="30">
        <v>14.153</v>
      </c>
      <c r="F388" s="30">
        <v>43.904202440126525</v>
      </c>
      <c r="G388" s="30">
        <v>4.7356529597831001</v>
      </c>
      <c r="H388" s="30">
        <v>52.869408043380027</v>
      </c>
      <c r="I388" s="8">
        <v>0</v>
      </c>
      <c r="J388" s="31">
        <v>0</v>
      </c>
      <c r="K388" s="31">
        <v>0</v>
      </c>
      <c r="L388" s="31">
        <v>0</v>
      </c>
      <c r="M388" s="31">
        <v>0</v>
      </c>
      <c r="N388" s="31">
        <v>1</v>
      </c>
      <c r="O388" s="31">
        <v>0</v>
      </c>
      <c r="P388" s="31">
        <v>0</v>
      </c>
      <c r="Q388" s="31">
        <v>0</v>
      </c>
      <c r="R388" s="31">
        <v>0</v>
      </c>
      <c r="S388" s="31">
        <v>0</v>
      </c>
      <c r="T388" s="21" cm="1">
        <f t="array" aca="1" ref="T388" ca="1">+fair_value_gap(OFFSET(S387,0,0,-1*$I$5,-1*$Z$1),OFFSET(E387,0,0,-1*$I$5,1),F388:S388,0)</f>
        <v>14.860017083151837</v>
      </c>
      <c r="U388" s="7" t="str" cm="1">
        <f t="array" aca="1" ref="U388" ca="1">z_score_diff(OFFSET(T388,0,0,$I$5*-1,1),OFFSET(E388,0,0,$I$5*-1,1))</f>
        <v/>
      </c>
      <c r="V388" s="7" t="str">
        <f t="shared" ca="1" si="357"/>
        <v/>
      </c>
      <c r="W388" s="14">
        <f t="shared" ca="1" si="352"/>
        <v>3.0683869591726386E-2</v>
      </c>
      <c r="X388" s="10">
        <f t="shared" ref="X388:Y388" ca="1" si="419">+X387</f>
        <v>0</v>
      </c>
      <c r="Y388" s="10">
        <f t="shared" ca="1" si="419"/>
        <v>0</v>
      </c>
      <c r="Z388" t="str">
        <f t="shared" ca="1" si="359"/>
        <v/>
      </c>
      <c r="AA388" t="str">
        <f t="shared" ca="1" si="360"/>
        <v/>
      </c>
      <c r="AB388" s="19" t="str">
        <f t="shared" ca="1" si="361"/>
        <v/>
      </c>
      <c r="AC388" s="19" t="str">
        <f t="shared" ca="1" si="362"/>
        <v/>
      </c>
    </row>
    <row r="389" spans="3:29" x14ac:dyDescent="0.25">
      <c r="C389" s="4">
        <v>382</v>
      </c>
      <c r="D389" s="28">
        <v>42550</v>
      </c>
      <c r="E389" s="30">
        <v>14.428000000000001</v>
      </c>
      <c r="F389" s="30">
        <v>45.500314663310256</v>
      </c>
      <c r="G389" s="30">
        <v>4.7109592735772718</v>
      </c>
      <c r="H389" s="30">
        <v>52.54877281308999</v>
      </c>
      <c r="I389" s="8">
        <v>0</v>
      </c>
      <c r="J389" s="31">
        <v>0</v>
      </c>
      <c r="K389" s="31">
        <v>0</v>
      </c>
      <c r="L389" s="31">
        <v>0</v>
      </c>
      <c r="M389" s="31">
        <v>0</v>
      </c>
      <c r="N389" s="31">
        <v>1</v>
      </c>
      <c r="O389" s="31">
        <v>0</v>
      </c>
      <c r="P389" s="31">
        <v>0</v>
      </c>
      <c r="Q389" s="31">
        <v>0</v>
      </c>
      <c r="R389" s="31">
        <v>0</v>
      </c>
      <c r="S389" s="31">
        <v>0</v>
      </c>
      <c r="T389" s="21" cm="1">
        <f t="array" aca="1" ref="T389" ca="1">+fair_value_gap(OFFSET(S388,0,0,-1*$I$5,-1*$Z$1),OFFSET(E388,0,0,-1*$I$5,1),F389:S389,0)</f>
        <v>15.011290758311691</v>
      </c>
      <c r="U389" s="7" t="str" cm="1">
        <f t="array" aca="1" ref="U389" ca="1">z_score_diff(OFFSET(T389,0,0,$I$5*-1,1),OFFSET(E389,0,0,$I$5*-1,1))</f>
        <v/>
      </c>
      <c r="V389" s="7" t="str">
        <f t="shared" ca="1" si="357"/>
        <v/>
      </c>
      <c r="W389" s="14">
        <f t="shared" ca="1" si="352"/>
        <v>1.5236515171484343E-3</v>
      </c>
      <c r="X389" s="10">
        <f t="shared" ref="X389:Y389" ca="1" si="420">+X388</f>
        <v>0</v>
      </c>
      <c r="Y389" s="10">
        <f t="shared" ca="1" si="420"/>
        <v>0</v>
      </c>
      <c r="Z389" t="str">
        <f t="shared" ca="1" si="359"/>
        <v/>
      </c>
      <c r="AA389" t="str">
        <f t="shared" ca="1" si="360"/>
        <v/>
      </c>
      <c r="AB389" s="19" t="str">
        <f t="shared" ca="1" si="361"/>
        <v/>
      </c>
      <c r="AC389" s="19" t="str">
        <f t="shared" ca="1" si="362"/>
        <v/>
      </c>
    </row>
    <row r="390" spans="3:29" x14ac:dyDescent="0.25">
      <c r="C390" s="4">
        <v>383</v>
      </c>
      <c r="D390" s="28">
        <v>42551</v>
      </c>
      <c r="E390" s="30">
        <v>14.375</v>
      </c>
      <c r="F390" s="30">
        <v>44.740634005763688</v>
      </c>
      <c r="G390" s="30">
        <v>4.6965057636887604</v>
      </c>
      <c r="H390" s="30">
        <v>53.314121037463977</v>
      </c>
      <c r="I390" s="8">
        <v>0</v>
      </c>
      <c r="J390" s="31">
        <v>0</v>
      </c>
      <c r="K390" s="31">
        <v>0</v>
      </c>
      <c r="L390" s="31">
        <v>0</v>
      </c>
      <c r="M390" s="31">
        <v>0</v>
      </c>
      <c r="N390" s="31">
        <v>1</v>
      </c>
      <c r="O390" s="31">
        <v>0</v>
      </c>
      <c r="P390" s="31">
        <v>0</v>
      </c>
      <c r="Q390" s="31">
        <v>0</v>
      </c>
      <c r="R390" s="31">
        <v>0</v>
      </c>
      <c r="S390" s="31">
        <v>0</v>
      </c>
      <c r="T390" s="21" cm="1">
        <f t="array" aca="1" ref="T390" ca="1">+fair_value_gap(OFFSET(S389,0,0,-1*$I$5,-1*$Z$1),OFFSET(E389,0,0,-1*$I$5,1),F390:S390,0)</f>
        <v>14.937553063623374</v>
      </c>
      <c r="U390" s="7" t="str" cm="1">
        <f t="array" aca="1" ref="U390" ca="1">z_score_diff(OFFSET(T390,0,0,$I$5*-1,1),OFFSET(E390,0,0,$I$5*-1,1))</f>
        <v/>
      </c>
      <c r="V390" s="7" t="str">
        <f t="shared" ca="1" si="357"/>
        <v/>
      </c>
      <c r="W390" s="14">
        <f t="shared" ca="1" si="352"/>
        <v>-1.5634629825929995E-2</v>
      </c>
      <c r="X390" s="10">
        <f t="shared" ref="X390:Y390" ca="1" si="421">+X389</f>
        <v>0</v>
      </c>
      <c r="Y390" s="10">
        <f t="shared" ca="1" si="421"/>
        <v>0</v>
      </c>
      <c r="Z390" t="str">
        <f t="shared" ca="1" si="359"/>
        <v/>
      </c>
      <c r="AA390" t="str">
        <f t="shared" ca="1" si="360"/>
        <v/>
      </c>
      <c r="AB390" s="19" t="str">
        <f t="shared" ca="1" si="361"/>
        <v/>
      </c>
      <c r="AC390" s="19" t="str">
        <f t="shared" ca="1" si="362"/>
        <v/>
      </c>
    </row>
    <row r="391" spans="3:29" x14ac:dyDescent="0.25">
      <c r="C391" s="4">
        <v>384</v>
      </c>
      <c r="D391" s="28">
        <v>42552</v>
      </c>
      <c r="E391" s="30">
        <v>14.28</v>
      </c>
      <c r="F391" s="30">
        <v>45.217781769196229</v>
      </c>
      <c r="G391" s="30">
        <v>4.6834306241580599</v>
      </c>
      <c r="H391" s="30">
        <v>53.929052537045351</v>
      </c>
      <c r="I391" s="8">
        <v>0</v>
      </c>
      <c r="J391" s="31">
        <v>0</v>
      </c>
      <c r="K391" s="31">
        <v>0</v>
      </c>
      <c r="L391" s="31">
        <v>0</v>
      </c>
      <c r="M391" s="31">
        <v>0</v>
      </c>
      <c r="N391" s="31">
        <v>0</v>
      </c>
      <c r="O391" s="31">
        <v>1</v>
      </c>
      <c r="P391" s="31">
        <v>0</v>
      </c>
      <c r="Q391" s="31">
        <v>0</v>
      </c>
      <c r="R391" s="31">
        <v>0</v>
      </c>
      <c r="S391" s="31">
        <v>0</v>
      </c>
      <c r="T391" s="21" cm="1">
        <f t="array" aca="1" ref="T391" ca="1">+fair_value_gap(OFFSET(S390,0,0,-1*$I$5,-1*$Z$1),OFFSET(E390,0,0,-1*$I$5,1),F391:S391,0)</f>
        <v>18.045155445407012</v>
      </c>
      <c r="U391" s="7" t="str" cm="1">
        <f t="array" aca="1" ref="U391" ca="1">z_score_diff(OFFSET(T391,0,0,$I$5*-1,1),OFFSET(E391,0,0,$I$5*-1,1))</f>
        <v/>
      </c>
      <c r="V391" s="7" t="str">
        <f t="shared" ca="1" si="357"/>
        <v/>
      </c>
      <c r="W391" s="14">
        <f t="shared" ref="W391:W454" ca="1" si="422">+LN(OFFSET(E391,$W$3,0,1,1)/E391)</f>
        <v>1.2387937666667024E-2</v>
      </c>
      <c r="X391" s="10">
        <f t="shared" ref="X391:Y391" ca="1" si="423">+X390</f>
        <v>0</v>
      </c>
      <c r="Y391" s="10">
        <f t="shared" ca="1" si="423"/>
        <v>0</v>
      </c>
      <c r="Z391" t="str">
        <f t="shared" ca="1" si="359"/>
        <v/>
      </c>
      <c r="AA391" t="str">
        <f t="shared" ca="1" si="360"/>
        <v/>
      </c>
      <c r="AB391" s="19" t="str">
        <f t="shared" ca="1" si="361"/>
        <v/>
      </c>
      <c r="AC391" s="19" t="str">
        <f t="shared" ca="1" si="362"/>
        <v/>
      </c>
    </row>
    <row r="392" spans="3:29" x14ac:dyDescent="0.25">
      <c r="C392" s="4">
        <v>385</v>
      </c>
      <c r="D392" s="28">
        <v>42555</v>
      </c>
      <c r="E392" s="30">
        <v>14.539</v>
      </c>
      <c r="F392" s="30">
        <v>44.916621839698763</v>
      </c>
      <c r="G392" s="30">
        <v>4.6754527523758291</v>
      </c>
      <c r="H392" s="30">
        <v>54.464766003227545</v>
      </c>
      <c r="I392" s="8">
        <v>0</v>
      </c>
      <c r="J392" s="31">
        <v>0</v>
      </c>
      <c r="K392" s="31">
        <v>0</v>
      </c>
      <c r="L392" s="31">
        <v>0</v>
      </c>
      <c r="M392" s="31">
        <v>0</v>
      </c>
      <c r="N392" s="31">
        <v>0</v>
      </c>
      <c r="O392" s="31">
        <v>1</v>
      </c>
      <c r="P392" s="31">
        <v>0</v>
      </c>
      <c r="Q392" s="31">
        <v>0</v>
      </c>
      <c r="R392" s="31">
        <v>0</v>
      </c>
      <c r="S392" s="31">
        <v>0</v>
      </c>
      <c r="T392" s="21" cm="1">
        <f t="array" aca="1" ref="T392" ca="1">+fair_value_gap(OFFSET(S391,0,0,-1*$I$5,-1*$Z$1),OFFSET(E391,0,0,-1*$I$5,1),F392:S392,0)</f>
        <v>16.749645600951666</v>
      </c>
      <c r="U392" s="7" t="str" cm="1">
        <f t="array" aca="1" ref="U392" ca="1">z_score_diff(OFFSET(T392,0,0,$I$5*-1,1),OFFSET(E392,0,0,$I$5*-1,1))</f>
        <v/>
      </c>
      <c r="V392" s="7" t="str">
        <f t="shared" ca="1" si="357"/>
        <v/>
      </c>
      <c r="W392" s="14">
        <f t="shared" ca="1" si="422"/>
        <v>-3.4212298169533688E-2</v>
      </c>
      <c r="X392" s="10">
        <f t="shared" ref="X392:Y392" ca="1" si="424">+X391</f>
        <v>0</v>
      </c>
      <c r="Y392" s="10">
        <f t="shared" ca="1" si="424"/>
        <v>0</v>
      </c>
      <c r="Z392" t="str">
        <f t="shared" ca="1" si="359"/>
        <v/>
      </c>
      <c r="AA392" t="str">
        <f t="shared" ca="1" si="360"/>
        <v/>
      </c>
      <c r="AB392" s="19" t="str">
        <f t="shared" ca="1" si="361"/>
        <v/>
      </c>
      <c r="AC392" s="19" t="str">
        <f t="shared" ca="1" si="362"/>
        <v/>
      </c>
    </row>
    <row r="393" spans="3:29" x14ac:dyDescent="0.25">
      <c r="C393" s="4">
        <v>386</v>
      </c>
      <c r="D393" s="28">
        <v>42556</v>
      </c>
      <c r="E393" s="30">
        <v>14.24</v>
      </c>
      <c r="F393" s="30">
        <v>43.304740406320548</v>
      </c>
      <c r="G393" s="30">
        <v>4.6907449209932288</v>
      </c>
      <c r="H393" s="30">
        <v>54.356659142212195</v>
      </c>
      <c r="I393" s="8">
        <v>0</v>
      </c>
      <c r="J393" s="31">
        <v>0</v>
      </c>
      <c r="K393" s="31">
        <v>0</v>
      </c>
      <c r="L393" s="31">
        <v>0</v>
      </c>
      <c r="M393" s="31">
        <v>0</v>
      </c>
      <c r="N393" s="31">
        <v>0</v>
      </c>
      <c r="O393" s="31">
        <v>1</v>
      </c>
      <c r="P393" s="31">
        <v>0</v>
      </c>
      <c r="Q393" s="31">
        <v>0</v>
      </c>
      <c r="R393" s="31">
        <v>0</v>
      </c>
      <c r="S393" s="31">
        <v>0</v>
      </c>
      <c r="T393" s="21" cm="1">
        <f t="array" aca="1" ref="T393" ca="1">+fair_value_gap(OFFSET(S392,0,0,-1*$I$5,-1*$Z$1),OFFSET(E392,0,0,-1*$I$5,1),F393:S393,0)</f>
        <v>15.865806795865804</v>
      </c>
      <c r="U393" s="7" t="str" cm="1">
        <f t="array" aca="1" ref="U393" ca="1">z_score_diff(OFFSET(T393,0,0,$I$5*-1,1),OFFSET(E393,0,0,$I$5*-1,1))</f>
        <v/>
      </c>
      <c r="V393" s="7" t="str">
        <f t="shared" ca="1" si="357"/>
        <v/>
      </c>
      <c r="W393" s="14">
        <f t="shared" ca="1" si="422"/>
        <v>-3.1168946142388389E-2</v>
      </c>
      <c r="X393" s="10">
        <f t="shared" ref="X393:Y393" ca="1" si="425">+X392</f>
        <v>0</v>
      </c>
      <c r="Y393" s="10">
        <f t="shared" ca="1" si="425"/>
        <v>0</v>
      </c>
      <c r="Z393" t="str">
        <f t="shared" ca="1" si="359"/>
        <v/>
      </c>
      <c r="AA393" t="str">
        <f t="shared" ca="1" si="360"/>
        <v/>
      </c>
      <c r="AB393" s="19" t="str">
        <f t="shared" ca="1" si="361"/>
        <v/>
      </c>
      <c r="AC393" s="19" t="str">
        <f t="shared" ca="1" si="362"/>
        <v/>
      </c>
    </row>
    <row r="394" spans="3:29" x14ac:dyDescent="0.25">
      <c r="C394" s="4">
        <v>387</v>
      </c>
      <c r="D394" s="28">
        <v>42557</v>
      </c>
      <c r="E394" s="30">
        <v>14.162000000000001</v>
      </c>
      <c r="F394" s="30">
        <v>43.967925038291732</v>
      </c>
      <c r="G394" s="30">
        <v>4.6806018560230651</v>
      </c>
      <c r="H394" s="30">
        <v>54.013875123885029</v>
      </c>
      <c r="I394" s="8">
        <v>0</v>
      </c>
      <c r="J394" s="31">
        <v>0</v>
      </c>
      <c r="K394" s="31">
        <v>0</v>
      </c>
      <c r="L394" s="31">
        <v>0</v>
      </c>
      <c r="M394" s="31">
        <v>0</v>
      </c>
      <c r="N394" s="31">
        <v>0</v>
      </c>
      <c r="O394" s="31">
        <v>1</v>
      </c>
      <c r="P394" s="31">
        <v>0</v>
      </c>
      <c r="Q394" s="31">
        <v>0</v>
      </c>
      <c r="R394" s="31">
        <v>0</v>
      </c>
      <c r="S394" s="31">
        <v>0</v>
      </c>
      <c r="T394" s="21" cm="1">
        <f t="array" aca="1" ref="T394" ca="1">+fair_value_gap(OFFSET(S393,0,0,-1*$I$5,-1*$Z$1),OFFSET(E393,0,0,-1*$I$5,1),F394:S394,0)</f>
        <v>15.594521366409412</v>
      </c>
      <c r="U394" s="7" t="str" cm="1">
        <f t="array" aca="1" ref="U394" ca="1">z_score_diff(OFFSET(T394,0,0,$I$5*-1,1),OFFSET(E394,0,0,$I$5*-1,1))</f>
        <v/>
      </c>
      <c r="V394" s="7" t="str">
        <f t="shared" ca="1" si="357"/>
        <v/>
      </c>
      <c r="W394" s="14">
        <f t="shared" ca="1" si="422"/>
        <v>-3.3020513648874913E-2</v>
      </c>
      <c r="X394" s="10">
        <f t="shared" ref="X394:Y394" ca="1" si="426">+X393</f>
        <v>0</v>
      </c>
      <c r="Y394" s="10">
        <f t="shared" ca="1" si="426"/>
        <v>0</v>
      </c>
      <c r="Z394" t="str">
        <f t="shared" ca="1" si="359"/>
        <v/>
      </c>
      <c r="AA394" t="str">
        <f t="shared" ca="1" si="360"/>
        <v/>
      </c>
      <c r="AB394" s="19" t="str">
        <f t="shared" ca="1" si="361"/>
        <v/>
      </c>
      <c r="AC394" s="19" t="str">
        <f t="shared" ca="1" si="362"/>
        <v/>
      </c>
    </row>
    <row r="395" spans="3:29" x14ac:dyDescent="0.25">
      <c r="C395" s="4">
        <v>388</v>
      </c>
      <c r="D395" s="28">
        <v>42558</v>
      </c>
      <c r="E395" s="30">
        <v>14.387</v>
      </c>
      <c r="F395" s="30">
        <v>41.956777285468846</v>
      </c>
      <c r="G395" s="30">
        <v>4.6975314223709193</v>
      </c>
      <c r="H395" s="30">
        <v>54.570937697802691</v>
      </c>
      <c r="I395" s="8">
        <v>0</v>
      </c>
      <c r="J395" s="31">
        <v>0</v>
      </c>
      <c r="K395" s="31">
        <v>0</v>
      </c>
      <c r="L395" s="31">
        <v>0</v>
      </c>
      <c r="M395" s="31">
        <v>0</v>
      </c>
      <c r="N395" s="31">
        <v>0</v>
      </c>
      <c r="O395" s="31">
        <v>1</v>
      </c>
      <c r="P395" s="31">
        <v>0</v>
      </c>
      <c r="Q395" s="31">
        <v>0</v>
      </c>
      <c r="R395" s="31">
        <v>0</v>
      </c>
      <c r="S395" s="31">
        <v>0</v>
      </c>
      <c r="T395" s="21" cm="1">
        <f t="array" aca="1" ref="T395" ca="1">+fair_value_gap(OFFSET(S394,0,0,-1*$I$5,-1*$Z$1),OFFSET(E394,0,0,-1*$I$5,1),F395:S395,0)</f>
        <v>14.959213890380539</v>
      </c>
      <c r="U395" s="7" t="str" cm="1">
        <f t="array" aca="1" ref="U395" ca="1">z_score_diff(OFFSET(T395,0,0,$I$5*-1,1),OFFSET(E395,0,0,$I$5*-1,1))</f>
        <v/>
      </c>
      <c r="V395" s="7" t="str">
        <f t="shared" ref="V395:V458" ca="1" si="427">+IF(ISERROR(AVERAGE(OFFSET(U395,0,0,$V$5*-1,1))),"",AVERAGE(OFFSET(U395,0,0,$V$5*-1,1)))</f>
        <v/>
      </c>
      <c r="W395" s="14">
        <f t="shared" ca="1" si="422"/>
        <v>-5.2585499423927262E-2</v>
      </c>
      <c r="X395" s="10">
        <f t="shared" ref="X395:Y395" ca="1" si="428">+X394</f>
        <v>0</v>
      </c>
      <c r="Y395" s="10">
        <f t="shared" ca="1" si="428"/>
        <v>0</v>
      </c>
      <c r="Z395" t="str">
        <f t="shared" ref="Z395:Z458" ca="1" si="429">+IF(V395="","",IF(V395&lt;X395,1,0))</f>
        <v/>
      </c>
      <c r="AA395" t="str">
        <f t="shared" ref="AA395:AA458" ca="1" si="430">+IF(V395="","",IF(V395&gt;Y395,1,0))</f>
        <v/>
      </c>
      <c r="AB395" s="19" t="str">
        <f t="shared" ref="AB395:AB458" ca="1" si="431">+IF(ISERROR(Z395*W395),"",Z395*W395)</f>
        <v/>
      </c>
      <c r="AC395" s="19" t="str">
        <f t="shared" ref="AC395:AC458" ca="1" si="432">+IF(ISERROR(AA395*W395),"",AA395*W395)</f>
        <v/>
      </c>
    </row>
    <row r="396" spans="3:29" x14ac:dyDescent="0.25">
      <c r="C396" s="4">
        <v>389</v>
      </c>
      <c r="D396" s="28">
        <v>42559</v>
      </c>
      <c r="E396" s="30">
        <v>14.137</v>
      </c>
      <c r="F396" s="30">
        <v>42.309084328628302</v>
      </c>
      <c r="G396" s="30">
        <v>4.7276511038726019</v>
      </c>
      <c r="H396" s="30">
        <v>54.33405718422005</v>
      </c>
      <c r="I396" s="8">
        <v>0</v>
      </c>
      <c r="J396" s="31">
        <v>0</v>
      </c>
      <c r="K396" s="31">
        <v>0</v>
      </c>
      <c r="L396" s="31">
        <v>0</v>
      </c>
      <c r="M396" s="31">
        <v>0</v>
      </c>
      <c r="N396" s="31">
        <v>0</v>
      </c>
      <c r="O396" s="31">
        <v>1</v>
      </c>
      <c r="P396" s="31">
        <v>0</v>
      </c>
      <c r="Q396" s="31">
        <v>0</v>
      </c>
      <c r="R396" s="31">
        <v>0</v>
      </c>
      <c r="S396" s="31">
        <v>0</v>
      </c>
      <c r="T396" s="21" cm="1">
        <f t="array" aca="1" ref="T396" ca="1">+fair_value_gap(OFFSET(S395,0,0,-1*$I$5,-1*$Z$1),OFFSET(E395,0,0,-1*$I$5,1),F396:S396,0)</f>
        <v>14.982734162563595</v>
      </c>
      <c r="U396" s="7" t="str" cm="1">
        <f t="array" aca="1" ref="U396" ca="1">z_score_diff(OFFSET(T396,0,0,$I$5*-1,1),OFFSET(E396,0,0,$I$5*-1,1))</f>
        <v/>
      </c>
      <c r="V396" s="7" t="str">
        <f t="shared" ca="1" si="427"/>
        <v/>
      </c>
      <c r="W396" s="14">
        <f t="shared" ca="1" si="422"/>
        <v>-5.7279089038636988E-2</v>
      </c>
      <c r="X396" s="10">
        <f t="shared" ref="X396:Y396" ca="1" si="433">+X395</f>
        <v>0</v>
      </c>
      <c r="Y396" s="10">
        <f t="shared" ca="1" si="433"/>
        <v>0</v>
      </c>
      <c r="Z396" t="str">
        <f t="shared" ca="1" si="429"/>
        <v/>
      </c>
      <c r="AA396" t="str">
        <f t="shared" ca="1" si="430"/>
        <v/>
      </c>
      <c r="AB396" s="19" t="str">
        <f t="shared" ca="1" si="431"/>
        <v/>
      </c>
      <c r="AC396" s="19" t="str">
        <f t="shared" ca="1" si="432"/>
        <v/>
      </c>
    </row>
    <row r="397" spans="3:29" x14ac:dyDescent="0.25">
      <c r="C397" s="4">
        <v>390</v>
      </c>
      <c r="D397" s="28">
        <v>42562</v>
      </c>
      <c r="E397" s="30">
        <v>14.114000000000001</v>
      </c>
      <c r="F397" s="30">
        <v>41.832489146164981</v>
      </c>
      <c r="G397" s="30">
        <v>4.744030390738061</v>
      </c>
      <c r="H397" s="30">
        <v>54.4952966714906</v>
      </c>
      <c r="I397" s="8">
        <v>0</v>
      </c>
      <c r="J397" s="31">
        <v>0</v>
      </c>
      <c r="K397" s="31">
        <v>0</v>
      </c>
      <c r="L397" s="31">
        <v>0</v>
      </c>
      <c r="M397" s="31">
        <v>0</v>
      </c>
      <c r="N397" s="31">
        <v>0</v>
      </c>
      <c r="O397" s="31">
        <v>1</v>
      </c>
      <c r="P397" s="31">
        <v>0</v>
      </c>
      <c r="Q397" s="31">
        <v>0</v>
      </c>
      <c r="R397" s="31">
        <v>0</v>
      </c>
      <c r="S397" s="31">
        <v>0</v>
      </c>
      <c r="T397" s="21" cm="1">
        <f t="array" aca="1" ref="T397" ca="1">+fair_value_gap(OFFSET(S396,0,0,-1*$I$5,-1*$Z$1),OFFSET(E396,0,0,-1*$I$5,1),F397:S397,0)</f>
        <v>14.785761323448881</v>
      </c>
      <c r="U397" s="7" t="str" cm="1">
        <f t="array" aca="1" ref="U397" ca="1">z_score_diff(OFFSET(T397,0,0,$I$5*-1,1),OFFSET(E397,0,0,$I$5*-1,1))</f>
        <v/>
      </c>
      <c r="V397" s="7" t="str">
        <f t="shared" ca="1" si="427"/>
        <v/>
      </c>
      <c r="W397" s="14">
        <f t="shared" ca="1" si="422"/>
        <v>-7.6541687388100729E-2</v>
      </c>
      <c r="X397" s="10">
        <f t="shared" ref="X397:Y397" ca="1" si="434">+X396</f>
        <v>0</v>
      </c>
      <c r="Y397" s="10">
        <f t="shared" ca="1" si="434"/>
        <v>0</v>
      </c>
      <c r="Z397" t="str">
        <f t="shared" ca="1" si="429"/>
        <v/>
      </c>
      <c r="AA397" t="str">
        <f t="shared" ca="1" si="430"/>
        <v/>
      </c>
      <c r="AB397" s="19" t="str">
        <f t="shared" ca="1" si="431"/>
        <v/>
      </c>
      <c r="AC397" s="19" t="str">
        <f t="shared" ca="1" si="432"/>
        <v/>
      </c>
    </row>
    <row r="398" spans="3:29" x14ac:dyDescent="0.25">
      <c r="C398" s="4">
        <v>391</v>
      </c>
      <c r="D398" s="28">
        <v>42563</v>
      </c>
      <c r="E398" s="30">
        <v>14.303000000000001</v>
      </c>
      <c r="F398" s="30">
        <v>43.836483675499686</v>
      </c>
      <c r="G398" s="30">
        <v>4.7526453830152846</v>
      </c>
      <c r="H398" s="30">
        <v>55.439992764764405</v>
      </c>
      <c r="I398" s="8">
        <v>0</v>
      </c>
      <c r="J398" s="31">
        <v>0</v>
      </c>
      <c r="K398" s="31">
        <v>0</v>
      </c>
      <c r="L398" s="31">
        <v>0</v>
      </c>
      <c r="M398" s="31">
        <v>0</v>
      </c>
      <c r="N398" s="31">
        <v>0</v>
      </c>
      <c r="O398" s="31">
        <v>1</v>
      </c>
      <c r="P398" s="31">
        <v>0</v>
      </c>
      <c r="Q398" s="31">
        <v>0</v>
      </c>
      <c r="R398" s="31">
        <v>0</v>
      </c>
      <c r="S398" s="31">
        <v>0</v>
      </c>
      <c r="T398" s="21" cm="1">
        <f t="array" aca="1" ref="T398" ca="1">+fair_value_gap(OFFSET(S397,0,0,-1*$I$5,-1*$Z$1),OFFSET(E397,0,0,-1*$I$5,1),F398:S398,0)</f>
        <v>15.092431539276483</v>
      </c>
      <c r="U398" s="7" t="str" cm="1">
        <f t="array" aca="1" ref="U398" ca="1">z_score_diff(OFFSET(T398,0,0,$I$5*-1,1),OFFSET(E398,0,0,$I$5*-1,1))</f>
        <v/>
      </c>
      <c r="V398" s="7" t="str">
        <f t="shared" ca="1" si="427"/>
        <v/>
      </c>
      <c r="W398" s="14">
        <f t="shared" ca="1" si="422"/>
        <v>-0.10665867703755162</v>
      </c>
      <c r="X398" s="10">
        <f t="shared" ref="X398:Y398" ca="1" si="435">+X397</f>
        <v>0</v>
      </c>
      <c r="Y398" s="10">
        <f t="shared" ca="1" si="435"/>
        <v>0</v>
      </c>
      <c r="Z398" t="str">
        <f t="shared" ca="1" si="429"/>
        <v/>
      </c>
      <c r="AA398" t="str">
        <f t="shared" ca="1" si="430"/>
        <v/>
      </c>
      <c r="AB398" s="19" t="str">
        <f t="shared" ca="1" si="431"/>
        <v/>
      </c>
      <c r="AC398" s="19" t="str">
        <f t="shared" ca="1" si="432"/>
        <v/>
      </c>
    </row>
    <row r="399" spans="3:29" x14ac:dyDescent="0.25">
      <c r="C399" s="4">
        <v>392</v>
      </c>
      <c r="D399" s="28">
        <v>42564</v>
      </c>
      <c r="E399" s="30">
        <v>14.225</v>
      </c>
      <c r="F399" s="30">
        <v>41.720779220779221</v>
      </c>
      <c r="G399" s="30">
        <v>4.7483766233766227</v>
      </c>
      <c r="H399" s="30">
        <v>55.735930735930729</v>
      </c>
      <c r="I399" s="8">
        <v>0</v>
      </c>
      <c r="J399" s="31">
        <v>0</v>
      </c>
      <c r="K399" s="31">
        <v>0</v>
      </c>
      <c r="L399" s="31">
        <v>0</v>
      </c>
      <c r="M399" s="31">
        <v>0</v>
      </c>
      <c r="N399" s="31">
        <v>0</v>
      </c>
      <c r="O399" s="31">
        <v>1</v>
      </c>
      <c r="P399" s="31">
        <v>0</v>
      </c>
      <c r="Q399" s="31">
        <v>0</v>
      </c>
      <c r="R399" s="31">
        <v>0</v>
      </c>
      <c r="S399" s="31">
        <v>0</v>
      </c>
      <c r="T399" s="21" cm="1">
        <f t="array" aca="1" ref="T399" ca="1">+fair_value_gap(OFFSET(S398,0,0,-1*$I$5,-1*$Z$1),OFFSET(E398,0,0,-1*$I$5,1),F399:S399,0)</f>
        <v>14.550145712500138</v>
      </c>
      <c r="U399" s="7" t="str" cm="1">
        <f t="array" aca="1" ref="U399" ca="1">z_score_diff(OFFSET(T399,0,0,$I$5*-1,1),OFFSET(E399,0,0,$I$5*-1,1))</f>
        <v/>
      </c>
      <c r="V399" s="7" t="str">
        <f t="shared" ca="1" si="427"/>
        <v/>
      </c>
      <c r="W399" s="14">
        <f t="shared" ca="1" si="422"/>
        <v>-9.8161340679086551E-2</v>
      </c>
      <c r="X399" s="10">
        <f t="shared" ref="X399:Y399" ca="1" si="436">+X398</f>
        <v>0</v>
      </c>
      <c r="Y399" s="10">
        <f t="shared" ca="1" si="436"/>
        <v>0</v>
      </c>
      <c r="Z399" t="str">
        <f t="shared" ca="1" si="429"/>
        <v/>
      </c>
      <c r="AA399" t="str">
        <f t="shared" ca="1" si="430"/>
        <v/>
      </c>
      <c r="AB399" s="19" t="str">
        <f t="shared" ca="1" si="431"/>
        <v/>
      </c>
      <c r="AC399" s="19" t="str">
        <f t="shared" ca="1" si="432"/>
        <v/>
      </c>
    </row>
    <row r="400" spans="3:29" x14ac:dyDescent="0.25">
      <c r="C400" s="4">
        <v>393</v>
      </c>
      <c r="D400" s="28">
        <v>42565</v>
      </c>
      <c r="E400" s="30">
        <v>14.307</v>
      </c>
      <c r="F400" s="30">
        <v>42.606583917970859</v>
      </c>
      <c r="G400" s="30">
        <v>4.74455837380824</v>
      </c>
      <c r="H400" s="30">
        <v>55.630509084367695</v>
      </c>
      <c r="I400" s="8">
        <v>0</v>
      </c>
      <c r="J400" s="31">
        <v>0</v>
      </c>
      <c r="K400" s="31">
        <v>0</v>
      </c>
      <c r="L400" s="31">
        <v>0</v>
      </c>
      <c r="M400" s="31">
        <v>0</v>
      </c>
      <c r="N400" s="31">
        <v>0</v>
      </c>
      <c r="O400" s="31">
        <v>1</v>
      </c>
      <c r="P400" s="31">
        <v>0</v>
      </c>
      <c r="Q400" s="31">
        <v>0</v>
      </c>
      <c r="R400" s="31">
        <v>0</v>
      </c>
      <c r="S400" s="31">
        <v>0</v>
      </c>
      <c r="T400" s="21" cm="1">
        <f t="array" aca="1" ref="T400" ca="1">+fair_value_gap(OFFSET(S399,0,0,-1*$I$5,-1*$Z$1),OFFSET(E399,0,0,-1*$I$5,1),F400:S400,0)</f>
        <v>14.686052982924778</v>
      </c>
      <c r="U400" s="7" t="str" cm="1">
        <f t="array" aca="1" ref="U400" ca="1">z_score_diff(OFFSET(T400,0,0,$I$5*-1,1),OFFSET(E400,0,0,$I$5*-1,1))</f>
        <v/>
      </c>
      <c r="V400" s="7" t="str">
        <f t="shared" ca="1" si="427"/>
        <v/>
      </c>
      <c r="W400" s="14">
        <f t="shared" ca="1" si="422"/>
        <v>-0.11130375705862551</v>
      </c>
      <c r="X400" s="10">
        <f t="shared" ref="X400:Y400" ca="1" si="437">+X399</f>
        <v>0</v>
      </c>
      <c r="Y400" s="10">
        <f t="shared" ca="1" si="437"/>
        <v>0</v>
      </c>
      <c r="Z400" t="str">
        <f t="shared" ca="1" si="429"/>
        <v/>
      </c>
      <c r="AA400" t="str">
        <f t="shared" ca="1" si="430"/>
        <v/>
      </c>
      <c r="AB400" s="19" t="str">
        <f t="shared" ca="1" si="431"/>
        <v/>
      </c>
      <c r="AC400" s="19" t="str">
        <f t="shared" ca="1" si="432"/>
        <v/>
      </c>
    </row>
    <row r="401" spans="3:29" x14ac:dyDescent="0.25">
      <c r="C401" s="4">
        <v>394</v>
      </c>
      <c r="D401" s="28">
        <v>42566</v>
      </c>
      <c r="E401" s="30">
        <v>14.218999999999999</v>
      </c>
      <c r="F401" s="30">
        <v>43.148450244698211</v>
      </c>
      <c r="G401" s="30">
        <v>4.7806779046583294</v>
      </c>
      <c r="H401" s="30">
        <v>56.189958310676097</v>
      </c>
      <c r="I401" s="8">
        <v>0</v>
      </c>
      <c r="J401" s="31">
        <v>0</v>
      </c>
      <c r="K401" s="31">
        <v>0</v>
      </c>
      <c r="L401" s="31">
        <v>0</v>
      </c>
      <c r="M401" s="31">
        <v>0</v>
      </c>
      <c r="N401" s="31">
        <v>0</v>
      </c>
      <c r="O401" s="31">
        <v>1</v>
      </c>
      <c r="P401" s="31">
        <v>0</v>
      </c>
      <c r="Q401" s="31">
        <v>0</v>
      </c>
      <c r="R401" s="31">
        <v>0</v>
      </c>
      <c r="S401" s="31">
        <v>0</v>
      </c>
      <c r="T401" s="21" cm="1">
        <f t="array" aca="1" ref="T401" ca="1">+fair_value_gap(OFFSET(S400,0,0,-1*$I$5,-1*$Z$1),OFFSET(E400,0,0,-1*$I$5,1),F401:S401,0)</f>
        <v>14.789930598353649</v>
      </c>
      <c r="U401" s="7" t="str" cm="1">
        <f t="array" aca="1" ref="U401" ca="1">z_score_diff(OFFSET(T401,0,0,$I$5*-1,1),OFFSET(E401,0,0,$I$5*-1,1))</f>
        <v/>
      </c>
      <c r="V401" s="7" t="str">
        <f t="shared" ca="1" si="427"/>
        <v/>
      </c>
      <c r="W401" s="14">
        <f t="shared" ca="1" si="422"/>
        <v>-0.1471773707988662</v>
      </c>
      <c r="X401" s="10">
        <f t="shared" ref="X401:Y401" ca="1" si="438">+X400</f>
        <v>0</v>
      </c>
      <c r="Y401" s="10">
        <f t="shared" ca="1" si="438"/>
        <v>0</v>
      </c>
      <c r="Z401" t="str">
        <f t="shared" ca="1" si="429"/>
        <v/>
      </c>
      <c r="AA401" t="str">
        <f t="shared" ca="1" si="430"/>
        <v/>
      </c>
      <c r="AB401" s="19" t="str">
        <f t="shared" ca="1" si="431"/>
        <v/>
      </c>
      <c r="AC401" s="19" t="str">
        <f t="shared" ca="1" si="432"/>
        <v/>
      </c>
    </row>
    <row r="402" spans="3:29" x14ac:dyDescent="0.25">
      <c r="C402" s="4">
        <v>395</v>
      </c>
      <c r="D402" s="28">
        <v>42569</v>
      </c>
      <c r="E402" s="30">
        <v>14.289</v>
      </c>
      <c r="F402" s="30">
        <v>42.417125824225458</v>
      </c>
      <c r="G402" s="30">
        <v>5.1034233583235489</v>
      </c>
      <c r="H402" s="30">
        <v>55.821515671574382</v>
      </c>
      <c r="I402" s="8">
        <v>0</v>
      </c>
      <c r="J402" s="31">
        <v>0</v>
      </c>
      <c r="K402" s="31">
        <v>0</v>
      </c>
      <c r="L402" s="31">
        <v>0</v>
      </c>
      <c r="M402" s="31">
        <v>0</v>
      </c>
      <c r="N402" s="31">
        <v>0</v>
      </c>
      <c r="O402" s="31">
        <v>1</v>
      </c>
      <c r="P402" s="31">
        <v>0</v>
      </c>
      <c r="Q402" s="31">
        <v>0</v>
      </c>
      <c r="R402" s="31">
        <v>0</v>
      </c>
      <c r="S402" s="31">
        <v>0</v>
      </c>
      <c r="T402" s="21" cm="1">
        <f t="array" aca="1" ref="T402" ca="1">+fair_value_gap(OFFSET(S401,0,0,-1*$I$5,-1*$Z$1),OFFSET(E401,0,0,-1*$I$5,1),F402:S402,0)</f>
        <v>15.065724696456297</v>
      </c>
      <c r="U402" s="7" t="str" cm="1">
        <f t="array" aca="1" ref="U402" ca="1">z_score_diff(OFFSET(T402,0,0,$I$5*-1,1),OFFSET(E402,0,0,$I$5*-1,1))</f>
        <v/>
      </c>
      <c r="V402" s="7" t="str">
        <f t="shared" ca="1" si="427"/>
        <v/>
      </c>
      <c r="W402" s="14">
        <f t="shared" ca="1" si="422"/>
        <v>-0.20246856418836834</v>
      </c>
      <c r="X402" s="10">
        <f t="shared" ref="X402:Y402" ca="1" si="439">+X401</f>
        <v>0</v>
      </c>
      <c r="Y402" s="10">
        <f t="shared" ca="1" si="439"/>
        <v>0</v>
      </c>
      <c r="Z402" t="str">
        <f t="shared" ca="1" si="429"/>
        <v/>
      </c>
      <c r="AA402" t="str">
        <f t="shared" ca="1" si="430"/>
        <v/>
      </c>
      <c r="AB402" s="19" t="str">
        <f t="shared" ca="1" si="431"/>
        <v/>
      </c>
      <c r="AC402" s="19" t="str">
        <f t="shared" ca="1" si="432"/>
        <v/>
      </c>
    </row>
    <row r="403" spans="3:29" x14ac:dyDescent="0.25">
      <c r="C403" s="4">
        <v>396</v>
      </c>
      <c r="D403" s="28">
        <v>42570</v>
      </c>
      <c r="E403" s="30">
        <v>14.413</v>
      </c>
      <c r="F403" s="30">
        <v>42.337355956809724</v>
      </c>
      <c r="G403" s="30">
        <v>5.2127756101987108</v>
      </c>
      <c r="H403" s="30">
        <v>55.847926685418741</v>
      </c>
      <c r="I403" s="8">
        <v>0</v>
      </c>
      <c r="J403" s="31">
        <v>0</v>
      </c>
      <c r="K403" s="31">
        <v>0</v>
      </c>
      <c r="L403" s="31">
        <v>0</v>
      </c>
      <c r="M403" s="31">
        <v>0</v>
      </c>
      <c r="N403" s="31">
        <v>0</v>
      </c>
      <c r="O403" s="31">
        <v>1</v>
      </c>
      <c r="P403" s="31">
        <v>0</v>
      </c>
      <c r="Q403" s="31">
        <v>0</v>
      </c>
      <c r="R403" s="31">
        <v>0</v>
      </c>
      <c r="S403" s="31">
        <v>0</v>
      </c>
      <c r="T403" s="21" cm="1">
        <f t="array" aca="1" ref="T403" ca="1">+fair_value_gap(OFFSET(S402,0,0,-1*$I$5,-1*$Z$1),OFFSET(E402,0,0,-1*$I$5,1),F403:S403,0)</f>
        <v>15.100206111426562</v>
      </c>
      <c r="U403" s="7" t="str" cm="1">
        <f t="array" aca="1" ref="U403" ca="1">z_score_diff(OFFSET(T403,0,0,$I$5*-1,1),OFFSET(E403,0,0,$I$5*-1,1))</f>
        <v/>
      </c>
      <c r="V403" s="7" t="str">
        <f t="shared" ca="1" si="427"/>
        <v/>
      </c>
      <c r="W403" s="14">
        <f t="shared" ca="1" si="422"/>
        <v>-0.19293761950060445</v>
      </c>
      <c r="X403" s="10">
        <f t="shared" ref="X403:Y403" ca="1" si="440">+X402</f>
        <v>0</v>
      </c>
      <c r="Y403" s="10">
        <f t="shared" ca="1" si="440"/>
        <v>0</v>
      </c>
      <c r="Z403" t="str">
        <f t="shared" ca="1" si="429"/>
        <v/>
      </c>
      <c r="AA403" t="str">
        <f t="shared" ca="1" si="430"/>
        <v/>
      </c>
      <c r="AB403" s="19" t="str">
        <f t="shared" ca="1" si="431"/>
        <v/>
      </c>
      <c r="AC403" s="19" t="str">
        <f t="shared" ca="1" si="432"/>
        <v/>
      </c>
    </row>
    <row r="404" spans="3:29" x14ac:dyDescent="0.25">
      <c r="C404" s="4">
        <v>397</v>
      </c>
      <c r="D404" s="28">
        <v>42571</v>
      </c>
      <c r="E404" s="30">
        <v>14.723000000000001</v>
      </c>
      <c r="F404" s="30">
        <v>42.831199491510034</v>
      </c>
      <c r="G404" s="30">
        <v>5.2574230454916924</v>
      </c>
      <c r="H404" s="30">
        <v>55.843094524652685</v>
      </c>
      <c r="I404" s="8">
        <v>0</v>
      </c>
      <c r="J404" s="31">
        <v>0</v>
      </c>
      <c r="K404" s="31">
        <v>0</v>
      </c>
      <c r="L404" s="31">
        <v>0</v>
      </c>
      <c r="M404" s="31">
        <v>0</v>
      </c>
      <c r="N404" s="31">
        <v>0</v>
      </c>
      <c r="O404" s="31">
        <v>1</v>
      </c>
      <c r="P404" s="31">
        <v>0</v>
      </c>
      <c r="Q404" s="31">
        <v>0</v>
      </c>
      <c r="R404" s="31">
        <v>0</v>
      </c>
      <c r="S404" s="31">
        <v>0</v>
      </c>
      <c r="T404" s="21" cm="1">
        <f t="array" aca="1" ref="T404" ca="1">+fair_value_gap(OFFSET(S403,0,0,-1*$I$5,-1*$Z$1),OFFSET(E403,0,0,-1*$I$5,1),F404:S404,0)</f>
        <v>15.139568487983013</v>
      </c>
      <c r="U404" s="7" t="str" cm="1">
        <f t="array" aca="1" ref="U404" ca="1">z_score_diff(OFFSET(T404,0,0,$I$5*-1,1),OFFSET(E404,0,0,$I$5*-1,1))</f>
        <v/>
      </c>
      <c r="V404" s="7" t="str">
        <f t="shared" ca="1" si="427"/>
        <v/>
      </c>
      <c r="W404" s="14">
        <f t="shared" ca="1" si="422"/>
        <v>-0.19612280306735602</v>
      </c>
      <c r="X404" s="10">
        <f t="shared" ref="X404:Y404" ca="1" si="441">+X403</f>
        <v>0</v>
      </c>
      <c r="Y404" s="10">
        <f t="shared" ca="1" si="441"/>
        <v>0</v>
      </c>
      <c r="Z404" t="str">
        <f t="shared" ca="1" si="429"/>
        <v/>
      </c>
      <c r="AA404" t="str">
        <f t="shared" ca="1" si="430"/>
        <v/>
      </c>
      <c r="AB404" s="19" t="str">
        <f t="shared" ca="1" si="431"/>
        <v/>
      </c>
      <c r="AC404" s="19" t="str">
        <f t="shared" ca="1" si="432"/>
        <v/>
      </c>
    </row>
    <row r="405" spans="3:29" x14ac:dyDescent="0.25">
      <c r="C405" s="4">
        <v>398</v>
      </c>
      <c r="D405" s="28">
        <v>42572</v>
      </c>
      <c r="E405" s="30">
        <v>14.983000000000001</v>
      </c>
      <c r="F405" s="30">
        <v>41.912365054885242</v>
      </c>
      <c r="G405" s="30">
        <v>5.3297650367413585</v>
      </c>
      <c r="H405" s="30">
        <v>55.656354894311889</v>
      </c>
      <c r="I405" s="8">
        <v>0</v>
      </c>
      <c r="J405" s="31">
        <v>0</v>
      </c>
      <c r="K405" s="31">
        <v>0</v>
      </c>
      <c r="L405" s="31">
        <v>0</v>
      </c>
      <c r="M405" s="31">
        <v>0</v>
      </c>
      <c r="N405" s="31">
        <v>0</v>
      </c>
      <c r="O405" s="31">
        <v>1</v>
      </c>
      <c r="P405" s="31">
        <v>0</v>
      </c>
      <c r="Q405" s="31">
        <v>0</v>
      </c>
      <c r="R405" s="31">
        <v>0</v>
      </c>
      <c r="S405" s="31">
        <v>0</v>
      </c>
      <c r="T405" s="21" cm="1">
        <f t="array" aca="1" ref="T405" ca="1">+fair_value_gap(OFFSET(S404,0,0,-1*$I$5,-1*$Z$1),OFFSET(E404,0,0,-1*$I$5,1),F405:S405,0)</f>
        <v>14.900019776614489</v>
      </c>
      <c r="U405" s="7" t="str" cm="1">
        <f t="array" aca="1" ref="U405" ca="1">z_score_diff(OFFSET(T405,0,0,$I$5*-1,1),OFFSET(E405,0,0,$I$5*-1,1))</f>
        <v/>
      </c>
      <c r="V405" s="7" t="str">
        <f t="shared" ca="1" si="427"/>
        <v/>
      </c>
      <c r="W405" s="14">
        <f t="shared" ca="1" si="422"/>
        <v>-0.22001157261033386</v>
      </c>
      <c r="X405" s="10">
        <f t="shared" ref="X405:Y405" ca="1" si="442">+X404</f>
        <v>0</v>
      </c>
      <c r="Y405" s="10">
        <f t="shared" ca="1" si="442"/>
        <v>0</v>
      </c>
      <c r="Z405" t="str">
        <f t="shared" ca="1" si="429"/>
        <v/>
      </c>
      <c r="AA405" t="str">
        <f t="shared" ca="1" si="430"/>
        <v/>
      </c>
      <c r="AB405" s="19" t="str">
        <f t="shared" ca="1" si="431"/>
        <v/>
      </c>
      <c r="AC405" s="19" t="str">
        <f t="shared" ca="1" si="432"/>
        <v/>
      </c>
    </row>
    <row r="406" spans="3:29" x14ac:dyDescent="0.25">
      <c r="C406" s="4">
        <v>399</v>
      </c>
      <c r="D406" s="28">
        <v>42573</v>
      </c>
      <c r="E406" s="30">
        <v>14.85</v>
      </c>
      <c r="F406" s="30">
        <v>41.638567392691151</v>
      </c>
      <c r="G406" s="30">
        <v>5.4269570764604032</v>
      </c>
      <c r="H406" s="30">
        <v>55.95552720313497</v>
      </c>
      <c r="I406" s="8">
        <v>0</v>
      </c>
      <c r="J406" s="31">
        <v>0</v>
      </c>
      <c r="K406" s="31">
        <v>0</v>
      </c>
      <c r="L406" s="31">
        <v>0</v>
      </c>
      <c r="M406" s="31">
        <v>0</v>
      </c>
      <c r="N406" s="31">
        <v>0</v>
      </c>
      <c r="O406" s="31">
        <v>1</v>
      </c>
      <c r="P406" s="31">
        <v>0</v>
      </c>
      <c r="Q406" s="31">
        <v>0</v>
      </c>
      <c r="R406" s="31">
        <v>0</v>
      </c>
      <c r="S406" s="31">
        <v>0</v>
      </c>
      <c r="T406" s="21" cm="1">
        <f t="array" aca="1" ref="T406" ca="1">+fair_value_gap(OFFSET(S405,0,0,-1*$I$5,-1*$Z$1),OFFSET(E405,0,0,-1*$I$5,1),F406:S406,0)</f>
        <v>14.720330047462578</v>
      </c>
      <c r="U406" s="7" t="str" cm="1">
        <f t="array" aca="1" ref="U406" ca="1">z_score_diff(OFFSET(T406,0,0,$I$5*-1,1),OFFSET(E406,0,0,$I$5*-1,1))</f>
        <v/>
      </c>
      <c r="V406" s="7" t="str">
        <f t="shared" ca="1" si="427"/>
        <v/>
      </c>
      <c r="W406" s="14">
        <f t="shared" ca="1" si="422"/>
        <v>-0.33592020046902316</v>
      </c>
      <c r="X406" s="10">
        <f t="shared" ref="X406:Y406" ca="1" si="443">+X405</f>
        <v>0</v>
      </c>
      <c r="Y406" s="10">
        <f t="shared" ca="1" si="443"/>
        <v>0</v>
      </c>
      <c r="Z406" t="str">
        <f t="shared" ca="1" si="429"/>
        <v/>
      </c>
      <c r="AA406" t="str">
        <f t="shared" ca="1" si="430"/>
        <v/>
      </c>
      <c r="AB406" s="19" t="str">
        <f t="shared" ca="1" si="431"/>
        <v/>
      </c>
      <c r="AC406" s="19" t="str">
        <f t="shared" ca="1" si="432"/>
        <v/>
      </c>
    </row>
    <row r="407" spans="3:29" x14ac:dyDescent="0.25">
      <c r="C407" s="4">
        <v>400</v>
      </c>
      <c r="D407" s="28">
        <v>42576</v>
      </c>
      <c r="E407" s="30">
        <v>14.843</v>
      </c>
      <c r="F407" s="30">
        <v>40.691537761601452</v>
      </c>
      <c r="G407" s="30">
        <v>5.4549590536851689</v>
      </c>
      <c r="H407" s="30">
        <v>56.232939035486808</v>
      </c>
      <c r="I407" s="8">
        <v>0</v>
      </c>
      <c r="J407" s="31">
        <v>0</v>
      </c>
      <c r="K407" s="31">
        <v>0</v>
      </c>
      <c r="L407" s="31">
        <v>0</v>
      </c>
      <c r="M407" s="31">
        <v>0</v>
      </c>
      <c r="N407" s="31">
        <v>0</v>
      </c>
      <c r="O407" s="31">
        <v>1</v>
      </c>
      <c r="P407" s="31">
        <v>0</v>
      </c>
      <c r="Q407" s="31">
        <v>0</v>
      </c>
      <c r="R407" s="31">
        <v>0</v>
      </c>
      <c r="S407" s="31">
        <v>0</v>
      </c>
      <c r="T407" s="21" cm="1">
        <f t="array" aca="1" ref="T407" ca="1">+fair_value_gap(OFFSET(S406,0,0,-1*$I$5,-1*$Z$1),OFFSET(E406,0,0,-1*$I$5,1),F407:S407,0)</f>
        <v>14.636006540089769</v>
      </c>
      <c r="U407" s="7" t="str" cm="1">
        <f t="array" aca="1" ref="U407" ca="1">z_score_diff(OFFSET(T407,0,0,$I$5*-1,1),OFFSET(E407,0,0,$I$5*-1,1))</f>
        <v/>
      </c>
      <c r="V407" s="7" t="str">
        <f t="shared" ca="1" si="427"/>
        <v/>
      </c>
      <c r="W407" s="14">
        <f t="shared" ca="1" si="422"/>
        <v>-0.27485180039076179</v>
      </c>
      <c r="X407" s="10">
        <f t="shared" ref="X407:Y407" ca="1" si="444">+X406</f>
        <v>0</v>
      </c>
      <c r="Y407" s="10">
        <f t="shared" ca="1" si="444"/>
        <v>0</v>
      </c>
      <c r="Z407" t="str">
        <f t="shared" ca="1" si="429"/>
        <v/>
      </c>
      <c r="AA407" t="str">
        <f t="shared" ca="1" si="430"/>
        <v/>
      </c>
      <c r="AB407" s="19" t="str">
        <f t="shared" ca="1" si="431"/>
        <v/>
      </c>
      <c r="AC407" s="19" t="str">
        <f t="shared" ca="1" si="432"/>
        <v/>
      </c>
    </row>
    <row r="408" spans="3:29" x14ac:dyDescent="0.25">
      <c r="C408" s="4">
        <v>401</v>
      </c>
      <c r="D408" s="28">
        <v>42577</v>
      </c>
      <c r="E408" s="30">
        <v>14.593999999999999</v>
      </c>
      <c r="F408" s="30">
        <v>40.842890952120875</v>
      </c>
      <c r="G408" s="30">
        <v>5.4569452029856178</v>
      </c>
      <c r="H408" s="30">
        <v>56.25341343528126</v>
      </c>
      <c r="I408" s="8">
        <v>0</v>
      </c>
      <c r="J408" s="31">
        <v>0</v>
      </c>
      <c r="K408" s="31">
        <v>0</v>
      </c>
      <c r="L408" s="31">
        <v>0</v>
      </c>
      <c r="M408" s="31">
        <v>0</v>
      </c>
      <c r="N408" s="31">
        <v>0</v>
      </c>
      <c r="O408" s="31">
        <v>1</v>
      </c>
      <c r="P408" s="31">
        <v>0</v>
      </c>
      <c r="Q408" s="31">
        <v>0</v>
      </c>
      <c r="R408" s="31">
        <v>0</v>
      </c>
      <c r="S408" s="31">
        <v>0</v>
      </c>
      <c r="T408" s="21" cm="1">
        <f t="array" aca="1" ref="T408" ca="1">+fair_value_gap(OFFSET(S407,0,0,-1*$I$5,-1*$Z$1),OFFSET(E407,0,0,-1*$I$5,1),F408:S408,0)</f>
        <v>14.678884164514109</v>
      </c>
      <c r="U408" s="7" t="str" cm="1">
        <f t="array" aca="1" ref="U408" ca="1">z_score_diff(OFFSET(T408,0,0,$I$5*-1,1),OFFSET(E408,0,0,$I$5*-1,1))</f>
        <v/>
      </c>
      <c r="V408" s="7" t="str">
        <f t="shared" ca="1" si="427"/>
        <v/>
      </c>
      <c r="W408" s="14">
        <f t="shared" ca="1" si="422"/>
        <v>-0.22204781089502998</v>
      </c>
      <c r="X408" s="10">
        <f t="shared" ref="X408:Y408" ca="1" si="445">+X407</f>
        <v>0</v>
      </c>
      <c r="Y408" s="10">
        <f t="shared" ca="1" si="445"/>
        <v>0</v>
      </c>
      <c r="Z408" t="str">
        <f t="shared" ca="1" si="429"/>
        <v/>
      </c>
      <c r="AA408" t="str">
        <f t="shared" ca="1" si="430"/>
        <v/>
      </c>
      <c r="AB408" s="19" t="str">
        <f t="shared" ca="1" si="431"/>
        <v/>
      </c>
      <c r="AC408" s="19" t="str">
        <f t="shared" ca="1" si="432"/>
        <v/>
      </c>
    </row>
    <row r="409" spans="3:29" x14ac:dyDescent="0.25">
      <c r="C409" s="4">
        <v>402</v>
      </c>
      <c r="D409" s="28">
        <v>42578</v>
      </c>
      <c r="E409" s="30">
        <v>14.45</v>
      </c>
      <c r="F409" s="30">
        <v>39.321573948439621</v>
      </c>
      <c r="G409" s="30">
        <v>5.4228855721393039</v>
      </c>
      <c r="H409" s="30">
        <v>55.992763455450024</v>
      </c>
      <c r="I409" s="8">
        <v>0</v>
      </c>
      <c r="J409" s="31">
        <v>0</v>
      </c>
      <c r="K409" s="31">
        <v>0</v>
      </c>
      <c r="L409" s="31">
        <v>0</v>
      </c>
      <c r="M409" s="31">
        <v>0</v>
      </c>
      <c r="N409" s="31">
        <v>0</v>
      </c>
      <c r="O409" s="31">
        <v>1</v>
      </c>
      <c r="P409" s="31">
        <v>0</v>
      </c>
      <c r="Q409" s="31">
        <v>0</v>
      </c>
      <c r="R409" s="31">
        <v>0</v>
      </c>
      <c r="S409" s="31">
        <v>0</v>
      </c>
      <c r="T409" s="21" cm="1">
        <f t="array" aca="1" ref="T409" ca="1">+fair_value_gap(OFFSET(S408,0,0,-1*$I$5,-1*$Z$1),OFFSET(E408,0,0,-1*$I$5,1),F409:S409,0)</f>
        <v>14.381152511317868</v>
      </c>
      <c r="U409" s="7" t="str" cm="1">
        <f t="array" aca="1" ref="U409" ca="1">z_score_diff(OFFSET(T409,0,0,$I$5*-1,1),OFFSET(E409,0,0,$I$5*-1,1))</f>
        <v/>
      </c>
      <c r="V409" s="7" t="str">
        <f t="shared" ca="1" si="427"/>
        <v/>
      </c>
      <c r="W409" s="14">
        <f t="shared" ca="1" si="422"/>
        <v>-0.26131982738287768</v>
      </c>
      <c r="X409" s="10">
        <f t="shared" ref="X409:Y409" ca="1" si="446">+X408</f>
        <v>0</v>
      </c>
      <c r="Y409" s="10">
        <f t="shared" ca="1" si="446"/>
        <v>0</v>
      </c>
      <c r="Z409" t="str">
        <f t="shared" ca="1" si="429"/>
        <v/>
      </c>
      <c r="AA409" t="str">
        <f t="shared" ca="1" si="430"/>
        <v/>
      </c>
      <c r="AB409" s="19" t="str">
        <f t="shared" ca="1" si="431"/>
        <v/>
      </c>
      <c r="AC409" s="19" t="str">
        <f t="shared" ca="1" si="432"/>
        <v/>
      </c>
    </row>
    <row r="410" spans="3:29" x14ac:dyDescent="0.25">
      <c r="C410" s="4">
        <v>403</v>
      </c>
      <c r="D410" s="28">
        <v>42579</v>
      </c>
      <c r="E410" s="30">
        <v>14.151999999999999</v>
      </c>
      <c r="F410" s="30">
        <v>38.558786346396971</v>
      </c>
      <c r="G410" s="30">
        <v>5.4135813617482391</v>
      </c>
      <c r="H410" s="30">
        <v>55.941845764854619</v>
      </c>
      <c r="I410" s="8">
        <v>0</v>
      </c>
      <c r="J410" s="31">
        <v>0</v>
      </c>
      <c r="K410" s="31">
        <v>0</v>
      </c>
      <c r="L410" s="31">
        <v>0</v>
      </c>
      <c r="M410" s="31">
        <v>0</v>
      </c>
      <c r="N410" s="31">
        <v>0</v>
      </c>
      <c r="O410" s="31">
        <v>1</v>
      </c>
      <c r="P410" s="31">
        <v>0</v>
      </c>
      <c r="Q410" s="31">
        <v>0</v>
      </c>
      <c r="R410" s="31">
        <v>0</v>
      </c>
      <c r="S410" s="31">
        <v>0</v>
      </c>
      <c r="T410" s="21" cm="1">
        <f t="array" aca="1" ref="T410" ca="1">+fair_value_gap(OFFSET(S409,0,0,-1*$I$5,-1*$Z$1),OFFSET(E409,0,0,-1*$I$5,1),F410:S410,0)</f>
        <v>14.25545579414714</v>
      </c>
      <c r="U410" s="7" t="str" cm="1">
        <f t="array" aca="1" ref="U410" ca="1">z_score_diff(OFFSET(T410,0,0,$I$5*-1,1),OFFSET(E410,0,0,$I$5*-1,1))</f>
        <v/>
      </c>
      <c r="V410" s="7" t="str">
        <f t="shared" ca="1" si="427"/>
        <v/>
      </c>
      <c r="W410" s="14">
        <f t="shared" ca="1" si="422"/>
        <v>-0.24264061478535542</v>
      </c>
      <c r="X410" s="10">
        <f t="shared" ref="X410:Y410" ca="1" si="447">+X409</f>
        <v>0</v>
      </c>
      <c r="Y410" s="10">
        <f t="shared" ca="1" si="447"/>
        <v>0</v>
      </c>
      <c r="Z410" t="str">
        <f t="shared" ca="1" si="429"/>
        <v/>
      </c>
      <c r="AA410" t="str">
        <f t="shared" ca="1" si="430"/>
        <v/>
      </c>
      <c r="AB410" s="19" t="str">
        <f t="shared" ca="1" si="431"/>
        <v/>
      </c>
      <c r="AC410" s="19" t="str">
        <f t="shared" ca="1" si="432"/>
        <v/>
      </c>
    </row>
    <row r="411" spans="3:29" x14ac:dyDescent="0.25">
      <c r="C411" s="4">
        <v>404</v>
      </c>
      <c r="D411" s="28">
        <v>42580</v>
      </c>
      <c r="E411" s="30">
        <v>14.458</v>
      </c>
      <c r="F411" s="30">
        <v>38.012533572068037</v>
      </c>
      <c r="G411" s="30">
        <v>5.3670546105640105</v>
      </c>
      <c r="H411" s="30">
        <v>55.461056401074309</v>
      </c>
      <c r="I411" s="8">
        <v>0</v>
      </c>
      <c r="J411" s="31">
        <v>0</v>
      </c>
      <c r="K411" s="31">
        <v>0</v>
      </c>
      <c r="L411" s="31">
        <v>0</v>
      </c>
      <c r="M411" s="31">
        <v>0</v>
      </c>
      <c r="N411" s="31">
        <v>0</v>
      </c>
      <c r="O411" s="31">
        <v>1</v>
      </c>
      <c r="P411" s="31">
        <v>0</v>
      </c>
      <c r="Q411" s="31">
        <v>0</v>
      </c>
      <c r="R411" s="31">
        <v>0</v>
      </c>
      <c r="S411" s="31">
        <v>0</v>
      </c>
      <c r="T411" s="21" cm="1">
        <f t="array" aca="1" ref="T411" ca="1">+fair_value_gap(OFFSET(S410,0,0,-1*$I$5,-1*$Z$1),OFFSET(E410,0,0,-1*$I$5,1),F411:S411,0)</f>
        <v>14.072994616554809</v>
      </c>
      <c r="U411" s="7" t="str" cm="1">
        <f t="array" aca="1" ref="U411" ca="1">z_score_diff(OFFSET(T411,0,0,$I$5*-1,1),OFFSET(E411,0,0,$I$5*-1,1))</f>
        <v/>
      </c>
      <c r="V411" s="7" t="str">
        <f t="shared" ca="1" si="427"/>
        <v/>
      </c>
      <c r="W411" s="14">
        <f t="shared" ca="1" si="422"/>
        <v>-0.23430674908498092</v>
      </c>
      <c r="X411" s="10">
        <f t="shared" ref="X411:Y411" ca="1" si="448">+X410</f>
        <v>0</v>
      </c>
      <c r="Y411" s="10">
        <f t="shared" ca="1" si="448"/>
        <v>0</v>
      </c>
      <c r="Z411" t="str">
        <f t="shared" ca="1" si="429"/>
        <v/>
      </c>
      <c r="AA411" t="str">
        <f t="shared" ca="1" si="430"/>
        <v/>
      </c>
      <c r="AB411" s="19" t="str">
        <f t="shared" ca="1" si="431"/>
        <v/>
      </c>
      <c r="AC411" s="19" t="str">
        <f t="shared" ca="1" si="432"/>
        <v/>
      </c>
    </row>
    <row r="412" spans="3:29" x14ac:dyDescent="0.25">
      <c r="C412" s="4">
        <v>405</v>
      </c>
      <c r="D412" s="28">
        <v>42583</v>
      </c>
      <c r="E412" s="30">
        <v>14.05</v>
      </c>
      <c r="F412" s="30">
        <v>37.763240433730623</v>
      </c>
      <c r="G412" s="30">
        <v>5.372345192221526</v>
      </c>
      <c r="H412" s="30">
        <v>59.817187920064526</v>
      </c>
      <c r="I412" s="8">
        <v>0</v>
      </c>
      <c r="J412" s="31">
        <v>0</v>
      </c>
      <c r="K412" s="31">
        <v>0</v>
      </c>
      <c r="L412" s="31">
        <v>0</v>
      </c>
      <c r="M412" s="31">
        <v>0</v>
      </c>
      <c r="N412" s="31">
        <v>0</v>
      </c>
      <c r="O412" s="31">
        <v>0</v>
      </c>
      <c r="P412" s="31">
        <v>1</v>
      </c>
      <c r="Q412" s="31">
        <v>0</v>
      </c>
      <c r="R412" s="31">
        <v>0</v>
      </c>
      <c r="S412" s="31">
        <v>0</v>
      </c>
      <c r="T412" s="21" cm="1">
        <f t="array" aca="1" ref="T412" ca="1">+fair_value_gap(OFFSET(S411,0,0,-1*$I$5,-1*$Z$1),OFFSET(E411,0,0,-1*$I$5,1),F412:S412,0)</f>
        <v>18.228762806639114</v>
      </c>
      <c r="U412" s="7" t="str" cm="1">
        <f t="array" aca="1" ref="U412" ca="1">z_score_diff(OFFSET(T412,0,0,$I$5*-1,1),OFFSET(E412,0,0,$I$5*-1,1))</f>
        <v/>
      </c>
      <c r="V412" s="7" t="str">
        <f t="shared" ca="1" si="427"/>
        <v/>
      </c>
      <c r="W412" s="14">
        <f t="shared" ca="1" si="422"/>
        <v>-0.17452286430813574</v>
      </c>
      <c r="X412" s="10">
        <f t="shared" ref="X412:Y412" ca="1" si="449">+X411</f>
        <v>0</v>
      </c>
      <c r="Y412" s="10">
        <f t="shared" ca="1" si="449"/>
        <v>0</v>
      </c>
      <c r="Z412" t="str">
        <f t="shared" ca="1" si="429"/>
        <v/>
      </c>
      <c r="AA412" t="str">
        <f t="shared" ca="1" si="430"/>
        <v/>
      </c>
      <c r="AB412" s="19" t="str">
        <f t="shared" ca="1" si="431"/>
        <v/>
      </c>
      <c r="AC412" s="19" t="str">
        <f t="shared" ca="1" si="432"/>
        <v/>
      </c>
    </row>
    <row r="413" spans="3:29" x14ac:dyDescent="0.25">
      <c r="C413" s="4">
        <v>406</v>
      </c>
      <c r="D413" s="28">
        <v>42584</v>
      </c>
      <c r="E413" s="30">
        <v>13.803000000000001</v>
      </c>
      <c r="F413" s="30">
        <v>37.238307349665916</v>
      </c>
      <c r="G413" s="30">
        <v>5.278396436525612</v>
      </c>
      <c r="H413" s="30">
        <v>59.02004454342984</v>
      </c>
      <c r="I413" s="8">
        <v>0</v>
      </c>
      <c r="J413" s="31">
        <v>0</v>
      </c>
      <c r="K413" s="31">
        <v>0</v>
      </c>
      <c r="L413" s="31">
        <v>0</v>
      </c>
      <c r="M413" s="31">
        <v>0</v>
      </c>
      <c r="N413" s="31">
        <v>0</v>
      </c>
      <c r="O413" s="31">
        <v>0</v>
      </c>
      <c r="P413" s="31">
        <v>1</v>
      </c>
      <c r="Q413" s="31">
        <v>0</v>
      </c>
      <c r="R413" s="31">
        <v>0</v>
      </c>
      <c r="S413" s="31">
        <v>0</v>
      </c>
      <c r="T413" s="21" cm="1">
        <f t="array" aca="1" ref="T413" ca="1">+fair_value_gap(OFFSET(S412,0,0,-1*$I$5,-1*$Z$1),OFFSET(E412,0,0,-1*$I$5,1),F413:S413,0)</f>
        <v>16.107761058367998</v>
      </c>
      <c r="U413" s="7" t="str" cm="1">
        <f t="array" aca="1" ref="U413" ca="1">z_score_diff(OFFSET(T413,0,0,$I$5*-1,1),OFFSET(E413,0,0,$I$5*-1,1))</f>
        <v/>
      </c>
      <c r="V413" s="7" t="str">
        <f t="shared" ca="1" si="427"/>
        <v/>
      </c>
      <c r="W413" s="14">
        <f t="shared" ca="1" si="422"/>
        <v>-0.17872013836987147</v>
      </c>
      <c r="X413" s="10">
        <f t="shared" ref="X413:Y413" ca="1" si="450">+X412</f>
        <v>0</v>
      </c>
      <c r="Y413" s="10">
        <f t="shared" ca="1" si="450"/>
        <v>0</v>
      </c>
      <c r="Z413" t="str">
        <f t="shared" ca="1" si="429"/>
        <v/>
      </c>
      <c r="AA413" t="str">
        <f t="shared" ca="1" si="430"/>
        <v/>
      </c>
      <c r="AB413" s="19" t="str">
        <f t="shared" ca="1" si="431"/>
        <v/>
      </c>
      <c r="AC413" s="19" t="str">
        <f t="shared" ca="1" si="432"/>
        <v/>
      </c>
    </row>
    <row r="414" spans="3:29" x14ac:dyDescent="0.25">
      <c r="C414" s="4">
        <v>407</v>
      </c>
      <c r="D414" s="28">
        <v>42585</v>
      </c>
      <c r="E414" s="30">
        <v>13.702</v>
      </c>
      <c r="F414" s="30">
        <v>38.665111689243744</v>
      </c>
      <c r="G414" s="30">
        <v>5.243563290571454</v>
      </c>
      <c r="H414" s="30">
        <v>59.253610836996501</v>
      </c>
      <c r="I414" s="8">
        <v>0</v>
      </c>
      <c r="J414" s="31">
        <v>0</v>
      </c>
      <c r="K414" s="31">
        <v>0</v>
      </c>
      <c r="L414" s="31">
        <v>0</v>
      </c>
      <c r="M414" s="31">
        <v>0</v>
      </c>
      <c r="N414" s="31">
        <v>0</v>
      </c>
      <c r="O414" s="31">
        <v>0</v>
      </c>
      <c r="P414" s="31">
        <v>1</v>
      </c>
      <c r="Q414" s="31">
        <v>0</v>
      </c>
      <c r="R414" s="31">
        <v>0</v>
      </c>
      <c r="S414" s="31">
        <v>0</v>
      </c>
      <c r="T414" s="21" cm="1">
        <f t="array" aca="1" ref="T414" ca="1">+fair_value_gap(OFFSET(S413,0,0,-1*$I$5,-1*$Z$1),OFFSET(E413,0,0,-1*$I$5,1),F414:S414,0)</f>
        <v>15.651293925404696</v>
      </c>
      <c r="U414" s="7" t="str" cm="1">
        <f t="array" aca="1" ref="U414" ca="1">z_score_diff(OFFSET(T414,0,0,$I$5*-1,1),OFFSET(E414,0,0,$I$5*-1,1))</f>
        <v/>
      </c>
      <c r="V414" s="7" t="str">
        <f t="shared" ca="1" si="427"/>
        <v/>
      </c>
      <c r="W414" s="14">
        <f t="shared" ca="1" si="422"/>
        <v>-7.8068061480780215E-2</v>
      </c>
      <c r="X414" s="10">
        <f t="shared" ref="X414:Y414" ca="1" si="451">+X413</f>
        <v>0</v>
      </c>
      <c r="Y414" s="10">
        <f t="shared" ca="1" si="451"/>
        <v>0</v>
      </c>
      <c r="Z414" t="str">
        <f t="shared" ca="1" si="429"/>
        <v/>
      </c>
      <c r="AA414" t="str">
        <f t="shared" ca="1" si="430"/>
        <v/>
      </c>
      <c r="AB414" s="19" t="str">
        <f t="shared" ca="1" si="431"/>
        <v/>
      </c>
      <c r="AC414" s="19" t="str">
        <f t="shared" ca="1" si="432"/>
        <v/>
      </c>
    </row>
    <row r="415" spans="3:29" x14ac:dyDescent="0.25">
      <c r="C415" s="4">
        <v>408</v>
      </c>
      <c r="D415" s="28">
        <v>42586</v>
      </c>
      <c r="E415" s="30">
        <v>13.65</v>
      </c>
      <c r="F415" s="30">
        <v>39.800503235082672</v>
      </c>
      <c r="G415" s="30">
        <v>5.2525161754133718</v>
      </c>
      <c r="H415" s="30">
        <v>57.7372393961179</v>
      </c>
      <c r="I415" s="8">
        <v>0</v>
      </c>
      <c r="J415" s="31">
        <v>0</v>
      </c>
      <c r="K415" s="31">
        <v>0</v>
      </c>
      <c r="L415" s="31">
        <v>0</v>
      </c>
      <c r="M415" s="31">
        <v>0</v>
      </c>
      <c r="N415" s="31">
        <v>0</v>
      </c>
      <c r="O415" s="31">
        <v>0</v>
      </c>
      <c r="P415" s="31">
        <v>1</v>
      </c>
      <c r="Q415" s="31">
        <v>0</v>
      </c>
      <c r="R415" s="31">
        <v>0</v>
      </c>
      <c r="S415" s="31">
        <v>0</v>
      </c>
      <c r="T415" s="21" cm="1">
        <f t="array" aca="1" ref="T415" ca="1">+fair_value_gap(OFFSET(S414,0,0,-1*$I$5,-1*$Z$1),OFFSET(E414,0,0,-1*$I$5,1),F415:S415,0)</f>
        <v>15.513871999423081</v>
      </c>
      <c r="U415" s="7" t="str" cm="1">
        <f t="array" aca="1" ref="U415" ca="1">z_score_diff(OFFSET(T415,0,0,$I$5*-1,1),OFFSET(E415,0,0,$I$5*-1,1))</f>
        <v/>
      </c>
      <c r="V415" s="7" t="str">
        <f t="shared" ca="1" si="427"/>
        <v/>
      </c>
      <c r="W415" s="14">
        <f t="shared" ca="1" si="422"/>
        <v>-7.8456664517901717E-2</v>
      </c>
      <c r="X415" s="10">
        <f t="shared" ref="X415:Y415" ca="1" si="452">+X414</f>
        <v>0</v>
      </c>
      <c r="Y415" s="10">
        <f t="shared" ca="1" si="452"/>
        <v>0</v>
      </c>
      <c r="Z415" t="str">
        <f t="shared" ca="1" si="429"/>
        <v/>
      </c>
      <c r="AA415" t="str">
        <f t="shared" ca="1" si="430"/>
        <v/>
      </c>
      <c r="AB415" s="19" t="str">
        <f t="shared" ca="1" si="431"/>
        <v/>
      </c>
      <c r="AC415" s="19" t="str">
        <f t="shared" ca="1" si="432"/>
        <v/>
      </c>
    </row>
    <row r="416" spans="3:29" x14ac:dyDescent="0.25">
      <c r="C416" s="4">
        <v>409</v>
      </c>
      <c r="D416" s="28">
        <v>42587</v>
      </c>
      <c r="E416" s="30">
        <v>13.35</v>
      </c>
      <c r="F416" s="30">
        <v>39.936851601262973</v>
      </c>
      <c r="G416" s="30">
        <v>5.2728912945421733</v>
      </c>
      <c r="H416" s="30">
        <v>57.059088858818221</v>
      </c>
      <c r="I416" s="8">
        <v>0</v>
      </c>
      <c r="J416" s="31">
        <v>0</v>
      </c>
      <c r="K416" s="31">
        <v>0</v>
      </c>
      <c r="L416" s="31">
        <v>0</v>
      </c>
      <c r="M416" s="31">
        <v>0</v>
      </c>
      <c r="N416" s="31">
        <v>0</v>
      </c>
      <c r="O416" s="31">
        <v>0</v>
      </c>
      <c r="P416" s="31">
        <v>1</v>
      </c>
      <c r="Q416" s="31">
        <v>0</v>
      </c>
      <c r="R416" s="31">
        <v>0</v>
      </c>
      <c r="S416" s="31">
        <v>0</v>
      </c>
      <c r="T416" s="21" cm="1">
        <f t="array" aca="1" ref="T416" ca="1">+fair_value_gap(OFFSET(S415,0,0,-1*$I$5,-1*$Z$1),OFFSET(E415,0,0,-1*$I$5,1),F416:S416,0)</f>
        <v>15.304654528065443</v>
      </c>
      <c r="U416" s="7" t="str" cm="1">
        <f t="array" aca="1" ref="U416" ca="1">z_score_diff(OFFSET(T416,0,0,$I$5*-1,1),OFFSET(E416,0,0,$I$5*-1,1))</f>
        <v/>
      </c>
      <c r="V416" s="7" t="str">
        <f t="shared" ca="1" si="427"/>
        <v/>
      </c>
      <c r="W416" s="14">
        <f t="shared" ca="1" si="422"/>
        <v>-4.8340826934282433E-2</v>
      </c>
      <c r="X416" s="10">
        <f t="shared" ref="X416:Y416" ca="1" si="453">+X415</f>
        <v>0</v>
      </c>
      <c r="Y416" s="10">
        <f t="shared" ca="1" si="453"/>
        <v>0</v>
      </c>
      <c r="Z416" t="str">
        <f t="shared" ca="1" si="429"/>
        <v/>
      </c>
      <c r="AA416" t="str">
        <f t="shared" ca="1" si="430"/>
        <v/>
      </c>
      <c r="AB416" s="19" t="str">
        <f t="shared" ca="1" si="431"/>
        <v/>
      </c>
      <c r="AC416" s="19" t="str">
        <f t="shared" ca="1" si="432"/>
        <v/>
      </c>
    </row>
    <row r="417" spans="3:29" x14ac:dyDescent="0.25">
      <c r="C417" s="4">
        <v>410</v>
      </c>
      <c r="D417" s="28">
        <v>42590</v>
      </c>
      <c r="E417" s="30">
        <v>13.074</v>
      </c>
      <c r="F417" s="30">
        <v>40.9287646528404</v>
      </c>
      <c r="G417" s="30">
        <v>5.2479711451758346</v>
      </c>
      <c r="H417" s="30">
        <v>59.017132551848519</v>
      </c>
      <c r="I417" s="8">
        <v>0</v>
      </c>
      <c r="J417" s="31">
        <v>0</v>
      </c>
      <c r="K417" s="31">
        <v>0</v>
      </c>
      <c r="L417" s="31">
        <v>0</v>
      </c>
      <c r="M417" s="31">
        <v>0</v>
      </c>
      <c r="N417" s="31">
        <v>0</v>
      </c>
      <c r="O417" s="31">
        <v>0</v>
      </c>
      <c r="P417" s="31">
        <v>1</v>
      </c>
      <c r="Q417" s="31">
        <v>0</v>
      </c>
      <c r="R417" s="31">
        <v>0</v>
      </c>
      <c r="S417" s="31">
        <v>0</v>
      </c>
      <c r="T417" s="21" cm="1">
        <f t="array" aca="1" ref="T417" ca="1">+fair_value_gap(OFFSET(S416,0,0,-1*$I$5,-1*$Z$1),OFFSET(E416,0,0,-1*$I$5,1),F417:S417,0)</f>
        <v>15.122647746058421</v>
      </c>
      <c r="U417" s="7" t="str" cm="1">
        <f t="array" aca="1" ref="U417" ca="1">z_score_diff(OFFSET(T417,0,0,$I$5*-1,1),OFFSET(E417,0,0,$I$5*-1,1))</f>
        <v/>
      </c>
      <c r="V417" s="7" t="str">
        <f t="shared" ca="1" si="427"/>
        <v/>
      </c>
      <c r="W417" s="14">
        <f t="shared" ca="1" si="422"/>
        <v>-4.3218290503727087E-2</v>
      </c>
      <c r="X417" s="10">
        <f t="shared" ref="X417:Y417" ca="1" si="454">+X416</f>
        <v>0</v>
      </c>
      <c r="Y417" s="10">
        <f t="shared" ca="1" si="454"/>
        <v>0</v>
      </c>
      <c r="Z417" t="str">
        <f t="shared" ca="1" si="429"/>
        <v/>
      </c>
      <c r="AA417" t="str">
        <f t="shared" ca="1" si="430"/>
        <v/>
      </c>
      <c r="AB417" s="19" t="str">
        <f t="shared" ca="1" si="431"/>
        <v/>
      </c>
      <c r="AC417" s="19" t="str">
        <f t="shared" ca="1" si="432"/>
        <v/>
      </c>
    </row>
    <row r="418" spans="3:29" x14ac:dyDescent="0.25">
      <c r="C418" s="4">
        <v>411</v>
      </c>
      <c r="D418" s="28">
        <v>42591</v>
      </c>
      <c r="E418" s="30">
        <v>12.856</v>
      </c>
      <c r="F418" s="30">
        <v>40.460555905370157</v>
      </c>
      <c r="G418" s="30">
        <v>5.2352253305747958</v>
      </c>
      <c r="H418" s="30">
        <v>59.413510839255196</v>
      </c>
      <c r="I418" s="8">
        <v>0</v>
      </c>
      <c r="J418" s="31">
        <v>0</v>
      </c>
      <c r="K418" s="31">
        <v>0</v>
      </c>
      <c r="L418" s="31">
        <v>0</v>
      </c>
      <c r="M418" s="31">
        <v>0</v>
      </c>
      <c r="N418" s="31">
        <v>0</v>
      </c>
      <c r="O418" s="31">
        <v>0</v>
      </c>
      <c r="P418" s="31">
        <v>1</v>
      </c>
      <c r="Q418" s="31">
        <v>0</v>
      </c>
      <c r="R418" s="31">
        <v>0</v>
      </c>
      <c r="S418" s="31">
        <v>0</v>
      </c>
      <c r="T418" s="21" cm="1">
        <f t="array" aca="1" ref="T418" ca="1">+fair_value_gap(OFFSET(S417,0,0,-1*$I$5,-1*$Z$1),OFFSET(E417,0,0,-1*$I$5,1),F418:S418,0)</f>
        <v>14.690868144907778</v>
      </c>
      <c r="U418" s="7" t="str" cm="1">
        <f t="array" aca="1" ref="U418" ca="1">z_score_diff(OFFSET(T418,0,0,$I$5*-1,1),OFFSET(E418,0,0,$I$5*-1,1))</f>
        <v/>
      </c>
      <c r="V418" s="7" t="str">
        <f t="shared" ca="1" si="427"/>
        <v/>
      </c>
      <c r="W418" s="14">
        <f t="shared" ca="1" si="422"/>
        <v>-3.8132319980457401E-2</v>
      </c>
      <c r="X418" s="10">
        <f t="shared" ref="X418:Y418" ca="1" si="455">+X417</f>
        <v>0</v>
      </c>
      <c r="Y418" s="10">
        <f t="shared" ca="1" si="455"/>
        <v>0</v>
      </c>
      <c r="Z418" t="str">
        <f t="shared" ca="1" si="429"/>
        <v/>
      </c>
      <c r="AA418" t="str">
        <f t="shared" ca="1" si="430"/>
        <v/>
      </c>
      <c r="AB418" s="19" t="str">
        <f t="shared" ca="1" si="431"/>
        <v/>
      </c>
      <c r="AC418" s="19" t="str">
        <f t="shared" ca="1" si="432"/>
        <v/>
      </c>
    </row>
    <row r="419" spans="3:29" x14ac:dyDescent="0.25">
      <c r="C419" s="4">
        <v>412</v>
      </c>
      <c r="D419" s="28">
        <v>42592</v>
      </c>
      <c r="E419" s="30">
        <v>12.895</v>
      </c>
      <c r="F419" s="30">
        <v>39.421872203329158</v>
      </c>
      <c r="G419" s="30">
        <v>5.1950957580096651</v>
      </c>
      <c r="H419" s="30">
        <v>57.991766601038123</v>
      </c>
      <c r="I419" s="8">
        <v>0</v>
      </c>
      <c r="J419" s="31">
        <v>0</v>
      </c>
      <c r="K419" s="31">
        <v>0</v>
      </c>
      <c r="L419" s="31">
        <v>0</v>
      </c>
      <c r="M419" s="31">
        <v>0</v>
      </c>
      <c r="N419" s="31">
        <v>0</v>
      </c>
      <c r="O419" s="31">
        <v>0</v>
      </c>
      <c r="P419" s="31">
        <v>1</v>
      </c>
      <c r="Q419" s="31">
        <v>0</v>
      </c>
      <c r="R419" s="31">
        <v>0</v>
      </c>
      <c r="S419" s="31">
        <v>0</v>
      </c>
      <c r="T419" s="21" cm="1">
        <f t="array" aca="1" ref="T419" ca="1">+fair_value_gap(OFFSET(S418,0,0,-1*$I$5,-1*$Z$1),OFFSET(E418,0,0,-1*$I$5,1),F419:S419,0)</f>
        <v>14.259339012244055</v>
      </c>
      <c r="U419" s="7" t="str" cm="1">
        <f t="array" aca="1" ref="U419" ca="1">z_score_diff(OFFSET(T419,0,0,$I$5*-1,1),OFFSET(E419,0,0,$I$5*-1,1))</f>
        <v/>
      </c>
      <c r="V419" s="7" t="str">
        <f t="shared" ca="1" si="427"/>
        <v/>
      </c>
      <c r="W419" s="14">
        <f t="shared" ca="1" si="422"/>
        <v>-7.1932989545307691E-2</v>
      </c>
      <c r="X419" s="10">
        <f t="shared" ref="X419:Y419" ca="1" si="456">+X418</f>
        <v>0</v>
      </c>
      <c r="Y419" s="10">
        <f t="shared" ca="1" si="456"/>
        <v>0</v>
      </c>
      <c r="Z419" t="str">
        <f t="shared" ca="1" si="429"/>
        <v/>
      </c>
      <c r="AA419" t="str">
        <f t="shared" ca="1" si="430"/>
        <v/>
      </c>
      <c r="AB419" s="19" t="str">
        <f t="shared" ca="1" si="431"/>
        <v/>
      </c>
      <c r="AC419" s="19" t="str">
        <f t="shared" ca="1" si="432"/>
        <v/>
      </c>
    </row>
    <row r="420" spans="3:29" x14ac:dyDescent="0.25">
      <c r="C420" s="4">
        <v>413</v>
      </c>
      <c r="D420" s="28">
        <v>42593</v>
      </c>
      <c r="E420" s="30">
        <v>12.8</v>
      </c>
      <c r="F420" s="30">
        <v>41.34710372698698</v>
      </c>
      <c r="G420" s="30">
        <v>5.2132914234396051</v>
      </c>
      <c r="H420" s="30">
        <v>59.40727436012574</v>
      </c>
      <c r="I420" s="8">
        <v>0</v>
      </c>
      <c r="J420" s="31">
        <v>0</v>
      </c>
      <c r="K420" s="31">
        <v>0</v>
      </c>
      <c r="L420" s="31">
        <v>0</v>
      </c>
      <c r="M420" s="31">
        <v>0</v>
      </c>
      <c r="N420" s="31">
        <v>0</v>
      </c>
      <c r="O420" s="31">
        <v>0</v>
      </c>
      <c r="P420" s="31">
        <v>1</v>
      </c>
      <c r="Q420" s="31">
        <v>0</v>
      </c>
      <c r="R420" s="31">
        <v>0</v>
      </c>
      <c r="S420" s="31">
        <v>0</v>
      </c>
      <c r="T420" s="21" cm="1">
        <f t="array" aca="1" ref="T420" ca="1">+fair_value_gap(OFFSET(S419,0,0,-1*$I$5,-1*$Z$1),OFFSET(E419,0,0,-1*$I$5,1),F420:S420,0)</f>
        <v>14.473280131431322</v>
      </c>
      <c r="U420" s="7" t="str" cm="1">
        <f t="array" aca="1" ref="U420" ca="1">z_score_diff(OFFSET(T420,0,0,$I$5*-1,1),OFFSET(E420,0,0,$I$5*-1,1))</f>
        <v/>
      </c>
      <c r="V420" s="7" t="str">
        <f t="shared" ca="1" si="427"/>
        <v/>
      </c>
      <c r="W420" s="14">
        <f t="shared" ca="1" si="422"/>
        <v>-6.695811265633872E-2</v>
      </c>
      <c r="X420" s="10">
        <f t="shared" ref="X420:Y420" ca="1" si="457">+X419</f>
        <v>0</v>
      </c>
      <c r="Y420" s="10">
        <f t="shared" ca="1" si="457"/>
        <v>0</v>
      </c>
      <c r="Z420" t="str">
        <f t="shared" ca="1" si="429"/>
        <v/>
      </c>
      <c r="AA420" t="str">
        <f t="shared" ca="1" si="430"/>
        <v/>
      </c>
      <c r="AB420" s="19" t="str">
        <f t="shared" ca="1" si="431"/>
        <v/>
      </c>
      <c r="AC420" s="19" t="str">
        <f t="shared" ca="1" si="432"/>
        <v/>
      </c>
    </row>
    <row r="421" spans="3:29" x14ac:dyDescent="0.25">
      <c r="C421" s="4">
        <v>414</v>
      </c>
      <c r="D421" s="28">
        <v>42594</v>
      </c>
      <c r="E421" s="30">
        <v>12.273</v>
      </c>
      <c r="F421" s="30">
        <v>42.095357590966124</v>
      </c>
      <c r="G421" s="30">
        <v>5.2025452590069907</v>
      </c>
      <c r="H421" s="30">
        <v>59.912170639899621</v>
      </c>
      <c r="I421" s="8">
        <v>0</v>
      </c>
      <c r="J421" s="31">
        <v>0</v>
      </c>
      <c r="K421" s="31">
        <v>0</v>
      </c>
      <c r="L421" s="31">
        <v>0</v>
      </c>
      <c r="M421" s="31">
        <v>0</v>
      </c>
      <c r="N421" s="31">
        <v>0</v>
      </c>
      <c r="O421" s="31">
        <v>0</v>
      </c>
      <c r="P421" s="31">
        <v>1</v>
      </c>
      <c r="Q421" s="31">
        <v>0</v>
      </c>
      <c r="R421" s="31">
        <v>0</v>
      </c>
      <c r="S421" s="31">
        <v>0</v>
      </c>
      <c r="T421" s="21" cm="1">
        <f t="array" aca="1" ref="T421" ca="1">+fair_value_gap(OFFSET(S420,0,0,-1*$I$5,-1*$Z$1),OFFSET(E420,0,0,-1*$I$5,1),F421:S421,0)</f>
        <v>14.396799057164667</v>
      </c>
      <c r="U421" s="7" t="str" cm="1">
        <f t="array" aca="1" ref="U421" ca="1">z_score_diff(OFFSET(T421,0,0,$I$5*-1,1),OFFSET(E421,0,0,$I$5*-1,1))</f>
        <v/>
      </c>
      <c r="V421" s="7" t="str">
        <f t="shared" ca="1" si="427"/>
        <v/>
      </c>
      <c r="W421" s="14">
        <f t="shared" ca="1" si="422"/>
        <v>-3.0863327497887408E-2</v>
      </c>
      <c r="X421" s="10">
        <f t="shared" ref="X421:Y421" ca="1" si="458">+X420</f>
        <v>0</v>
      </c>
      <c r="Y421" s="10">
        <f t="shared" ca="1" si="458"/>
        <v>0</v>
      </c>
      <c r="Z421" t="str">
        <f t="shared" ca="1" si="429"/>
        <v/>
      </c>
      <c r="AA421" t="str">
        <f t="shared" ca="1" si="430"/>
        <v/>
      </c>
      <c r="AB421" s="19" t="str">
        <f t="shared" ca="1" si="431"/>
        <v/>
      </c>
      <c r="AC421" s="19" t="str">
        <f t="shared" ca="1" si="432"/>
        <v/>
      </c>
    </row>
    <row r="422" spans="3:29" x14ac:dyDescent="0.25">
      <c r="C422" s="4">
        <v>415</v>
      </c>
      <c r="D422" s="28">
        <v>42597</v>
      </c>
      <c r="E422" s="30">
        <v>11.67</v>
      </c>
      <c r="F422" s="30">
        <v>43.235267817222571</v>
      </c>
      <c r="G422" s="30">
        <v>5.1909147813645706</v>
      </c>
      <c r="H422" s="30">
        <v>59.50997049092372</v>
      </c>
      <c r="I422" s="8">
        <v>0</v>
      </c>
      <c r="J422" s="31">
        <v>0</v>
      </c>
      <c r="K422" s="31">
        <v>0</v>
      </c>
      <c r="L422" s="31">
        <v>0</v>
      </c>
      <c r="M422" s="31">
        <v>0</v>
      </c>
      <c r="N422" s="31">
        <v>0</v>
      </c>
      <c r="O422" s="31">
        <v>0</v>
      </c>
      <c r="P422" s="31">
        <v>1</v>
      </c>
      <c r="Q422" s="31">
        <v>0</v>
      </c>
      <c r="R422" s="31">
        <v>0</v>
      </c>
      <c r="S422" s="31">
        <v>0</v>
      </c>
      <c r="T422" s="21" cm="1">
        <f t="array" aca="1" ref="T422" ca="1">+fair_value_gap(OFFSET(S421,0,0,-1*$I$5,-1*$Z$1),OFFSET(E421,0,0,-1*$I$5,1),F422:S422,0)</f>
        <v>14.44255359507653</v>
      </c>
      <c r="U422" s="7" t="str" cm="1">
        <f t="array" aca="1" ref="U422" ca="1">z_score_diff(OFFSET(T422,0,0,$I$5*-1,1),OFFSET(E422,0,0,$I$5*-1,1))</f>
        <v/>
      </c>
      <c r="V422" s="7" t="str">
        <f t="shared" ca="1" si="427"/>
        <v/>
      </c>
      <c r="W422" s="14">
        <f t="shared" ca="1" si="422"/>
        <v>1.3532697265135367E-2</v>
      </c>
      <c r="X422" s="10">
        <f t="shared" ref="X422:Y422" ca="1" si="459">+X421</f>
        <v>0</v>
      </c>
      <c r="Y422" s="10">
        <f t="shared" ca="1" si="459"/>
        <v>0</v>
      </c>
      <c r="Z422" t="str">
        <f t="shared" ca="1" si="429"/>
        <v/>
      </c>
      <c r="AA422" t="str">
        <f t="shared" ca="1" si="430"/>
        <v/>
      </c>
      <c r="AB422" s="19" t="str">
        <f t="shared" ca="1" si="431"/>
        <v/>
      </c>
      <c r="AC422" s="19" t="str">
        <f t="shared" ca="1" si="432"/>
        <v/>
      </c>
    </row>
    <row r="423" spans="3:29" x14ac:dyDescent="0.25">
      <c r="C423" s="4">
        <v>416</v>
      </c>
      <c r="D423" s="28">
        <v>42598</v>
      </c>
      <c r="E423" s="30">
        <v>11.884</v>
      </c>
      <c r="F423" s="30">
        <v>43.65909897126641</v>
      </c>
      <c r="G423" s="30">
        <v>4.8332742107130189</v>
      </c>
      <c r="H423" s="30">
        <v>58.974813763746013</v>
      </c>
      <c r="I423" s="8">
        <v>0</v>
      </c>
      <c r="J423" s="31">
        <v>0</v>
      </c>
      <c r="K423" s="31">
        <v>0</v>
      </c>
      <c r="L423" s="31">
        <v>0</v>
      </c>
      <c r="M423" s="31">
        <v>0</v>
      </c>
      <c r="N423" s="31">
        <v>0</v>
      </c>
      <c r="O423" s="31">
        <v>0</v>
      </c>
      <c r="P423" s="31">
        <v>1</v>
      </c>
      <c r="Q423" s="31">
        <v>0</v>
      </c>
      <c r="R423" s="31">
        <v>0</v>
      </c>
      <c r="S423" s="31">
        <v>0</v>
      </c>
      <c r="T423" s="21" cm="1">
        <f t="array" aca="1" ref="T423" ca="1">+fair_value_gap(OFFSET(S422,0,0,-1*$I$5,-1*$Z$1),OFFSET(E422,0,0,-1*$I$5,1),F423:S423,0)</f>
        <v>13.698823556275634</v>
      </c>
      <c r="U423" s="7" t="str" cm="1">
        <f t="array" aca="1" ref="U423" ca="1">z_score_diff(OFFSET(T423,0,0,$I$5*-1,1),OFFSET(E423,0,0,$I$5*-1,1))</f>
        <v/>
      </c>
      <c r="V423" s="7" t="str">
        <f t="shared" ca="1" si="427"/>
        <v/>
      </c>
      <c r="W423" s="14">
        <f t="shared" ca="1" si="422"/>
        <v>1.0213567229290054E-2</v>
      </c>
      <c r="X423" s="10">
        <f t="shared" ref="X423:Y423" ca="1" si="460">+X422</f>
        <v>0</v>
      </c>
      <c r="Y423" s="10">
        <f t="shared" ca="1" si="460"/>
        <v>0</v>
      </c>
      <c r="Z423" t="str">
        <f t="shared" ca="1" si="429"/>
        <v/>
      </c>
      <c r="AA423" t="str">
        <f t="shared" ca="1" si="430"/>
        <v/>
      </c>
      <c r="AB423" s="19" t="str">
        <f t="shared" ca="1" si="431"/>
        <v/>
      </c>
      <c r="AC423" s="19" t="str">
        <f t="shared" ca="1" si="432"/>
        <v/>
      </c>
    </row>
    <row r="424" spans="3:29" x14ac:dyDescent="0.25">
      <c r="C424" s="4">
        <v>417</v>
      </c>
      <c r="D424" s="28">
        <v>42599</v>
      </c>
      <c r="E424" s="30">
        <v>12.101000000000001</v>
      </c>
      <c r="F424" s="30">
        <v>44.169767853978378</v>
      </c>
      <c r="G424" s="30">
        <v>4.8732943469785575</v>
      </c>
      <c r="H424" s="30">
        <v>59.055466950203794</v>
      </c>
      <c r="I424" s="8">
        <v>0</v>
      </c>
      <c r="J424" s="31">
        <v>0</v>
      </c>
      <c r="K424" s="31">
        <v>0</v>
      </c>
      <c r="L424" s="31">
        <v>0</v>
      </c>
      <c r="M424" s="31">
        <v>0</v>
      </c>
      <c r="N424" s="31">
        <v>0</v>
      </c>
      <c r="O424" s="31">
        <v>0</v>
      </c>
      <c r="P424" s="31">
        <v>1</v>
      </c>
      <c r="Q424" s="31">
        <v>0</v>
      </c>
      <c r="R424" s="31">
        <v>0</v>
      </c>
      <c r="S424" s="31">
        <v>0</v>
      </c>
      <c r="T424" s="21" cm="1">
        <f t="array" aca="1" ref="T424" ca="1">+fair_value_gap(OFFSET(S423,0,0,-1*$I$5,-1*$Z$1),OFFSET(E423,0,0,-1*$I$5,1),F424:S424,0)</f>
        <v>13.683973332552457</v>
      </c>
      <c r="U424" s="7" t="str" cm="1">
        <f t="array" aca="1" ref="U424" ca="1">z_score_diff(OFFSET(T424,0,0,$I$5*-1,1),OFFSET(E424,0,0,$I$5*-1,1))</f>
        <v/>
      </c>
      <c r="V424" s="7" t="str">
        <f t="shared" ca="1" si="427"/>
        <v/>
      </c>
      <c r="W424" s="14">
        <f t="shared" ca="1" si="422"/>
        <v>-1.2807892980828873E-2</v>
      </c>
      <c r="X424" s="10">
        <f t="shared" ref="X424:Y424" ca="1" si="461">+X423</f>
        <v>0</v>
      </c>
      <c r="Y424" s="10">
        <f t="shared" ca="1" si="461"/>
        <v>0</v>
      </c>
      <c r="Z424" t="str">
        <f t="shared" ca="1" si="429"/>
        <v/>
      </c>
      <c r="AA424" t="str">
        <f t="shared" ca="1" si="430"/>
        <v/>
      </c>
      <c r="AB424" s="19" t="str">
        <f t="shared" ca="1" si="431"/>
        <v/>
      </c>
      <c r="AC424" s="19" t="str">
        <f t="shared" ca="1" si="432"/>
        <v/>
      </c>
    </row>
    <row r="425" spans="3:29" x14ac:dyDescent="0.25">
      <c r="C425" s="4">
        <v>418</v>
      </c>
      <c r="D425" s="28">
        <v>42600</v>
      </c>
      <c r="E425" s="30">
        <v>12.023999999999999</v>
      </c>
      <c r="F425" s="30">
        <v>44.829105003523608</v>
      </c>
      <c r="G425" s="30">
        <v>4.8449612403100772</v>
      </c>
      <c r="H425" s="30">
        <v>58.403805496828753</v>
      </c>
      <c r="I425" s="8">
        <v>0</v>
      </c>
      <c r="J425" s="31">
        <v>0</v>
      </c>
      <c r="K425" s="31">
        <v>0</v>
      </c>
      <c r="L425" s="31">
        <v>0</v>
      </c>
      <c r="M425" s="31">
        <v>0</v>
      </c>
      <c r="N425" s="31">
        <v>0</v>
      </c>
      <c r="O425" s="31">
        <v>0</v>
      </c>
      <c r="P425" s="31">
        <v>1</v>
      </c>
      <c r="Q425" s="31">
        <v>0</v>
      </c>
      <c r="R425" s="31">
        <v>0</v>
      </c>
      <c r="S425" s="31">
        <v>0</v>
      </c>
      <c r="T425" s="21" cm="1">
        <f t="array" aca="1" ref="T425" ca="1">+fair_value_gap(OFFSET(S424,0,0,-1*$I$5,-1*$Z$1),OFFSET(E424,0,0,-1*$I$5,1),F425:S425,0)</f>
        <v>13.621398988732237</v>
      </c>
      <c r="U425" s="7" t="str" cm="1">
        <f t="array" aca="1" ref="U425" ca="1">z_score_diff(OFFSET(T425,0,0,$I$5*-1,1),OFFSET(E425,0,0,$I$5*-1,1))</f>
        <v/>
      </c>
      <c r="V425" s="7" t="str">
        <f t="shared" ca="1" si="427"/>
        <v/>
      </c>
      <c r="W425" s="14">
        <f t="shared" ca="1" si="422"/>
        <v>3.7382954061177941E-2</v>
      </c>
      <c r="X425" s="10">
        <f t="shared" ref="X425:Y425" ca="1" si="462">+X424</f>
        <v>0</v>
      </c>
      <c r="Y425" s="10">
        <f t="shared" ca="1" si="462"/>
        <v>0</v>
      </c>
      <c r="Z425" t="str">
        <f t="shared" ca="1" si="429"/>
        <v/>
      </c>
      <c r="AA425" t="str">
        <f t="shared" ca="1" si="430"/>
        <v/>
      </c>
      <c r="AB425" s="19" t="str">
        <f t="shared" ca="1" si="431"/>
        <v/>
      </c>
      <c r="AC425" s="19" t="str">
        <f t="shared" ca="1" si="432"/>
        <v/>
      </c>
    </row>
    <row r="426" spans="3:29" x14ac:dyDescent="0.25">
      <c r="C426" s="4">
        <v>419</v>
      </c>
      <c r="D426" s="28">
        <v>42601</v>
      </c>
      <c r="E426" s="30">
        <v>10.613</v>
      </c>
      <c r="F426" s="30">
        <v>44.927152317880797</v>
      </c>
      <c r="G426" s="30">
        <v>4.9668874172185431</v>
      </c>
      <c r="H426" s="30">
        <v>58.322295805739508</v>
      </c>
      <c r="I426" s="8">
        <v>0</v>
      </c>
      <c r="J426" s="31">
        <v>0</v>
      </c>
      <c r="K426" s="31">
        <v>0</v>
      </c>
      <c r="L426" s="31">
        <v>0</v>
      </c>
      <c r="M426" s="31">
        <v>0</v>
      </c>
      <c r="N426" s="31">
        <v>0</v>
      </c>
      <c r="O426" s="31">
        <v>0</v>
      </c>
      <c r="P426" s="31">
        <v>1</v>
      </c>
      <c r="Q426" s="31">
        <v>0</v>
      </c>
      <c r="R426" s="31">
        <v>0</v>
      </c>
      <c r="S426" s="31">
        <v>0</v>
      </c>
      <c r="T426" s="21" cm="1">
        <f t="array" aca="1" ref="T426" ca="1">+fair_value_gap(OFFSET(S425,0,0,-1*$I$5,-1*$Z$1),OFFSET(E425,0,0,-1*$I$5,1),F426:S426,0)</f>
        <v>13.556825919386167</v>
      </c>
      <c r="U426" s="7" t="str" cm="1">
        <f t="array" aca="1" ref="U426" ca="1">z_score_diff(OFFSET(T426,0,0,$I$5*-1,1),OFFSET(E426,0,0,$I$5*-1,1))</f>
        <v/>
      </c>
      <c r="V426" s="7" t="str">
        <f t="shared" ca="1" si="427"/>
        <v/>
      </c>
      <c r="W426" s="14">
        <f t="shared" ca="1" si="422"/>
        <v>0.18564527740046616</v>
      </c>
      <c r="X426" s="10">
        <f t="shared" ref="X426:Y426" ca="1" si="463">+X425</f>
        <v>0</v>
      </c>
      <c r="Y426" s="10">
        <f t="shared" ca="1" si="463"/>
        <v>0</v>
      </c>
      <c r="Z426" t="str">
        <f t="shared" ca="1" si="429"/>
        <v/>
      </c>
      <c r="AA426" t="str">
        <f t="shared" ca="1" si="430"/>
        <v/>
      </c>
      <c r="AB426" s="19" t="str">
        <f t="shared" ca="1" si="431"/>
        <v/>
      </c>
      <c r="AC426" s="19" t="str">
        <f t="shared" ca="1" si="432"/>
        <v/>
      </c>
    </row>
    <row r="427" spans="3:29" x14ac:dyDescent="0.25">
      <c r="C427" s="4">
        <v>420</v>
      </c>
      <c r="D427" s="28">
        <v>42604</v>
      </c>
      <c r="E427" s="30">
        <v>11.276</v>
      </c>
      <c r="F427" s="30">
        <v>43.446752098983652</v>
      </c>
      <c r="G427" s="30">
        <v>4.9712770658418028</v>
      </c>
      <c r="H427" s="30">
        <v>58.815731330092795</v>
      </c>
      <c r="I427" s="8">
        <v>0</v>
      </c>
      <c r="J427" s="31">
        <v>0</v>
      </c>
      <c r="K427" s="31">
        <v>0</v>
      </c>
      <c r="L427" s="31">
        <v>0</v>
      </c>
      <c r="M427" s="31">
        <v>0</v>
      </c>
      <c r="N427" s="31">
        <v>0</v>
      </c>
      <c r="O427" s="31">
        <v>0</v>
      </c>
      <c r="P427" s="31">
        <v>1</v>
      </c>
      <c r="Q427" s="31">
        <v>0</v>
      </c>
      <c r="R427" s="31">
        <v>0</v>
      </c>
      <c r="S427" s="31">
        <v>0</v>
      </c>
      <c r="T427" s="21" cm="1">
        <f t="array" aca="1" ref="T427" ca="1">+fair_value_gap(OFFSET(S426,0,0,-1*$I$5,-1*$Z$1),OFFSET(E426,0,0,-1*$I$5,1),F427:S427,0)</f>
        <v>12.816320182290973</v>
      </c>
      <c r="U427" s="7" t="str" cm="1">
        <f t="array" aca="1" ref="U427" ca="1">z_score_diff(OFFSET(T427,0,0,$I$5*-1,1),OFFSET(E427,0,0,$I$5*-1,1))</f>
        <v/>
      </c>
      <c r="V427" s="7" t="str">
        <f t="shared" ca="1" si="427"/>
        <v/>
      </c>
      <c r="W427" s="14">
        <f t="shared" ca="1" si="422"/>
        <v>0.17086024106158332</v>
      </c>
      <c r="X427" s="10">
        <f t="shared" ref="X427:Y427" ca="1" si="464">+X426</f>
        <v>0</v>
      </c>
      <c r="Y427" s="10">
        <f t="shared" ca="1" si="464"/>
        <v>0</v>
      </c>
      <c r="Z427" t="str">
        <f t="shared" ca="1" si="429"/>
        <v/>
      </c>
      <c r="AA427" t="str">
        <f t="shared" ca="1" si="430"/>
        <v/>
      </c>
      <c r="AB427" s="19" t="str">
        <f t="shared" ca="1" si="431"/>
        <v/>
      </c>
      <c r="AC427" s="19" t="str">
        <f t="shared" ca="1" si="432"/>
        <v/>
      </c>
    </row>
    <row r="428" spans="3:29" x14ac:dyDescent="0.25">
      <c r="C428" s="4">
        <v>421</v>
      </c>
      <c r="D428" s="28">
        <v>42605</v>
      </c>
      <c r="E428" s="30">
        <v>11.688000000000001</v>
      </c>
      <c r="F428" s="30">
        <v>44.200654693444214</v>
      </c>
      <c r="G428" s="30">
        <v>4.910200831637618</v>
      </c>
      <c r="H428" s="30">
        <v>58.258869326727407</v>
      </c>
      <c r="I428" s="8">
        <v>0</v>
      </c>
      <c r="J428" s="31">
        <v>0</v>
      </c>
      <c r="K428" s="31">
        <v>0</v>
      </c>
      <c r="L428" s="31">
        <v>0</v>
      </c>
      <c r="M428" s="31">
        <v>0</v>
      </c>
      <c r="N428" s="31">
        <v>0</v>
      </c>
      <c r="O428" s="31">
        <v>0</v>
      </c>
      <c r="P428" s="31">
        <v>1</v>
      </c>
      <c r="Q428" s="31">
        <v>0</v>
      </c>
      <c r="R428" s="31">
        <v>0</v>
      </c>
      <c r="S428" s="31">
        <v>0</v>
      </c>
      <c r="T428" s="21" cm="1">
        <f t="array" aca="1" ref="T428" ca="1">+fair_value_gap(OFFSET(S427,0,0,-1*$I$5,-1*$Z$1),OFFSET(E427,0,0,-1*$I$5,1),F428:S428,0)</f>
        <v>12.67497322504336</v>
      </c>
      <c r="U428" s="7" t="str" cm="1">
        <f t="array" aca="1" ref="U428" ca="1">z_score_diff(OFFSET(T428,0,0,$I$5*-1,1),OFFSET(E428,0,0,$I$5*-1,1))</f>
        <v/>
      </c>
      <c r="V428" s="7" t="str">
        <f t="shared" ca="1" si="427"/>
        <v/>
      </c>
      <c r="W428" s="14">
        <f t="shared" ca="1" si="422"/>
        <v>0.10861496777239607</v>
      </c>
      <c r="X428" s="10">
        <f t="shared" ref="X428:Y428" ca="1" si="465">+X427</f>
        <v>0</v>
      </c>
      <c r="Y428" s="10">
        <f t="shared" ca="1" si="465"/>
        <v>0</v>
      </c>
      <c r="Z428" t="str">
        <f t="shared" ca="1" si="429"/>
        <v/>
      </c>
      <c r="AA428" t="str">
        <f t="shared" ca="1" si="430"/>
        <v/>
      </c>
      <c r="AB428" s="19" t="str">
        <f t="shared" ca="1" si="431"/>
        <v/>
      </c>
      <c r="AC428" s="19" t="str">
        <f t="shared" ca="1" si="432"/>
        <v/>
      </c>
    </row>
    <row r="429" spans="3:29" x14ac:dyDescent="0.25">
      <c r="C429" s="4">
        <v>422</v>
      </c>
      <c r="D429" s="28">
        <v>42606</v>
      </c>
      <c r="E429" s="30">
        <v>11.127000000000001</v>
      </c>
      <c r="F429" s="30">
        <v>43.557410531924333</v>
      </c>
      <c r="G429" s="30">
        <v>4.9285143415327228</v>
      </c>
      <c r="H429" s="30">
        <v>58.076547375899118</v>
      </c>
      <c r="I429" s="8">
        <v>0</v>
      </c>
      <c r="J429" s="31">
        <v>0</v>
      </c>
      <c r="K429" s="31">
        <v>0</v>
      </c>
      <c r="L429" s="31">
        <v>0</v>
      </c>
      <c r="M429" s="31">
        <v>0</v>
      </c>
      <c r="N429" s="31">
        <v>0</v>
      </c>
      <c r="O429" s="31">
        <v>0</v>
      </c>
      <c r="P429" s="31">
        <v>1</v>
      </c>
      <c r="Q429" s="31">
        <v>0</v>
      </c>
      <c r="R429" s="31">
        <v>0</v>
      </c>
      <c r="S429" s="31">
        <v>0</v>
      </c>
      <c r="T429" s="21" cm="1">
        <f t="array" aca="1" ref="T429" ca="1">+fair_value_gap(OFFSET(S428,0,0,-1*$I$5,-1*$Z$1),OFFSET(E428,0,0,-1*$I$5,1),F429:S429,0)</f>
        <v>12.526855852226282</v>
      </c>
      <c r="U429" s="7" t="str" cm="1">
        <f t="array" aca="1" ref="U429" ca="1">z_score_diff(OFFSET(T429,0,0,$I$5*-1,1),OFFSET(E429,0,0,$I$5*-1,1))</f>
        <v/>
      </c>
      <c r="V429" s="7" t="str">
        <f t="shared" ca="1" si="427"/>
        <v/>
      </c>
      <c r="W429" s="14">
        <f t="shared" ca="1" si="422"/>
        <v>0.17590516175921611</v>
      </c>
      <c r="X429" s="10">
        <f t="shared" ref="X429:Y429" ca="1" si="466">+X428</f>
        <v>0</v>
      </c>
      <c r="Y429" s="10">
        <f t="shared" ca="1" si="466"/>
        <v>0</v>
      </c>
      <c r="Z429" t="str">
        <f t="shared" ca="1" si="429"/>
        <v/>
      </c>
      <c r="AA429" t="str">
        <f t="shared" ca="1" si="430"/>
        <v/>
      </c>
      <c r="AB429" s="19" t="str">
        <f t="shared" ca="1" si="431"/>
        <v/>
      </c>
      <c r="AC429" s="19" t="str">
        <f t="shared" ca="1" si="432"/>
        <v/>
      </c>
    </row>
    <row r="430" spans="3:29" x14ac:dyDescent="0.25">
      <c r="C430" s="4">
        <v>423</v>
      </c>
      <c r="D430" s="28">
        <v>42607</v>
      </c>
      <c r="E430" s="30">
        <v>11.103</v>
      </c>
      <c r="F430" s="30">
        <v>44.037591985105067</v>
      </c>
      <c r="G430" s="30">
        <v>4.9206489937051163</v>
      </c>
      <c r="H430" s="30">
        <v>58.51582587108787</v>
      </c>
      <c r="I430" s="8">
        <v>0</v>
      </c>
      <c r="J430" s="31">
        <v>0</v>
      </c>
      <c r="K430" s="31">
        <v>0</v>
      </c>
      <c r="L430" s="31">
        <v>0</v>
      </c>
      <c r="M430" s="31">
        <v>0</v>
      </c>
      <c r="N430" s="31">
        <v>0</v>
      </c>
      <c r="O430" s="31">
        <v>0</v>
      </c>
      <c r="P430" s="31">
        <v>1</v>
      </c>
      <c r="Q430" s="31">
        <v>0</v>
      </c>
      <c r="R430" s="31">
        <v>0</v>
      </c>
      <c r="S430" s="31">
        <v>0</v>
      </c>
      <c r="T430" s="21" cm="1">
        <f t="array" aca="1" ref="T430" ca="1">+fair_value_gap(OFFSET(S429,0,0,-1*$I$5,-1*$Z$1),OFFSET(E429,0,0,-1*$I$5,1),F430:S430,0)</f>
        <v>12.538760695749943</v>
      </c>
      <c r="U430" s="7" t="str" cm="1">
        <f t="array" aca="1" ref="U430" ca="1">z_score_diff(OFFSET(T430,0,0,$I$5*-1,1),OFFSET(E430,0,0,$I$5*-1,1))</f>
        <v/>
      </c>
      <c r="V430" s="7" t="str">
        <f t="shared" ca="1" si="427"/>
        <v/>
      </c>
      <c r="W430" s="14">
        <f t="shared" ca="1" si="422"/>
        <v>0.19939258296175039</v>
      </c>
      <c r="X430" s="10">
        <f t="shared" ref="X430:Y430" ca="1" si="467">+X429</f>
        <v>0</v>
      </c>
      <c r="Y430" s="10">
        <f t="shared" ca="1" si="467"/>
        <v>0</v>
      </c>
      <c r="Z430" t="str">
        <f t="shared" ca="1" si="429"/>
        <v/>
      </c>
      <c r="AA430" t="str">
        <f t="shared" ca="1" si="430"/>
        <v/>
      </c>
      <c r="AB430" s="19" t="str">
        <f t="shared" ca="1" si="431"/>
        <v/>
      </c>
      <c r="AC430" s="19" t="str">
        <f t="shared" ca="1" si="432"/>
        <v/>
      </c>
    </row>
    <row r="431" spans="3:29" x14ac:dyDescent="0.25">
      <c r="C431" s="4">
        <v>424</v>
      </c>
      <c r="D431" s="28">
        <v>42608</v>
      </c>
      <c r="E431" s="30">
        <v>11.438000000000001</v>
      </c>
      <c r="F431" s="30">
        <v>44.591335417597143</v>
      </c>
      <c r="G431" s="30">
        <v>4.9307726663689149</v>
      </c>
      <c r="H431" s="30">
        <v>58.820902188477</v>
      </c>
      <c r="I431" s="8">
        <v>0</v>
      </c>
      <c r="J431" s="31">
        <v>0</v>
      </c>
      <c r="K431" s="31">
        <v>0</v>
      </c>
      <c r="L431" s="31">
        <v>0</v>
      </c>
      <c r="M431" s="31">
        <v>0</v>
      </c>
      <c r="N431" s="31">
        <v>0</v>
      </c>
      <c r="O431" s="31">
        <v>0</v>
      </c>
      <c r="P431" s="31">
        <v>1</v>
      </c>
      <c r="Q431" s="31">
        <v>0</v>
      </c>
      <c r="R431" s="31">
        <v>0</v>
      </c>
      <c r="S431" s="31">
        <v>0</v>
      </c>
      <c r="T431" s="21" cm="1">
        <f t="array" aca="1" ref="T431" ca="1">+fair_value_gap(OFFSET(S430,0,0,-1*$I$5,-1*$Z$1),OFFSET(E430,0,0,-1*$I$5,1),F431:S431,0)</f>
        <v>12.558572699017917</v>
      </c>
      <c r="U431" s="7" t="str" cm="1">
        <f t="array" aca="1" ref="U431" ca="1">z_score_diff(OFFSET(T431,0,0,$I$5*-1,1),OFFSET(E431,0,0,$I$5*-1,1))</f>
        <v/>
      </c>
      <c r="V431" s="7" t="str">
        <f t="shared" ca="1" si="427"/>
        <v/>
      </c>
      <c r="W431" s="14">
        <f t="shared" ca="1" si="422"/>
        <v>0.2028302148557912</v>
      </c>
      <c r="X431" s="10">
        <f t="shared" ref="X431:Y431" ca="1" si="468">+X430</f>
        <v>0</v>
      </c>
      <c r="Y431" s="10">
        <f t="shared" ca="1" si="468"/>
        <v>0</v>
      </c>
      <c r="Z431" t="str">
        <f t="shared" ca="1" si="429"/>
        <v/>
      </c>
      <c r="AA431" t="str">
        <f t="shared" ca="1" si="430"/>
        <v/>
      </c>
      <c r="AB431" s="19" t="str">
        <f t="shared" ca="1" si="431"/>
        <v/>
      </c>
      <c r="AC431" s="19" t="str">
        <f t="shared" ca="1" si="432"/>
        <v/>
      </c>
    </row>
    <row r="432" spans="3:29" x14ac:dyDescent="0.25">
      <c r="C432" s="4">
        <v>425</v>
      </c>
      <c r="D432" s="28">
        <v>42611</v>
      </c>
      <c r="E432" s="30">
        <v>11.8</v>
      </c>
      <c r="F432" s="30">
        <v>44.029317125491595</v>
      </c>
      <c r="G432" s="30">
        <v>4.8802288165892023</v>
      </c>
      <c r="H432" s="30">
        <v>59.393993564533432</v>
      </c>
      <c r="I432" s="8">
        <v>0</v>
      </c>
      <c r="J432" s="31">
        <v>0</v>
      </c>
      <c r="K432" s="31">
        <v>0</v>
      </c>
      <c r="L432" s="31">
        <v>0</v>
      </c>
      <c r="M432" s="31">
        <v>0</v>
      </c>
      <c r="N432" s="31">
        <v>0</v>
      </c>
      <c r="O432" s="31">
        <v>0</v>
      </c>
      <c r="P432" s="31">
        <v>1</v>
      </c>
      <c r="Q432" s="31">
        <v>0</v>
      </c>
      <c r="R432" s="31">
        <v>0</v>
      </c>
      <c r="S432" s="31">
        <v>0</v>
      </c>
      <c r="T432" s="21" cm="1">
        <f t="array" aca="1" ref="T432" ca="1">+fair_value_gap(OFFSET(S431,0,0,-1*$I$5,-1*$Z$1),OFFSET(E431,0,0,-1*$I$5,1),F432:S432,0)</f>
        <v>12.455745604261725</v>
      </c>
      <c r="U432" s="7" t="str" cm="1">
        <f t="array" aca="1" ref="U432" ca="1">z_score_diff(OFFSET(T432,0,0,$I$5*-1,1),OFFSET(E432,0,0,$I$5*-1,1))</f>
        <v/>
      </c>
      <c r="V432" s="7" t="str">
        <f t="shared" ca="1" si="427"/>
        <v/>
      </c>
      <c r="W432" s="14">
        <f t="shared" ca="1" si="422"/>
        <v>0.16364541342051647</v>
      </c>
      <c r="X432" s="10">
        <f t="shared" ref="X432:Y432" ca="1" si="469">+X431</f>
        <v>0</v>
      </c>
      <c r="Y432" s="10">
        <f t="shared" ca="1" si="469"/>
        <v>0</v>
      </c>
      <c r="Z432" t="str">
        <f t="shared" ca="1" si="429"/>
        <v/>
      </c>
      <c r="AA432" t="str">
        <f t="shared" ca="1" si="430"/>
        <v/>
      </c>
      <c r="AB432" s="19" t="str">
        <f t="shared" ca="1" si="431"/>
        <v/>
      </c>
      <c r="AC432" s="19" t="str">
        <f t="shared" ca="1" si="432"/>
        <v/>
      </c>
    </row>
    <row r="433" spans="3:29" x14ac:dyDescent="0.25">
      <c r="C433" s="4">
        <v>426</v>
      </c>
      <c r="D433" s="28">
        <v>42612</v>
      </c>
      <c r="E433" s="30">
        <v>11.544</v>
      </c>
      <c r="F433" s="30">
        <v>43.416210394040029</v>
      </c>
      <c r="G433" s="30">
        <v>4.9008168028004659</v>
      </c>
      <c r="H433" s="30">
        <v>59.689435418723626</v>
      </c>
      <c r="I433" s="8">
        <v>0</v>
      </c>
      <c r="J433" s="31">
        <v>0</v>
      </c>
      <c r="K433" s="31">
        <v>0</v>
      </c>
      <c r="L433" s="31">
        <v>0</v>
      </c>
      <c r="M433" s="31">
        <v>0</v>
      </c>
      <c r="N433" s="31">
        <v>0</v>
      </c>
      <c r="O433" s="31">
        <v>0</v>
      </c>
      <c r="P433" s="31">
        <v>1</v>
      </c>
      <c r="Q433" s="31">
        <v>0</v>
      </c>
      <c r="R433" s="31">
        <v>0</v>
      </c>
      <c r="S433" s="31">
        <v>0</v>
      </c>
      <c r="T433" s="21" cm="1">
        <f t="array" aca="1" ref="T433" ca="1">+fair_value_gap(OFFSET(S432,0,0,-1*$I$5,-1*$Z$1),OFFSET(E432,0,0,-1*$I$5,1),F433:S433,0)</f>
        <v>12.414233740692953</v>
      </c>
      <c r="U433" s="7" t="str" cm="1">
        <f t="array" aca="1" ref="U433" ca="1">z_score_diff(OFFSET(T433,0,0,$I$5*-1,1),OFFSET(E433,0,0,$I$5*-1,1))</f>
        <v/>
      </c>
      <c r="V433" s="7" t="str">
        <f t="shared" ca="1" si="427"/>
        <v/>
      </c>
      <c r="W433" s="14">
        <f t="shared" ca="1" si="422"/>
        <v>0.14159821375613835</v>
      </c>
      <c r="X433" s="10">
        <f t="shared" ref="X433:Y433" ca="1" si="470">+X432</f>
        <v>0</v>
      </c>
      <c r="Y433" s="10">
        <f t="shared" ca="1" si="470"/>
        <v>0</v>
      </c>
      <c r="Z433" t="str">
        <f t="shared" ca="1" si="429"/>
        <v/>
      </c>
      <c r="AA433" t="str">
        <f t="shared" ca="1" si="430"/>
        <v/>
      </c>
      <c r="AB433" s="19" t="str">
        <f t="shared" ca="1" si="431"/>
        <v/>
      </c>
      <c r="AC433" s="19" t="str">
        <f t="shared" ca="1" si="432"/>
        <v/>
      </c>
    </row>
    <row r="434" spans="3:29" x14ac:dyDescent="0.25">
      <c r="C434" s="4">
        <v>427</v>
      </c>
      <c r="D434" s="28">
        <v>42613</v>
      </c>
      <c r="E434" s="30">
        <v>12.673</v>
      </c>
      <c r="F434" s="30">
        <v>42.165650770885627</v>
      </c>
      <c r="G434" s="30">
        <v>4.8718178558623162</v>
      </c>
      <c r="H434" s="30">
        <v>59.519541054141278</v>
      </c>
      <c r="I434" s="8">
        <v>0</v>
      </c>
      <c r="J434" s="31">
        <v>0</v>
      </c>
      <c r="K434" s="31">
        <v>0</v>
      </c>
      <c r="L434" s="31">
        <v>0</v>
      </c>
      <c r="M434" s="31">
        <v>0</v>
      </c>
      <c r="N434" s="31">
        <v>0</v>
      </c>
      <c r="O434" s="31">
        <v>0</v>
      </c>
      <c r="P434" s="31">
        <v>1</v>
      </c>
      <c r="Q434" s="31">
        <v>0</v>
      </c>
      <c r="R434" s="31">
        <v>0</v>
      </c>
      <c r="S434" s="31">
        <v>0</v>
      </c>
      <c r="T434" s="21" cm="1">
        <f t="array" aca="1" ref="T434" ca="1">+fair_value_gap(OFFSET(S433,0,0,-1*$I$5,-1*$Z$1),OFFSET(E433,0,0,-1*$I$5,1),F434:S434,0)</f>
        <v>12.193112342182987</v>
      </c>
      <c r="U434" s="7" t="str" cm="1">
        <f t="array" aca="1" ref="U434" ca="1">z_score_diff(OFFSET(T434,0,0,$I$5*-1,1),OFFSET(E434,0,0,$I$5*-1,1))</f>
        <v/>
      </c>
      <c r="V434" s="7" t="str">
        <f t="shared" ca="1" si="427"/>
        <v/>
      </c>
      <c r="W434" s="14">
        <f t="shared" ca="1" si="422"/>
        <v>9.2415094036718951E-2</v>
      </c>
      <c r="X434" s="10">
        <f t="shared" ref="X434:Y434" ca="1" si="471">+X433</f>
        <v>0</v>
      </c>
      <c r="Y434" s="10">
        <f t="shared" ca="1" si="471"/>
        <v>0</v>
      </c>
      <c r="Z434" t="str">
        <f t="shared" ca="1" si="429"/>
        <v/>
      </c>
      <c r="AA434" t="str">
        <f t="shared" ca="1" si="430"/>
        <v/>
      </c>
      <c r="AB434" s="19" t="str">
        <f t="shared" ca="1" si="431"/>
        <v/>
      </c>
      <c r="AC434" s="19" t="str">
        <f t="shared" ca="1" si="432"/>
        <v/>
      </c>
    </row>
    <row r="435" spans="3:29" x14ac:dyDescent="0.25">
      <c r="C435" s="4">
        <v>428</v>
      </c>
      <c r="D435" s="28">
        <v>42614</v>
      </c>
      <c r="E435" s="30">
        <v>12.62</v>
      </c>
      <c r="F435" s="30">
        <v>40.59485530546624</v>
      </c>
      <c r="G435" s="30">
        <v>4.8544122901036086</v>
      </c>
      <c r="H435" s="30">
        <v>59.351554126473744</v>
      </c>
      <c r="I435" s="8">
        <v>0</v>
      </c>
      <c r="J435" s="31">
        <v>0</v>
      </c>
      <c r="K435" s="31">
        <v>0</v>
      </c>
      <c r="L435" s="31">
        <v>0</v>
      </c>
      <c r="M435" s="31">
        <v>0</v>
      </c>
      <c r="N435" s="31">
        <v>0</v>
      </c>
      <c r="O435" s="31">
        <v>0</v>
      </c>
      <c r="P435" s="31">
        <v>0</v>
      </c>
      <c r="Q435" s="31">
        <v>1</v>
      </c>
      <c r="R435" s="31">
        <v>0</v>
      </c>
      <c r="S435" s="31">
        <v>0</v>
      </c>
      <c r="T435" s="21" cm="1">
        <f t="array" aca="1" ref="T435" ca="1">+fair_value_gap(OFFSET(S434,0,0,-1*$I$5,-1*$Z$1),OFFSET(E434,0,0,-1*$I$5,1),F435:S435,0)</f>
        <v>18.959605945695955</v>
      </c>
      <c r="U435" s="7" t="str" cm="1">
        <f t="array" aca="1" ref="U435" ca="1">z_score_diff(OFFSET(T435,0,0,$I$5*-1,1),OFFSET(E435,0,0,$I$5*-1,1))</f>
        <v/>
      </c>
      <c r="V435" s="7" t="str">
        <f t="shared" ca="1" si="427"/>
        <v/>
      </c>
      <c r="W435" s="14">
        <f t="shared" ca="1" si="422"/>
        <v>0.10019665115430763</v>
      </c>
      <c r="X435" s="10">
        <f t="shared" ref="X435:Y435" ca="1" si="472">+X434</f>
        <v>0</v>
      </c>
      <c r="Y435" s="10">
        <f t="shared" ca="1" si="472"/>
        <v>0</v>
      </c>
      <c r="Z435" t="str">
        <f t="shared" ca="1" si="429"/>
        <v/>
      </c>
      <c r="AA435" t="str">
        <f t="shared" ca="1" si="430"/>
        <v/>
      </c>
      <c r="AB435" s="19" t="str">
        <f t="shared" ca="1" si="431"/>
        <v/>
      </c>
      <c r="AC435" s="19" t="str">
        <f t="shared" ca="1" si="432"/>
        <v/>
      </c>
    </row>
    <row r="436" spans="3:29" x14ac:dyDescent="0.25">
      <c r="C436" s="4">
        <v>429</v>
      </c>
      <c r="D436" s="28">
        <v>42615</v>
      </c>
      <c r="E436" s="30">
        <v>12.72</v>
      </c>
      <c r="F436" s="30">
        <v>41.988702591231061</v>
      </c>
      <c r="G436" s="30">
        <v>4.8731283062853041</v>
      </c>
      <c r="H436" s="30">
        <v>59.670043934367435</v>
      </c>
      <c r="I436" s="8">
        <v>0</v>
      </c>
      <c r="J436" s="31">
        <v>0</v>
      </c>
      <c r="K436" s="31">
        <v>0</v>
      </c>
      <c r="L436" s="31">
        <v>0</v>
      </c>
      <c r="M436" s="31">
        <v>0</v>
      </c>
      <c r="N436" s="31">
        <v>0</v>
      </c>
      <c r="O436" s="31">
        <v>0</v>
      </c>
      <c r="P436" s="31">
        <v>0</v>
      </c>
      <c r="Q436" s="31">
        <v>1</v>
      </c>
      <c r="R436" s="31">
        <v>0</v>
      </c>
      <c r="S436" s="31">
        <v>0</v>
      </c>
      <c r="T436" s="21" cm="1">
        <f t="array" aca="1" ref="T436" ca="1">+fair_value_gap(OFFSET(S435,0,0,-1*$I$5,-1*$Z$1),OFFSET(E435,0,0,-1*$I$5,1),F436:S436,0)</f>
        <v>16.274740104669551</v>
      </c>
      <c r="U436" s="7" t="str" cm="1">
        <f t="array" aca="1" ref="U436" ca="1">z_score_diff(OFFSET(T436,0,0,$I$5*-1,1),OFFSET(E436,0,0,$I$5*-1,1))</f>
        <v/>
      </c>
      <c r="V436" s="7" t="str">
        <f t="shared" ca="1" si="427"/>
        <v/>
      </c>
      <c r="W436" s="14">
        <f t="shared" ca="1" si="422"/>
        <v>0.18793991612123007</v>
      </c>
      <c r="X436" s="10">
        <f t="shared" ref="X436:Y436" ca="1" si="473">+X435</f>
        <v>0</v>
      </c>
      <c r="Y436" s="10">
        <f t="shared" ca="1" si="473"/>
        <v>0</v>
      </c>
      <c r="Z436" t="str">
        <f t="shared" ca="1" si="429"/>
        <v/>
      </c>
      <c r="AA436" t="str">
        <f t="shared" ca="1" si="430"/>
        <v/>
      </c>
      <c r="AB436" s="19" t="str">
        <f t="shared" ca="1" si="431"/>
        <v/>
      </c>
      <c r="AC436" s="19" t="str">
        <f t="shared" ca="1" si="432"/>
        <v/>
      </c>
    </row>
    <row r="437" spans="3:29" x14ac:dyDescent="0.25">
      <c r="C437" s="4">
        <v>430</v>
      </c>
      <c r="D437" s="28">
        <v>42618</v>
      </c>
      <c r="E437" s="30">
        <v>12.521000000000001</v>
      </c>
      <c r="F437" s="30">
        <v>42.740488155061023</v>
      </c>
      <c r="G437" s="30">
        <v>4.8770638908829858</v>
      </c>
      <c r="H437" s="30">
        <v>59.763101220387647</v>
      </c>
      <c r="I437" s="8">
        <v>0</v>
      </c>
      <c r="J437" s="31">
        <v>0</v>
      </c>
      <c r="K437" s="31">
        <v>0</v>
      </c>
      <c r="L437" s="31">
        <v>0</v>
      </c>
      <c r="M437" s="31">
        <v>0</v>
      </c>
      <c r="N437" s="31">
        <v>0</v>
      </c>
      <c r="O437" s="31">
        <v>0</v>
      </c>
      <c r="P437" s="31">
        <v>0</v>
      </c>
      <c r="Q437" s="31">
        <v>1</v>
      </c>
      <c r="R437" s="31">
        <v>0</v>
      </c>
      <c r="S437" s="31">
        <v>0</v>
      </c>
      <c r="T437" s="21" cm="1">
        <f t="array" aca="1" ref="T437" ca="1">+fair_value_gap(OFFSET(S436,0,0,-1*$I$5,-1*$Z$1),OFFSET(E436,0,0,-1*$I$5,1),F437:S437,0)</f>
        <v>15.315032132303948</v>
      </c>
      <c r="U437" s="7" t="str" cm="1">
        <f t="array" aca="1" ref="U437" ca="1">z_score_diff(OFFSET(T437,0,0,$I$5*-1,1),OFFSET(E437,0,0,$I$5*-1,1))</f>
        <v/>
      </c>
      <c r="V437" s="7" t="str">
        <f t="shared" ca="1" si="427"/>
        <v/>
      </c>
      <c r="W437" s="14">
        <f t="shared" ca="1" si="422"/>
        <v>0.21973546622149565</v>
      </c>
      <c r="X437" s="10">
        <f t="shared" ref="X437:Y437" ca="1" si="474">+X436</f>
        <v>0</v>
      </c>
      <c r="Y437" s="10">
        <f t="shared" ca="1" si="474"/>
        <v>0</v>
      </c>
      <c r="Z437" t="str">
        <f t="shared" ca="1" si="429"/>
        <v/>
      </c>
      <c r="AA437" t="str">
        <f t="shared" ca="1" si="430"/>
        <v/>
      </c>
      <c r="AB437" s="19" t="str">
        <f t="shared" ca="1" si="431"/>
        <v/>
      </c>
      <c r="AC437" s="19" t="str">
        <f t="shared" ca="1" si="432"/>
        <v/>
      </c>
    </row>
    <row r="438" spans="3:29" x14ac:dyDescent="0.25">
      <c r="C438" s="4">
        <v>431</v>
      </c>
      <c r="D438" s="28">
        <v>42619</v>
      </c>
      <c r="E438" s="30">
        <v>12.375</v>
      </c>
      <c r="F438" s="30">
        <v>42.001421969427653</v>
      </c>
      <c r="G438" s="30">
        <v>4.8302523995734088</v>
      </c>
      <c r="H438" s="30">
        <v>59.145040881621043</v>
      </c>
      <c r="I438" s="8">
        <v>0</v>
      </c>
      <c r="J438" s="31">
        <v>0</v>
      </c>
      <c r="K438" s="31">
        <v>0</v>
      </c>
      <c r="L438" s="31">
        <v>0</v>
      </c>
      <c r="M438" s="31">
        <v>0</v>
      </c>
      <c r="N438" s="31">
        <v>0</v>
      </c>
      <c r="O438" s="31">
        <v>0</v>
      </c>
      <c r="P438" s="31">
        <v>0</v>
      </c>
      <c r="Q438" s="31">
        <v>1</v>
      </c>
      <c r="R438" s="31">
        <v>0</v>
      </c>
      <c r="S438" s="31">
        <v>0</v>
      </c>
      <c r="T438" s="21" cm="1">
        <f t="array" aca="1" ref="T438" ca="1">+fair_value_gap(OFFSET(S437,0,0,-1*$I$5,-1*$Z$1),OFFSET(E437,0,0,-1*$I$5,1),F438:S438,0)</f>
        <v>14.481007191122103</v>
      </c>
      <c r="U438" s="7" t="str" cm="1">
        <f t="array" aca="1" ref="U438" ca="1">z_score_diff(OFFSET(T438,0,0,$I$5*-1,1),OFFSET(E438,0,0,$I$5*-1,1))</f>
        <v/>
      </c>
      <c r="V438" s="7" t="str">
        <f t="shared" ca="1" si="427"/>
        <v/>
      </c>
      <c r="W438" s="14">
        <f t="shared" ca="1" si="422"/>
        <v>0.25534669180884439</v>
      </c>
      <c r="X438" s="10">
        <f t="shared" ref="X438:Y438" ca="1" si="475">+X437</f>
        <v>0</v>
      </c>
      <c r="Y438" s="10">
        <f t="shared" ca="1" si="475"/>
        <v>0</v>
      </c>
      <c r="Z438" t="str">
        <f t="shared" ca="1" si="429"/>
        <v/>
      </c>
      <c r="AA438" t="str">
        <f t="shared" ca="1" si="430"/>
        <v/>
      </c>
      <c r="AB438" s="19" t="str">
        <f t="shared" ca="1" si="431"/>
        <v/>
      </c>
      <c r="AC438" s="19" t="str">
        <f t="shared" ca="1" si="432"/>
        <v/>
      </c>
    </row>
    <row r="439" spans="3:29" x14ac:dyDescent="0.25">
      <c r="C439" s="4">
        <v>432</v>
      </c>
      <c r="D439" s="28">
        <v>42620</v>
      </c>
      <c r="E439" s="30">
        <v>12</v>
      </c>
      <c r="F439" s="30">
        <v>42.698229064696982</v>
      </c>
      <c r="G439" s="30">
        <v>4.83670018688262</v>
      </c>
      <c r="H439" s="30">
        <v>58.55655424045564</v>
      </c>
      <c r="I439" s="8">
        <v>0</v>
      </c>
      <c r="J439" s="31">
        <v>0</v>
      </c>
      <c r="K439" s="31">
        <v>0</v>
      </c>
      <c r="L439" s="31">
        <v>0</v>
      </c>
      <c r="M439" s="31">
        <v>0</v>
      </c>
      <c r="N439" s="31">
        <v>0</v>
      </c>
      <c r="O439" s="31">
        <v>0</v>
      </c>
      <c r="P439" s="31">
        <v>0</v>
      </c>
      <c r="Q439" s="31">
        <v>1</v>
      </c>
      <c r="R439" s="31">
        <v>0</v>
      </c>
      <c r="S439" s="31">
        <v>0</v>
      </c>
      <c r="T439" s="21" cm="1">
        <f t="array" aca="1" ref="T439" ca="1">+fair_value_gap(OFFSET(S438,0,0,-1*$I$5,-1*$Z$1),OFFSET(E438,0,0,-1*$I$5,1),F439:S439,0)</f>
        <v>14.288543184142288</v>
      </c>
      <c r="U439" s="7" t="str" cm="1">
        <f t="array" aca="1" ref="U439" ca="1">z_score_diff(OFFSET(T439,0,0,$I$5*-1,1),OFFSET(E439,0,0,$I$5*-1,1))</f>
        <v/>
      </c>
      <c r="V439" s="7" t="str">
        <f t="shared" ca="1" si="427"/>
        <v/>
      </c>
      <c r="W439" s="14">
        <f t="shared" ca="1" si="422"/>
        <v>0.29565024210095786</v>
      </c>
      <c r="X439" s="10">
        <f t="shared" ref="X439:Y439" ca="1" si="476">+X438</f>
        <v>0</v>
      </c>
      <c r="Y439" s="10">
        <f t="shared" ca="1" si="476"/>
        <v>0</v>
      </c>
      <c r="Z439" t="str">
        <f t="shared" ca="1" si="429"/>
        <v/>
      </c>
      <c r="AA439" t="str">
        <f t="shared" ca="1" si="430"/>
        <v/>
      </c>
      <c r="AB439" s="19" t="str">
        <f t="shared" ca="1" si="431"/>
        <v/>
      </c>
      <c r="AC439" s="19" t="str">
        <f t="shared" ca="1" si="432"/>
        <v/>
      </c>
    </row>
    <row r="440" spans="3:29" x14ac:dyDescent="0.25">
      <c r="C440" s="4">
        <v>433</v>
      </c>
      <c r="D440" s="28">
        <v>42621</v>
      </c>
      <c r="E440" s="30">
        <v>11.971</v>
      </c>
      <c r="F440" s="30">
        <v>44.403979392432056</v>
      </c>
      <c r="G440" s="30">
        <v>4.8676496713448225</v>
      </c>
      <c r="H440" s="30">
        <v>58.092023449991125</v>
      </c>
      <c r="I440" s="8">
        <v>0</v>
      </c>
      <c r="J440" s="31">
        <v>0</v>
      </c>
      <c r="K440" s="31">
        <v>0</v>
      </c>
      <c r="L440" s="31">
        <v>0</v>
      </c>
      <c r="M440" s="31">
        <v>0</v>
      </c>
      <c r="N440" s="31">
        <v>0</v>
      </c>
      <c r="O440" s="31">
        <v>0</v>
      </c>
      <c r="P440" s="31">
        <v>0</v>
      </c>
      <c r="Q440" s="31">
        <v>1</v>
      </c>
      <c r="R440" s="31">
        <v>0</v>
      </c>
      <c r="S440" s="31">
        <v>0</v>
      </c>
      <c r="T440" s="21" cm="1">
        <f t="array" aca="1" ref="T440" ca="1">+fair_value_gap(OFFSET(S439,0,0,-1*$I$5,-1*$Z$1),OFFSET(E439,0,0,-1*$I$5,1),F440:S440,0)</f>
        <v>14.401051636987184</v>
      </c>
      <c r="U440" s="7" t="str" cm="1">
        <f t="array" aca="1" ref="U440" ca="1">z_score_diff(OFFSET(T440,0,0,$I$5*-1,1),OFFSET(E440,0,0,$I$5*-1,1))</f>
        <v/>
      </c>
      <c r="V440" s="7" t="str">
        <f t="shared" ca="1" si="427"/>
        <v/>
      </c>
      <c r="W440" s="14">
        <f t="shared" ca="1" si="422"/>
        <v>0.31710866945707533</v>
      </c>
      <c r="X440" s="10">
        <f t="shared" ref="X440:Y440" ca="1" si="477">+X439</f>
        <v>0</v>
      </c>
      <c r="Y440" s="10">
        <f t="shared" ca="1" si="477"/>
        <v>0</v>
      </c>
      <c r="Z440" t="str">
        <f t="shared" ca="1" si="429"/>
        <v/>
      </c>
      <c r="AA440" t="str">
        <f t="shared" ca="1" si="430"/>
        <v/>
      </c>
      <c r="AB440" s="19" t="str">
        <f t="shared" ca="1" si="431"/>
        <v/>
      </c>
      <c r="AC440" s="19" t="str">
        <f t="shared" ca="1" si="432"/>
        <v/>
      </c>
    </row>
    <row r="441" spans="3:29" x14ac:dyDescent="0.25">
      <c r="C441" s="4">
        <v>434</v>
      </c>
      <c r="D441" s="28">
        <v>42622</v>
      </c>
      <c r="E441" s="30">
        <v>11.9</v>
      </c>
      <c r="F441" s="30">
        <v>42.755365571288628</v>
      </c>
      <c r="G441" s="30">
        <v>4.880220856710304</v>
      </c>
      <c r="H441" s="30">
        <v>58.420162080327721</v>
      </c>
      <c r="I441" s="8">
        <v>0</v>
      </c>
      <c r="J441" s="31">
        <v>0</v>
      </c>
      <c r="K441" s="31">
        <v>0</v>
      </c>
      <c r="L441" s="31">
        <v>0</v>
      </c>
      <c r="M441" s="31">
        <v>0</v>
      </c>
      <c r="N441" s="31">
        <v>0</v>
      </c>
      <c r="O441" s="31">
        <v>0</v>
      </c>
      <c r="P441" s="31">
        <v>0</v>
      </c>
      <c r="Q441" s="31">
        <v>1</v>
      </c>
      <c r="R441" s="31">
        <v>0</v>
      </c>
      <c r="S441" s="31">
        <v>0</v>
      </c>
      <c r="T441" s="21" cm="1">
        <f t="array" aca="1" ref="T441" ca="1">+fair_value_gap(OFFSET(S440,0,0,-1*$I$5,-1*$Z$1),OFFSET(E440,0,0,-1*$I$5,1),F441:S441,0)</f>
        <v>13.718396795330014</v>
      </c>
      <c r="U441" s="7" t="str" cm="1">
        <f t="array" aca="1" ref="U441" ca="1">z_score_diff(OFFSET(T441,0,0,$I$5*-1,1),OFFSET(E441,0,0,$I$5*-1,1))</f>
        <v/>
      </c>
      <c r="V441" s="7" t="str">
        <f t="shared" ca="1" si="427"/>
        <v/>
      </c>
      <c r="W441" s="14">
        <f t="shared" ca="1" si="422"/>
        <v>0.3007268700061993</v>
      </c>
      <c r="X441" s="10">
        <f t="shared" ref="X441:Y441" ca="1" si="478">+X440</f>
        <v>0</v>
      </c>
      <c r="Y441" s="10">
        <f t="shared" ca="1" si="478"/>
        <v>0</v>
      </c>
      <c r="Z441" t="str">
        <f t="shared" ca="1" si="429"/>
        <v/>
      </c>
      <c r="AA441" t="str">
        <f t="shared" ca="1" si="430"/>
        <v/>
      </c>
      <c r="AB441" s="19" t="str">
        <f t="shared" ca="1" si="431"/>
        <v/>
      </c>
      <c r="AC441" s="19" t="str">
        <f t="shared" ca="1" si="432"/>
        <v/>
      </c>
    </row>
    <row r="442" spans="3:29" x14ac:dyDescent="0.25">
      <c r="C442" s="4">
        <v>435</v>
      </c>
      <c r="D442" s="28">
        <v>42625</v>
      </c>
      <c r="E442" s="30">
        <v>11.829000000000001</v>
      </c>
      <c r="F442" s="30">
        <v>43.019943019943021</v>
      </c>
      <c r="G442" s="30">
        <v>4.8522079772079776</v>
      </c>
      <c r="H442" s="30">
        <v>58.493589743589745</v>
      </c>
      <c r="I442" s="8">
        <v>0</v>
      </c>
      <c r="J442" s="31">
        <v>0</v>
      </c>
      <c r="K442" s="31">
        <v>0</v>
      </c>
      <c r="L442" s="31">
        <v>0</v>
      </c>
      <c r="M442" s="31">
        <v>0</v>
      </c>
      <c r="N442" s="31">
        <v>0</v>
      </c>
      <c r="O442" s="31">
        <v>0</v>
      </c>
      <c r="P442" s="31">
        <v>0</v>
      </c>
      <c r="Q442" s="31">
        <v>1</v>
      </c>
      <c r="R442" s="31">
        <v>0</v>
      </c>
      <c r="S442" s="31">
        <v>0</v>
      </c>
      <c r="T442" s="21" cm="1">
        <f t="array" aca="1" ref="T442" ca="1">+fair_value_gap(OFFSET(S441,0,0,-1*$I$5,-1*$Z$1),OFFSET(E441,0,0,-1*$I$5,1),F442:S442,0)</f>
        <v>13.477357443838057</v>
      </c>
      <c r="U442" s="7" t="str" cm="1">
        <f t="array" aca="1" ref="U442" ca="1">z_score_diff(OFFSET(T442,0,0,$I$5*-1,1),OFFSET(E442,0,0,$I$5*-1,1))</f>
        <v/>
      </c>
      <c r="V442" s="7" t="str">
        <f t="shared" ca="1" si="427"/>
        <v/>
      </c>
      <c r="W442" s="14">
        <f t="shared" ca="1" si="422"/>
        <v>0.29059438853362562</v>
      </c>
      <c r="X442" s="10">
        <f t="shared" ref="X442:Y442" ca="1" si="479">+X441</f>
        <v>0</v>
      </c>
      <c r="Y442" s="10">
        <f t="shared" ca="1" si="479"/>
        <v>0</v>
      </c>
      <c r="Z442" t="str">
        <f t="shared" ca="1" si="429"/>
        <v/>
      </c>
      <c r="AA442" t="str">
        <f t="shared" ca="1" si="430"/>
        <v/>
      </c>
      <c r="AB442" s="19" t="str">
        <f t="shared" ca="1" si="431"/>
        <v/>
      </c>
      <c r="AC442" s="19" t="str">
        <f t="shared" ca="1" si="432"/>
        <v/>
      </c>
    </row>
    <row r="443" spans="3:29" x14ac:dyDescent="0.25">
      <c r="C443" s="4">
        <v>436</v>
      </c>
      <c r="D443" s="28">
        <v>42626</v>
      </c>
      <c r="E443" s="30">
        <v>12.006</v>
      </c>
      <c r="F443" s="30">
        <v>41.989836854774005</v>
      </c>
      <c r="G443" s="30">
        <v>4.8854417402157448</v>
      </c>
      <c r="H443" s="30">
        <v>58.794686636355536</v>
      </c>
      <c r="I443" s="8">
        <v>0</v>
      </c>
      <c r="J443" s="31">
        <v>0</v>
      </c>
      <c r="K443" s="31">
        <v>0</v>
      </c>
      <c r="L443" s="31">
        <v>0</v>
      </c>
      <c r="M443" s="31">
        <v>0</v>
      </c>
      <c r="N443" s="31">
        <v>0</v>
      </c>
      <c r="O443" s="31">
        <v>0</v>
      </c>
      <c r="P443" s="31">
        <v>0</v>
      </c>
      <c r="Q443" s="31">
        <v>1</v>
      </c>
      <c r="R443" s="31">
        <v>0</v>
      </c>
      <c r="S443" s="31">
        <v>0</v>
      </c>
      <c r="T443" s="21" cm="1">
        <f t="array" aca="1" ref="T443" ca="1">+fair_value_gap(OFFSET(S442,0,0,-1*$I$5,-1*$Z$1),OFFSET(E442,0,0,-1*$I$5,1),F443:S443,0)</f>
        <v>13.098316588388922</v>
      </c>
      <c r="U443" s="7" t="str" cm="1">
        <f t="array" aca="1" ref="U443" ca="1">z_score_diff(OFFSET(T443,0,0,$I$5*-1,1),OFFSET(E443,0,0,$I$5*-1,1))</f>
        <v/>
      </c>
      <c r="V443" s="7" t="str">
        <f t="shared" ca="1" si="427"/>
        <v/>
      </c>
      <c r="W443" s="14">
        <f t="shared" ca="1" si="422"/>
        <v>0.25278483318454548</v>
      </c>
      <c r="X443" s="10">
        <f t="shared" ref="X443:Y443" ca="1" si="480">+X442</f>
        <v>0</v>
      </c>
      <c r="Y443" s="10">
        <f t="shared" ca="1" si="480"/>
        <v>0</v>
      </c>
      <c r="Z443" t="str">
        <f t="shared" ca="1" si="429"/>
        <v/>
      </c>
      <c r="AA443" t="str">
        <f t="shared" ca="1" si="430"/>
        <v/>
      </c>
      <c r="AB443" s="19" t="str">
        <f t="shared" ca="1" si="431"/>
        <v/>
      </c>
      <c r="AC443" s="19" t="str">
        <f t="shared" ca="1" si="432"/>
        <v/>
      </c>
    </row>
    <row r="444" spans="3:29" x14ac:dyDescent="0.25">
      <c r="C444" s="4">
        <v>437</v>
      </c>
      <c r="D444" s="28">
        <v>42627</v>
      </c>
      <c r="E444" s="30">
        <v>11.946999999999999</v>
      </c>
      <c r="F444" s="30">
        <v>40.75917859365277</v>
      </c>
      <c r="G444" s="30">
        <v>4.8626544581740596</v>
      </c>
      <c r="H444" s="30">
        <v>58.716330340474705</v>
      </c>
      <c r="I444" s="8">
        <v>0</v>
      </c>
      <c r="J444" s="31">
        <v>0</v>
      </c>
      <c r="K444" s="31">
        <v>0</v>
      </c>
      <c r="L444" s="31">
        <v>0</v>
      </c>
      <c r="M444" s="31">
        <v>0</v>
      </c>
      <c r="N444" s="31">
        <v>0</v>
      </c>
      <c r="O444" s="31">
        <v>0</v>
      </c>
      <c r="P444" s="31">
        <v>0</v>
      </c>
      <c r="Q444" s="31">
        <v>1</v>
      </c>
      <c r="R444" s="31">
        <v>0</v>
      </c>
      <c r="S444" s="31">
        <v>0</v>
      </c>
      <c r="T444" s="21" cm="1">
        <f t="array" aca="1" ref="T444" ca="1">+fair_value_gap(OFFSET(S443,0,0,-1*$I$5,-1*$Z$1),OFFSET(E443,0,0,-1*$I$5,1),F444:S444,0)</f>
        <v>12.65441855092282</v>
      </c>
      <c r="U444" s="7" t="str" cm="1">
        <f t="array" aca="1" ref="U444" ca="1">z_score_diff(OFFSET(T444,0,0,$I$5*-1,1),OFFSET(E444,0,0,$I$5*-1,1))</f>
        <v/>
      </c>
      <c r="V444" s="7" t="str">
        <f t="shared" ca="1" si="427"/>
        <v/>
      </c>
      <c r="W444" s="14">
        <f t="shared" ca="1" si="422"/>
        <v>0.2536924844126951</v>
      </c>
      <c r="X444" s="10">
        <f t="shared" ref="X444:Y444" ca="1" si="481">+X443</f>
        <v>0</v>
      </c>
      <c r="Y444" s="10">
        <f t="shared" ca="1" si="481"/>
        <v>0</v>
      </c>
      <c r="Z444" t="str">
        <f t="shared" ca="1" si="429"/>
        <v/>
      </c>
      <c r="AA444" t="str">
        <f t="shared" ca="1" si="430"/>
        <v/>
      </c>
      <c r="AB444" s="19" t="str">
        <f t="shared" ca="1" si="431"/>
        <v/>
      </c>
      <c r="AC444" s="19" t="str">
        <f t="shared" ca="1" si="432"/>
        <v/>
      </c>
    </row>
    <row r="445" spans="3:29" x14ac:dyDescent="0.25">
      <c r="C445" s="4">
        <v>438</v>
      </c>
      <c r="D445" s="28">
        <v>42628</v>
      </c>
      <c r="E445" s="30">
        <v>12.481999999999999</v>
      </c>
      <c r="F445" s="30">
        <v>41.446490525753937</v>
      </c>
      <c r="G445" s="30">
        <v>4.8661151143136729</v>
      </c>
      <c r="H445" s="30">
        <v>59.069477804465798</v>
      </c>
      <c r="I445" s="8">
        <v>0</v>
      </c>
      <c r="J445" s="31">
        <v>0</v>
      </c>
      <c r="K445" s="31">
        <v>0</v>
      </c>
      <c r="L445" s="31">
        <v>0</v>
      </c>
      <c r="M445" s="31">
        <v>0</v>
      </c>
      <c r="N445" s="31">
        <v>0</v>
      </c>
      <c r="O445" s="31">
        <v>0</v>
      </c>
      <c r="P445" s="31">
        <v>0</v>
      </c>
      <c r="Q445" s="31">
        <v>1</v>
      </c>
      <c r="R445" s="31">
        <v>0</v>
      </c>
      <c r="S445" s="31">
        <v>0</v>
      </c>
      <c r="T445" s="21" cm="1">
        <f t="array" aca="1" ref="T445" ca="1">+fair_value_gap(OFFSET(S444,0,0,-1*$I$5,-1*$Z$1),OFFSET(E444,0,0,-1*$I$5,1),F445:S445,0)</f>
        <v>12.662429677020793</v>
      </c>
      <c r="U445" s="7" t="str" cm="1">
        <f t="array" aca="1" ref="U445" ca="1">z_score_diff(OFFSET(T445,0,0,$I$5*-1,1),OFFSET(E445,0,0,$I$5*-1,1))</f>
        <v/>
      </c>
      <c r="V445" s="7" t="str">
        <f t="shared" ca="1" si="427"/>
        <v/>
      </c>
      <c r="W445" s="14">
        <f t="shared" ca="1" si="422"/>
        <v>0.23096419607465304</v>
      </c>
      <c r="X445" s="10">
        <f t="shared" ref="X445:Y445" ca="1" si="482">+X444</f>
        <v>0</v>
      </c>
      <c r="Y445" s="10">
        <f t="shared" ca="1" si="482"/>
        <v>0</v>
      </c>
      <c r="Z445" t="str">
        <f t="shared" ca="1" si="429"/>
        <v/>
      </c>
      <c r="AA445" t="str">
        <f t="shared" ca="1" si="430"/>
        <v/>
      </c>
      <c r="AB445" s="19" t="str">
        <f t="shared" ca="1" si="431"/>
        <v/>
      </c>
      <c r="AC445" s="19" t="str">
        <f t="shared" ca="1" si="432"/>
        <v/>
      </c>
    </row>
    <row r="446" spans="3:29" x14ac:dyDescent="0.25">
      <c r="C446" s="4">
        <v>439</v>
      </c>
      <c r="D446" s="28">
        <v>42629</v>
      </c>
      <c r="E446" s="30">
        <v>12.778</v>
      </c>
      <c r="F446" s="30">
        <v>41.038285663050303</v>
      </c>
      <c r="G446" s="30">
        <v>5.0434860575629878</v>
      </c>
      <c r="H446" s="30">
        <v>59.401058011297408</v>
      </c>
      <c r="I446" s="8">
        <v>0</v>
      </c>
      <c r="J446" s="31">
        <v>0</v>
      </c>
      <c r="K446" s="31">
        <v>0</v>
      </c>
      <c r="L446" s="31">
        <v>0</v>
      </c>
      <c r="M446" s="31">
        <v>0</v>
      </c>
      <c r="N446" s="31">
        <v>0</v>
      </c>
      <c r="O446" s="31">
        <v>0</v>
      </c>
      <c r="P446" s="31">
        <v>0</v>
      </c>
      <c r="Q446" s="31">
        <v>1</v>
      </c>
      <c r="R446" s="31">
        <v>0</v>
      </c>
      <c r="S446" s="31">
        <v>0</v>
      </c>
      <c r="T446" s="21" cm="1">
        <f t="array" aca="1" ref="T446" ca="1">+fair_value_gap(OFFSET(S445,0,0,-1*$I$5,-1*$Z$1),OFFSET(E445,0,0,-1*$I$5,1),F446:S446,0)</f>
        <v>12.843395310974831</v>
      </c>
      <c r="U446" s="7" t="str" cm="1">
        <f t="array" aca="1" ref="U446" ca="1">z_score_diff(OFFSET(T446,0,0,$I$5*-1,1),OFFSET(E446,0,0,$I$5*-1,1))</f>
        <v/>
      </c>
      <c r="V446" s="7" t="str">
        <f t="shared" ca="1" si="427"/>
        <v/>
      </c>
      <c r="W446" s="14">
        <f t="shared" ca="1" si="422"/>
        <v>0.23400933171933236</v>
      </c>
      <c r="X446" s="10">
        <f t="shared" ref="X446:Y446" ca="1" si="483">+X445</f>
        <v>0</v>
      </c>
      <c r="Y446" s="10">
        <f t="shared" ca="1" si="483"/>
        <v>0</v>
      </c>
      <c r="Z446" t="str">
        <f t="shared" ca="1" si="429"/>
        <v/>
      </c>
      <c r="AA446" t="str">
        <f t="shared" ca="1" si="430"/>
        <v/>
      </c>
      <c r="AB446" s="19" t="str">
        <f t="shared" ca="1" si="431"/>
        <v/>
      </c>
      <c r="AC446" s="19" t="str">
        <f t="shared" ca="1" si="432"/>
        <v/>
      </c>
    </row>
    <row r="447" spans="3:29" x14ac:dyDescent="0.25">
      <c r="C447" s="4">
        <v>440</v>
      </c>
      <c r="D447" s="28">
        <v>42632</v>
      </c>
      <c r="E447" s="30">
        <v>13.377000000000001</v>
      </c>
      <c r="F447" s="30">
        <v>41.12592857782154</v>
      </c>
      <c r="G447" s="30">
        <v>5.0344580685581315</v>
      </c>
      <c r="H447" s="30">
        <v>59.428980578179548</v>
      </c>
      <c r="I447" s="8">
        <v>0</v>
      </c>
      <c r="J447" s="31">
        <v>0</v>
      </c>
      <c r="K447" s="31">
        <v>0</v>
      </c>
      <c r="L447" s="31">
        <v>0</v>
      </c>
      <c r="M447" s="31">
        <v>0</v>
      </c>
      <c r="N447" s="31">
        <v>0</v>
      </c>
      <c r="O447" s="31">
        <v>0</v>
      </c>
      <c r="P447" s="31">
        <v>0</v>
      </c>
      <c r="Q447" s="31">
        <v>1</v>
      </c>
      <c r="R447" s="31">
        <v>0</v>
      </c>
      <c r="S447" s="31">
        <v>0</v>
      </c>
      <c r="T447" s="21" cm="1">
        <f t="array" aca="1" ref="T447" ca="1">+fair_value_gap(OFFSET(S446,0,0,-1*$I$5,-1*$Z$1),OFFSET(E446,0,0,-1*$I$5,1),F447:S447,0)</f>
        <v>12.77316981657461</v>
      </c>
      <c r="U447" s="7" t="str" cm="1">
        <f t="array" aca="1" ref="U447" ca="1">z_score_diff(OFFSET(T447,0,0,$I$5*-1,1),OFFSET(E447,0,0,$I$5*-1,1))</f>
        <v/>
      </c>
      <c r="V447" s="7" t="str">
        <f t="shared" ca="1" si="427"/>
        <v/>
      </c>
      <c r="W447" s="14">
        <f t="shared" ca="1" si="422"/>
        <v>0.19701460830050441</v>
      </c>
      <c r="X447" s="10">
        <f t="shared" ref="X447:Y447" ca="1" si="484">+X446</f>
        <v>0</v>
      </c>
      <c r="Y447" s="10">
        <f t="shared" ca="1" si="484"/>
        <v>0</v>
      </c>
      <c r="Z447" t="str">
        <f t="shared" ca="1" si="429"/>
        <v/>
      </c>
      <c r="AA447" t="str">
        <f t="shared" ca="1" si="430"/>
        <v/>
      </c>
      <c r="AB447" s="19" t="str">
        <f t="shared" ca="1" si="431"/>
        <v/>
      </c>
      <c r="AC447" s="19" t="str">
        <f t="shared" ca="1" si="432"/>
        <v/>
      </c>
    </row>
    <row r="448" spans="3:29" x14ac:dyDescent="0.25">
      <c r="C448" s="4">
        <v>441</v>
      </c>
      <c r="D448" s="28">
        <v>42633</v>
      </c>
      <c r="E448" s="30">
        <v>13.029</v>
      </c>
      <c r="F448" s="30">
        <v>41.140602582496413</v>
      </c>
      <c r="G448" s="30">
        <v>5.0439383070301291</v>
      </c>
      <c r="H448" s="30">
        <v>59.54088952654233</v>
      </c>
      <c r="I448" s="8">
        <v>0</v>
      </c>
      <c r="J448" s="31">
        <v>0</v>
      </c>
      <c r="K448" s="31">
        <v>0</v>
      </c>
      <c r="L448" s="31">
        <v>0</v>
      </c>
      <c r="M448" s="31">
        <v>0</v>
      </c>
      <c r="N448" s="31">
        <v>0</v>
      </c>
      <c r="O448" s="31">
        <v>0</v>
      </c>
      <c r="P448" s="31">
        <v>0</v>
      </c>
      <c r="Q448" s="31">
        <v>1</v>
      </c>
      <c r="R448" s="31">
        <v>0</v>
      </c>
      <c r="S448" s="31">
        <v>0</v>
      </c>
      <c r="T448" s="21" cm="1">
        <f t="array" aca="1" ref="T448" ca="1">+fair_value_gap(OFFSET(S447,0,0,-1*$I$5,-1*$Z$1),OFFSET(E447,0,0,-1*$I$5,1),F448:S448,0)</f>
        <v>12.738198482775495</v>
      </c>
      <c r="U448" s="7" t="str" cm="1">
        <f t="array" aca="1" ref="U448" ca="1">z_score_diff(OFFSET(T448,0,0,$I$5*-1,1),OFFSET(E448,0,0,$I$5*-1,1))</f>
        <v/>
      </c>
      <c r="V448" s="7" t="str">
        <f t="shared" ca="1" si="427"/>
        <v/>
      </c>
      <c r="W448" s="14">
        <f t="shared" ca="1" si="422"/>
        <v>0.25181745283314266</v>
      </c>
      <c r="X448" s="10">
        <f t="shared" ref="X448:Y448" ca="1" si="485">+X447</f>
        <v>0</v>
      </c>
      <c r="Y448" s="10">
        <f t="shared" ca="1" si="485"/>
        <v>0</v>
      </c>
      <c r="Z448" t="str">
        <f t="shared" ca="1" si="429"/>
        <v/>
      </c>
      <c r="AA448" t="str">
        <f t="shared" ca="1" si="430"/>
        <v/>
      </c>
      <c r="AB448" s="19" t="str">
        <f t="shared" ca="1" si="431"/>
        <v/>
      </c>
      <c r="AC448" s="19" t="str">
        <f t="shared" ca="1" si="432"/>
        <v/>
      </c>
    </row>
    <row r="449" spans="3:29" x14ac:dyDescent="0.25">
      <c r="C449" s="4">
        <v>442</v>
      </c>
      <c r="D449" s="28">
        <v>42634</v>
      </c>
      <c r="E449" s="30">
        <v>13.266999999999999</v>
      </c>
      <c r="F449" s="30">
        <v>41.868573983012958</v>
      </c>
      <c r="G449" s="30">
        <v>5.0871703173893605</v>
      </c>
      <c r="H449" s="30">
        <v>59.856951274027715</v>
      </c>
      <c r="I449" s="8">
        <v>0</v>
      </c>
      <c r="J449" s="31">
        <v>0</v>
      </c>
      <c r="K449" s="31">
        <v>0</v>
      </c>
      <c r="L449" s="31">
        <v>0</v>
      </c>
      <c r="M449" s="31">
        <v>0</v>
      </c>
      <c r="N449" s="31">
        <v>0</v>
      </c>
      <c r="O449" s="31">
        <v>0</v>
      </c>
      <c r="P449" s="31">
        <v>0</v>
      </c>
      <c r="Q449" s="31">
        <v>1</v>
      </c>
      <c r="R449" s="31">
        <v>0</v>
      </c>
      <c r="S449" s="31">
        <v>0</v>
      </c>
      <c r="T449" s="21" cm="1">
        <f t="array" aca="1" ref="T449" ca="1">+fair_value_gap(OFFSET(S448,0,0,-1*$I$5,-1*$Z$1),OFFSET(E448,0,0,-1*$I$5,1),F449:S449,0)</f>
        <v>12.680585392782657</v>
      </c>
      <c r="U449" s="7" t="str" cm="1">
        <f t="array" aca="1" ref="U449" ca="1">z_score_diff(OFFSET(T449,0,0,$I$5*-1,1),OFFSET(E449,0,0,$I$5*-1,1))</f>
        <v/>
      </c>
      <c r="V449" s="7" t="str">
        <f t="shared" ca="1" si="427"/>
        <v/>
      </c>
      <c r="W449" s="14">
        <f t="shared" ca="1" si="422"/>
        <v>0.23287967484746036</v>
      </c>
      <c r="X449" s="10">
        <f t="shared" ref="X449:Y449" ca="1" si="486">+X448</f>
        <v>0</v>
      </c>
      <c r="Y449" s="10">
        <f t="shared" ca="1" si="486"/>
        <v>0</v>
      </c>
      <c r="Z449" t="str">
        <f t="shared" ca="1" si="429"/>
        <v/>
      </c>
      <c r="AA449" t="str">
        <f t="shared" ca="1" si="430"/>
        <v/>
      </c>
      <c r="AB449" s="19" t="str">
        <f t="shared" ca="1" si="431"/>
        <v/>
      </c>
      <c r="AC449" s="19" t="str">
        <f t="shared" ca="1" si="432"/>
        <v/>
      </c>
    </row>
    <row r="450" spans="3:29" x14ac:dyDescent="0.25">
      <c r="C450" s="4">
        <v>443</v>
      </c>
      <c r="D450" s="28">
        <v>42635</v>
      </c>
      <c r="E450" s="30">
        <v>13.553000000000001</v>
      </c>
      <c r="F450" s="30">
        <v>42.518069063977869</v>
      </c>
      <c r="G450" s="30">
        <v>5.0771839029178194</v>
      </c>
      <c r="H450" s="30">
        <v>59.516373695012049</v>
      </c>
      <c r="I450" s="8">
        <v>0</v>
      </c>
      <c r="J450" s="31">
        <v>0</v>
      </c>
      <c r="K450" s="31">
        <v>0</v>
      </c>
      <c r="L450" s="31">
        <v>0</v>
      </c>
      <c r="M450" s="31">
        <v>0</v>
      </c>
      <c r="N450" s="31">
        <v>0</v>
      </c>
      <c r="O450" s="31">
        <v>0</v>
      </c>
      <c r="P450" s="31">
        <v>0</v>
      </c>
      <c r="Q450" s="31">
        <v>1</v>
      </c>
      <c r="R450" s="31">
        <v>0</v>
      </c>
      <c r="S450" s="31">
        <v>0</v>
      </c>
      <c r="T450" s="21" cm="1">
        <f t="array" aca="1" ref="T450" ca="1">+fair_value_gap(OFFSET(S449,0,0,-1*$I$5,-1*$Z$1),OFFSET(E449,0,0,-1*$I$5,1),F450:S450,0)</f>
        <v>12.726185452013457</v>
      </c>
      <c r="U450" s="7" t="str" cm="1">
        <f t="array" aca="1" ref="U450" ca="1">z_score_diff(OFFSET(T450,0,0,$I$5*-1,1),OFFSET(E450,0,0,$I$5*-1,1))</f>
        <v/>
      </c>
      <c r="V450" s="7" t="str">
        <f t="shared" ca="1" si="427"/>
        <v/>
      </c>
      <c r="W450" s="14">
        <f t="shared" ca="1" si="422"/>
        <v>0.22082403308841173</v>
      </c>
      <c r="X450" s="10">
        <f t="shared" ref="X450:Y450" ca="1" si="487">+X449</f>
        <v>0</v>
      </c>
      <c r="Y450" s="10">
        <f t="shared" ca="1" si="487"/>
        <v>0</v>
      </c>
      <c r="Z450" t="str">
        <f t="shared" ca="1" si="429"/>
        <v/>
      </c>
      <c r="AA450" t="str">
        <f t="shared" ca="1" si="430"/>
        <v/>
      </c>
      <c r="AB450" s="19" t="str">
        <f t="shared" ca="1" si="431"/>
        <v/>
      </c>
      <c r="AC450" s="19" t="str">
        <f t="shared" ca="1" si="432"/>
        <v/>
      </c>
    </row>
    <row r="451" spans="3:29" x14ac:dyDescent="0.25">
      <c r="C451" s="4">
        <v>444</v>
      </c>
      <c r="D451" s="28">
        <v>42636</v>
      </c>
      <c r="E451" s="30">
        <v>14.01</v>
      </c>
      <c r="F451" s="30">
        <v>40.892888968098376</v>
      </c>
      <c r="G451" s="30">
        <v>5.1015861700231682</v>
      </c>
      <c r="H451" s="30">
        <v>59.659597219746921</v>
      </c>
      <c r="I451" s="8">
        <v>0</v>
      </c>
      <c r="J451" s="31">
        <v>0</v>
      </c>
      <c r="K451" s="31">
        <v>0</v>
      </c>
      <c r="L451" s="31">
        <v>0</v>
      </c>
      <c r="M451" s="31">
        <v>0</v>
      </c>
      <c r="N451" s="31">
        <v>0</v>
      </c>
      <c r="O451" s="31">
        <v>0</v>
      </c>
      <c r="P451" s="31">
        <v>0</v>
      </c>
      <c r="Q451" s="31">
        <v>1</v>
      </c>
      <c r="R451" s="31">
        <v>0</v>
      </c>
      <c r="S451" s="31">
        <v>0</v>
      </c>
      <c r="T451" s="21" cm="1">
        <f t="array" aca="1" ref="T451" ca="1">+fair_value_gap(OFFSET(S450,0,0,-1*$I$5,-1*$Z$1),OFFSET(E450,0,0,-1*$I$5,1),F451:S451,0)</f>
        <v>12.668577446096766</v>
      </c>
      <c r="U451" s="7" t="str" cm="1">
        <f t="array" aca="1" ref="U451" ca="1">z_score_diff(OFFSET(T451,0,0,$I$5*-1,1),OFFSET(E451,0,0,$I$5*-1,1))</f>
        <v/>
      </c>
      <c r="V451" s="7" t="str">
        <f t="shared" ca="1" si="427"/>
        <v/>
      </c>
      <c r="W451" s="14">
        <f t="shared" ca="1" si="422"/>
        <v>0.18011832250882986</v>
      </c>
      <c r="X451" s="10">
        <f t="shared" ref="X451:Y451" ca="1" si="488">+X450</f>
        <v>0</v>
      </c>
      <c r="Y451" s="10">
        <f t="shared" ca="1" si="488"/>
        <v>0</v>
      </c>
      <c r="Z451" t="str">
        <f t="shared" ca="1" si="429"/>
        <v/>
      </c>
      <c r="AA451" t="str">
        <f t="shared" ca="1" si="430"/>
        <v/>
      </c>
      <c r="AB451" s="19" t="str">
        <f t="shared" ca="1" si="431"/>
        <v/>
      </c>
      <c r="AC451" s="19" t="str">
        <f t="shared" ca="1" si="432"/>
        <v/>
      </c>
    </row>
    <row r="452" spans="3:29" x14ac:dyDescent="0.25">
      <c r="C452" s="4">
        <v>445</v>
      </c>
      <c r="D452" s="28">
        <v>42639</v>
      </c>
      <c r="E452" s="30">
        <v>13.898</v>
      </c>
      <c r="F452" s="30">
        <v>42.077668177374925</v>
      </c>
      <c r="G452" s="30">
        <v>5.1230782902337157</v>
      </c>
      <c r="H452" s="30">
        <v>59.806273882520216</v>
      </c>
      <c r="I452" s="8">
        <v>0</v>
      </c>
      <c r="J452" s="31">
        <v>0</v>
      </c>
      <c r="K452" s="31">
        <v>0</v>
      </c>
      <c r="L452" s="31">
        <v>0</v>
      </c>
      <c r="M452" s="31">
        <v>0</v>
      </c>
      <c r="N452" s="31">
        <v>0</v>
      </c>
      <c r="O452" s="31">
        <v>0</v>
      </c>
      <c r="P452" s="31">
        <v>0</v>
      </c>
      <c r="Q452" s="31">
        <v>1</v>
      </c>
      <c r="R452" s="31">
        <v>0</v>
      </c>
      <c r="S452" s="31">
        <v>0</v>
      </c>
      <c r="T452" s="21" cm="1">
        <f t="array" aca="1" ref="T452" ca="1">+fair_value_gap(OFFSET(S451,0,0,-1*$I$5,-1*$Z$1),OFFSET(E451,0,0,-1*$I$5,1),F452:S452,0)</f>
        <v>12.901018364292192</v>
      </c>
      <c r="U452" s="7" t="str" cm="1">
        <f t="array" aca="1" ref="U452" ca="1">z_score_diff(OFFSET(T452,0,0,$I$5*-1,1),OFFSET(E452,0,0,$I$5*-1,1))</f>
        <v/>
      </c>
      <c r="V452" s="7" t="str">
        <f t="shared" ca="1" si="427"/>
        <v/>
      </c>
      <c r="W452" s="14">
        <f t="shared" ca="1" si="422"/>
        <v>0.21867249749699652</v>
      </c>
      <c r="X452" s="10">
        <f t="shared" ref="X452:Y452" ca="1" si="489">+X451</f>
        <v>0</v>
      </c>
      <c r="Y452" s="10">
        <f t="shared" ca="1" si="489"/>
        <v>0</v>
      </c>
      <c r="Z452" t="str">
        <f t="shared" ca="1" si="429"/>
        <v/>
      </c>
      <c r="AA452" t="str">
        <f t="shared" ca="1" si="430"/>
        <v/>
      </c>
      <c r="AB452" s="19" t="str">
        <f t="shared" ca="1" si="431"/>
        <v/>
      </c>
      <c r="AC452" s="19" t="str">
        <f t="shared" ca="1" si="432"/>
        <v/>
      </c>
    </row>
    <row r="453" spans="3:29" x14ac:dyDescent="0.25">
      <c r="C453" s="4">
        <v>446</v>
      </c>
      <c r="D453" s="28">
        <v>42640</v>
      </c>
      <c r="E453" s="30">
        <v>13.3</v>
      </c>
      <c r="F453" s="30">
        <v>40.99705698742531</v>
      </c>
      <c r="G453" s="30">
        <v>5.1413537857843572</v>
      </c>
      <c r="H453" s="30">
        <v>59.662891286899139</v>
      </c>
      <c r="I453" s="8">
        <v>0</v>
      </c>
      <c r="J453" s="31">
        <v>0</v>
      </c>
      <c r="K453" s="31">
        <v>0</v>
      </c>
      <c r="L453" s="31">
        <v>0</v>
      </c>
      <c r="M453" s="31">
        <v>0</v>
      </c>
      <c r="N453" s="31">
        <v>0</v>
      </c>
      <c r="O453" s="31">
        <v>0</v>
      </c>
      <c r="P453" s="31">
        <v>0</v>
      </c>
      <c r="Q453" s="31">
        <v>1</v>
      </c>
      <c r="R453" s="31">
        <v>0</v>
      </c>
      <c r="S453" s="31">
        <v>0</v>
      </c>
      <c r="T453" s="21" cm="1">
        <f t="array" aca="1" ref="T453" ca="1">+fair_value_gap(OFFSET(S452,0,0,-1*$I$5,-1*$Z$1),OFFSET(E452,0,0,-1*$I$5,1),F453:S453,0)</f>
        <v>12.85985772904152</v>
      </c>
      <c r="U453" s="7" t="str" cm="1">
        <f t="array" aca="1" ref="U453" ca="1">z_score_diff(OFFSET(T453,0,0,$I$5*-1,1),OFFSET(E453,0,0,$I$5*-1,1))</f>
        <v/>
      </c>
      <c r="V453" s="7" t="str">
        <f t="shared" ca="1" si="427"/>
        <v/>
      </c>
      <c r="W453" s="14">
        <f t="shared" ca="1" si="422"/>
        <v>0.27939595752651891</v>
      </c>
      <c r="X453" s="10">
        <f t="shared" ref="X453:Y453" ca="1" si="490">+X452</f>
        <v>0</v>
      </c>
      <c r="Y453" s="10">
        <f t="shared" ca="1" si="490"/>
        <v>0</v>
      </c>
      <c r="Z453" t="str">
        <f t="shared" ca="1" si="429"/>
        <v/>
      </c>
      <c r="AA453" t="str">
        <f t="shared" ca="1" si="430"/>
        <v/>
      </c>
      <c r="AB453" s="19" t="str">
        <f t="shared" ca="1" si="431"/>
        <v/>
      </c>
      <c r="AC453" s="19" t="str">
        <f t="shared" ca="1" si="432"/>
        <v/>
      </c>
    </row>
    <row r="454" spans="3:29" x14ac:dyDescent="0.25">
      <c r="C454" s="4">
        <v>447</v>
      </c>
      <c r="D454" s="28">
        <v>42641</v>
      </c>
      <c r="E454" s="30">
        <v>13.9</v>
      </c>
      <c r="F454" s="30">
        <v>43.418940609951846</v>
      </c>
      <c r="G454" s="30">
        <v>5.1943998573212058</v>
      </c>
      <c r="H454" s="30">
        <v>60.058855002675223</v>
      </c>
      <c r="I454" s="8">
        <v>0</v>
      </c>
      <c r="J454" s="31">
        <v>0</v>
      </c>
      <c r="K454" s="31">
        <v>0</v>
      </c>
      <c r="L454" s="31">
        <v>0</v>
      </c>
      <c r="M454" s="31">
        <v>0</v>
      </c>
      <c r="N454" s="31">
        <v>0</v>
      </c>
      <c r="O454" s="31">
        <v>0</v>
      </c>
      <c r="P454" s="31">
        <v>0</v>
      </c>
      <c r="Q454" s="31">
        <v>1</v>
      </c>
      <c r="R454" s="31">
        <v>0</v>
      </c>
      <c r="S454" s="31">
        <v>0</v>
      </c>
      <c r="T454" s="21" cm="1">
        <f t="array" aca="1" ref="T454" ca="1">+fair_value_gap(OFFSET(S453,0,0,-1*$I$5,-1*$Z$1),OFFSET(E453,0,0,-1*$I$5,1),F454:S454,0)</f>
        <v>13.208460235521809</v>
      </c>
      <c r="U454" s="7" t="str" cm="1">
        <f t="array" aca="1" ref="U454" ca="1">z_score_diff(OFFSET(T454,0,0,$I$5*-1,1),OFFSET(E454,0,0,$I$5*-1,1))</f>
        <v/>
      </c>
      <c r="V454" s="7" t="str">
        <f t="shared" ca="1" si="427"/>
        <v/>
      </c>
      <c r="W454" s="14">
        <f t="shared" ca="1" si="422"/>
        <v>0.20905921961647858</v>
      </c>
      <c r="X454" s="10">
        <f t="shared" ref="X454:Y454" ca="1" si="491">+X453</f>
        <v>0</v>
      </c>
      <c r="Y454" s="10">
        <f t="shared" ca="1" si="491"/>
        <v>0</v>
      </c>
      <c r="Z454" t="str">
        <f t="shared" ca="1" si="429"/>
        <v/>
      </c>
      <c r="AA454" t="str">
        <f t="shared" ca="1" si="430"/>
        <v/>
      </c>
      <c r="AB454" s="19" t="str">
        <f t="shared" ca="1" si="431"/>
        <v/>
      </c>
      <c r="AC454" s="19" t="str">
        <f t="shared" ca="1" si="432"/>
        <v/>
      </c>
    </row>
    <row r="455" spans="3:29" x14ac:dyDescent="0.25">
      <c r="C455" s="4">
        <v>448</v>
      </c>
      <c r="D455" s="28">
        <v>42642</v>
      </c>
      <c r="E455" s="30">
        <v>13.95</v>
      </c>
      <c r="F455" s="30">
        <v>43.882006951252116</v>
      </c>
      <c r="G455" s="30">
        <v>5.204527225737456</v>
      </c>
      <c r="H455" s="30">
        <v>60.199625701809097</v>
      </c>
      <c r="I455" s="8">
        <v>0</v>
      </c>
      <c r="J455" s="31">
        <v>0</v>
      </c>
      <c r="K455" s="31">
        <v>0</v>
      </c>
      <c r="L455" s="31">
        <v>0</v>
      </c>
      <c r="M455" s="31">
        <v>0</v>
      </c>
      <c r="N455" s="31">
        <v>0</v>
      </c>
      <c r="O455" s="31">
        <v>0</v>
      </c>
      <c r="P455" s="31">
        <v>0</v>
      </c>
      <c r="Q455" s="31">
        <v>1</v>
      </c>
      <c r="R455" s="31">
        <v>0</v>
      </c>
      <c r="S455" s="31">
        <v>0</v>
      </c>
      <c r="T455" s="21" cm="1">
        <f t="array" aca="1" ref="T455" ca="1">+fair_value_gap(OFFSET(S454,0,0,-1*$I$5,-1*$Z$1),OFFSET(E454,0,0,-1*$I$5,1),F455:S455,0)</f>
        <v>13.312915267772427</v>
      </c>
      <c r="U455" s="7" t="str" cm="1">
        <f t="array" aca="1" ref="U455" ca="1">z_score_diff(OFFSET(T455,0,0,$I$5*-1,1),OFFSET(E455,0,0,$I$5*-1,1))</f>
        <v/>
      </c>
      <c r="V455" s="7" t="str">
        <f t="shared" ca="1" si="427"/>
        <v/>
      </c>
      <c r="W455" s="14">
        <f t="shared" ref="W455:W518" ca="1" si="492">+LN(OFFSET(E455,$W$3,0,1,1)/E455)</f>
        <v>0.2229428143220098</v>
      </c>
      <c r="X455" s="10">
        <f t="shared" ref="X455:Y455" ca="1" si="493">+X454</f>
        <v>0</v>
      </c>
      <c r="Y455" s="10">
        <f t="shared" ca="1" si="493"/>
        <v>0</v>
      </c>
      <c r="Z455" t="str">
        <f t="shared" ca="1" si="429"/>
        <v/>
      </c>
      <c r="AA455" t="str">
        <f t="shared" ca="1" si="430"/>
        <v/>
      </c>
      <c r="AB455" s="19" t="str">
        <f t="shared" ca="1" si="431"/>
        <v/>
      </c>
      <c r="AC455" s="19" t="str">
        <f t="shared" ca="1" si="432"/>
        <v/>
      </c>
    </row>
    <row r="456" spans="3:29" x14ac:dyDescent="0.25">
      <c r="C456" s="4">
        <v>449</v>
      </c>
      <c r="D456" s="28">
        <v>42643</v>
      </c>
      <c r="E456" s="30">
        <v>15.35</v>
      </c>
      <c r="F456" s="30">
        <v>43.655454707243287</v>
      </c>
      <c r="G456" s="30">
        <v>5.2544936821498496</v>
      </c>
      <c r="H456" s="30">
        <v>60.19754404698346</v>
      </c>
      <c r="I456" s="8">
        <v>0</v>
      </c>
      <c r="J456" s="31">
        <v>0</v>
      </c>
      <c r="K456" s="31">
        <v>0</v>
      </c>
      <c r="L456" s="31">
        <v>0</v>
      </c>
      <c r="M456" s="31">
        <v>0</v>
      </c>
      <c r="N456" s="31">
        <v>0</v>
      </c>
      <c r="O456" s="31">
        <v>0</v>
      </c>
      <c r="P456" s="31">
        <v>0</v>
      </c>
      <c r="Q456" s="31">
        <v>1</v>
      </c>
      <c r="R456" s="31">
        <v>0</v>
      </c>
      <c r="S456" s="31">
        <v>0</v>
      </c>
      <c r="T456" s="21" cm="1">
        <f t="array" aca="1" ref="T456" ca="1">+fair_value_gap(OFFSET(S455,0,0,-1*$I$5,-1*$Z$1),OFFSET(E455,0,0,-1*$I$5,1),F456:S456,0)</f>
        <v>13.375788115157606</v>
      </c>
      <c r="U456" s="7" t="str" cm="1">
        <f t="array" aca="1" ref="U456" ca="1">z_score_diff(OFFSET(T456,0,0,$I$5*-1,1),OFFSET(E456,0,0,$I$5*-1,1))</f>
        <v/>
      </c>
      <c r="V456" s="7" t="str">
        <f t="shared" ca="1" si="427"/>
        <v/>
      </c>
      <c r="W456" s="14">
        <f t="shared" ca="1" si="492"/>
        <v>0.11669666944416265</v>
      </c>
      <c r="X456" s="10">
        <f t="shared" ref="X456:Y456" ca="1" si="494">+X455</f>
        <v>0</v>
      </c>
      <c r="Y456" s="10">
        <f t="shared" ca="1" si="494"/>
        <v>0</v>
      </c>
      <c r="Z456" t="str">
        <f t="shared" ca="1" si="429"/>
        <v/>
      </c>
      <c r="AA456" t="str">
        <f t="shared" ca="1" si="430"/>
        <v/>
      </c>
      <c r="AB456" s="19" t="str">
        <f t="shared" ca="1" si="431"/>
        <v/>
      </c>
      <c r="AC456" s="19" t="str">
        <f t="shared" ca="1" si="432"/>
        <v/>
      </c>
    </row>
    <row r="457" spans="3:29" x14ac:dyDescent="0.25">
      <c r="C457" s="4">
        <v>450</v>
      </c>
      <c r="D457" s="28">
        <v>42646</v>
      </c>
      <c r="E457" s="30">
        <v>15.598000000000001</v>
      </c>
      <c r="F457" s="30">
        <v>45.401017039878667</v>
      </c>
      <c r="G457" s="30">
        <v>5.3082344544562403</v>
      </c>
      <c r="H457" s="30">
        <v>67.535016504594523</v>
      </c>
      <c r="I457" s="8">
        <v>0</v>
      </c>
      <c r="J457" s="31">
        <v>0</v>
      </c>
      <c r="K457" s="31">
        <v>0</v>
      </c>
      <c r="L457" s="31">
        <v>0</v>
      </c>
      <c r="M457" s="31">
        <v>0</v>
      </c>
      <c r="N457" s="31">
        <v>0</v>
      </c>
      <c r="O457" s="31">
        <v>0</v>
      </c>
      <c r="P457" s="31">
        <v>0</v>
      </c>
      <c r="Q457" s="31">
        <v>0</v>
      </c>
      <c r="R457" s="31">
        <v>1</v>
      </c>
      <c r="S457" s="31">
        <v>0</v>
      </c>
      <c r="T457" s="21" cm="1">
        <f t="array" aca="1" ref="T457" ca="1">+fair_value_gap(OFFSET(S456,0,0,-1*$I$5,-1*$Z$1),OFFSET(E456,0,0,-1*$I$5,1),F457:S457,0)</f>
        <v>20.197429588379439</v>
      </c>
      <c r="U457" s="7" t="str" cm="1">
        <f t="array" aca="1" ref="U457" ca="1">z_score_diff(OFFSET(T457,0,0,$I$5*-1,1),OFFSET(E457,0,0,$I$5*-1,1))</f>
        <v/>
      </c>
      <c r="V457" s="7" t="str">
        <f t="shared" ca="1" si="427"/>
        <v/>
      </c>
      <c r="W457" s="14">
        <f t="shared" ca="1" si="492"/>
        <v>0.13155001054433202</v>
      </c>
      <c r="X457" s="10">
        <f t="shared" ref="X457:Y457" ca="1" si="495">+X456</f>
        <v>0</v>
      </c>
      <c r="Y457" s="10">
        <f t="shared" ca="1" si="495"/>
        <v>0</v>
      </c>
      <c r="Z457" t="str">
        <f t="shared" ca="1" si="429"/>
        <v/>
      </c>
      <c r="AA457" t="str">
        <f t="shared" ca="1" si="430"/>
        <v/>
      </c>
      <c r="AB457" s="19" t="str">
        <f t="shared" ca="1" si="431"/>
        <v/>
      </c>
      <c r="AC457" s="19" t="str">
        <f t="shared" ca="1" si="432"/>
        <v/>
      </c>
    </row>
    <row r="458" spans="3:29" x14ac:dyDescent="0.25">
      <c r="C458" s="4">
        <v>451</v>
      </c>
      <c r="D458" s="28">
        <v>42647</v>
      </c>
      <c r="E458" s="30">
        <v>15.975</v>
      </c>
      <c r="F458" s="30">
        <v>45.411533654704513</v>
      </c>
      <c r="G458" s="30">
        <v>5.3338689519728613</v>
      </c>
      <c r="H458" s="30">
        <v>67.889662560257094</v>
      </c>
      <c r="I458" s="8">
        <v>0</v>
      </c>
      <c r="J458" s="31">
        <v>0</v>
      </c>
      <c r="K458" s="31">
        <v>0</v>
      </c>
      <c r="L458" s="31">
        <v>0</v>
      </c>
      <c r="M458" s="31">
        <v>0</v>
      </c>
      <c r="N458" s="31">
        <v>0</v>
      </c>
      <c r="O458" s="31">
        <v>0</v>
      </c>
      <c r="P458" s="31">
        <v>0</v>
      </c>
      <c r="Q458" s="31">
        <v>0</v>
      </c>
      <c r="R458" s="31">
        <v>1</v>
      </c>
      <c r="S458" s="31">
        <v>0</v>
      </c>
      <c r="T458" s="21" cm="1">
        <f t="array" aca="1" ref="T458" ca="1">+fair_value_gap(OFFSET(S457,0,0,-1*$I$5,-1*$Z$1),OFFSET(E457,0,0,-1*$I$5,1),F458:S458,0)</f>
        <v>17.537015883816359</v>
      </c>
      <c r="U458" s="7" t="str" cm="1">
        <f t="array" aca="1" ref="U458" ca="1">z_score_diff(OFFSET(T458,0,0,$I$5*-1,1),OFFSET(E458,0,0,$I$5*-1,1))</f>
        <v/>
      </c>
      <c r="V458" s="7" t="str">
        <f t="shared" ca="1" si="427"/>
        <v/>
      </c>
      <c r="W458" s="14">
        <f t="shared" ca="1" si="492"/>
        <v>0.14387675537584382</v>
      </c>
      <c r="X458" s="10">
        <f t="shared" ref="X458:Y458" ca="1" si="496">+X457</f>
        <v>0</v>
      </c>
      <c r="Y458" s="10">
        <f t="shared" ca="1" si="496"/>
        <v>0</v>
      </c>
      <c r="Z458" t="str">
        <f t="shared" ca="1" si="429"/>
        <v/>
      </c>
      <c r="AA458" t="str">
        <f t="shared" ca="1" si="430"/>
        <v/>
      </c>
      <c r="AB458" s="19" t="str">
        <f t="shared" ca="1" si="431"/>
        <v/>
      </c>
      <c r="AC458" s="19" t="str">
        <f t="shared" ca="1" si="432"/>
        <v/>
      </c>
    </row>
    <row r="459" spans="3:29" x14ac:dyDescent="0.25">
      <c r="C459" s="4">
        <v>452</v>
      </c>
      <c r="D459" s="28">
        <v>42648</v>
      </c>
      <c r="E459" s="30">
        <v>16.128</v>
      </c>
      <c r="F459" s="30">
        <v>46.295304409926793</v>
      </c>
      <c r="G459" s="30">
        <v>5.3294054633101222</v>
      </c>
      <c r="H459" s="30">
        <v>68.380646313158351</v>
      </c>
      <c r="I459" s="8">
        <v>0</v>
      </c>
      <c r="J459" s="31">
        <v>0</v>
      </c>
      <c r="K459" s="31">
        <v>0</v>
      </c>
      <c r="L459" s="31">
        <v>0</v>
      </c>
      <c r="M459" s="31">
        <v>0</v>
      </c>
      <c r="N459" s="31">
        <v>0</v>
      </c>
      <c r="O459" s="31">
        <v>0</v>
      </c>
      <c r="P459" s="31">
        <v>0</v>
      </c>
      <c r="Q459" s="31">
        <v>0</v>
      </c>
      <c r="R459" s="31">
        <v>1</v>
      </c>
      <c r="S459" s="31">
        <v>0</v>
      </c>
      <c r="T459" s="21" cm="1">
        <f t="array" aca="1" ref="T459" ca="1">+fair_value_gap(OFFSET(S458,0,0,-1*$I$5,-1*$Z$1),OFFSET(E458,0,0,-1*$I$5,1),F459:S459,0)</f>
        <v>17.049551233174068</v>
      </c>
      <c r="U459" s="7" t="str" cm="1">
        <f t="array" aca="1" ref="U459" ca="1">z_score_diff(OFFSET(T459,0,0,$I$5*-1,1),OFFSET(E459,0,0,$I$5*-1,1))</f>
        <v/>
      </c>
      <c r="V459" s="7" t="str">
        <f t="shared" ref="V459:V522" ca="1" si="497">+IF(ISERROR(AVERAGE(OFFSET(U459,0,0,$V$5*-1,1))),"",AVERAGE(OFFSET(U459,0,0,$V$5*-1,1)))</f>
        <v/>
      </c>
      <c r="W459" s="14">
        <f t="shared" ca="1" si="492"/>
        <v>0.16151085707933996</v>
      </c>
      <c r="X459" s="10">
        <f t="shared" ref="X459:Y459" ca="1" si="498">+X458</f>
        <v>0</v>
      </c>
      <c r="Y459" s="10">
        <f t="shared" ca="1" si="498"/>
        <v>0</v>
      </c>
      <c r="Z459" t="str">
        <f t="shared" ref="Z459:Z522" ca="1" si="499">+IF(V459="","",IF(V459&lt;X459,1,0))</f>
        <v/>
      </c>
      <c r="AA459" t="str">
        <f t="shared" ref="AA459:AA522" ca="1" si="500">+IF(V459="","",IF(V459&gt;Y459,1,0))</f>
        <v/>
      </c>
      <c r="AB459" s="19" t="str">
        <f t="shared" ref="AB459:AB522" ca="1" si="501">+IF(ISERROR(Z459*W459),"",Z459*W459)</f>
        <v/>
      </c>
      <c r="AC459" s="19" t="str">
        <f t="shared" ref="AC459:AC522" ca="1" si="502">+IF(ISERROR(AA459*W459),"",AA459*W459)</f>
        <v/>
      </c>
    </row>
    <row r="460" spans="3:29" x14ac:dyDescent="0.25">
      <c r="C460" s="4">
        <v>453</v>
      </c>
      <c r="D460" s="28">
        <v>42649</v>
      </c>
      <c r="E460" s="30">
        <v>16.437999999999999</v>
      </c>
      <c r="F460" s="30">
        <v>47.098394474840788</v>
      </c>
      <c r="G460" s="30">
        <v>5.3547403354560945</v>
      </c>
      <c r="H460" s="30">
        <v>70.992914162705176</v>
      </c>
      <c r="I460" s="8">
        <v>0</v>
      </c>
      <c r="J460" s="31">
        <v>0</v>
      </c>
      <c r="K460" s="31">
        <v>0</v>
      </c>
      <c r="L460" s="31">
        <v>0</v>
      </c>
      <c r="M460" s="31">
        <v>0</v>
      </c>
      <c r="N460" s="31">
        <v>0</v>
      </c>
      <c r="O460" s="31">
        <v>0</v>
      </c>
      <c r="P460" s="31">
        <v>0</v>
      </c>
      <c r="Q460" s="31">
        <v>0</v>
      </c>
      <c r="R460" s="31">
        <v>1</v>
      </c>
      <c r="S460" s="31">
        <v>0</v>
      </c>
      <c r="T460" s="21" cm="1">
        <f t="array" aca="1" ref="T460" ca="1">+fair_value_gap(OFFSET(S459,0,0,-1*$I$5,-1*$Z$1),OFFSET(E459,0,0,-1*$I$5,1),F460:S460,0)</f>
        <v>16.930719859405464</v>
      </c>
      <c r="U460" s="7" t="str" cm="1">
        <f t="array" aca="1" ref="U460" ca="1">z_score_diff(OFFSET(T460,0,0,$I$5*-1,1),OFFSET(E460,0,0,$I$5*-1,1))</f>
        <v/>
      </c>
      <c r="V460" s="7" t="str">
        <f t="shared" ca="1" si="497"/>
        <v/>
      </c>
      <c r="W460" s="14">
        <f t="shared" ca="1" si="492"/>
        <v>0.13787163769570698</v>
      </c>
      <c r="X460" s="10">
        <f t="shared" ref="X460:Y460" ca="1" si="503">+X459</f>
        <v>0</v>
      </c>
      <c r="Y460" s="10">
        <f t="shared" ca="1" si="503"/>
        <v>0</v>
      </c>
      <c r="Z460" t="str">
        <f t="shared" ca="1" si="499"/>
        <v/>
      </c>
      <c r="AA460" t="str">
        <f t="shared" ca="1" si="500"/>
        <v/>
      </c>
      <c r="AB460" s="19" t="str">
        <f t="shared" ca="1" si="501"/>
        <v/>
      </c>
      <c r="AC460" s="19" t="str">
        <f t="shared" ca="1" si="502"/>
        <v/>
      </c>
    </row>
    <row r="461" spans="3:29" x14ac:dyDescent="0.25">
      <c r="C461" s="4">
        <v>454</v>
      </c>
      <c r="D461" s="28">
        <v>42650</v>
      </c>
      <c r="E461" s="30">
        <v>16.074999999999999</v>
      </c>
      <c r="F461" s="30">
        <v>46.370211626038042</v>
      </c>
      <c r="G461" s="30">
        <v>5.3442271631395668</v>
      </c>
      <c r="H461" s="30">
        <v>70.140191088490042</v>
      </c>
      <c r="I461" s="8">
        <v>0</v>
      </c>
      <c r="J461" s="31">
        <v>0</v>
      </c>
      <c r="K461" s="31">
        <v>0</v>
      </c>
      <c r="L461" s="31">
        <v>0</v>
      </c>
      <c r="M461" s="31">
        <v>0</v>
      </c>
      <c r="N461" s="31">
        <v>0</v>
      </c>
      <c r="O461" s="31">
        <v>0</v>
      </c>
      <c r="P461" s="31">
        <v>0</v>
      </c>
      <c r="Q461" s="31">
        <v>0</v>
      </c>
      <c r="R461" s="31">
        <v>1</v>
      </c>
      <c r="S461" s="31">
        <v>0</v>
      </c>
      <c r="T461" s="21" cm="1">
        <f t="array" aca="1" ref="T461" ca="1">+fair_value_gap(OFFSET(S460,0,0,-1*$I$5,-1*$Z$1),OFFSET(E460,0,0,-1*$I$5,1),F461:S461,0)</f>
        <v>16.683936446344717</v>
      </c>
      <c r="U461" s="7" t="str" cm="1">
        <f t="array" aca="1" ref="U461" ca="1">z_score_diff(OFFSET(T461,0,0,$I$5*-1,1),OFFSET(E461,0,0,$I$5*-1,1))</f>
        <v/>
      </c>
      <c r="V461" s="7" t="str">
        <f t="shared" ca="1" si="497"/>
        <v/>
      </c>
      <c r="W461" s="14">
        <f t="shared" ca="1" si="492"/>
        <v>0.1317101395040261</v>
      </c>
      <c r="X461" s="10">
        <f t="shared" ref="X461:Y461" ca="1" si="504">+X460</f>
        <v>0</v>
      </c>
      <c r="Y461" s="10">
        <f t="shared" ca="1" si="504"/>
        <v>0</v>
      </c>
      <c r="Z461" t="str">
        <f t="shared" ca="1" si="499"/>
        <v/>
      </c>
      <c r="AA461" t="str">
        <f t="shared" ca="1" si="500"/>
        <v/>
      </c>
      <c r="AB461" s="19" t="str">
        <f t="shared" ca="1" si="501"/>
        <v/>
      </c>
      <c r="AC461" s="19" t="str">
        <f t="shared" ca="1" si="502"/>
        <v/>
      </c>
    </row>
    <row r="462" spans="3:29" x14ac:dyDescent="0.25">
      <c r="C462" s="4">
        <v>455</v>
      </c>
      <c r="D462" s="28">
        <v>42653</v>
      </c>
      <c r="E462" s="30">
        <v>15.818</v>
      </c>
      <c r="F462" s="30">
        <v>47.714824459010508</v>
      </c>
      <c r="G462" s="30">
        <v>5.3739786297925836</v>
      </c>
      <c r="H462" s="30">
        <v>69.498069498069512</v>
      </c>
      <c r="I462" s="8">
        <v>0</v>
      </c>
      <c r="J462" s="31">
        <v>0</v>
      </c>
      <c r="K462" s="31">
        <v>0</v>
      </c>
      <c r="L462" s="31">
        <v>0</v>
      </c>
      <c r="M462" s="31">
        <v>0</v>
      </c>
      <c r="N462" s="31">
        <v>0</v>
      </c>
      <c r="O462" s="31">
        <v>0</v>
      </c>
      <c r="P462" s="31">
        <v>0</v>
      </c>
      <c r="Q462" s="31">
        <v>0</v>
      </c>
      <c r="R462" s="31">
        <v>1</v>
      </c>
      <c r="S462" s="31">
        <v>0</v>
      </c>
      <c r="T462" s="21" cm="1">
        <f t="array" aca="1" ref="T462" ca="1">+fair_value_gap(OFFSET(S461,0,0,-1*$I$5,-1*$Z$1),OFFSET(E461,0,0,-1*$I$5,1),F462:S462,0)</f>
        <v>16.793390235238107</v>
      </c>
      <c r="U462" s="7" t="str" cm="1">
        <f t="array" aca="1" ref="U462" ca="1">z_score_diff(OFFSET(T462,0,0,$I$5*-1,1),OFFSET(E462,0,0,$I$5*-1,1))</f>
        <v/>
      </c>
      <c r="V462" s="7" t="str">
        <f t="shared" ca="1" si="497"/>
        <v/>
      </c>
      <c r="W462" s="14">
        <f t="shared" ca="1" si="492"/>
        <v>0.12855633681123543</v>
      </c>
      <c r="X462" s="10">
        <f t="shared" ref="X462:Y462" ca="1" si="505">+X461</f>
        <v>0</v>
      </c>
      <c r="Y462" s="10">
        <f t="shared" ca="1" si="505"/>
        <v>0</v>
      </c>
      <c r="Z462" t="str">
        <f t="shared" ca="1" si="499"/>
        <v/>
      </c>
      <c r="AA462" t="str">
        <f t="shared" ca="1" si="500"/>
        <v/>
      </c>
      <c r="AB462" s="19" t="str">
        <f t="shared" ca="1" si="501"/>
        <v/>
      </c>
      <c r="AC462" s="19" t="str">
        <f t="shared" ca="1" si="502"/>
        <v/>
      </c>
    </row>
    <row r="463" spans="3:29" x14ac:dyDescent="0.25">
      <c r="C463" s="4">
        <v>456</v>
      </c>
      <c r="D463" s="28">
        <v>42654</v>
      </c>
      <c r="E463" s="30">
        <v>15.459</v>
      </c>
      <c r="F463" s="30">
        <v>47.416990862209353</v>
      </c>
      <c r="G463" s="30">
        <v>5.4102958472812821</v>
      </c>
      <c r="H463" s="30">
        <v>70.25242015742333</v>
      </c>
      <c r="I463" s="8">
        <v>0</v>
      </c>
      <c r="J463" s="31">
        <v>0</v>
      </c>
      <c r="K463" s="31">
        <v>0</v>
      </c>
      <c r="L463" s="31">
        <v>0</v>
      </c>
      <c r="M463" s="31">
        <v>0</v>
      </c>
      <c r="N463" s="31">
        <v>0</v>
      </c>
      <c r="O463" s="31">
        <v>0</v>
      </c>
      <c r="P463" s="31">
        <v>0</v>
      </c>
      <c r="Q463" s="31">
        <v>0</v>
      </c>
      <c r="R463" s="31">
        <v>1</v>
      </c>
      <c r="S463" s="31">
        <v>0</v>
      </c>
      <c r="T463" s="21" cm="1">
        <f t="array" aca="1" ref="T463" ca="1">+fair_value_gap(OFFSET(S462,0,0,-1*$I$5,-1*$Z$1),OFFSET(E462,0,0,-1*$I$5,1),F463:S463,0)</f>
        <v>16.655337645920717</v>
      </c>
      <c r="U463" s="7" t="str" cm="1">
        <f t="array" aca="1" ref="U463" ca="1">z_score_diff(OFFSET(T463,0,0,$I$5*-1,1),OFFSET(E463,0,0,$I$5*-1,1))</f>
        <v/>
      </c>
      <c r="V463" s="7" t="str">
        <f t="shared" ca="1" si="497"/>
        <v/>
      </c>
      <c r="W463" s="14">
        <f t="shared" ca="1" si="492"/>
        <v>0.13231777078571616</v>
      </c>
      <c r="X463" s="10">
        <f t="shared" ref="X463:Y463" ca="1" si="506">+X462</f>
        <v>0</v>
      </c>
      <c r="Y463" s="10">
        <f t="shared" ca="1" si="506"/>
        <v>0</v>
      </c>
      <c r="Z463" t="str">
        <f t="shared" ca="1" si="499"/>
        <v/>
      </c>
      <c r="AA463" t="str">
        <f t="shared" ca="1" si="500"/>
        <v/>
      </c>
      <c r="AB463" s="19" t="str">
        <f t="shared" ca="1" si="501"/>
        <v/>
      </c>
      <c r="AC463" s="19" t="str">
        <f t="shared" ca="1" si="502"/>
        <v/>
      </c>
    </row>
    <row r="464" spans="3:29" x14ac:dyDescent="0.25">
      <c r="C464" s="4">
        <v>457</v>
      </c>
      <c r="D464" s="28">
        <v>42655</v>
      </c>
      <c r="E464" s="30">
        <v>15.397</v>
      </c>
      <c r="F464" s="30">
        <v>47.074323096492826</v>
      </c>
      <c r="G464" s="30">
        <v>5.4288569870979462</v>
      </c>
      <c r="H464" s="30">
        <v>72.233327276031261</v>
      </c>
      <c r="I464" s="8">
        <v>0</v>
      </c>
      <c r="J464" s="31">
        <v>0</v>
      </c>
      <c r="K464" s="31">
        <v>0</v>
      </c>
      <c r="L464" s="31">
        <v>0</v>
      </c>
      <c r="M464" s="31">
        <v>0</v>
      </c>
      <c r="N464" s="31">
        <v>0</v>
      </c>
      <c r="O464" s="31">
        <v>0</v>
      </c>
      <c r="P464" s="31">
        <v>0</v>
      </c>
      <c r="Q464" s="31">
        <v>0</v>
      </c>
      <c r="R464" s="31">
        <v>1</v>
      </c>
      <c r="S464" s="31">
        <v>0</v>
      </c>
      <c r="T464" s="21" cm="1">
        <f t="array" aca="1" ref="T464" ca="1">+fair_value_gap(OFFSET(S463,0,0,-1*$I$5,-1*$Z$1),OFFSET(E463,0,0,-1*$I$5,1),F464:S464,0)</f>
        <v>16.460165439468703</v>
      </c>
      <c r="U464" s="7" t="str" cm="1">
        <f t="array" aca="1" ref="U464" ca="1">z_score_diff(OFFSET(T464,0,0,$I$5*-1,1),OFFSET(E464,0,0,$I$5*-1,1))</f>
        <v/>
      </c>
      <c r="V464" s="7" t="str">
        <f t="shared" ca="1" si="497"/>
        <v/>
      </c>
      <c r="W464" s="14">
        <f t="shared" ca="1" si="492"/>
        <v>0.1514098448052219</v>
      </c>
      <c r="X464" s="10">
        <f t="shared" ref="X464:Y464" ca="1" si="507">+X463</f>
        <v>0</v>
      </c>
      <c r="Y464" s="10">
        <f t="shared" ca="1" si="507"/>
        <v>0</v>
      </c>
      <c r="Z464" t="str">
        <f t="shared" ca="1" si="499"/>
        <v/>
      </c>
      <c r="AA464" t="str">
        <f t="shared" ca="1" si="500"/>
        <v/>
      </c>
      <c r="AB464" s="19" t="str">
        <f t="shared" ca="1" si="501"/>
        <v/>
      </c>
      <c r="AC464" s="19" t="str">
        <f t="shared" ca="1" si="502"/>
        <v/>
      </c>
    </row>
    <row r="465" spans="3:29" x14ac:dyDescent="0.25">
      <c r="C465" s="4">
        <v>458</v>
      </c>
      <c r="D465" s="28">
        <v>42656</v>
      </c>
      <c r="E465" s="30">
        <v>15.725</v>
      </c>
      <c r="F465" s="30">
        <v>47.060419681620843</v>
      </c>
      <c r="G465" s="30">
        <v>5.4088277858176568</v>
      </c>
      <c r="H465" s="30">
        <v>72.6302460202605</v>
      </c>
      <c r="I465" s="8">
        <v>0</v>
      </c>
      <c r="J465" s="31">
        <v>0</v>
      </c>
      <c r="K465" s="31">
        <v>0</v>
      </c>
      <c r="L465" s="31">
        <v>0</v>
      </c>
      <c r="M465" s="31">
        <v>0</v>
      </c>
      <c r="N465" s="31">
        <v>0</v>
      </c>
      <c r="O465" s="31">
        <v>0</v>
      </c>
      <c r="P465" s="31">
        <v>0</v>
      </c>
      <c r="Q465" s="31">
        <v>0</v>
      </c>
      <c r="R465" s="31">
        <v>1</v>
      </c>
      <c r="S465" s="31">
        <v>0</v>
      </c>
      <c r="T465" s="21" cm="1">
        <f t="array" aca="1" ref="T465" ca="1">+fair_value_gap(OFFSET(S464,0,0,-1*$I$5,-1*$Z$1),OFFSET(E464,0,0,-1*$I$5,1),F465:S465,0)</f>
        <v>16.279377052520147</v>
      </c>
      <c r="U465" s="7" t="str" cm="1">
        <f t="array" aca="1" ref="U465" ca="1">z_score_diff(OFFSET(T465,0,0,$I$5*-1,1),OFFSET(E465,0,0,$I$5*-1,1))</f>
        <v/>
      </c>
      <c r="V465" s="7" t="str">
        <f t="shared" ca="1" si="497"/>
        <v/>
      </c>
      <c r="W465" s="14">
        <f t="shared" ca="1" si="492"/>
        <v>0.13905664082952277</v>
      </c>
      <c r="X465" s="10">
        <f t="shared" ref="X465:Y465" ca="1" si="508">+X464</f>
        <v>0</v>
      </c>
      <c r="Y465" s="10">
        <f t="shared" ca="1" si="508"/>
        <v>0</v>
      </c>
      <c r="Z465" t="str">
        <f t="shared" ca="1" si="499"/>
        <v/>
      </c>
      <c r="AA465" t="str">
        <f t="shared" ca="1" si="500"/>
        <v/>
      </c>
      <c r="AB465" s="19" t="str">
        <f t="shared" ca="1" si="501"/>
        <v/>
      </c>
      <c r="AC465" s="19" t="str">
        <f t="shared" ca="1" si="502"/>
        <v/>
      </c>
    </row>
    <row r="466" spans="3:29" x14ac:dyDescent="0.25">
      <c r="C466" s="4">
        <v>459</v>
      </c>
      <c r="D466" s="28">
        <v>42657</v>
      </c>
      <c r="E466" s="30">
        <v>16.146999999999998</v>
      </c>
      <c r="F466" s="30">
        <v>47.360743914668618</v>
      </c>
      <c r="G466" s="30">
        <v>5.4517275959522298</v>
      </c>
      <c r="H466" s="30">
        <v>74.528215881119522</v>
      </c>
      <c r="I466" s="8">
        <v>0</v>
      </c>
      <c r="J466" s="31">
        <v>0</v>
      </c>
      <c r="K466" s="31">
        <v>0</v>
      </c>
      <c r="L466" s="31">
        <v>0</v>
      </c>
      <c r="M466" s="31">
        <v>0</v>
      </c>
      <c r="N466" s="31">
        <v>0</v>
      </c>
      <c r="O466" s="31">
        <v>0</v>
      </c>
      <c r="P466" s="31">
        <v>0</v>
      </c>
      <c r="Q466" s="31">
        <v>0</v>
      </c>
      <c r="R466" s="31">
        <v>1</v>
      </c>
      <c r="S466" s="31">
        <v>0</v>
      </c>
      <c r="T466" s="21" cm="1">
        <f t="array" aca="1" ref="T466" ca="1">+fair_value_gap(OFFSET(S465,0,0,-1*$I$5,-1*$Z$1),OFFSET(E465,0,0,-1*$I$5,1),F466:S466,0)</f>
        <v>16.31911903409393</v>
      </c>
      <c r="U466" s="7" t="str" cm="1">
        <f t="array" aca="1" ref="U466" ca="1">z_score_diff(OFFSET(T466,0,0,$I$5*-1,1),OFFSET(E466,0,0,$I$5*-1,1))</f>
        <v/>
      </c>
      <c r="V466" s="7" t="str">
        <f t="shared" ca="1" si="497"/>
        <v/>
      </c>
      <c r="W466" s="14">
        <f t="shared" ca="1" si="492"/>
        <v>0.11207600992912316</v>
      </c>
      <c r="X466" s="10">
        <f t="shared" ref="X466:Y466" ca="1" si="509">+X465</f>
        <v>0</v>
      </c>
      <c r="Y466" s="10">
        <f t="shared" ca="1" si="509"/>
        <v>0</v>
      </c>
      <c r="Z466" t="str">
        <f t="shared" ca="1" si="499"/>
        <v/>
      </c>
      <c r="AA466" t="str">
        <f t="shared" ca="1" si="500"/>
        <v/>
      </c>
      <c r="AB466" s="19" t="str">
        <f t="shared" ca="1" si="501"/>
        <v/>
      </c>
      <c r="AC466" s="19" t="str">
        <f t="shared" ca="1" si="502"/>
        <v/>
      </c>
    </row>
    <row r="467" spans="3:29" x14ac:dyDescent="0.25">
      <c r="C467" s="4">
        <v>460</v>
      </c>
      <c r="D467" s="28">
        <v>42660</v>
      </c>
      <c r="E467" s="30">
        <v>16.29</v>
      </c>
      <c r="F467" s="30">
        <v>46.849140674729476</v>
      </c>
      <c r="G467" s="30">
        <v>6.0243702828044015</v>
      </c>
      <c r="H467" s="30">
        <v>75.293261798672376</v>
      </c>
      <c r="I467" s="8">
        <v>0</v>
      </c>
      <c r="J467" s="31">
        <v>0</v>
      </c>
      <c r="K467" s="31">
        <v>0</v>
      </c>
      <c r="L467" s="31">
        <v>0</v>
      </c>
      <c r="M467" s="31">
        <v>0</v>
      </c>
      <c r="N467" s="31">
        <v>0</v>
      </c>
      <c r="O467" s="31">
        <v>0</v>
      </c>
      <c r="P467" s="31">
        <v>0</v>
      </c>
      <c r="Q467" s="31">
        <v>0</v>
      </c>
      <c r="R467" s="31">
        <v>1</v>
      </c>
      <c r="S467" s="31">
        <v>0</v>
      </c>
      <c r="T467" s="21" cm="1">
        <f t="array" aca="1" ref="T467" ca="1">+fair_value_gap(OFFSET(S466,0,0,-1*$I$5,-1*$Z$1),OFFSET(E466,0,0,-1*$I$5,1),F467:S467,0)</f>
        <v>17.174749267928416</v>
      </c>
      <c r="U467" s="7" t="str" cm="1">
        <f t="array" aca="1" ref="U467" ca="1">z_score_diff(OFFSET(T467,0,0,$I$5*-1,1),OFFSET(E467,0,0,$I$5*-1,1))</f>
        <v/>
      </c>
      <c r="V467" s="7" t="str">
        <f t="shared" ca="1" si="497"/>
        <v/>
      </c>
      <c r="W467" s="14">
        <f t="shared" ca="1" si="492"/>
        <v>7.672228403623399E-2</v>
      </c>
      <c r="X467" s="10">
        <f t="shared" ref="X467:Y467" ca="1" si="510">+X466</f>
        <v>0</v>
      </c>
      <c r="Y467" s="10">
        <f t="shared" ca="1" si="510"/>
        <v>0</v>
      </c>
      <c r="Z467" t="str">
        <f t="shared" ca="1" si="499"/>
        <v/>
      </c>
      <c r="AA467" t="str">
        <f t="shared" ca="1" si="500"/>
        <v/>
      </c>
      <c r="AB467" s="19" t="str">
        <f t="shared" ca="1" si="501"/>
        <v/>
      </c>
      <c r="AC467" s="19" t="str">
        <f t="shared" ca="1" si="502"/>
        <v/>
      </c>
    </row>
    <row r="468" spans="3:29" x14ac:dyDescent="0.25">
      <c r="C468" s="4">
        <v>461</v>
      </c>
      <c r="D468" s="28">
        <v>42661</v>
      </c>
      <c r="E468" s="30">
        <v>16.760000000000002</v>
      </c>
      <c r="F468" s="30">
        <v>47.075970122062301</v>
      </c>
      <c r="G468" s="30">
        <v>6.0803425031881941</v>
      </c>
      <c r="H468" s="30">
        <v>77.017671707050454</v>
      </c>
      <c r="I468" s="8">
        <v>0</v>
      </c>
      <c r="J468" s="31">
        <v>0</v>
      </c>
      <c r="K468" s="31">
        <v>0</v>
      </c>
      <c r="L468" s="31">
        <v>0</v>
      </c>
      <c r="M468" s="31">
        <v>0</v>
      </c>
      <c r="N468" s="31">
        <v>0</v>
      </c>
      <c r="O468" s="31">
        <v>0</v>
      </c>
      <c r="P468" s="31">
        <v>0</v>
      </c>
      <c r="Q468" s="31">
        <v>0</v>
      </c>
      <c r="R468" s="31">
        <v>1</v>
      </c>
      <c r="S468" s="31">
        <v>0</v>
      </c>
      <c r="T468" s="21" cm="1">
        <f t="array" aca="1" ref="T468" ca="1">+fair_value_gap(OFFSET(S467,0,0,-1*$I$5,-1*$Z$1),OFFSET(E467,0,0,-1*$I$5,1),F468:S468,0)</f>
        <v>17.202533303619283</v>
      </c>
      <c r="U468" s="7" t="str" cm="1">
        <f t="array" aca="1" ref="U468" ca="1">z_score_diff(OFFSET(T468,0,0,$I$5*-1,1),OFFSET(E468,0,0,$I$5*-1,1))</f>
        <v/>
      </c>
      <c r="V468" s="7" t="str">
        <f t="shared" ca="1" si="497"/>
        <v/>
      </c>
      <c r="W468" s="14">
        <f t="shared" ca="1" si="492"/>
        <v>6.3008413171710992E-2</v>
      </c>
      <c r="X468" s="10">
        <f t="shared" ref="X468:Y468" ca="1" si="511">+X467</f>
        <v>0</v>
      </c>
      <c r="Y468" s="10">
        <f t="shared" ca="1" si="511"/>
        <v>0</v>
      </c>
      <c r="Z468" t="str">
        <f t="shared" ca="1" si="499"/>
        <v/>
      </c>
      <c r="AA468" t="str">
        <f t="shared" ca="1" si="500"/>
        <v/>
      </c>
      <c r="AB468" s="19" t="str">
        <f t="shared" ca="1" si="501"/>
        <v/>
      </c>
      <c r="AC468" s="19" t="str">
        <f t="shared" ca="1" si="502"/>
        <v/>
      </c>
    </row>
    <row r="469" spans="3:29" x14ac:dyDescent="0.25">
      <c r="C469" s="4">
        <v>462</v>
      </c>
      <c r="D469" s="28">
        <v>42662</v>
      </c>
      <c r="E469" s="30">
        <v>16.745999999999999</v>
      </c>
      <c r="F469" s="30">
        <v>48.004010207801677</v>
      </c>
      <c r="G469" s="30">
        <v>6.0836675173168064</v>
      </c>
      <c r="H469" s="30">
        <v>75.555960627050681</v>
      </c>
      <c r="I469" s="8">
        <v>0</v>
      </c>
      <c r="J469" s="31">
        <v>0</v>
      </c>
      <c r="K469" s="31">
        <v>0</v>
      </c>
      <c r="L469" s="31">
        <v>0</v>
      </c>
      <c r="M469" s="31">
        <v>0</v>
      </c>
      <c r="N469" s="31">
        <v>0</v>
      </c>
      <c r="O469" s="31">
        <v>0</v>
      </c>
      <c r="P469" s="31">
        <v>0</v>
      </c>
      <c r="Q469" s="31">
        <v>0</v>
      </c>
      <c r="R469" s="31">
        <v>1</v>
      </c>
      <c r="S469" s="31">
        <v>0</v>
      </c>
      <c r="T469" s="21" cm="1">
        <f t="array" aca="1" ref="T469" ca="1">+fair_value_gap(OFFSET(S468,0,0,-1*$I$5,-1*$Z$1),OFFSET(E468,0,0,-1*$I$5,1),F469:S469,0)</f>
        <v>17.290210018542957</v>
      </c>
      <c r="U469" s="7" t="str" cm="1">
        <f t="array" aca="1" ref="U469" ca="1">z_score_diff(OFFSET(T469,0,0,$I$5*-1,1),OFFSET(E469,0,0,$I$5*-1,1))</f>
        <v/>
      </c>
      <c r="V469" s="7" t="str">
        <f t="shared" ca="1" si="497"/>
        <v/>
      </c>
      <c r="W469" s="14">
        <f t="shared" ca="1" si="492"/>
        <v>5.1442572627538694E-2</v>
      </c>
      <c r="X469" s="10">
        <f t="shared" ref="X469:Y469" ca="1" si="512">+X468</f>
        <v>0</v>
      </c>
      <c r="Y469" s="10">
        <f t="shared" ca="1" si="512"/>
        <v>0</v>
      </c>
      <c r="Z469" t="str">
        <f t="shared" ca="1" si="499"/>
        <v/>
      </c>
      <c r="AA469" t="str">
        <f t="shared" ca="1" si="500"/>
        <v/>
      </c>
      <c r="AB469" s="19" t="str">
        <f t="shared" ca="1" si="501"/>
        <v/>
      </c>
      <c r="AC469" s="19" t="str">
        <f t="shared" ca="1" si="502"/>
        <v/>
      </c>
    </row>
    <row r="470" spans="3:29" x14ac:dyDescent="0.25">
      <c r="C470" s="4">
        <v>463</v>
      </c>
      <c r="D470" s="28">
        <v>42663</v>
      </c>
      <c r="E470" s="30">
        <v>16.902000000000001</v>
      </c>
      <c r="F470" s="30">
        <v>47.016837481698396</v>
      </c>
      <c r="G470" s="30">
        <v>6.1447657393850657</v>
      </c>
      <c r="H470" s="30">
        <v>75.768667642752561</v>
      </c>
      <c r="I470" s="8">
        <v>0</v>
      </c>
      <c r="J470" s="31">
        <v>0</v>
      </c>
      <c r="K470" s="31">
        <v>0</v>
      </c>
      <c r="L470" s="31">
        <v>0</v>
      </c>
      <c r="M470" s="31">
        <v>0</v>
      </c>
      <c r="N470" s="31">
        <v>0</v>
      </c>
      <c r="O470" s="31">
        <v>0</v>
      </c>
      <c r="P470" s="31">
        <v>0</v>
      </c>
      <c r="Q470" s="31">
        <v>0</v>
      </c>
      <c r="R470" s="31">
        <v>1</v>
      </c>
      <c r="S470" s="31">
        <v>0</v>
      </c>
      <c r="T470" s="21" cm="1">
        <f t="array" aca="1" ref="T470" ca="1">+fair_value_gap(OFFSET(S469,0,0,-1*$I$5,-1*$Z$1),OFFSET(E469,0,0,-1*$I$5,1),F470:S470,0)</f>
        <v>17.19674460348822</v>
      </c>
      <c r="U470" s="7" t="str" cm="1">
        <f t="array" aca="1" ref="U470" ca="1">z_score_diff(OFFSET(T470,0,0,$I$5*-1,1),OFFSET(E470,0,0,$I$5*-1,1))</f>
        <v/>
      </c>
      <c r="V470" s="7" t="str">
        <f t="shared" ca="1" si="497"/>
        <v/>
      </c>
      <c r="W470" s="14">
        <f t="shared" ca="1" si="492"/>
        <v>4.2623707343698553E-2</v>
      </c>
      <c r="X470" s="10">
        <f t="shared" ref="X470:Y470" ca="1" si="513">+X469</f>
        <v>0</v>
      </c>
      <c r="Y470" s="10">
        <f t="shared" ca="1" si="513"/>
        <v>0</v>
      </c>
      <c r="Z470" t="str">
        <f t="shared" ca="1" si="499"/>
        <v/>
      </c>
      <c r="AA470" t="str">
        <f t="shared" ca="1" si="500"/>
        <v/>
      </c>
      <c r="AB470" s="19" t="str">
        <f t="shared" ca="1" si="501"/>
        <v/>
      </c>
      <c r="AC470" s="19" t="str">
        <f t="shared" ca="1" si="502"/>
        <v/>
      </c>
    </row>
    <row r="471" spans="3:29" x14ac:dyDescent="0.25">
      <c r="C471" s="4">
        <v>464</v>
      </c>
      <c r="D471" s="28">
        <v>42664</v>
      </c>
      <c r="E471" s="30">
        <v>16.774999999999999</v>
      </c>
      <c r="F471" s="30">
        <v>47.583164859400846</v>
      </c>
      <c r="G471" s="30">
        <v>6.2488513140966733</v>
      </c>
      <c r="H471" s="30">
        <v>77.69711450101083</v>
      </c>
      <c r="I471" s="8">
        <v>0</v>
      </c>
      <c r="J471" s="31">
        <v>0</v>
      </c>
      <c r="K471" s="31">
        <v>0</v>
      </c>
      <c r="L471" s="31">
        <v>0</v>
      </c>
      <c r="M471" s="31">
        <v>0</v>
      </c>
      <c r="N471" s="31">
        <v>0</v>
      </c>
      <c r="O471" s="31">
        <v>0</v>
      </c>
      <c r="P471" s="31">
        <v>0</v>
      </c>
      <c r="Q471" s="31">
        <v>0</v>
      </c>
      <c r="R471" s="31">
        <v>1</v>
      </c>
      <c r="S471" s="31">
        <v>0</v>
      </c>
      <c r="T471" s="21" cm="1">
        <f t="array" aca="1" ref="T471" ca="1">+fair_value_gap(OFFSET(S470,0,0,-1*$I$5,-1*$Z$1),OFFSET(E470,0,0,-1*$I$5,1),F471:S471,0)</f>
        <v>17.533367144955918</v>
      </c>
      <c r="U471" s="7" t="str" cm="1">
        <f t="array" aca="1" ref="U471" ca="1">z_score_diff(OFFSET(T471,0,0,$I$5*-1,1),OFFSET(E471,0,0,$I$5*-1,1))</f>
        <v/>
      </c>
      <c r="V471" s="7" t="str">
        <f t="shared" ca="1" si="497"/>
        <v/>
      </c>
      <c r="W471" s="14">
        <f t="shared" ca="1" si="492"/>
        <v>6.4799291902921038E-2</v>
      </c>
      <c r="X471" s="10">
        <f t="shared" ref="X471:Y471" ca="1" si="514">+X470</f>
        <v>0</v>
      </c>
      <c r="Y471" s="10">
        <f t="shared" ca="1" si="514"/>
        <v>0</v>
      </c>
      <c r="Z471" t="str">
        <f t="shared" ca="1" si="499"/>
        <v/>
      </c>
      <c r="AA471" t="str">
        <f t="shared" ca="1" si="500"/>
        <v/>
      </c>
      <c r="AB471" s="19" t="str">
        <f t="shared" ca="1" si="501"/>
        <v/>
      </c>
      <c r="AC471" s="19" t="str">
        <f t="shared" ca="1" si="502"/>
        <v/>
      </c>
    </row>
    <row r="472" spans="3:29" x14ac:dyDescent="0.25">
      <c r="C472" s="4">
        <v>465</v>
      </c>
      <c r="D472" s="28">
        <v>42667</v>
      </c>
      <c r="E472" s="30">
        <v>17.295000000000002</v>
      </c>
      <c r="F472" s="30">
        <v>47.297794117647058</v>
      </c>
      <c r="G472" s="30">
        <v>6.2499999999999991</v>
      </c>
      <c r="H472" s="30">
        <v>76.562499999999986</v>
      </c>
      <c r="I472" s="8">
        <v>0</v>
      </c>
      <c r="J472" s="31">
        <v>0</v>
      </c>
      <c r="K472" s="31">
        <v>0</v>
      </c>
      <c r="L472" s="31">
        <v>0</v>
      </c>
      <c r="M472" s="31">
        <v>0</v>
      </c>
      <c r="N472" s="31">
        <v>0</v>
      </c>
      <c r="O472" s="31">
        <v>0</v>
      </c>
      <c r="P472" s="31">
        <v>0</v>
      </c>
      <c r="Q472" s="31">
        <v>0</v>
      </c>
      <c r="R472" s="31">
        <v>1</v>
      </c>
      <c r="S472" s="31">
        <v>0</v>
      </c>
      <c r="T472" s="21" cm="1">
        <f t="array" aca="1" ref="T472" ca="1">+fair_value_gap(OFFSET(S471,0,0,-1*$I$5,-1*$Z$1),OFFSET(E471,0,0,-1*$I$5,1),F472:S472,0)</f>
        <v>17.342336116151316</v>
      </c>
      <c r="U472" s="7" t="str" cm="1">
        <f t="array" aca="1" ref="U472" ca="1">z_score_diff(OFFSET(T472,0,0,$I$5*-1,1),OFFSET(E472,0,0,$I$5*-1,1))</f>
        <v/>
      </c>
      <c r="V472" s="7" t="str">
        <f t="shared" ca="1" si="497"/>
        <v/>
      </c>
      <c r="W472" s="14">
        <f t="shared" ca="1" si="492"/>
        <v>4.3271378638814889E-3</v>
      </c>
      <c r="X472" s="10">
        <f t="shared" ref="X472:Y472" ca="1" si="515">+X471</f>
        <v>0</v>
      </c>
      <c r="Y472" s="10">
        <f t="shared" ca="1" si="515"/>
        <v>0</v>
      </c>
      <c r="Z472" t="str">
        <f t="shared" ca="1" si="499"/>
        <v/>
      </c>
      <c r="AA472" t="str">
        <f t="shared" ca="1" si="500"/>
        <v/>
      </c>
      <c r="AB472" s="19" t="str">
        <f t="shared" ca="1" si="501"/>
        <v/>
      </c>
      <c r="AC472" s="19" t="str">
        <f t="shared" ca="1" si="502"/>
        <v/>
      </c>
    </row>
    <row r="473" spans="3:29" x14ac:dyDescent="0.25">
      <c r="C473" s="4">
        <v>466</v>
      </c>
      <c r="D473" s="28">
        <v>42668</v>
      </c>
      <c r="E473" s="30">
        <v>17.587</v>
      </c>
      <c r="F473" s="30">
        <v>46.656255741319121</v>
      </c>
      <c r="G473" s="30">
        <v>6.2787065956274111</v>
      </c>
      <c r="H473" s="30">
        <v>76.106926327392969</v>
      </c>
      <c r="I473" s="8">
        <v>0</v>
      </c>
      <c r="J473" s="31">
        <v>0</v>
      </c>
      <c r="K473" s="31">
        <v>0</v>
      </c>
      <c r="L473" s="31">
        <v>0</v>
      </c>
      <c r="M473" s="31">
        <v>0</v>
      </c>
      <c r="N473" s="31">
        <v>0</v>
      </c>
      <c r="O473" s="31">
        <v>0</v>
      </c>
      <c r="P473" s="31">
        <v>0</v>
      </c>
      <c r="Q473" s="31">
        <v>0</v>
      </c>
      <c r="R473" s="31">
        <v>1</v>
      </c>
      <c r="S473" s="31">
        <v>0</v>
      </c>
      <c r="T473" s="21" cm="1">
        <f t="array" aca="1" ref="T473" ca="1">+fair_value_gap(OFFSET(S472,0,0,-1*$I$5,-1*$Z$1),OFFSET(E472,0,0,-1*$I$5,1),F473:S473,0)</f>
        <v>17.272513506153441</v>
      </c>
      <c r="U473" s="7" t="str" cm="1">
        <f t="array" aca="1" ref="U473" ca="1">z_score_diff(OFFSET(T473,0,0,$I$5*-1,1),OFFSET(E473,0,0,$I$5*-1,1))</f>
        <v/>
      </c>
      <c r="V473" s="7" t="str">
        <f t="shared" ca="1" si="497"/>
        <v/>
      </c>
      <c r="W473" s="14">
        <f t="shared" ca="1" si="492"/>
        <v>2.3852805493793823E-3</v>
      </c>
      <c r="X473" s="10">
        <f t="shared" ref="X473:Y473" ca="1" si="516">+X472</f>
        <v>0</v>
      </c>
      <c r="Y473" s="10">
        <f t="shared" ca="1" si="516"/>
        <v>0</v>
      </c>
      <c r="Z473" t="str">
        <f t="shared" ca="1" si="499"/>
        <v/>
      </c>
      <c r="AA473" t="str">
        <f t="shared" ca="1" si="500"/>
        <v/>
      </c>
      <c r="AB473" s="19" t="str">
        <f t="shared" ca="1" si="501"/>
        <v/>
      </c>
      <c r="AC473" s="19" t="str">
        <f t="shared" ca="1" si="502"/>
        <v/>
      </c>
    </row>
    <row r="474" spans="3:29" x14ac:dyDescent="0.25">
      <c r="C474" s="4">
        <v>467</v>
      </c>
      <c r="D474" s="28">
        <v>42669</v>
      </c>
      <c r="E474" s="30">
        <v>17.132000000000001</v>
      </c>
      <c r="F474" s="30">
        <v>45.82378289172091</v>
      </c>
      <c r="G474" s="30">
        <v>6.2666177684056112</v>
      </c>
      <c r="H474" s="30">
        <v>76.235445126982682</v>
      </c>
      <c r="I474" s="8">
        <v>0</v>
      </c>
      <c r="J474" s="31">
        <v>0</v>
      </c>
      <c r="K474" s="31">
        <v>0</v>
      </c>
      <c r="L474" s="31">
        <v>0</v>
      </c>
      <c r="M474" s="31">
        <v>0</v>
      </c>
      <c r="N474" s="31">
        <v>0</v>
      </c>
      <c r="O474" s="31">
        <v>0</v>
      </c>
      <c r="P474" s="31">
        <v>0</v>
      </c>
      <c r="Q474" s="31">
        <v>0</v>
      </c>
      <c r="R474" s="31">
        <v>1</v>
      </c>
      <c r="S474" s="31">
        <v>0</v>
      </c>
      <c r="T474" s="21" cm="1">
        <f t="array" aca="1" ref="T474" ca="1">+fair_value_gap(OFFSET(S473,0,0,-1*$I$5,-1*$Z$1),OFFSET(E473,0,0,-1*$I$5,1),F474:S474,0)</f>
        <v>17.225885708057746</v>
      </c>
      <c r="U474" s="7" t="str" cm="1">
        <f t="array" aca="1" ref="U474" ca="1">z_score_diff(OFFSET(T474,0,0,$I$5*-1,1),OFFSET(E474,0,0,$I$5*-1,1))</f>
        <v/>
      </c>
      <c r="V474" s="7" t="str">
        <f t="shared" ca="1" si="497"/>
        <v/>
      </c>
      <c r="W474" s="14">
        <f t="shared" ca="1" si="492"/>
        <v>3.8531256976616329E-2</v>
      </c>
      <c r="X474" s="10">
        <f t="shared" ref="X474:Y474" ca="1" si="517">+X473</f>
        <v>0</v>
      </c>
      <c r="Y474" s="10">
        <f t="shared" ca="1" si="517"/>
        <v>0</v>
      </c>
      <c r="Z474" t="str">
        <f t="shared" ca="1" si="499"/>
        <v/>
      </c>
      <c r="AA474" t="str">
        <f t="shared" ca="1" si="500"/>
        <v/>
      </c>
      <c r="AB474" s="19" t="str">
        <f t="shared" ca="1" si="501"/>
        <v/>
      </c>
      <c r="AC474" s="19" t="str">
        <f t="shared" ca="1" si="502"/>
        <v/>
      </c>
    </row>
    <row r="475" spans="3:29" x14ac:dyDescent="0.25">
      <c r="C475" s="4">
        <v>468</v>
      </c>
      <c r="D475" s="28">
        <v>42670</v>
      </c>
      <c r="E475" s="30">
        <v>17.434000000000001</v>
      </c>
      <c r="F475" s="30">
        <v>46.328254084817331</v>
      </c>
      <c r="G475" s="30">
        <v>6.3337617036901053</v>
      </c>
      <c r="H475" s="30">
        <v>76.188727740040392</v>
      </c>
      <c r="I475" s="8">
        <v>0</v>
      </c>
      <c r="J475" s="31">
        <v>0</v>
      </c>
      <c r="K475" s="31">
        <v>0</v>
      </c>
      <c r="L475" s="31">
        <v>0</v>
      </c>
      <c r="M475" s="31">
        <v>0</v>
      </c>
      <c r="N475" s="31">
        <v>0</v>
      </c>
      <c r="O475" s="31">
        <v>0</v>
      </c>
      <c r="P475" s="31">
        <v>0</v>
      </c>
      <c r="Q475" s="31">
        <v>0</v>
      </c>
      <c r="R475" s="31">
        <v>1</v>
      </c>
      <c r="S475" s="31">
        <v>0</v>
      </c>
      <c r="T475" s="21" cm="1">
        <f t="array" aca="1" ref="T475" ca="1">+fair_value_gap(OFFSET(S474,0,0,-1*$I$5,-1*$Z$1),OFFSET(E474,0,0,-1*$I$5,1),F475:S475,0)</f>
        <v>17.348282907375975</v>
      </c>
      <c r="U475" s="7" t="str" cm="1">
        <f t="array" aca="1" ref="U475" ca="1">z_score_diff(OFFSET(T475,0,0,$I$5*-1,1),OFFSET(E475,0,0,$I$5*-1,1))</f>
        <v/>
      </c>
      <c r="V475" s="7" t="str">
        <f t="shared" ca="1" si="497"/>
        <v/>
      </c>
      <c r="W475" s="14">
        <f t="shared" ca="1" si="492"/>
        <v>2.3244994676634129E-2</v>
      </c>
      <c r="X475" s="10">
        <f t="shared" ref="X475:Y475" ca="1" si="518">+X474</f>
        <v>0</v>
      </c>
      <c r="Y475" s="10">
        <f t="shared" ca="1" si="518"/>
        <v>0</v>
      </c>
      <c r="Z475" t="str">
        <f t="shared" ca="1" si="499"/>
        <v/>
      </c>
      <c r="AA475" t="str">
        <f t="shared" ca="1" si="500"/>
        <v/>
      </c>
      <c r="AB475" s="19" t="str">
        <f t="shared" ca="1" si="501"/>
        <v/>
      </c>
      <c r="AC475" s="19" t="str">
        <f t="shared" ca="1" si="502"/>
        <v/>
      </c>
    </row>
    <row r="476" spans="3:29" x14ac:dyDescent="0.25">
      <c r="C476" s="4">
        <v>469</v>
      </c>
      <c r="D476" s="28">
        <v>42671</v>
      </c>
      <c r="E476" s="30">
        <v>17.25</v>
      </c>
      <c r="F476" s="30">
        <v>45.260857689155969</v>
      </c>
      <c r="G476" s="30">
        <v>6.332513885095147</v>
      </c>
      <c r="H476" s="30">
        <v>76.345260857689141</v>
      </c>
      <c r="I476" s="8">
        <v>0</v>
      </c>
      <c r="J476" s="31">
        <v>0</v>
      </c>
      <c r="K476" s="31">
        <v>0</v>
      </c>
      <c r="L476" s="31">
        <v>0</v>
      </c>
      <c r="M476" s="31">
        <v>0</v>
      </c>
      <c r="N476" s="31">
        <v>0</v>
      </c>
      <c r="O476" s="31">
        <v>0</v>
      </c>
      <c r="P476" s="31">
        <v>0</v>
      </c>
      <c r="Q476" s="31">
        <v>0</v>
      </c>
      <c r="R476" s="31">
        <v>1</v>
      </c>
      <c r="S476" s="31">
        <v>0</v>
      </c>
      <c r="T476" s="21" cm="1">
        <f t="array" aca="1" ref="T476" ca="1">+fair_value_gap(OFFSET(S475,0,0,-1*$I$5,-1*$Z$1),OFFSET(E475,0,0,-1*$I$5,1),F476:S476,0)</f>
        <v>17.28335540581535</v>
      </c>
      <c r="U476" s="7" t="str" cm="1">
        <f t="array" aca="1" ref="U476" ca="1">z_score_diff(OFFSET(T476,0,0,$I$5*-1,1),OFFSET(E476,0,0,$I$5*-1,1))</f>
        <v/>
      </c>
      <c r="V476" s="7" t="str">
        <f t="shared" ca="1" si="497"/>
        <v/>
      </c>
      <c r="W476" s="14">
        <f t="shared" ca="1" si="492"/>
        <v>2.5921973265772585E-2</v>
      </c>
      <c r="X476" s="10">
        <f t="shared" ref="X476:Y476" ca="1" si="519">+X475</f>
        <v>0</v>
      </c>
      <c r="Y476" s="10">
        <f t="shared" ca="1" si="519"/>
        <v>0</v>
      </c>
      <c r="Z476" t="str">
        <f t="shared" ca="1" si="499"/>
        <v/>
      </c>
      <c r="AA476" t="str">
        <f t="shared" ca="1" si="500"/>
        <v/>
      </c>
      <c r="AB476" s="19" t="str">
        <f t="shared" ca="1" si="501"/>
        <v/>
      </c>
      <c r="AC476" s="19" t="str">
        <f t="shared" ca="1" si="502"/>
        <v/>
      </c>
    </row>
    <row r="477" spans="3:29" x14ac:dyDescent="0.25">
      <c r="C477" s="4">
        <v>470</v>
      </c>
      <c r="D477" s="28">
        <v>42674</v>
      </c>
      <c r="E477" s="30">
        <v>17.791</v>
      </c>
      <c r="F477" s="30">
        <v>43.993077693779028</v>
      </c>
      <c r="G477" s="30">
        <v>6.3484834684397482</v>
      </c>
      <c r="H477" s="30">
        <v>84.206211859003545</v>
      </c>
      <c r="I477" s="8">
        <v>0</v>
      </c>
      <c r="J477" s="31">
        <v>0</v>
      </c>
      <c r="K477" s="31">
        <v>0</v>
      </c>
      <c r="L477" s="31">
        <v>0</v>
      </c>
      <c r="M477" s="31">
        <v>0</v>
      </c>
      <c r="N477" s="31">
        <v>0</v>
      </c>
      <c r="O477" s="31">
        <v>0</v>
      </c>
      <c r="P477" s="31">
        <v>0</v>
      </c>
      <c r="Q477" s="31">
        <v>0</v>
      </c>
      <c r="R477" s="31">
        <v>1</v>
      </c>
      <c r="S477" s="31">
        <v>0</v>
      </c>
      <c r="T477" s="21" cm="1">
        <f t="array" aca="1" ref="T477" ca="1">+fair_value_gap(OFFSET(S476,0,0,-1*$I$5,-1*$Z$1),OFFSET(E476,0,0,-1*$I$5,1),F477:S477,0)</f>
        <v>18.093730164144063</v>
      </c>
      <c r="U477" s="7" t="str" cm="1">
        <f t="array" aca="1" ref="U477" ca="1">z_score_diff(OFFSET(T477,0,0,$I$5*-1,1),OFFSET(E477,0,0,$I$5*-1,1))</f>
        <v/>
      </c>
      <c r="V477" s="7" t="str">
        <f t="shared" ca="1" si="497"/>
        <v/>
      </c>
      <c r="W477" s="14">
        <f t="shared" ca="1" si="492"/>
        <v>9.5100291586861837E-3</v>
      </c>
      <c r="X477" s="10">
        <f t="shared" ref="X477:Y477" ca="1" si="520">+X476</f>
        <v>0</v>
      </c>
      <c r="Y477" s="10">
        <f t="shared" ca="1" si="520"/>
        <v>0</v>
      </c>
      <c r="Z477" t="str">
        <f t="shared" ca="1" si="499"/>
        <v/>
      </c>
      <c r="AA477" t="str">
        <f t="shared" ca="1" si="500"/>
        <v/>
      </c>
      <c r="AB477" s="19" t="str">
        <f t="shared" ca="1" si="501"/>
        <v/>
      </c>
      <c r="AC477" s="19" t="str">
        <f t="shared" ca="1" si="502"/>
        <v/>
      </c>
    </row>
    <row r="478" spans="3:29" x14ac:dyDescent="0.25">
      <c r="C478" s="4">
        <v>471</v>
      </c>
      <c r="D478" s="28">
        <v>42675</v>
      </c>
      <c r="E478" s="30">
        <v>18.446999999999999</v>
      </c>
      <c r="F478" s="30">
        <v>43.553786302361353</v>
      </c>
      <c r="G478" s="30">
        <v>6.3059802768479143</v>
      </c>
      <c r="H478" s="30">
        <v>85.49715009499684</v>
      </c>
      <c r="I478" s="8">
        <v>0</v>
      </c>
      <c r="J478" s="31">
        <v>0</v>
      </c>
      <c r="K478" s="31">
        <v>0</v>
      </c>
      <c r="L478" s="31">
        <v>0</v>
      </c>
      <c r="M478" s="31">
        <v>0</v>
      </c>
      <c r="N478" s="31">
        <v>0</v>
      </c>
      <c r="O478" s="31">
        <v>0</v>
      </c>
      <c r="P478" s="31">
        <v>0</v>
      </c>
      <c r="Q478" s="31">
        <v>0</v>
      </c>
      <c r="R478" s="31">
        <v>0</v>
      </c>
      <c r="S478" s="31">
        <v>1</v>
      </c>
      <c r="T478" s="21" cm="1">
        <f t="array" aca="1" ref="T478" ca="1">+fair_value_gap(OFFSET(S477,0,0,-1*$I$5,-1*$Z$1),OFFSET(E477,0,0,-1*$I$5,1),F478:S478,0)</f>
        <v>20.601265538184656</v>
      </c>
      <c r="U478" s="7" t="str" cm="1">
        <f t="array" aca="1" ref="U478" ca="1">z_score_diff(OFFSET(T478,0,0,$I$5*-1,1),OFFSET(E478,0,0,$I$5*-1,1))</f>
        <v/>
      </c>
      <c r="V478" s="7" t="str">
        <f t="shared" ca="1" si="497"/>
        <v/>
      </c>
      <c r="W478" s="14">
        <f t="shared" ca="1" si="492"/>
        <v>-2.6142408089557232E-2</v>
      </c>
      <c r="X478" s="10">
        <f t="shared" ref="X478:Y478" ca="1" si="521">+X477</f>
        <v>0</v>
      </c>
      <c r="Y478" s="10">
        <f t="shared" ca="1" si="521"/>
        <v>0</v>
      </c>
      <c r="Z478" t="str">
        <f t="shared" ca="1" si="499"/>
        <v/>
      </c>
      <c r="AA478" t="str">
        <f t="shared" ca="1" si="500"/>
        <v/>
      </c>
      <c r="AB478" s="19" t="str">
        <f t="shared" ca="1" si="501"/>
        <v/>
      </c>
      <c r="AC478" s="19" t="str">
        <f t="shared" ca="1" si="502"/>
        <v/>
      </c>
    </row>
    <row r="479" spans="3:29" x14ac:dyDescent="0.25">
      <c r="C479" s="4">
        <v>472</v>
      </c>
      <c r="D479" s="28">
        <v>42676</v>
      </c>
      <c r="E479" s="30">
        <v>18.954999999999998</v>
      </c>
      <c r="F479" s="30">
        <v>42.239048134126556</v>
      </c>
      <c r="G479" s="30">
        <v>6.3007030827474315</v>
      </c>
      <c r="H479" s="30">
        <v>83.738957995312788</v>
      </c>
      <c r="I479" s="8">
        <v>0</v>
      </c>
      <c r="J479" s="31">
        <v>0</v>
      </c>
      <c r="K479" s="31">
        <v>0</v>
      </c>
      <c r="L479" s="31">
        <v>0</v>
      </c>
      <c r="M479" s="31">
        <v>0</v>
      </c>
      <c r="N479" s="31">
        <v>0</v>
      </c>
      <c r="O479" s="31">
        <v>0</v>
      </c>
      <c r="P479" s="31">
        <v>0</v>
      </c>
      <c r="Q479" s="31">
        <v>0</v>
      </c>
      <c r="R479" s="31">
        <v>0</v>
      </c>
      <c r="S479" s="31">
        <v>1</v>
      </c>
      <c r="T479" s="21" cm="1">
        <f t="array" aca="1" ref="T479" ca="1">+fair_value_gap(OFFSET(S478,0,0,-1*$I$5,-1*$Z$1),OFFSET(E478,0,0,-1*$I$5,1),F479:S479,0)</f>
        <v>18.843507094471974</v>
      </c>
      <c r="U479" s="7" t="str" cm="1">
        <f t="array" aca="1" ref="U479" ca="1">z_score_diff(OFFSET(T479,0,0,$I$5*-1,1),OFFSET(E479,0,0,$I$5*-1,1))</f>
        <v/>
      </c>
      <c r="V479" s="7" t="str">
        <f t="shared" ca="1" si="497"/>
        <v/>
      </c>
      <c r="W479" s="14">
        <f t="shared" ca="1" si="492"/>
        <v>-3.9932124151891298E-2</v>
      </c>
      <c r="X479" s="10">
        <f t="shared" ref="X479:Y479" ca="1" si="522">+X478</f>
        <v>0</v>
      </c>
      <c r="Y479" s="10">
        <f t="shared" ca="1" si="522"/>
        <v>0</v>
      </c>
      <c r="Z479" t="str">
        <f t="shared" ca="1" si="499"/>
        <v/>
      </c>
      <c r="AA479" t="str">
        <f t="shared" ca="1" si="500"/>
        <v/>
      </c>
      <c r="AB479" s="19" t="str">
        <f t="shared" ca="1" si="501"/>
        <v/>
      </c>
      <c r="AC479" s="19" t="str">
        <f t="shared" ca="1" si="502"/>
        <v/>
      </c>
    </row>
    <row r="480" spans="3:29" x14ac:dyDescent="0.25">
      <c r="C480" s="4">
        <v>473</v>
      </c>
      <c r="D480" s="28">
        <v>42677</v>
      </c>
      <c r="E480" s="30">
        <v>18.867999999999999</v>
      </c>
      <c r="F480" s="30">
        <v>41.745474196163201</v>
      </c>
      <c r="G480" s="30">
        <v>6.28658921012339</v>
      </c>
      <c r="H480" s="30">
        <v>84.886967486264965</v>
      </c>
      <c r="I480" s="8">
        <v>0</v>
      </c>
      <c r="J480" s="31">
        <v>0</v>
      </c>
      <c r="K480" s="31">
        <v>0</v>
      </c>
      <c r="L480" s="31">
        <v>0</v>
      </c>
      <c r="M480" s="31">
        <v>0</v>
      </c>
      <c r="N480" s="31">
        <v>0</v>
      </c>
      <c r="O480" s="31">
        <v>0</v>
      </c>
      <c r="P480" s="31">
        <v>0</v>
      </c>
      <c r="Q480" s="31">
        <v>0</v>
      </c>
      <c r="R480" s="31">
        <v>0</v>
      </c>
      <c r="S480" s="31">
        <v>1</v>
      </c>
      <c r="T480" s="21" cm="1">
        <f t="array" aca="1" ref="T480" ca="1">+fair_value_gap(OFFSET(S479,0,0,-1*$I$5,-1*$Z$1),OFFSET(E479,0,0,-1*$I$5,1),F480:S480,0)</f>
        <v>18.898219470256574</v>
      </c>
      <c r="U480" s="7" t="str" cm="1">
        <f t="array" aca="1" ref="U480" ca="1">z_score_diff(OFFSET(T480,0,0,$I$5*-1,1),OFFSET(E480,0,0,$I$5*-1,1))</f>
        <v/>
      </c>
      <c r="V480" s="7" t="str">
        <f t="shared" ca="1" si="497"/>
        <v/>
      </c>
      <c r="W480" s="14">
        <f t="shared" ca="1" si="492"/>
        <v>-4.210806601481145E-2</v>
      </c>
      <c r="X480" s="10">
        <f t="shared" ref="X480:Y480" ca="1" si="523">+X479</f>
        <v>0</v>
      </c>
      <c r="Y480" s="10">
        <f t="shared" ca="1" si="523"/>
        <v>0</v>
      </c>
      <c r="Z480" t="str">
        <f t="shared" ca="1" si="499"/>
        <v/>
      </c>
      <c r="AA480" t="str">
        <f t="shared" ca="1" si="500"/>
        <v/>
      </c>
      <c r="AB480" s="19" t="str">
        <f t="shared" ca="1" si="501"/>
        <v/>
      </c>
      <c r="AC480" s="19" t="str">
        <f t="shared" ca="1" si="502"/>
        <v/>
      </c>
    </row>
    <row r="481" spans="3:29" x14ac:dyDescent="0.25">
      <c r="C481" s="4">
        <v>474</v>
      </c>
      <c r="D481" s="28">
        <v>42678</v>
      </c>
      <c r="E481" s="30">
        <v>18.338000000000001</v>
      </c>
      <c r="F481" s="30">
        <v>40.933991917377639</v>
      </c>
      <c r="G481" s="30">
        <v>6.3044454422990572</v>
      </c>
      <c r="H481" s="30">
        <v>87.292321508756189</v>
      </c>
      <c r="I481" s="8">
        <v>0</v>
      </c>
      <c r="J481" s="31">
        <v>0</v>
      </c>
      <c r="K481" s="31">
        <v>0</v>
      </c>
      <c r="L481" s="31">
        <v>0</v>
      </c>
      <c r="M481" s="31">
        <v>0</v>
      </c>
      <c r="N481" s="31">
        <v>0</v>
      </c>
      <c r="O481" s="31">
        <v>0</v>
      </c>
      <c r="P481" s="31">
        <v>0</v>
      </c>
      <c r="Q481" s="31">
        <v>0</v>
      </c>
      <c r="R481" s="31">
        <v>0</v>
      </c>
      <c r="S481" s="31">
        <v>1</v>
      </c>
      <c r="T481" s="21" cm="1">
        <f t="array" aca="1" ref="T481" ca="1">+fair_value_gap(OFFSET(S480,0,0,-1*$I$5,-1*$Z$1),OFFSET(E480,0,0,-1*$I$5,1),F481:S481,0)</f>
        <v>18.999994414551853</v>
      </c>
      <c r="U481" s="7" t="str" cm="1">
        <f t="array" aca="1" ref="U481" ca="1">z_score_diff(OFFSET(T481,0,0,$I$5*-1,1),OFFSET(E481,0,0,$I$5*-1,1))</f>
        <v/>
      </c>
      <c r="V481" s="7" t="str">
        <f t="shared" ca="1" si="497"/>
        <v/>
      </c>
      <c r="W481" s="14">
        <f t="shared" ca="1" si="492"/>
        <v>-4.4491422683672101E-2</v>
      </c>
      <c r="X481" s="10">
        <f t="shared" ref="X481:Y481" ca="1" si="524">+X480</f>
        <v>0</v>
      </c>
      <c r="Y481" s="10">
        <f t="shared" ca="1" si="524"/>
        <v>0</v>
      </c>
      <c r="Z481" t="str">
        <f t="shared" ca="1" si="499"/>
        <v/>
      </c>
      <c r="AA481" t="str">
        <f t="shared" ca="1" si="500"/>
        <v/>
      </c>
      <c r="AB481" s="19" t="str">
        <f t="shared" ca="1" si="501"/>
        <v/>
      </c>
      <c r="AC481" s="19" t="str">
        <f t="shared" ca="1" si="502"/>
        <v/>
      </c>
    </row>
    <row r="482" spans="3:29" x14ac:dyDescent="0.25">
      <c r="C482" s="4">
        <v>475</v>
      </c>
      <c r="D482" s="28">
        <v>42681</v>
      </c>
      <c r="E482" s="30">
        <v>17.988</v>
      </c>
      <c r="F482" s="30">
        <v>41.810110527269437</v>
      </c>
      <c r="G482" s="30">
        <v>6.3643776046385225</v>
      </c>
      <c r="H482" s="30">
        <v>90.007247689798874</v>
      </c>
      <c r="I482" s="8">
        <v>0</v>
      </c>
      <c r="J482" s="31">
        <v>0</v>
      </c>
      <c r="K482" s="31">
        <v>0</v>
      </c>
      <c r="L482" s="31">
        <v>0</v>
      </c>
      <c r="M482" s="31">
        <v>0</v>
      </c>
      <c r="N482" s="31">
        <v>0</v>
      </c>
      <c r="O482" s="31">
        <v>0</v>
      </c>
      <c r="P482" s="31">
        <v>0</v>
      </c>
      <c r="Q482" s="31">
        <v>0</v>
      </c>
      <c r="R482" s="31">
        <v>0</v>
      </c>
      <c r="S482" s="31">
        <v>1</v>
      </c>
      <c r="T482" s="21" cm="1">
        <f t="array" aca="1" ref="T482" ca="1">+fair_value_gap(OFFSET(S481,0,0,-1*$I$5,-1*$Z$1),OFFSET(E481,0,0,-1*$I$5,1),F482:S482,0)</f>
        <v>19.191434983925234</v>
      </c>
      <c r="U482" s="7" t="str" cm="1">
        <f t="array" aca="1" ref="U482" ca="1">z_score_diff(OFFSET(T482,0,0,$I$5*-1,1),OFFSET(E482,0,0,$I$5*-1,1))</f>
        <v/>
      </c>
      <c r="V482" s="7" t="str">
        <f t="shared" ca="1" si="497"/>
        <v/>
      </c>
      <c r="W482" s="14">
        <f t="shared" ca="1" si="492"/>
        <v>-5.8434587847658558E-2</v>
      </c>
      <c r="X482" s="10">
        <f t="shared" ref="X482:Y482" ca="1" si="525">+X481</f>
        <v>0</v>
      </c>
      <c r="Y482" s="10">
        <f t="shared" ca="1" si="525"/>
        <v>0</v>
      </c>
      <c r="Z482" t="str">
        <f t="shared" ca="1" si="499"/>
        <v/>
      </c>
      <c r="AA482" t="str">
        <f t="shared" ca="1" si="500"/>
        <v/>
      </c>
      <c r="AB482" s="19" t="str">
        <f t="shared" ca="1" si="501"/>
        <v/>
      </c>
      <c r="AC482" s="19" t="str">
        <f t="shared" ca="1" si="502"/>
        <v/>
      </c>
    </row>
    <row r="483" spans="3:29" x14ac:dyDescent="0.25">
      <c r="C483" s="4">
        <v>476</v>
      </c>
      <c r="D483" s="28">
        <v>42682</v>
      </c>
      <c r="E483" s="30">
        <v>17.646000000000001</v>
      </c>
      <c r="F483" s="30">
        <v>41.767214007076113</v>
      </c>
      <c r="G483" s="30">
        <v>6.3957180440896302</v>
      </c>
      <c r="H483" s="30">
        <v>89.54005261725483</v>
      </c>
      <c r="I483" s="8">
        <v>0</v>
      </c>
      <c r="J483" s="31">
        <v>0</v>
      </c>
      <c r="K483" s="31">
        <v>0</v>
      </c>
      <c r="L483" s="31">
        <v>0</v>
      </c>
      <c r="M483" s="31">
        <v>0</v>
      </c>
      <c r="N483" s="31">
        <v>0</v>
      </c>
      <c r="O483" s="31">
        <v>0</v>
      </c>
      <c r="P483" s="31">
        <v>0</v>
      </c>
      <c r="Q483" s="31">
        <v>0</v>
      </c>
      <c r="R483" s="31">
        <v>0</v>
      </c>
      <c r="S483" s="31">
        <v>1</v>
      </c>
      <c r="T483" s="21" cm="1">
        <f t="array" aca="1" ref="T483" ca="1">+fair_value_gap(OFFSET(S482,0,0,-1*$I$5,-1*$Z$1),OFFSET(E482,0,0,-1*$I$5,1),F483:S483,0)</f>
        <v>18.935639936488712</v>
      </c>
      <c r="U483" s="7" t="str" cm="1">
        <f t="array" aca="1" ref="U483" ca="1">z_score_diff(OFFSET(T483,0,0,$I$5*-1,1),OFFSET(E483,0,0,$I$5*-1,1))</f>
        <v/>
      </c>
      <c r="V483" s="7" t="str">
        <f t="shared" ca="1" si="497"/>
        <v/>
      </c>
      <c r="W483" s="14">
        <f t="shared" ca="1" si="492"/>
        <v>-7.8362907344601121E-2</v>
      </c>
      <c r="X483" s="10">
        <f t="shared" ref="X483:Y483" ca="1" si="526">+X482</f>
        <v>0</v>
      </c>
      <c r="Y483" s="10">
        <f t="shared" ca="1" si="526"/>
        <v>0</v>
      </c>
      <c r="Z483" t="str">
        <f t="shared" ca="1" si="499"/>
        <v/>
      </c>
      <c r="AA483" t="str">
        <f t="shared" ca="1" si="500"/>
        <v/>
      </c>
      <c r="AB483" s="19" t="str">
        <f t="shared" ca="1" si="501"/>
        <v/>
      </c>
      <c r="AC483" s="19" t="str">
        <f t="shared" ca="1" si="502"/>
        <v/>
      </c>
    </row>
    <row r="484" spans="3:29" x14ac:dyDescent="0.25">
      <c r="C484" s="4">
        <v>477</v>
      </c>
      <c r="D484" s="28">
        <v>42683</v>
      </c>
      <c r="E484" s="30">
        <v>17.914000000000001</v>
      </c>
      <c r="F484" s="30">
        <v>42.49702080850674</v>
      </c>
      <c r="G484" s="30">
        <v>6.4717205976716468</v>
      </c>
      <c r="H484" s="30">
        <v>89.879915665963878</v>
      </c>
      <c r="I484" s="8">
        <v>0</v>
      </c>
      <c r="J484" s="31">
        <v>0</v>
      </c>
      <c r="K484" s="31">
        <v>0</v>
      </c>
      <c r="L484" s="31">
        <v>0</v>
      </c>
      <c r="M484" s="31">
        <v>0</v>
      </c>
      <c r="N484" s="31">
        <v>0</v>
      </c>
      <c r="O484" s="31">
        <v>0</v>
      </c>
      <c r="P484" s="31">
        <v>0</v>
      </c>
      <c r="Q484" s="31">
        <v>0</v>
      </c>
      <c r="R484" s="31">
        <v>0</v>
      </c>
      <c r="S484" s="31">
        <v>1</v>
      </c>
      <c r="T484" s="21" cm="1">
        <f t="array" aca="1" ref="T484" ca="1">+fair_value_gap(OFFSET(S483,0,0,-1*$I$5,-1*$Z$1),OFFSET(E483,0,0,-1*$I$5,1),F484:S484,0)</f>
        <v>18.917704770604686</v>
      </c>
      <c r="U484" s="7" t="str" cm="1">
        <f t="array" aca="1" ref="U484" ca="1">z_score_diff(OFFSET(T484,0,0,$I$5*-1,1),OFFSET(E484,0,0,$I$5*-1,1))</f>
        <v/>
      </c>
      <c r="V484" s="7" t="str">
        <f t="shared" ca="1" si="497"/>
        <v/>
      </c>
      <c r="W484" s="14">
        <f t="shared" ca="1" si="492"/>
        <v>-9.7489621277257216E-2</v>
      </c>
      <c r="X484" s="10">
        <f t="shared" ref="X484:Y484" ca="1" si="527">+X483</f>
        <v>0</v>
      </c>
      <c r="Y484" s="10">
        <f t="shared" ca="1" si="527"/>
        <v>0</v>
      </c>
      <c r="Z484" t="str">
        <f t="shared" ca="1" si="499"/>
        <v/>
      </c>
      <c r="AA484" t="str">
        <f t="shared" ca="1" si="500"/>
        <v/>
      </c>
      <c r="AB484" s="19" t="str">
        <f t="shared" ca="1" si="501"/>
        <v/>
      </c>
      <c r="AC484" s="19" t="str">
        <f t="shared" ca="1" si="502"/>
        <v/>
      </c>
    </row>
    <row r="485" spans="3:29" x14ac:dyDescent="0.25">
      <c r="C485" s="4">
        <v>478</v>
      </c>
      <c r="D485" s="28">
        <v>42684</v>
      </c>
      <c r="E485" s="30">
        <v>18.071000000000002</v>
      </c>
      <c r="F485" s="30">
        <v>42.097529617044728</v>
      </c>
      <c r="G485" s="30">
        <v>6.4652401506107084</v>
      </c>
      <c r="H485" s="30">
        <v>89.769492148039305</v>
      </c>
      <c r="I485" s="8">
        <v>0</v>
      </c>
      <c r="J485" s="31">
        <v>0</v>
      </c>
      <c r="K485" s="31">
        <v>0</v>
      </c>
      <c r="L485" s="31">
        <v>0</v>
      </c>
      <c r="M485" s="31">
        <v>0</v>
      </c>
      <c r="N485" s="31">
        <v>0</v>
      </c>
      <c r="O485" s="31">
        <v>0</v>
      </c>
      <c r="P485" s="31">
        <v>0</v>
      </c>
      <c r="Q485" s="31">
        <v>0</v>
      </c>
      <c r="R485" s="31">
        <v>0</v>
      </c>
      <c r="S485" s="31">
        <v>1</v>
      </c>
      <c r="T485" s="21" cm="1">
        <f t="array" aca="1" ref="T485" ca="1">+fair_value_gap(OFFSET(S484,0,0,-1*$I$5,-1*$Z$1),OFFSET(E484,0,0,-1*$I$5,1),F485:S485,0)</f>
        <v>18.707145733285579</v>
      </c>
      <c r="U485" s="7" t="str" cm="1">
        <f t="array" aca="1" ref="U485" ca="1">z_score_diff(OFFSET(T485,0,0,$I$5*-1,1),OFFSET(E485,0,0,$I$5*-1,1))</f>
        <v/>
      </c>
      <c r="V485" s="7" t="str">
        <f t="shared" ca="1" si="497"/>
        <v/>
      </c>
      <c r="W485" s="14">
        <f t="shared" ca="1" si="492"/>
        <v>-9.6783235886214236E-2</v>
      </c>
      <c r="X485" s="10">
        <f t="shared" ref="X485:Y485" ca="1" si="528">+X484</f>
        <v>0</v>
      </c>
      <c r="Y485" s="10">
        <f t="shared" ca="1" si="528"/>
        <v>0</v>
      </c>
      <c r="Z485" t="str">
        <f t="shared" ca="1" si="499"/>
        <v/>
      </c>
      <c r="AA485" t="str">
        <f t="shared" ca="1" si="500"/>
        <v/>
      </c>
      <c r="AB485" s="19" t="str">
        <f t="shared" ca="1" si="501"/>
        <v/>
      </c>
      <c r="AC485" s="19" t="str">
        <f t="shared" ca="1" si="502"/>
        <v/>
      </c>
    </row>
    <row r="486" spans="3:29" x14ac:dyDescent="0.25">
      <c r="C486" s="4">
        <v>479</v>
      </c>
      <c r="D486" s="28">
        <v>42685</v>
      </c>
      <c r="E486" s="30">
        <v>18.062000000000001</v>
      </c>
      <c r="F486" s="30">
        <v>41.244239631336406</v>
      </c>
      <c r="G486" s="30">
        <v>6.4930875576036868</v>
      </c>
      <c r="H486" s="30">
        <v>89.815668202764982</v>
      </c>
      <c r="I486" s="8">
        <v>0</v>
      </c>
      <c r="J486" s="31">
        <v>0</v>
      </c>
      <c r="K486" s="31">
        <v>0</v>
      </c>
      <c r="L486" s="31">
        <v>0</v>
      </c>
      <c r="M486" s="31">
        <v>0</v>
      </c>
      <c r="N486" s="31">
        <v>0</v>
      </c>
      <c r="O486" s="31">
        <v>0</v>
      </c>
      <c r="P486" s="31">
        <v>0</v>
      </c>
      <c r="Q486" s="31">
        <v>0</v>
      </c>
      <c r="R486" s="31">
        <v>0</v>
      </c>
      <c r="S486" s="31">
        <v>1</v>
      </c>
      <c r="T486" s="21" cm="1">
        <f t="array" aca="1" ref="T486" ca="1">+fair_value_gap(OFFSET(S485,0,0,-1*$I$5,-1*$Z$1),OFFSET(E485,0,0,-1*$I$5,1),F486:S486,0)</f>
        <v>18.564591848296377</v>
      </c>
      <c r="U486" s="7" t="str" cm="1">
        <f t="array" aca="1" ref="U486" ca="1">z_score_diff(OFFSET(T486,0,0,$I$5*-1,1),OFFSET(E486,0,0,$I$5*-1,1))</f>
        <v/>
      </c>
      <c r="V486" s="7" t="str">
        <f t="shared" ca="1" si="497"/>
        <v/>
      </c>
      <c r="W486" s="14">
        <f t="shared" ca="1" si="492"/>
        <v>-9.0934868983953518E-2</v>
      </c>
      <c r="X486" s="10">
        <f t="shared" ref="X486:Y486" ca="1" si="529">+X485</f>
        <v>0</v>
      </c>
      <c r="Y486" s="10">
        <f t="shared" ca="1" si="529"/>
        <v>0</v>
      </c>
      <c r="Z486" t="str">
        <f t="shared" ca="1" si="499"/>
        <v/>
      </c>
      <c r="AA486" t="str">
        <f t="shared" ca="1" si="500"/>
        <v/>
      </c>
      <c r="AB486" s="19" t="str">
        <f t="shared" ca="1" si="501"/>
        <v/>
      </c>
      <c r="AC486" s="19" t="str">
        <f t="shared" ca="1" si="502"/>
        <v/>
      </c>
    </row>
    <row r="487" spans="3:29" x14ac:dyDescent="0.25">
      <c r="C487" s="4">
        <v>480</v>
      </c>
      <c r="D487" s="28">
        <v>42688</v>
      </c>
      <c r="E487" s="30">
        <v>17.588999999999999</v>
      </c>
      <c r="F487" s="30">
        <v>41.391839016210177</v>
      </c>
      <c r="G487" s="30">
        <v>6.5492826532513515</v>
      </c>
      <c r="H487" s="30">
        <v>86.361095584125223</v>
      </c>
      <c r="I487" s="8">
        <v>0</v>
      </c>
      <c r="J487" s="31">
        <v>0</v>
      </c>
      <c r="K487" s="31">
        <v>0</v>
      </c>
      <c r="L487" s="31">
        <v>0</v>
      </c>
      <c r="M487" s="31">
        <v>0</v>
      </c>
      <c r="N487" s="31">
        <v>0</v>
      </c>
      <c r="O487" s="31">
        <v>0</v>
      </c>
      <c r="P487" s="31">
        <v>0</v>
      </c>
      <c r="Q487" s="31">
        <v>0</v>
      </c>
      <c r="R487" s="31">
        <v>0</v>
      </c>
      <c r="S487" s="31">
        <v>1</v>
      </c>
      <c r="T487" s="21" cm="1">
        <f t="array" aca="1" ref="T487" ca="1">+fair_value_gap(OFFSET(S486,0,0,-1*$I$5,-1*$Z$1),OFFSET(E486,0,0,-1*$I$5,1),F487:S487,0)</f>
        <v>18.439868060709031</v>
      </c>
      <c r="U487" s="7" t="str" cm="1">
        <f t="array" aca="1" ref="U487" ca="1">z_score_diff(OFFSET(T487,0,0,$I$5*-1,1),OFFSET(E487,0,0,$I$5*-1,1))</f>
        <v/>
      </c>
      <c r="V487" s="7" t="str">
        <f t="shared" ca="1" si="497"/>
        <v/>
      </c>
      <c r="W487" s="14">
        <f t="shared" ca="1" si="492"/>
        <v>-2.8195243141573425E-2</v>
      </c>
      <c r="X487" s="10">
        <f t="shared" ref="X487:Y487" ca="1" si="530">+X486</f>
        <v>0</v>
      </c>
      <c r="Y487" s="10">
        <f t="shared" ca="1" si="530"/>
        <v>0</v>
      </c>
      <c r="Z487" t="str">
        <f t="shared" ca="1" si="499"/>
        <v/>
      </c>
      <c r="AA487" t="str">
        <f t="shared" ca="1" si="500"/>
        <v/>
      </c>
      <c r="AB487" s="19" t="str">
        <f t="shared" ca="1" si="501"/>
        <v/>
      </c>
      <c r="AC487" s="19" t="str">
        <f t="shared" ca="1" si="502"/>
        <v/>
      </c>
    </row>
    <row r="488" spans="3:29" x14ac:dyDescent="0.25">
      <c r="C488" s="4">
        <v>481</v>
      </c>
      <c r="D488" s="28">
        <v>42689</v>
      </c>
      <c r="E488" s="30">
        <v>17.850000000000001</v>
      </c>
      <c r="F488" s="30">
        <v>43.796641791044777</v>
      </c>
      <c r="G488" s="30">
        <v>6.5578358208955221</v>
      </c>
      <c r="H488" s="30">
        <v>87.080223880597003</v>
      </c>
      <c r="I488" s="8">
        <v>0</v>
      </c>
      <c r="J488" s="31">
        <v>0</v>
      </c>
      <c r="K488" s="31">
        <v>0</v>
      </c>
      <c r="L488" s="31">
        <v>0</v>
      </c>
      <c r="M488" s="31">
        <v>0</v>
      </c>
      <c r="N488" s="31">
        <v>0</v>
      </c>
      <c r="O488" s="31">
        <v>0</v>
      </c>
      <c r="P488" s="31">
        <v>0</v>
      </c>
      <c r="Q488" s="31">
        <v>0</v>
      </c>
      <c r="R488" s="31">
        <v>0</v>
      </c>
      <c r="S488" s="31">
        <v>1</v>
      </c>
      <c r="T488" s="21" cm="1">
        <f t="array" aca="1" ref="T488" ca="1">+fair_value_gap(OFFSET(S487,0,0,-1*$I$5,-1*$Z$1),OFFSET(E487,0,0,-1*$I$5,1),F488:S488,0)</f>
        <v>18.707733731085654</v>
      </c>
      <c r="U488" s="7" t="str" cm="1">
        <f t="array" aca="1" ref="U488" ca="1">z_score_diff(OFFSET(T488,0,0,$I$5*-1,1),OFFSET(E488,0,0,$I$5*-1,1))</f>
        <v/>
      </c>
      <c r="V488" s="7" t="str">
        <f t="shared" ca="1" si="497"/>
        <v/>
      </c>
      <c r="W488" s="14">
        <f t="shared" ca="1" si="492"/>
        <v>-4.09970798748127E-2</v>
      </c>
      <c r="X488" s="10">
        <f t="shared" ref="X488:Y488" ca="1" si="531">+X487</f>
        <v>0</v>
      </c>
      <c r="Y488" s="10">
        <f t="shared" ca="1" si="531"/>
        <v>0</v>
      </c>
      <c r="Z488" t="str">
        <f t="shared" ca="1" si="499"/>
        <v/>
      </c>
      <c r="AA488" t="str">
        <f t="shared" ca="1" si="500"/>
        <v/>
      </c>
      <c r="AB488" s="19" t="str">
        <f t="shared" ca="1" si="501"/>
        <v/>
      </c>
      <c r="AC488" s="19" t="str">
        <f t="shared" ca="1" si="502"/>
        <v/>
      </c>
    </row>
    <row r="489" spans="3:29" x14ac:dyDescent="0.25">
      <c r="C489" s="4">
        <v>482</v>
      </c>
      <c r="D489" s="28">
        <v>42690</v>
      </c>
      <c r="E489" s="30">
        <v>17.63</v>
      </c>
      <c r="F489" s="30">
        <v>43.640617688348151</v>
      </c>
      <c r="G489" s="30">
        <v>6.8320074871314924</v>
      </c>
      <c r="H489" s="30">
        <v>85.353299017314001</v>
      </c>
      <c r="I489" s="8">
        <v>0</v>
      </c>
      <c r="J489" s="31">
        <v>0</v>
      </c>
      <c r="K489" s="31">
        <v>0</v>
      </c>
      <c r="L489" s="31">
        <v>0</v>
      </c>
      <c r="M489" s="31">
        <v>0</v>
      </c>
      <c r="N489" s="31">
        <v>0</v>
      </c>
      <c r="O489" s="31">
        <v>0</v>
      </c>
      <c r="P489" s="31">
        <v>0</v>
      </c>
      <c r="Q489" s="31">
        <v>0</v>
      </c>
      <c r="R489" s="31">
        <v>0</v>
      </c>
      <c r="S489" s="31">
        <v>1</v>
      </c>
      <c r="T489" s="21" cm="1">
        <f t="array" aca="1" ref="T489" ca="1">+fair_value_gap(OFFSET(S488,0,0,-1*$I$5,-1*$Z$1),OFFSET(E488,0,0,-1*$I$5,1),F489:S489,0)</f>
        <v>18.940705708991239</v>
      </c>
      <c r="U489" s="7" t="str" cm="1">
        <f t="array" aca="1" ref="U489" ca="1">z_score_diff(OFFSET(T489,0,0,$I$5*-1,1),OFFSET(E489,0,0,$I$5*-1,1))</f>
        <v/>
      </c>
      <c r="V489" s="7" t="str">
        <f t="shared" ca="1" si="497"/>
        <v/>
      </c>
      <c r="W489" s="14">
        <f t="shared" ca="1" si="492"/>
        <v>-2.9121008127079222E-2</v>
      </c>
      <c r="X489" s="10">
        <f t="shared" ref="X489:Y489" ca="1" si="532">+X488</f>
        <v>0</v>
      </c>
      <c r="Y489" s="10">
        <f t="shared" ca="1" si="532"/>
        <v>0</v>
      </c>
      <c r="Z489" t="str">
        <f t="shared" ca="1" si="499"/>
        <v/>
      </c>
      <c r="AA489" t="str">
        <f t="shared" ca="1" si="500"/>
        <v/>
      </c>
      <c r="AB489" s="19" t="str">
        <f t="shared" ca="1" si="501"/>
        <v/>
      </c>
      <c r="AC489" s="19" t="str">
        <f t="shared" ca="1" si="502"/>
        <v/>
      </c>
    </row>
    <row r="490" spans="3:29" x14ac:dyDescent="0.25">
      <c r="C490" s="4">
        <v>483</v>
      </c>
      <c r="D490" s="28">
        <v>42691</v>
      </c>
      <c r="E490" s="30">
        <v>17.638000000000002</v>
      </c>
      <c r="F490" s="30">
        <v>43.755294117647061</v>
      </c>
      <c r="G490" s="30">
        <v>6.7341176470588238</v>
      </c>
      <c r="H490" s="30">
        <v>86.117647058823536</v>
      </c>
      <c r="I490" s="8">
        <v>0</v>
      </c>
      <c r="J490" s="31">
        <v>0</v>
      </c>
      <c r="K490" s="31">
        <v>0</v>
      </c>
      <c r="L490" s="31">
        <v>0</v>
      </c>
      <c r="M490" s="31">
        <v>0</v>
      </c>
      <c r="N490" s="31">
        <v>0</v>
      </c>
      <c r="O490" s="31">
        <v>0</v>
      </c>
      <c r="P490" s="31">
        <v>0</v>
      </c>
      <c r="Q490" s="31">
        <v>0</v>
      </c>
      <c r="R490" s="31">
        <v>0</v>
      </c>
      <c r="S490" s="31">
        <v>1</v>
      </c>
      <c r="T490" s="21" cm="1">
        <f t="array" aca="1" ref="T490" ca="1">+fair_value_gap(OFFSET(S489,0,0,-1*$I$5,-1*$Z$1),OFFSET(E489,0,0,-1*$I$5,1),F490:S490,0)</f>
        <v>18.748080865799317</v>
      </c>
      <c r="U490" s="7" t="str" cm="1">
        <f t="array" aca="1" ref="U490" ca="1">z_score_diff(OFFSET(T490,0,0,$I$5*-1,1),OFFSET(E490,0,0,$I$5*-1,1))</f>
        <v/>
      </c>
      <c r="V490" s="7" t="str">
        <f t="shared" ca="1" si="497"/>
        <v/>
      </c>
      <c r="W490" s="14">
        <f t="shared" ca="1" si="492"/>
        <v>-2.6891990556604933E-2</v>
      </c>
      <c r="X490" s="10">
        <f t="shared" ref="X490:Y490" ca="1" si="533">+X489</f>
        <v>0</v>
      </c>
      <c r="Y490" s="10">
        <f t="shared" ca="1" si="533"/>
        <v>0</v>
      </c>
      <c r="Z490" t="str">
        <f t="shared" ca="1" si="499"/>
        <v/>
      </c>
      <c r="AA490" t="str">
        <f t="shared" ca="1" si="500"/>
        <v/>
      </c>
      <c r="AB490" s="19" t="str">
        <f t="shared" ca="1" si="501"/>
        <v/>
      </c>
      <c r="AC490" s="19" t="str">
        <f t="shared" ca="1" si="502"/>
        <v/>
      </c>
    </row>
    <row r="491" spans="3:29" x14ac:dyDescent="0.25">
      <c r="C491" s="4">
        <v>484</v>
      </c>
      <c r="D491" s="28">
        <v>42692</v>
      </c>
      <c r="E491" s="30">
        <v>17.898</v>
      </c>
      <c r="F491" s="30">
        <v>44.270193670288144</v>
      </c>
      <c r="G491" s="30">
        <v>6.6650921114785069</v>
      </c>
      <c r="H491" s="30">
        <v>85.025980160604632</v>
      </c>
      <c r="I491" s="8">
        <v>0</v>
      </c>
      <c r="J491" s="31">
        <v>0</v>
      </c>
      <c r="K491" s="31">
        <v>0</v>
      </c>
      <c r="L491" s="31">
        <v>0</v>
      </c>
      <c r="M491" s="31">
        <v>0</v>
      </c>
      <c r="N491" s="31">
        <v>0</v>
      </c>
      <c r="O491" s="31">
        <v>0</v>
      </c>
      <c r="P491" s="31">
        <v>0</v>
      </c>
      <c r="Q491" s="31">
        <v>0</v>
      </c>
      <c r="R491" s="31">
        <v>0</v>
      </c>
      <c r="S491" s="31">
        <v>1</v>
      </c>
      <c r="T491" s="21" cm="1">
        <f t="array" aca="1" ref="T491" ca="1">+fair_value_gap(OFFSET(S490,0,0,-1*$I$5,-1*$Z$1),OFFSET(E490,0,0,-1*$I$5,1),F491:S491,0)</f>
        <v>18.56182982694305</v>
      </c>
      <c r="U491" s="7" t="str" cm="1">
        <f t="array" aca="1" ref="U491" ca="1">z_score_diff(OFFSET(T491,0,0,$I$5*-1,1),OFFSET(E491,0,0,$I$5*-1,1))</f>
        <v/>
      </c>
      <c r="V491" s="7" t="str">
        <f t="shared" ca="1" si="497"/>
        <v/>
      </c>
      <c r="W491" s="14">
        <f t="shared" ca="1" si="492"/>
        <v>-2.2545238321056323E-2</v>
      </c>
      <c r="X491" s="10">
        <f t="shared" ref="X491:Y491" ca="1" si="534">+X490</f>
        <v>0</v>
      </c>
      <c r="Y491" s="10">
        <f t="shared" ca="1" si="534"/>
        <v>0</v>
      </c>
      <c r="Z491" t="str">
        <f t="shared" ca="1" si="499"/>
        <v/>
      </c>
      <c r="AA491" t="str">
        <f t="shared" ca="1" si="500"/>
        <v/>
      </c>
      <c r="AB491" s="19" t="str">
        <f t="shared" ca="1" si="501"/>
        <v/>
      </c>
      <c r="AC491" s="19" t="str">
        <f t="shared" ca="1" si="502"/>
        <v/>
      </c>
    </row>
    <row r="492" spans="3:29" x14ac:dyDescent="0.25">
      <c r="C492" s="4">
        <v>485</v>
      </c>
      <c r="D492" s="28">
        <v>42695</v>
      </c>
      <c r="E492" s="30">
        <v>17.37</v>
      </c>
      <c r="F492" s="30">
        <v>46.01486778959255</v>
      </c>
      <c r="G492" s="30">
        <v>6.7328502870047995</v>
      </c>
      <c r="H492" s="30">
        <v>84.595840782911452</v>
      </c>
      <c r="I492" s="8">
        <v>0</v>
      </c>
      <c r="J492" s="31">
        <v>0</v>
      </c>
      <c r="K492" s="31">
        <v>0</v>
      </c>
      <c r="L492" s="31">
        <v>0</v>
      </c>
      <c r="M492" s="31">
        <v>0</v>
      </c>
      <c r="N492" s="31">
        <v>0</v>
      </c>
      <c r="O492" s="31">
        <v>0</v>
      </c>
      <c r="P492" s="31">
        <v>0</v>
      </c>
      <c r="Q492" s="31">
        <v>0</v>
      </c>
      <c r="R492" s="31">
        <v>0</v>
      </c>
      <c r="S492" s="31">
        <v>1</v>
      </c>
      <c r="T492" s="21" cm="1">
        <f t="array" aca="1" ref="T492" ca="1">+fair_value_gap(OFFSET(S491,0,0,-1*$I$5,-1*$Z$1),OFFSET(E491,0,0,-1*$I$5,1),F492:S492,0)</f>
        <v>18.423300213330453</v>
      </c>
      <c r="U492" s="7" t="str" cm="1">
        <f t="array" aca="1" ref="U492" ca="1">z_score_diff(OFFSET(T492,0,0,$I$5*-1,1),OFFSET(E492,0,0,$I$5*-1,1))</f>
        <v/>
      </c>
      <c r="V492" s="7" t="str">
        <f t="shared" ca="1" si="497"/>
        <v/>
      </c>
      <c r="W492" s="14">
        <f t="shared" ca="1" si="492"/>
        <v>-1.15207386014531E-3</v>
      </c>
      <c r="X492" s="10">
        <f t="shared" ref="X492:Y492" ca="1" si="535">+X491</f>
        <v>0</v>
      </c>
      <c r="Y492" s="10">
        <f t="shared" ca="1" si="535"/>
        <v>0</v>
      </c>
      <c r="Z492" t="str">
        <f t="shared" ca="1" si="499"/>
        <v/>
      </c>
      <c r="AA492" t="str">
        <f t="shared" ca="1" si="500"/>
        <v/>
      </c>
      <c r="AB492" s="19" t="str">
        <f t="shared" ca="1" si="501"/>
        <v/>
      </c>
      <c r="AC492" s="19" t="str">
        <f t="shared" ca="1" si="502"/>
        <v/>
      </c>
    </row>
    <row r="493" spans="3:29" x14ac:dyDescent="0.25">
      <c r="C493" s="4">
        <v>486</v>
      </c>
      <c r="D493" s="28">
        <v>42696</v>
      </c>
      <c r="E493" s="30">
        <v>17.629000000000001</v>
      </c>
      <c r="F493" s="30">
        <v>46.234939759036145</v>
      </c>
      <c r="G493" s="30">
        <v>6.7347515060240966</v>
      </c>
      <c r="H493" s="30">
        <v>84.666792168674704</v>
      </c>
      <c r="I493" s="8">
        <v>0</v>
      </c>
      <c r="J493" s="31">
        <v>0</v>
      </c>
      <c r="K493" s="31">
        <v>0</v>
      </c>
      <c r="L493" s="31">
        <v>0</v>
      </c>
      <c r="M493" s="31">
        <v>0</v>
      </c>
      <c r="N493" s="31">
        <v>0</v>
      </c>
      <c r="O493" s="31">
        <v>0</v>
      </c>
      <c r="P493" s="31">
        <v>0</v>
      </c>
      <c r="Q493" s="31">
        <v>0</v>
      </c>
      <c r="R493" s="31">
        <v>0</v>
      </c>
      <c r="S493" s="31">
        <v>1</v>
      </c>
      <c r="T493" s="21" cm="1">
        <f t="array" aca="1" ref="T493" ca="1">+fair_value_gap(OFFSET(S492,0,0,-1*$I$5,-1*$Z$1),OFFSET(E492,0,0,-1*$I$5,1),F493:S493,0)</f>
        <v>18.333564084390083</v>
      </c>
      <c r="U493" s="7" t="str" cm="1">
        <f t="array" aca="1" ref="U493" ca="1">z_score_diff(OFFSET(T493,0,0,$I$5*-1,1),OFFSET(E493,0,0,$I$5*-1,1))</f>
        <v/>
      </c>
      <c r="V493" s="7" t="str">
        <f t="shared" ca="1" si="497"/>
        <v/>
      </c>
      <c r="W493" s="14">
        <f t="shared" ca="1" si="492"/>
        <v>-7.4015368639962238E-3</v>
      </c>
      <c r="X493" s="10">
        <f t="shared" ref="X493:Y493" ca="1" si="536">+X492</f>
        <v>0</v>
      </c>
      <c r="Y493" s="10">
        <f t="shared" ca="1" si="536"/>
        <v>0</v>
      </c>
      <c r="Z493" t="str">
        <f t="shared" ca="1" si="499"/>
        <v/>
      </c>
      <c r="AA493" t="str">
        <f t="shared" ca="1" si="500"/>
        <v/>
      </c>
      <c r="AB493" s="19" t="str">
        <f t="shared" ca="1" si="501"/>
        <v/>
      </c>
      <c r="AC493" s="19" t="str">
        <f t="shared" ca="1" si="502"/>
        <v/>
      </c>
    </row>
    <row r="494" spans="3:29" x14ac:dyDescent="0.25">
      <c r="C494" s="4">
        <v>487</v>
      </c>
      <c r="D494" s="28">
        <v>42697</v>
      </c>
      <c r="E494" s="30">
        <v>17.805</v>
      </c>
      <c r="F494" s="30">
        <v>46.371731716559303</v>
      </c>
      <c r="G494" s="30">
        <v>6.7449791587722618</v>
      </c>
      <c r="H494" s="30">
        <v>83.885941644562322</v>
      </c>
      <c r="I494" s="8">
        <v>0</v>
      </c>
      <c r="J494" s="31">
        <v>0</v>
      </c>
      <c r="K494" s="31">
        <v>0</v>
      </c>
      <c r="L494" s="31">
        <v>0</v>
      </c>
      <c r="M494" s="31">
        <v>0</v>
      </c>
      <c r="N494" s="31">
        <v>0</v>
      </c>
      <c r="O494" s="31">
        <v>0</v>
      </c>
      <c r="P494" s="31">
        <v>0</v>
      </c>
      <c r="Q494" s="31">
        <v>0</v>
      </c>
      <c r="R494" s="31">
        <v>0</v>
      </c>
      <c r="S494" s="31">
        <v>1</v>
      </c>
      <c r="T494" s="21" cm="1">
        <f t="array" aca="1" ref="T494" ca="1">+fair_value_gap(OFFSET(S493,0,0,-1*$I$5,-1*$Z$1),OFFSET(E493,0,0,-1*$I$5,1),F494:S494,0)</f>
        <v>18.192753860951075</v>
      </c>
      <c r="U494" s="7" t="str" cm="1">
        <f t="array" aca="1" ref="U494" ca="1">z_score_diff(OFFSET(T494,0,0,$I$5*-1,1),OFFSET(E494,0,0,$I$5*-1,1))</f>
        <v/>
      </c>
      <c r="V494" s="7" t="str">
        <f t="shared" ca="1" si="497"/>
        <v/>
      </c>
      <c r="W494" s="14">
        <f t="shared" ca="1" si="492"/>
        <v>-9.8773203199622323E-3</v>
      </c>
      <c r="X494" s="10">
        <f t="shared" ref="X494:Y494" ca="1" si="537">+X493</f>
        <v>0</v>
      </c>
      <c r="Y494" s="10">
        <f t="shared" ca="1" si="537"/>
        <v>0</v>
      </c>
      <c r="Z494" t="str">
        <f t="shared" ca="1" si="499"/>
        <v/>
      </c>
      <c r="AA494" t="str">
        <f t="shared" ca="1" si="500"/>
        <v/>
      </c>
      <c r="AB494" s="19" t="str">
        <f t="shared" ca="1" si="501"/>
        <v/>
      </c>
      <c r="AC494" s="19" t="str">
        <f t="shared" ca="1" si="502"/>
        <v/>
      </c>
    </row>
    <row r="495" spans="3:29" x14ac:dyDescent="0.25">
      <c r="C495" s="4">
        <v>488</v>
      </c>
      <c r="D495" s="28">
        <v>42698</v>
      </c>
      <c r="E495" s="30">
        <v>17.844000000000001</v>
      </c>
      <c r="F495" s="30">
        <v>46.436694465504175</v>
      </c>
      <c r="G495" s="30">
        <v>6.7475360121304027</v>
      </c>
      <c r="H495" s="30">
        <v>85.95526914329038</v>
      </c>
      <c r="I495" s="8">
        <v>0</v>
      </c>
      <c r="J495" s="31">
        <v>0</v>
      </c>
      <c r="K495" s="31">
        <v>0</v>
      </c>
      <c r="L495" s="31">
        <v>0</v>
      </c>
      <c r="M495" s="31">
        <v>0</v>
      </c>
      <c r="N495" s="31">
        <v>0</v>
      </c>
      <c r="O495" s="31">
        <v>0</v>
      </c>
      <c r="P495" s="31">
        <v>0</v>
      </c>
      <c r="Q495" s="31">
        <v>0</v>
      </c>
      <c r="R495" s="31">
        <v>0</v>
      </c>
      <c r="S495" s="31">
        <v>1</v>
      </c>
      <c r="T495" s="21" cm="1">
        <f t="array" aca="1" ref="T495" ca="1">+fair_value_gap(OFFSET(S494,0,0,-1*$I$5,-1*$Z$1),OFFSET(E494,0,0,-1*$I$5,1),F495:S495,0)</f>
        <v>18.398291250742897</v>
      </c>
      <c r="U495" s="7" t="str" cm="1">
        <f t="array" aca="1" ref="U495" ca="1">z_score_diff(OFFSET(T495,0,0,$I$5*-1,1),OFFSET(E495,0,0,$I$5*-1,1))</f>
        <v/>
      </c>
      <c r="V495" s="7" t="str">
        <f t="shared" ca="1" si="497"/>
        <v/>
      </c>
      <c r="W495" s="14">
        <f t="shared" ca="1" si="492"/>
        <v>1.2087600175508051E-2</v>
      </c>
      <c r="X495" s="10">
        <f t="shared" ref="X495:Y495" ca="1" si="538">+X494</f>
        <v>0</v>
      </c>
      <c r="Y495" s="10">
        <f t="shared" ca="1" si="538"/>
        <v>0</v>
      </c>
      <c r="Z495" t="str">
        <f t="shared" ca="1" si="499"/>
        <v/>
      </c>
      <c r="AA495" t="str">
        <f t="shared" ca="1" si="500"/>
        <v/>
      </c>
      <c r="AB495" s="19" t="str">
        <f t="shared" ca="1" si="501"/>
        <v/>
      </c>
      <c r="AC495" s="19" t="str">
        <f t="shared" ca="1" si="502"/>
        <v/>
      </c>
    </row>
    <row r="496" spans="3:29" x14ac:dyDescent="0.25">
      <c r="C496" s="4">
        <v>489</v>
      </c>
      <c r="D496" s="28">
        <v>42699</v>
      </c>
      <c r="E496" s="30">
        <v>17.702999999999999</v>
      </c>
      <c r="F496" s="30">
        <v>44.633408919123205</v>
      </c>
      <c r="G496" s="30">
        <v>6.6893424036281175</v>
      </c>
      <c r="H496" s="30">
        <v>85.695389266817841</v>
      </c>
      <c r="I496" s="8">
        <v>0</v>
      </c>
      <c r="J496" s="31">
        <v>0</v>
      </c>
      <c r="K496" s="31">
        <v>0</v>
      </c>
      <c r="L496" s="31">
        <v>0</v>
      </c>
      <c r="M496" s="31">
        <v>0</v>
      </c>
      <c r="N496" s="31">
        <v>0</v>
      </c>
      <c r="O496" s="31">
        <v>0</v>
      </c>
      <c r="P496" s="31">
        <v>0</v>
      </c>
      <c r="Q496" s="31">
        <v>0</v>
      </c>
      <c r="R496" s="31">
        <v>0</v>
      </c>
      <c r="S496" s="31">
        <v>1</v>
      </c>
      <c r="T496" s="21" cm="1">
        <f t="array" aca="1" ref="T496" ca="1">+fair_value_gap(OFFSET(S495,0,0,-1*$I$5,-1*$Z$1),OFFSET(E495,0,0,-1*$I$5,1),F496:S496,0)</f>
        <v>18.12402004268716</v>
      </c>
      <c r="U496" s="7" t="str" cm="1">
        <f t="array" aca="1" ref="U496" ca="1">z_score_diff(OFFSET(T496,0,0,$I$5*-1,1),OFFSET(E496,0,0,$I$5*-1,1))</f>
        <v/>
      </c>
      <c r="V496" s="7" t="str">
        <f t="shared" ca="1" si="497"/>
        <v/>
      </c>
      <c r="W496" s="14">
        <f t="shared" ca="1" si="492"/>
        <v>2.1127546425875277E-2</v>
      </c>
      <c r="X496" s="10">
        <f t="shared" ref="X496:Y496" ca="1" si="539">+X495</f>
        <v>0</v>
      </c>
      <c r="Y496" s="10">
        <f t="shared" ca="1" si="539"/>
        <v>0</v>
      </c>
      <c r="Z496" t="str">
        <f t="shared" ca="1" si="499"/>
        <v/>
      </c>
      <c r="AA496" t="str">
        <f t="shared" ca="1" si="500"/>
        <v/>
      </c>
      <c r="AB496" s="19" t="str">
        <f t="shared" ca="1" si="501"/>
        <v/>
      </c>
      <c r="AC496" s="19" t="str">
        <f t="shared" ca="1" si="502"/>
        <v/>
      </c>
    </row>
    <row r="497" spans="3:29" x14ac:dyDescent="0.25">
      <c r="C497" s="4">
        <v>490</v>
      </c>
      <c r="D497" s="28">
        <v>42702</v>
      </c>
      <c r="E497" s="30">
        <v>17.960999999999999</v>
      </c>
      <c r="F497" s="30">
        <v>45.453688872137953</v>
      </c>
      <c r="G497" s="30">
        <v>6.6710637896918881</v>
      </c>
      <c r="H497" s="30">
        <v>80.60868745877697</v>
      </c>
      <c r="I497" s="8">
        <v>0</v>
      </c>
      <c r="J497" s="31">
        <v>0</v>
      </c>
      <c r="K497" s="31">
        <v>0</v>
      </c>
      <c r="L497" s="31">
        <v>0</v>
      </c>
      <c r="M497" s="31">
        <v>0</v>
      </c>
      <c r="N497" s="31">
        <v>0</v>
      </c>
      <c r="O497" s="31">
        <v>0</v>
      </c>
      <c r="P497" s="31">
        <v>0</v>
      </c>
      <c r="Q497" s="31">
        <v>0</v>
      </c>
      <c r="R497" s="31">
        <v>0</v>
      </c>
      <c r="S497" s="31">
        <v>1</v>
      </c>
      <c r="T497" s="21" cm="1">
        <f t="array" aca="1" ref="T497" ca="1">+fair_value_gap(OFFSET(S496,0,0,-1*$I$5,-1*$Z$1),OFFSET(E496,0,0,-1*$I$5,1),F497:S497,0)</f>
        <v>17.500177332176058</v>
      </c>
      <c r="U497" s="7" t="str" cm="1">
        <f t="array" aca="1" ref="U497" ca="1">z_score_diff(OFFSET(T497,0,0,$I$5*-1,1),OFFSET(E497,0,0,$I$5*-1,1))</f>
        <v/>
      </c>
      <c r="V497" s="7" t="str">
        <f t="shared" ca="1" si="497"/>
        <v/>
      </c>
      <c r="W497" s="14">
        <f t="shared" ca="1" si="492"/>
        <v>2.0554518928259137E-2</v>
      </c>
      <c r="X497" s="10">
        <f t="shared" ref="X497:Y497" ca="1" si="540">+X496</f>
        <v>0</v>
      </c>
      <c r="Y497" s="10">
        <f t="shared" ca="1" si="540"/>
        <v>0</v>
      </c>
      <c r="Z497" t="str">
        <f t="shared" ca="1" si="499"/>
        <v/>
      </c>
      <c r="AA497" t="str">
        <f t="shared" ca="1" si="500"/>
        <v/>
      </c>
      <c r="AB497" s="19" t="str">
        <f t="shared" ca="1" si="501"/>
        <v/>
      </c>
      <c r="AC497" s="19" t="str">
        <f t="shared" ca="1" si="502"/>
        <v/>
      </c>
    </row>
    <row r="498" spans="3:29" x14ac:dyDescent="0.25">
      <c r="C498" s="4">
        <v>491</v>
      </c>
      <c r="D498" s="28">
        <v>42703</v>
      </c>
      <c r="E498" s="30">
        <v>17.971</v>
      </c>
      <c r="F498" s="30">
        <v>43.561566638489715</v>
      </c>
      <c r="G498" s="30">
        <v>6.7061143984220903</v>
      </c>
      <c r="H498" s="30">
        <v>77.956231802385645</v>
      </c>
      <c r="I498" s="8">
        <v>0</v>
      </c>
      <c r="J498" s="31">
        <v>0</v>
      </c>
      <c r="K498" s="31">
        <v>0</v>
      </c>
      <c r="L498" s="31">
        <v>0</v>
      </c>
      <c r="M498" s="31">
        <v>0</v>
      </c>
      <c r="N498" s="31">
        <v>0</v>
      </c>
      <c r="O498" s="31">
        <v>0</v>
      </c>
      <c r="P498" s="31">
        <v>0</v>
      </c>
      <c r="Q498" s="31">
        <v>0</v>
      </c>
      <c r="R498" s="31">
        <v>0</v>
      </c>
      <c r="S498" s="31">
        <v>1</v>
      </c>
      <c r="T498" s="21" cm="1">
        <f t="array" aca="1" ref="T498" ca="1">+fair_value_gap(OFFSET(S497,0,0,-1*$I$5,-1*$Z$1),OFFSET(E497,0,0,-1*$I$5,1),F498:S498,0)</f>
        <v>17.133921563708306</v>
      </c>
      <c r="U498" s="7" t="str" cm="1">
        <f t="array" aca="1" ref="U498" ca="1">z_score_diff(OFFSET(T498,0,0,$I$5*-1,1),OFFSET(E498,0,0,$I$5*-1,1))</f>
        <v/>
      </c>
      <c r="V498" s="7" t="str">
        <f t="shared" ca="1" si="497"/>
        <v/>
      </c>
      <c r="W498" s="14">
        <f t="shared" ca="1" si="492"/>
        <v>4.3713586364915104E-2</v>
      </c>
      <c r="X498" s="10">
        <f t="shared" ref="X498:Y498" ca="1" si="541">+X497</f>
        <v>0</v>
      </c>
      <c r="Y498" s="10">
        <f t="shared" ca="1" si="541"/>
        <v>0</v>
      </c>
      <c r="Z498" t="str">
        <f t="shared" ca="1" si="499"/>
        <v/>
      </c>
      <c r="AA498" t="str">
        <f t="shared" ca="1" si="500"/>
        <v/>
      </c>
      <c r="AB498" s="19" t="str">
        <f t="shared" ca="1" si="501"/>
        <v/>
      </c>
      <c r="AC498" s="19" t="str">
        <f t="shared" ca="1" si="502"/>
        <v/>
      </c>
    </row>
    <row r="499" spans="3:29" x14ac:dyDescent="0.25">
      <c r="C499" s="4">
        <v>492</v>
      </c>
      <c r="D499" s="28">
        <v>42704</v>
      </c>
      <c r="E499" s="30">
        <v>18.213000000000001</v>
      </c>
      <c r="F499" s="30">
        <v>47.680680207841284</v>
      </c>
      <c r="G499" s="30">
        <v>6.7831837505904575</v>
      </c>
      <c r="H499" s="30">
        <v>79.593764761454892</v>
      </c>
      <c r="I499" s="8">
        <v>0</v>
      </c>
      <c r="J499" s="31">
        <v>0</v>
      </c>
      <c r="K499" s="31">
        <v>0</v>
      </c>
      <c r="L499" s="31">
        <v>0</v>
      </c>
      <c r="M499" s="31">
        <v>0</v>
      </c>
      <c r="N499" s="31">
        <v>0</v>
      </c>
      <c r="O499" s="31">
        <v>0</v>
      </c>
      <c r="P499" s="31">
        <v>0</v>
      </c>
      <c r="Q499" s="31">
        <v>0</v>
      </c>
      <c r="R499" s="31">
        <v>0</v>
      </c>
      <c r="S499" s="31">
        <v>1</v>
      </c>
      <c r="T499" s="21" cm="1">
        <f t="array" aca="1" ref="T499" ca="1">+fair_value_gap(OFFSET(S498,0,0,-1*$I$5,-1*$Z$1),OFFSET(E498,0,0,-1*$I$5,1),F499:S499,0)</f>
        <v>17.798204808114658</v>
      </c>
      <c r="U499" s="7" t="str" cm="1">
        <f t="array" aca="1" ref="U499" ca="1">z_score_diff(OFFSET(T499,0,0,$I$5*-1,1),OFFSET(E499,0,0,$I$5*-1,1))</f>
        <v/>
      </c>
      <c r="V499" s="7" t="str">
        <f t="shared" ca="1" si="497"/>
        <v/>
      </c>
      <c r="W499" s="14">
        <f t="shared" ca="1" si="492"/>
        <v>4.2092805870468569E-2</v>
      </c>
      <c r="X499" s="10">
        <f t="shared" ref="X499:Y499" ca="1" si="542">+X498</f>
        <v>0</v>
      </c>
      <c r="Y499" s="10">
        <f t="shared" ca="1" si="542"/>
        <v>0</v>
      </c>
      <c r="Z499" t="str">
        <f t="shared" ca="1" si="499"/>
        <v/>
      </c>
      <c r="AA499" t="str">
        <f t="shared" ca="1" si="500"/>
        <v/>
      </c>
      <c r="AB499" s="19" t="str">
        <f t="shared" ca="1" si="501"/>
        <v/>
      </c>
      <c r="AC499" s="19" t="str">
        <f t="shared" ca="1" si="502"/>
        <v/>
      </c>
    </row>
    <row r="500" spans="3:29" x14ac:dyDescent="0.25">
      <c r="C500" s="4">
        <v>493</v>
      </c>
      <c r="D500" s="28">
        <v>42705</v>
      </c>
      <c r="E500" s="30">
        <v>18.09</v>
      </c>
      <c r="F500" s="30">
        <v>50.600375234521572</v>
      </c>
      <c r="G500" s="30">
        <v>6.8761726078799246</v>
      </c>
      <c r="H500" s="30">
        <v>79.362101313320821</v>
      </c>
      <c r="I500" s="8">
        <v>0</v>
      </c>
      <c r="J500" s="31">
        <v>0</v>
      </c>
      <c r="K500" s="31">
        <v>0</v>
      </c>
      <c r="L500" s="31">
        <v>0</v>
      </c>
      <c r="M500" s="31">
        <v>0</v>
      </c>
      <c r="N500" s="31">
        <v>0</v>
      </c>
      <c r="O500" s="31">
        <v>0</v>
      </c>
      <c r="P500" s="31">
        <v>0</v>
      </c>
      <c r="Q500" s="31">
        <v>0</v>
      </c>
      <c r="R500" s="31">
        <v>0</v>
      </c>
      <c r="S500" s="31">
        <v>0</v>
      </c>
      <c r="T500" s="21" cm="1">
        <f t="array" aca="1" ref="T500" ca="1">+fair_value_gap(OFFSET(S499,0,0,-1*$I$5,-1*$Z$1),OFFSET(E499,0,0,-1*$I$5,1),F500:S500,0)</f>
        <v>20.623833291850548</v>
      </c>
      <c r="U500" s="7" t="str" cm="1">
        <f t="array" aca="1" ref="U500" ca="1">z_score_diff(OFFSET(T500,0,0,$I$5*-1,1),OFFSET(E500,0,0,$I$5*-1,1))</f>
        <v/>
      </c>
      <c r="V500" s="7" t="str">
        <f t="shared" ca="1" si="497"/>
        <v/>
      </c>
      <c r="W500" s="14">
        <f t="shared" ca="1" si="492"/>
        <v>7.715552297060263E-2</v>
      </c>
      <c r="X500" s="10">
        <f t="shared" ref="X500:Y500" ca="1" si="543">+X499</f>
        <v>0</v>
      </c>
      <c r="Y500" s="10">
        <f t="shared" ca="1" si="543"/>
        <v>0</v>
      </c>
      <c r="Z500" t="str">
        <f t="shared" ca="1" si="499"/>
        <v/>
      </c>
      <c r="AA500" t="str">
        <f t="shared" ca="1" si="500"/>
        <v/>
      </c>
      <c r="AB500" s="19" t="str">
        <f t="shared" ca="1" si="501"/>
        <v/>
      </c>
      <c r="AC500" s="19" t="str">
        <f t="shared" ca="1" si="502"/>
        <v/>
      </c>
    </row>
    <row r="501" spans="3:29" x14ac:dyDescent="0.25">
      <c r="C501" s="4">
        <v>494</v>
      </c>
      <c r="D501" s="28">
        <v>42706</v>
      </c>
      <c r="E501" s="30">
        <v>17.54</v>
      </c>
      <c r="F501" s="30">
        <v>51.040299906279294</v>
      </c>
      <c r="G501" s="30">
        <v>6.8978444236176202</v>
      </c>
      <c r="H501" s="30">
        <v>79.662605435801311</v>
      </c>
      <c r="I501" s="8">
        <v>0</v>
      </c>
      <c r="J501" s="31">
        <v>0</v>
      </c>
      <c r="K501" s="31">
        <v>0</v>
      </c>
      <c r="L501" s="31">
        <v>0</v>
      </c>
      <c r="M501" s="31">
        <v>0</v>
      </c>
      <c r="N501" s="31">
        <v>0</v>
      </c>
      <c r="O501" s="31">
        <v>0</v>
      </c>
      <c r="P501" s="31">
        <v>0</v>
      </c>
      <c r="Q501" s="31">
        <v>0</v>
      </c>
      <c r="R501" s="31">
        <v>0</v>
      </c>
      <c r="S501" s="31">
        <v>0</v>
      </c>
      <c r="T501" s="21" cm="1">
        <f t="array" aca="1" ref="T501" ca="1">+fair_value_gap(OFFSET(S500,0,0,-1*$I$5,-1*$Z$1),OFFSET(E500,0,0,-1*$I$5,1),F501:S501,0)</f>
        <v>19.496454664154879</v>
      </c>
      <c r="U501" s="7" t="str" cm="1">
        <f t="array" aca="1" ref="U501" ca="1">z_score_diff(OFFSET(T501,0,0,$I$5*-1,1),OFFSET(E501,0,0,$I$5*-1,1))</f>
        <v/>
      </c>
      <c r="V501" s="7" t="str">
        <f t="shared" ca="1" si="497"/>
        <v/>
      </c>
      <c r="W501" s="14">
        <f t="shared" ca="1" si="492"/>
        <v>9.05304533313952E-2</v>
      </c>
      <c r="X501" s="10">
        <f t="shared" ref="X501:Y501" ca="1" si="544">+X500</f>
        <v>0</v>
      </c>
      <c r="Y501" s="10">
        <f t="shared" ca="1" si="544"/>
        <v>0</v>
      </c>
      <c r="Z501" t="str">
        <f t="shared" ca="1" si="499"/>
        <v/>
      </c>
      <c r="AA501" t="str">
        <f t="shared" ca="1" si="500"/>
        <v/>
      </c>
      <c r="AB501" s="19" t="str">
        <f t="shared" ca="1" si="501"/>
        <v/>
      </c>
      <c r="AC501" s="19" t="str">
        <f t="shared" ca="1" si="502"/>
        <v/>
      </c>
    </row>
    <row r="502" spans="3:29" x14ac:dyDescent="0.25">
      <c r="C502" s="4">
        <v>495</v>
      </c>
      <c r="D502" s="28">
        <v>42709</v>
      </c>
      <c r="E502" s="30">
        <v>16.966999999999999</v>
      </c>
      <c r="F502" s="30">
        <v>51.049990708046828</v>
      </c>
      <c r="G502" s="30">
        <v>7.0061326890912463</v>
      </c>
      <c r="H502" s="30">
        <v>77.355510128228957</v>
      </c>
      <c r="I502" s="8">
        <v>0</v>
      </c>
      <c r="J502" s="31">
        <v>0</v>
      </c>
      <c r="K502" s="31">
        <v>0</v>
      </c>
      <c r="L502" s="31">
        <v>0</v>
      </c>
      <c r="M502" s="31">
        <v>0</v>
      </c>
      <c r="N502" s="31">
        <v>0</v>
      </c>
      <c r="O502" s="31">
        <v>0</v>
      </c>
      <c r="P502" s="31">
        <v>0</v>
      </c>
      <c r="Q502" s="31">
        <v>0</v>
      </c>
      <c r="R502" s="31">
        <v>0</v>
      </c>
      <c r="S502" s="31">
        <v>0</v>
      </c>
      <c r="T502" s="21" cm="1">
        <f t="array" aca="1" ref="T502" ca="1">+fair_value_gap(OFFSET(S501,0,0,-1*$I$5,-1*$Z$1),OFFSET(E501,0,0,-1*$I$5,1),F502:S502,0)</f>
        <v>18.867605008119412</v>
      </c>
      <c r="U502" s="7" t="str" cm="1">
        <f t="array" aca="1" ref="U502" ca="1">z_score_diff(OFFSET(T502,0,0,$I$5*-1,1),OFFSET(E502,0,0,$I$5*-1,1))</f>
        <v/>
      </c>
      <c r="V502" s="7" t="str">
        <f t="shared" ca="1" si="497"/>
        <v/>
      </c>
      <c r="W502" s="14">
        <f t="shared" ca="1" si="492"/>
        <v>8.0264833692433091E-2</v>
      </c>
      <c r="X502" s="10">
        <f t="shared" ref="X502:Y502" ca="1" si="545">+X501</f>
        <v>0</v>
      </c>
      <c r="Y502" s="10">
        <f t="shared" ca="1" si="545"/>
        <v>0</v>
      </c>
      <c r="Z502" t="str">
        <f t="shared" ca="1" si="499"/>
        <v/>
      </c>
      <c r="AA502" t="str">
        <f t="shared" ca="1" si="500"/>
        <v/>
      </c>
      <c r="AB502" s="19" t="str">
        <f t="shared" ca="1" si="501"/>
        <v/>
      </c>
      <c r="AC502" s="19" t="str">
        <f t="shared" ca="1" si="502"/>
        <v/>
      </c>
    </row>
    <row r="503" spans="3:29" x14ac:dyDescent="0.25">
      <c r="C503" s="4">
        <v>496</v>
      </c>
      <c r="D503" s="28">
        <v>42710</v>
      </c>
      <c r="E503" s="30">
        <v>16.315999999999999</v>
      </c>
      <c r="F503" s="30">
        <v>50.321918447326674</v>
      </c>
      <c r="G503" s="30">
        <v>7.1381916581132776</v>
      </c>
      <c r="H503" s="30">
        <v>73.901278342819822</v>
      </c>
      <c r="I503" s="8">
        <v>0</v>
      </c>
      <c r="J503" s="31">
        <v>0</v>
      </c>
      <c r="K503" s="31">
        <v>0</v>
      </c>
      <c r="L503" s="31">
        <v>0</v>
      </c>
      <c r="M503" s="31">
        <v>0</v>
      </c>
      <c r="N503" s="31">
        <v>0</v>
      </c>
      <c r="O503" s="31">
        <v>0</v>
      </c>
      <c r="P503" s="31">
        <v>0</v>
      </c>
      <c r="Q503" s="31">
        <v>0</v>
      </c>
      <c r="R503" s="31">
        <v>0</v>
      </c>
      <c r="S503" s="31">
        <v>0</v>
      </c>
      <c r="T503" s="21" cm="1">
        <f t="array" aca="1" ref="T503" ca="1">+fair_value_gap(OFFSET(S502,0,0,-1*$I$5,-1*$Z$1),OFFSET(E502,0,0,-1*$I$5,1),F503:S503,0)</f>
        <v>18.398980233338655</v>
      </c>
      <c r="U503" s="7" t="str" cm="1">
        <f t="array" aca="1" ref="U503" ca="1">z_score_diff(OFFSET(T503,0,0,$I$5*-1,1),OFFSET(E503,0,0,$I$5*-1,1))</f>
        <v/>
      </c>
      <c r="V503" s="7" t="str">
        <f t="shared" ca="1" si="497"/>
        <v/>
      </c>
      <c r="W503" s="14">
        <f t="shared" ca="1" si="492"/>
        <v>0.14399527068504139</v>
      </c>
      <c r="X503" s="10">
        <f t="shared" ref="X503:Y503" ca="1" si="546">+X502</f>
        <v>0</v>
      </c>
      <c r="Y503" s="10">
        <f t="shared" ca="1" si="546"/>
        <v>0</v>
      </c>
      <c r="Z503" t="str">
        <f t="shared" ca="1" si="499"/>
        <v/>
      </c>
      <c r="AA503" t="str">
        <f t="shared" ca="1" si="500"/>
        <v/>
      </c>
      <c r="AB503" s="19" t="str">
        <f t="shared" ca="1" si="501"/>
        <v/>
      </c>
      <c r="AC503" s="19" t="str">
        <f t="shared" ca="1" si="502"/>
        <v/>
      </c>
    </row>
    <row r="504" spans="3:29" x14ac:dyDescent="0.25">
      <c r="C504" s="4">
        <v>497</v>
      </c>
      <c r="D504" s="28">
        <v>42711</v>
      </c>
      <c r="E504" s="30">
        <v>16.25</v>
      </c>
      <c r="F504" s="30">
        <v>49.297739745139992</v>
      </c>
      <c r="G504" s="30">
        <v>7.1156171518928479</v>
      </c>
      <c r="H504" s="30">
        <v>73.667565807831835</v>
      </c>
      <c r="I504" s="8">
        <v>0</v>
      </c>
      <c r="J504" s="31">
        <v>0</v>
      </c>
      <c r="K504" s="31">
        <v>0</v>
      </c>
      <c r="L504" s="31">
        <v>0</v>
      </c>
      <c r="M504" s="31">
        <v>0</v>
      </c>
      <c r="N504" s="31">
        <v>0</v>
      </c>
      <c r="O504" s="31">
        <v>0</v>
      </c>
      <c r="P504" s="31">
        <v>0</v>
      </c>
      <c r="Q504" s="31">
        <v>0</v>
      </c>
      <c r="R504" s="31">
        <v>0</v>
      </c>
      <c r="S504" s="31">
        <v>0</v>
      </c>
      <c r="T504" s="21" cm="1">
        <f t="array" aca="1" ref="T504" ca="1">+fair_value_gap(OFFSET(S503,0,0,-1*$I$5,-1*$Z$1),OFFSET(E503,0,0,-1*$I$5,1),F504:S504,0)</f>
        <v>17.942042204321254</v>
      </c>
      <c r="U504" s="7" t="str" cm="1">
        <f t="array" aca="1" ref="U504" ca="1">z_score_diff(OFFSET(T504,0,0,$I$5*-1,1),OFFSET(E504,0,0,$I$5*-1,1))</f>
        <v/>
      </c>
      <c r="V504" s="7" t="str">
        <f t="shared" ca="1" si="497"/>
        <v/>
      </c>
      <c r="W504" s="14">
        <f t="shared" ca="1" si="492"/>
        <v>0.14895036842956494</v>
      </c>
      <c r="X504" s="10">
        <f t="shared" ref="X504:Y504" ca="1" si="547">+X503</f>
        <v>0</v>
      </c>
      <c r="Y504" s="10">
        <f t="shared" ca="1" si="547"/>
        <v>0</v>
      </c>
      <c r="Z504" t="str">
        <f t="shared" ca="1" si="499"/>
        <v/>
      </c>
      <c r="AA504" t="str">
        <f t="shared" ca="1" si="500"/>
        <v/>
      </c>
      <c r="AB504" s="19" t="str">
        <f t="shared" ca="1" si="501"/>
        <v/>
      </c>
      <c r="AC504" s="19" t="str">
        <f t="shared" ca="1" si="502"/>
        <v/>
      </c>
    </row>
    <row r="505" spans="3:29" x14ac:dyDescent="0.25">
      <c r="C505" s="4">
        <v>498</v>
      </c>
      <c r="D505" s="28">
        <v>42712</v>
      </c>
      <c r="E505" s="30">
        <v>16.404</v>
      </c>
      <c r="F505" s="30">
        <v>50.767781441356568</v>
      </c>
      <c r="G505" s="30">
        <v>7.3245407442298633</v>
      </c>
      <c r="H505" s="30">
        <v>76.636834667922741</v>
      </c>
      <c r="I505" s="8">
        <v>0</v>
      </c>
      <c r="J505" s="31">
        <v>0</v>
      </c>
      <c r="K505" s="31">
        <v>0</v>
      </c>
      <c r="L505" s="31">
        <v>0</v>
      </c>
      <c r="M505" s="31">
        <v>0</v>
      </c>
      <c r="N505" s="31">
        <v>0</v>
      </c>
      <c r="O505" s="31">
        <v>0</v>
      </c>
      <c r="P505" s="31">
        <v>0</v>
      </c>
      <c r="Q505" s="31">
        <v>0</v>
      </c>
      <c r="R505" s="31">
        <v>0</v>
      </c>
      <c r="S505" s="31">
        <v>0</v>
      </c>
      <c r="T505" s="21" cm="1">
        <f t="array" aca="1" ref="T505" ca="1">+fair_value_gap(OFFSET(S504,0,0,-1*$I$5,-1*$Z$1),OFFSET(E504,0,0,-1*$I$5,1),F505:S505,0)</f>
        <v>18.2519373809263</v>
      </c>
      <c r="U505" s="7" t="str" cm="1">
        <f t="array" aca="1" ref="U505" ca="1">z_score_diff(OFFSET(T505,0,0,$I$5*-1,1),OFFSET(E505,0,0,$I$5*-1,1))</f>
        <v/>
      </c>
      <c r="V505" s="7" t="str">
        <f t="shared" ca="1" si="497"/>
        <v/>
      </c>
      <c r="W505" s="14">
        <f t="shared" ca="1" si="492"/>
        <v>0.12256715181543315</v>
      </c>
      <c r="X505" s="10">
        <f t="shared" ref="X505:Y505" ca="1" si="548">+X504</f>
        <v>0</v>
      </c>
      <c r="Y505" s="10">
        <f t="shared" ca="1" si="548"/>
        <v>0</v>
      </c>
      <c r="Z505" t="str">
        <f t="shared" ca="1" si="499"/>
        <v/>
      </c>
      <c r="AA505" t="str">
        <f t="shared" ca="1" si="500"/>
        <v/>
      </c>
      <c r="AB505" s="19" t="str">
        <f t="shared" ca="1" si="501"/>
        <v/>
      </c>
      <c r="AC505" s="19" t="str">
        <f t="shared" ca="1" si="502"/>
        <v/>
      </c>
    </row>
    <row r="506" spans="3:29" x14ac:dyDescent="0.25">
      <c r="C506" s="4">
        <v>499</v>
      </c>
      <c r="D506" s="28">
        <v>42713</v>
      </c>
      <c r="E506" s="30">
        <v>16.492000000000001</v>
      </c>
      <c r="F506" s="30">
        <v>51.453736149256557</v>
      </c>
      <c r="G506" s="30">
        <v>7.415474950279382</v>
      </c>
      <c r="H506" s="30">
        <v>76.995927644663311</v>
      </c>
      <c r="I506" s="8">
        <v>0</v>
      </c>
      <c r="J506" s="31">
        <v>0</v>
      </c>
      <c r="K506" s="31">
        <v>0</v>
      </c>
      <c r="L506" s="31">
        <v>0</v>
      </c>
      <c r="M506" s="31">
        <v>0</v>
      </c>
      <c r="N506" s="31">
        <v>0</v>
      </c>
      <c r="O506" s="31">
        <v>0</v>
      </c>
      <c r="P506" s="31">
        <v>0</v>
      </c>
      <c r="Q506" s="31">
        <v>0</v>
      </c>
      <c r="R506" s="31">
        <v>0</v>
      </c>
      <c r="S506" s="31">
        <v>0</v>
      </c>
      <c r="T506" s="21" cm="1">
        <f t="array" aca="1" ref="T506" ca="1">+fair_value_gap(OFFSET(S505,0,0,-1*$I$5,-1*$Z$1),OFFSET(E505,0,0,-1*$I$5,1),F506:S506,0)</f>
        <v>18.193791567145539</v>
      </c>
      <c r="U506" s="7" cm="1">
        <f t="array" aca="1" ref="U506" ca="1">z_score_diff(OFFSET(T506,0,0,$I$5*-1,1),OFFSET(E506,0,0,$I$5*-1,1))</f>
        <v>0.31869631127445364</v>
      </c>
      <c r="V506" s="7">
        <f t="shared" ca="1" si="497"/>
        <v>0.31869631127445364</v>
      </c>
      <c r="W506" s="14">
        <f t="shared" ca="1" si="492"/>
        <v>0.1487482190832744</v>
      </c>
      <c r="X506" s="10">
        <f t="shared" ref="X506:Y506" ca="1" si="549">+X505</f>
        <v>0</v>
      </c>
      <c r="Y506" s="10">
        <f t="shared" ca="1" si="549"/>
        <v>0</v>
      </c>
      <c r="Z506">
        <f t="shared" ca="1" si="499"/>
        <v>0</v>
      </c>
      <c r="AA506">
        <f t="shared" ca="1" si="500"/>
        <v>1</v>
      </c>
      <c r="AB506" s="19">
        <f t="shared" ca="1" si="501"/>
        <v>0</v>
      </c>
      <c r="AC506" s="19">
        <f t="shared" ca="1" si="502"/>
        <v>0.1487482190832744</v>
      </c>
    </row>
    <row r="507" spans="3:29" x14ac:dyDescent="0.25">
      <c r="C507" s="4">
        <v>500</v>
      </c>
      <c r="D507" s="28">
        <v>42716</v>
      </c>
      <c r="E507" s="30">
        <v>17.100000000000001</v>
      </c>
      <c r="F507" s="30">
        <v>52.369757381982325</v>
      </c>
      <c r="G507" s="30">
        <v>7.4054918186947534</v>
      </c>
      <c r="H507" s="30">
        <v>78.192589806281745</v>
      </c>
      <c r="I507" s="8">
        <v>0</v>
      </c>
      <c r="J507" s="31">
        <v>0</v>
      </c>
      <c r="K507" s="31">
        <v>0</v>
      </c>
      <c r="L507" s="31">
        <v>0</v>
      </c>
      <c r="M507" s="31">
        <v>0</v>
      </c>
      <c r="N507" s="31">
        <v>0</v>
      </c>
      <c r="O507" s="31">
        <v>0</v>
      </c>
      <c r="P507" s="31">
        <v>0</v>
      </c>
      <c r="Q507" s="31">
        <v>0</v>
      </c>
      <c r="R507" s="31">
        <v>0</v>
      </c>
      <c r="S507" s="31">
        <v>0</v>
      </c>
      <c r="T507" s="21" cm="1">
        <f t="array" aca="1" ref="T507" ca="1">+fair_value_gap(OFFSET(S506,0,0,-1*$I$5,-1*$Z$1),OFFSET(E506,0,0,-1*$I$5,1),F507:S507,0)</f>
        <v>18.059953308355549</v>
      </c>
      <c r="U507" s="7" cm="1">
        <f t="array" aca="1" ref="U507" ca="1">z_score_diff(OFFSET(T507,0,0,$I$5*-1,1),OFFSET(E507,0,0,$I$5*-1,1))</f>
        <v>-4.9441687680835011E-2</v>
      </c>
      <c r="V507" s="7">
        <f t="shared" ca="1" si="497"/>
        <v>0.13462731179680931</v>
      </c>
      <c r="W507" s="14">
        <f t="shared" ca="1" si="492"/>
        <v>0.14690645859049672</v>
      </c>
      <c r="X507" s="10">
        <f t="shared" ref="X507:Y507" ca="1" si="550">+X506</f>
        <v>0</v>
      </c>
      <c r="Y507" s="10">
        <f t="shared" ca="1" si="550"/>
        <v>0</v>
      </c>
      <c r="Z507">
        <f t="shared" ca="1" si="499"/>
        <v>0</v>
      </c>
      <c r="AA507">
        <f t="shared" ca="1" si="500"/>
        <v>1</v>
      </c>
      <c r="AB507" s="19">
        <f t="shared" ca="1" si="501"/>
        <v>0</v>
      </c>
      <c r="AC507" s="19">
        <f t="shared" ca="1" si="502"/>
        <v>0.14690645859049672</v>
      </c>
    </row>
    <row r="508" spans="3:29" x14ac:dyDescent="0.25">
      <c r="C508" s="4">
        <v>501</v>
      </c>
      <c r="D508" s="28">
        <v>42717</v>
      </c>
      <c r="E508" s="30">
        <v>17.132999999999999</v>
      </c>
      <c r="F508" s="30">
        <v>52.442352941176466</v>
      </c>
      <c r="G508" s="30">
        <v>7.3929411764705888</v>
      </c>
      <c r="H508" s="30">
        <v>77.411764705882348</v>
      </c>
      <c r="I508" s="8">
        <v>0</v>
      </c>
      <c r="J508" s="31">
        <v>0</v>
      </c>
      <c r="K508" s="31">
        <v>0</v>
      </c>
      <c r="L508" s="31">
        <v>0</v>
      </c>
      <c r="M508" s="31">
        <v>0</v>
      </c>
      <c r="N508" s="31">
        <v>0</v>
      </c>
      <c r="O508" s="31">
        <v>0</v>
      </c>
      <c r="P508" s="31">
        <v>0</v>
      </c>
      <c r="Q508" s="31">
        <v>0</v>
      </c>
      <c r="R508" s="31">
        <v>0</v>
      </c>
      <c r="S508" s="31">
        <v>0</v>
      </c>
      <c r="T508" s="21" cm="1">
        <f t="array" aca="1" ref="T508" ca="1">+fair_value_gap(OFFSET(S507,0,0,-1*$I$5,-1*$Z$1),OFFSET(E507,0,0,-1*$I$5,1),F508:S508,0)</f>
        <v>17.874332200866853</v>
      </c>
      <c r="U508" s="7" cm="1">
        <f t="array" aca="1" ref="U508" ca="1">z_score_diff(OFFSET(T508,0,0,$I$5*-1,1),OFFSET(E508,0,0,$I$5*-1,1))</f>
        <v>-0.14824841144591439</v>
      </c>
      <c r="V508" s="7">
        <f t="shared" ca="1" si="497"/>
        <v>4.0335404049234747E-2</v>
      </c>
      <c r="W508" s="14">
        <f t="shared" ca="1" si="492"/>
        <v>0.17946723709160256</v>
      </c>
      <c r="X508" s="10">
        <f t="shared" ref="X508:Y508" ca="1" si="551">+X507</f>
        <v>0</v>
      </c>
      <c r="Y508" s="10">
        <f t="shared" ca="1" si="551"/>
        <v>0</v>
      </c>
      <c r="Z508">
        <f t="shared" ca="1" si="499"/>
        <v>0</v>
      </c>
      <c r="AA508">
        <f t="shared" ca="1" si="500"/>
        <v>1</v>
      </c>
      <c r="AB508" s="19">
        <f t="shared" ca="1" si="501"/>
        <v>0</v>
      </c>
      <c r="AC508" s="19">
        <f t="shared" ca="1" si="502"/>
        <v>0.17946723709160256</v>
      </c>
    </row>
    <row r="509" spans="3:29" x14ac:dyDescent="0.25">
      <c r="C509" s="4">
        <v>502</v>
      </c>
      <c r="D509" s="28">
        <v>42718</v>
      </c>
      <c r="E509" s="30">
        <v>17.123999999999999</v>
      </c>
      <c r="F509" s="30">
        <v>51.16279069767441</v>
      </c>
      <c r="G509" s="30">
        <v>7.4560987185571896</v>
      </c>
      <c r="H509" s="30">
        <v>79.591836734693871</v>
      </c>
      <c r="I509" s="8">
        <v>0</v>
      </c>
      <c r="J509" s="31">
        <v>0</v>
      </c>
      <c r="K509" s="31">
        <v>0</v>
      </c>
      <c r="L509" s="31">
        <v>0</v>
      </c>
      <c r="M509" s="31">
        <v>0</v>
      </c>
      <c r="N509" s="31">
        <v>0</v>
      </c>
      <c r="O509" s="31">
        <v>0</v>
      </c>
      <c r="P509" s="31">
        <v>0</v>
      </c>
      <c r="Q509" s="31">
        <v>0</v>
      </c>
      <c r="R509" s="31">
        <v>0</v>
      </c>
      <c r="S509" s="31">
        <v>0</v>
      </c>
      <c r="T509" s="21" cm="1">
        <f t="array" aca="1" ref="T509" ca="1">+fair_value_gap(OFFSET(S508,0,0,-1*$I$5,-1*$Z$1),OFFSET(E508,0,0,-1*$I$5,1),F509:S509,0)</f>
        <v>17.889835864272396</v>
      </c>
      <c r="U509" s="7" cm="1">
        <f t="array" aca="1" ref="U509" ca="1">z_score_diff(OFFSET(T509,0,0,$I$5*-1,1),OFFSET(E509,0,0,$I$5*-1,1))</f>
        <v>-0.13282909987816849</v>
      </c>
      <c r="V509" s="7">
        <f t="shared" ca="1" si="497"/>
        <v>-2.9557219326160622E-3</v>
      </c>
      <c r="W509" s="14">
        <f t="shared" ca="1" si="492"/>
        <v>0.17107542061817657</v>
      </c>
      <c r="X509" s="10">
        <f t="shared" ref="X509:Y509" ca="1" si="552">+X508</f>
        <v>0</v>
      </c>
      <c r="Y509" s="10">
        <f t="shared" ca="1" si="552"/>
        <v>0</v>
      </c>
      <c r="Z509">
        <f t="shared" ca="1" si="499"/>
        <v>1</v>
      </c>
      <c r="AA509">
        <f t="shared" ca="1" si="500"/>
        <v>0</v>
      </c>
      <c r="AB509" s="19">
        <f t="shared" ca="1" si="501"/>
        <v>0.17107542061817657</v>
      </c>
      <c r="AC509" s="19">
        <f t="shared" ca="1" si="502"/>
        <v>0</v>
      </c>
    </row>
    <row r="510" spans="3:29" x14ac:dyDescent="0.25">
      <c r="C510" s="4">
        <v>503</v>
      </c>
      <c r="D510" s="28">
        <v>42719</v>
      </c>
      <c r="E510" s="30">
        <v>17.170000000000002</v>
      </c>
      <c r="F510" s="30">
        <v>51.882443334613917</v>
      </c>
      <c r="G510" s="30">
        <v>7.5441797925470624</v>
      </c>
      <c r="H510" s="30">
        <v>81.396465616596245</v>
      </c>
      <c r="I510" s="8">
        <v>0</v>
      </c>
      <c r="J510" s="31">
        <v>0</v>
      </c>
      <c r="K510" s="31">
        <v>0</v>
      </c>
      <c r="L510" s="31">
        <v>0</v>
      </c>
      <c r="M510" s="31">
        <v>0</v>
      </c>
      <c r="N510" s="31">
        <v>0</v>
      </c>
      <c r="O510" s="31">
        <v>0</v>
      </c>
      <c r="P510" s="31">
        <v>0</v>
      </c>
      <c r="Q510" s="31">
        <v>0</v>
      </c>
      <c r="R510" s="31">
        <v>0</v>
      </c>
      <c r="S510" s="31">
        <v>0</v>
      </c>
      <c r="T510" s="21" cm="1">
        <f t="array" aca="1" ref="T510" ca="1">+fair_value_gap(OFFSET(S509,0,0,-1*$I$5,-1*$Z$1),OFFSET(E509,0,0,-1*$I$5,1),F510:S510,0)</f>
        <v>18.046121098364537</v>
      </c>
      <c r="U510" s="7" cm="1">
        <f t="array" aca="1" ref="U510" ca="1">z_score_diff(OFFSET(T510,0,0,$I$5*-1,1),OFFSET(E510,0,0,$I$5*-1,1))</f>
        <v>-8.2742068472857033E-2</v>
      </c>
      <c r="V510" s="7">
        <f t="shared" ca="1" si="497"/>
        <v>-1.8912991240664256E-2</v>
      </c>
      <c r="W510" s="14">
        <f t="shared" ca="1" si="492"/>
        <v>0.15296851866593367</v>
      </c>
      <c r="X510" s="10">
        <f t="shared" ref="X510:Y510" ca="1" si="553">+X509</f>
        <v>0</v>
      </c>
      <c r="Y510" s="10">
        <f t="shared" ca="1" si="553"/>
        <v>0</v>
      </c>
      <c r="Z510">
        <f t="shared" ca="1" si="499"/>
        <v>1</v>
      </c>
      <c r="AA510">
        <f t="shared" ca="1" si="500"/>
        <v>0</v>
      </c>
      <c r="AB510" s="19">
        <f t="shared" ca="1" si="501"/>
        <v>0.15296851866593367</v>
      </c>
      <c r="AC510" s="19">
        <f t="shared" ca="1" si="502"/>
        <v>0</v>
      </c>
    </row>
    <row r="511" spans="3:29" x14ac:dyDescent="0.25">
      <c r="C511" s="4">
        <v>504</v>
      </c>
      <c r="D511" s="28">
        <v>42720</v>
      </c>
      <c r="E511" s="30">
        <v>17.498999999999999</v>
      </c>
      <c r="F511" s="30">
        <v>52.847707475830383</v>
      </c>
      <c r="G511" s="30">
        <v>8.4234708528764255</v>
      </c>
      <c r="H511" s="30">
        <v>80.405858141093134</v>
      </c>
      <c r="I511" s="8">
        <v>0</v>
      </c>
      <c r="J511" s="31">
        <v>0</v>
      </c>
      <c r="K511" s="31">
        <v>0</v>
      </c>
      <c r="L511" s="31">
        <v>0</v>
      </c>
      <c r="M511" s="31">
        <v>0</v>
      </c>
      <c r="N511" s="31">
        <v>0</v>
      </c>
      <c r="O511" s="31">
        <v>0</v>
      </c>
      <c r="P511" s="31">
        <v>0</v>
      </c>
      <c r="Q511" s="31">
        <v>0</v>
      </c>
      <c r="R511" s="31">
        <v>0</v>
      </c>
      <c r="S511" s="31">
        <v>0</v>
      </c>
      <c r="T511" s="21" cm="1">
        <f t="array" aca="1" ref="T511" ca="1">+fair_value_gap(OFFSET(S510,0,0,-1*$I$5,-1*$Z$1),OFFSET(E510,0,0,-1*$I$5,1),F511:S511,0)</f>
        <v>19.182003924030841</v>
      </c>
      <c r="U511" s="7" cm="1">
        <f t="array" aca="1" ref="U511" ca="1">z_score_diff(OFFSET(T511,0,0,$I$5*-1,1),OFFSET(E511,0,0,$I$5*-1,1))</f>
        <v>0.2694821950620736</v>
      </c>
      <c r="V511" s="7">
        <f t="shared" ca="1" si="497"/>
        <v>2.9152873143125386E-2</v>
      </c>
      <c r="W511" s="14">
        <f t="shared" ca="1" si="492"/>
        <v>8.2400500344947419E-2</v>
      </c>
      <c r="X511" s="10">
        <f t="shared" ref="X511:Y511" ca="1" si="554">+X510</f>
        <v>0</v>
      </c>
      <c r="Y511" s="10">
        <f t="shared" ca="1" si="554"/>
        <v>0</v>
      </c>
      <c r="Z511">
        <f t="shared" ca="1" si="499"/>
        <v>0</v>
      </c>
      <c r="AA511">
        <f t="shared" ca="1" si="500"/>
        <v>1</v>
      </c>
      <c r="AB511" s="19">
        <f t="shared" ca="1" si="501"/>
        <v>0</v>
      </c>
      <c r="AC511" s="19">
        <f t="shared" ca="1" si="502"/>
        <v>8.2400500344947419E-2</v>
      </c>
    </row>
    <row r="512" spans="3:29" x14ac:dyDescent="0.25">
      <c r="C512" s="4">
        <v>505</v>
      </c>
      <c r="D512" s="28">
        <v>42723</v>
      </c>
      <c r="E512" s="30">
        <v>17.350000000000001</v>
      </c>
      <c r="F512" s="30">
        <v>52.797538934820231</v>
      </c>
      <c r="G512" s="30">
        <v>8.4599115554701019</v>
      </c>
      <c r="H512" s="30">
        <v>78.446452605268206</v>
      </c>
      <c r="I512" s="8">
        <v>0</v>
      </c>
      <c r="J512" s="31">
        <v>0</v>
      </c>
      <c r="K512" s="31">
        <v>0</v>
      </c>
      <c r="L512" s="31">
        <v>0</v>
      </c>
      <c r="M512" s="31">
        <v>0</v>
      </c>
      <c r="N512" s="31">
        <v>0</v>
      </c>
      <c r="O512" s="31">
        <v>0</v>
      </c>
      <c r="P512" s="31">
        <v>0</v>
      </c>
      <c r="Q512" s="31">
        <v>0</v>
      </c>
      <c r="R512" s="31">
        <v>0</v>
      </c>
      <c r="S512" s="31">
        <v>0</v>
      </c>
      <c r="T512" s="21" cm="1">
        <f t="array" aca="1" ref="T512" ca="1">+fair_value_gap(OFFSET(S511,0,0,-1*$I$5,-1*$Z$1),OFFSET(E511,0,0,-1*$I$5,1),F512:S512,0)</f>
        <v>18.747022300924126</v>
      </c>
      <c r="U512" s="7" cm="1">
        <f t="array" aca="1" ref="U512" ca="1">z_score_diff(OFFSET(T512,0,0,$I$5*-1,1),OFFSET(E512,0,0,$I$5*-1,1))</f>
        <v>0.13920416283903592</v>
      </c>
      <c r="V512" s="7">
        <f t="shared" ca="1" si="497"/>
        <v>4.4874485956826894E-2</v>
      </c>
      <c r="W512" s="14">
        <f t="shared" ca="1" si="492"/>
        <v>0.11502547466955068</v>
      </c>
      <c r="X512" s="10">
        <f t="shared" ref="X512:Y512" ca="1" si="555">+X511</f>
        <v>0</v>
      </c>
      <c r="Y512" s="10">
        <f t="shared" ca="1" si="555"/>
        <v>0</v>
      </c>
      <c r="Z512">
        <f t="shared" ca="1" si="499"/>
        <v>0</v>
      </c>
      <c r="AA512">
        <f t="shared" ca="1" si="500"/>
        <v>1</v>
      </c>
      <c r="AB512" s="19">
        <f t="shared" ca="1" si="501"/>
        <v>0</v>
      </c>
      <c r="AC512" s="19">
        <f t="shared" ca="1" si="502"/>
        <v>0.11502547466955068</v>
      </c>
    </row>
    <row r="513" spans="3:29" x14ac:dyDescent="0.25">
      <c r="C513" s="4">
        <v>506</v>
      </c>
      <c r="D513" s="28">
        <v>42724</v>
      </c>
      <c r="E513" s="30">
        <v>17.498999999999999</v>
      </c>
      <c r="F513" s="30">
        <v>53.298025999037073</v>
      </c>
      <c r="G513" s="30">
        <v>8.4737602311025526</v>
      </c>
      <c r="H513" s="30">
        <v>79.826673086181998</v>
      </c>
      <c r="I513" s="8">
        <v>0</v>
      </c>
      <c r="J513" s="31">
        <v>0</v>
      </c>
      <c r="K513" s="31">
        <v>0</v>
      </c>
      <c r="L513" s="31">
        <v>0</v>
      </c>
      <c r="M513" s="31">
        <v>0</v>
      </c>
      <c r="N513" s="31">
        <v>0</v>
      </c>
      <c r="O513" s="31">
        <v>0</v>
      </c>
      <c r="P513" s="31">
        <v>0</v>
      </c>
      <c r="Q513" s="31">
        <v>0</v>
      </c>
      <c r="R513" s="31">
        <v>0</v>
      </c>
      <c r="S513" s="31">
        <v>0</v>
      </c>
      <c r="T513" s="21" cm="1">
        <f t="array" aca="1" ref="T513" ca="1">+fair_value_gap(OFFSET(S512,0,0,-1*$I$5,-1*$Z$1),OFFSET(E512,0,0,-1*$I$5,1),F513:S513,0)</f>
        <v>18.527543787436777</v>
      </c>
      <c r="U513" s="7" cm="1">
        <f t="array" aca="1" ref="U513" ca="1">z_score_diff(OFFSET(T513,0,0,$I$5*-1,1),OFFSET(E513,0,0,$I$5*-1,1))</f>
        <v>-3.2436105239997293E-2</v>
      </c>
      <c r="V513" s="7">
        <f t="shared" ca="1" si="497"/>
        <v>3.5210662057223868E-2</v>
      </c>
      <c r="W513" s="14">
        <f t="shared" ca="1" si="492"/>
        <v>0.11435474799908157</v>
      </c>
      <c r="X513" s="10">
        <f t="shared" ref="X513:Y513" ca="1" si="556">+X512</f>
        <v>0</v>
      </c>
      <c r="Y513" s="10">
        <f t="shared" ca="1" si="556"/>
        <v>0</v>
      </c>
      <c r="Z513">
        <f t="shared" ca="1" si="499"/>
        <v>0</v>
      </c>
      <c r="AA513">
        <f t="shared" ca="1" si="500"/>
        <v>1</v>
      </c>
      <c r="AB513" s="19">
        <f t="shared" ca="1" si="501"/>
        <v>0</v>
      </c>
      <c r="AC513" s="19">
        <f t="shared" ca="1" si="502"/>
        <v>0.11435474799908157</v>
      </c>
    </row>
    <row r="514" spans="3:29" x14ac:dyDescent="0.25">
      <c r="C514" s="4">
        <v>507</v>
      </c>
      <c r="D514" s="28">
        <v>42725</v>
      </c>
      <c r="E514" s="30">
        <v>17.63</v>
      </c>
      <c r="F514" s="30">
        <v>52.249832102081932</v>
      </c>
      <c r="G514" s="30">
        <v>8.4428667370238895</v>
      </c>
      <c r="H514" s="30">
        <v>80.159263167993856</v>
      </c>
      <c r="I514" s="8">
        <v>0</v>
      </c>
      <c r="J514" s="31">
        <v>0</v>
      </c>
      <c r="K514" s="31">
        <v>0</v>
      </c>
      <c r="L514" s="31">
        <v>0</v>
      </c>
      <c r="M514" s="31">
        <v>0</v>
      </c>
      <c r="N514" s="31">
        <v>0</v>
      </c>
      <c r="O514" s="31">
        <v>0</v>
      </c>
      <c r="P514" s="31">
        <v>0</v>
      </c>
      <c r="Q514" s="31">
        <v>0</v>
      </c>
      <c r="R514" s="31">
        <v>0</v>
      </c>
      <c r="S514" s="31">
        <v>0</v>
      </c>
      <c r="T514" s="21" cm="1">
        <f t="array" aca="1" ref="T514" ca="1">+fair_value_gap(OFFSET(S513,0,0,-1*$I$5,-1*$Z$1),OFFSET(E513,0,0,-1*$I$5,1),F514:S514,0)</f>
        <v>18.138107055091513</v>
      </c>
      <c r="U514" s="7" cm="1">
        <f t="array" aca="1" ref="U514" ca="1">z_score_diff(OFFSET(T514,0,0,$I$5*-1,1),OFFSET(E514,0,0,$I$5*-1,1))</f>
        <v>-0.26011339520048238</v>
      </c>
      <c r="V514" s="7">
        <f t="shared" ca="1" si="497"/>
        <v>2.3968779174787297E-3</v>
      </c>
      <c r="W514" s="14">
        <f t="shared" ca="1" si="492"/>
        <v>0.12156989438788049</v>
      </c>
      <c r="X514" s="10">
        <f t="shared" ref="X514:Y514" ca="1" si="557">+X513</f>
        <v>0</v>
      </c>
      <c r="Y514" s="10">
        <f t="shared" ca="1" si="557"/>
        <v>0</v>
      </c>
      <c r="Z514">
        <f t="shared" ca="1" si="499"/>
        <v>0</v>
      </c>
      <c r="AA514">
        <f t="shared" ca="1" si="500"/>
        <v>1</v>
      </c>
      <c r="AB514" s="19">
        <f t="shared" ca="1" si="501"/>
        <v>0</v>
      </c>
      <c r="AC514" s="19">
        <f t="shared" ca="1" si="502"/>
        <v>0.12156989438788049</v>
      </c>
    </row>
    <row r="515" spans="3:29" x14ac:dyDescent="0.25">
      <c r="C515" s="4">
        <v>508</v>
      </c>
      <c r="D515" s="28">
        <v>42726</v>
      </c>
      <c r="E515" s="30">
        <v>18.061</v>
      </c>
      <c r="F515" s="30">
        <v>52.755150934355527</v>
      </c>
      <c r="G515" s="30">
        <v>8.4331576425491139</v>
      </c>
      <c r="H515" s="30">
        <v>79.540009583133681</v>
      </c>
      <c r="I515" s="8">
        <v>0</v>
      </c>
      <c r="J515" s="31">
        <v>0</v>
      </c>
      <c r="K515" s="31">
        <v>0</v>
      </c>
      <c r="L515" s="31">
        <v>0</v>
      </c>
      <c r="M515" s="31">
        <v>0</v>
      </c>
      <c r="N515" s="31">
        <v>0</v>
      </c>
      <c r="O515" s="31">
        <v>0</v>
      </c>
      <c r="P515" s="31">
        <v>0</v>
      </c>
      <c r="Q515" s="31">
        <v>0</v>
      </c>
      <c r="R515" s="31">
        <v>0</v>
      </c>
      <c r="S515" s="31">
        <v>0</v>
      </c>
      <c r="T515" s="21" cm="1">
        <f t="array" aca="1" ref="T515" ca="1">+fair_value_gap(OFFSET(S514,0,0,-1*$I$5,-1*$Z$1),OFFSET(E514,0,0,-1*$I$5,1),F515:S515,0)</f>
        <v>18.045569067761445</v>
      </c>
      <c r="U515" s="7" cm="1">
        <f t="array" aca="1" ref="U515" ca="1">z_score_diff(OFFSET(T515,0,0,$I$5*-1,1),OFFSET(E515,0,0,$I$5*-1,1))</f>
        <v>-0.49300945842716648</v>
      </c>
      <c r="V515" s="7">
        <f t="shared" ca="1" si="497"/>
        <v>-4.7143755716985793E-2</v>
      </c>
      <c r="W515" s="14">
        <f t="shared" ca="1" si="492"/>
        <v>0.12632844697629544</v>
      </c>
      <c r="X515" s="10">
        <f t="shared" ref="X515:Y515" ca="1" si="558">+X514</f>
        <v>0</v>
      </c>
      <c r="Y515" s="10">
        <f t="shared" ca="1" si="558"/>
        <v>0</v>
      </c>
      <c r="Z515">
        <f t="shared" ca="1" si="499"/>
        <v>1</v>
      </c>
      <c r="AA515">
        <f t="shared" ca="1" si="500"/>
        <v>0</v>
      </c>
      <c r="AB515" s="19">
        <f t="shared" ca="1" si="501"/>
        <v>0.12632844697629544</v>
      </c>
      <c r="AC515" s="19">
        <f t="shared" ca="1" si="502"/>
        <v>0</v>
      </c>
    </row>
    <row r="516" spans="3:29" x14ac:dyDescent="0.25">
      <c r="C516" s="4">
        <v>509</v>
      </c>
      <c r="D516" s="28">
        <v>42727</v>
      </c>
      <c r="E516" s="30">
        <v>18.081</v>
      </c>
      <c r="F516" s="30">
        <v>52.764492060455318</v>
      </c>
      <c r="G516" s="30">
        <v>8.4178304955041128</v>
      </c>
      <c r="H516" s="30">
        <v>79.491103883680879</v>
      </c>
      <c r="I516" s="8">
        <v>0</v>
      </c>
      <c r="J516" s="31">
        <v>0</v>
      </c>
      <c r="K516" s="31">
        <v>0</v>
      </c>
      <c r="L516" s="31">
        <v>0</v>
      </c>
      <c r="M516" s="31">
        <v>0</v>
      </c>
      <c r="N516" s="31">
        <v>0</v>
      </c>
      <c r="O516" s="31">
        <v>0</v>
      </c>
      <c r="P516" s="31">
        <v>0</v>
      </c>
      <c r="Q516" s="31">
        <v>0</v>
      </c>
      <c r="R516" s="31">
        <v>0</v>
      </c>
      <c r="S516" s="31">
        <v>0</v>
      </c>
      <c r="T516" s="21" cm="1">
        <f t="array" aca="1" ref="T516" ca="1">+fair_value_gap(OFFSET(S515,0,0,-1*$I$5,-1*$Z$1),OFFSET(E515,0,0,-1*$I$5,1),F516:S516,0)</f>
        <v>18.030074615345868</v>
      </c>
      <c r="U516" s="7" cm="1">
        <f t="array" aca="1" ref="U516" ca="1">z_score_diff(OFFSET(T516,0,0,$I$5*-1,1),OFFSET(E516,0,0,$I$5*-1,1))</f>
        <v>-0.49663678105138032</v>
      </c>
      <c r="V516" s="7">
        <f t="shared" ca="1" si="497"/>
        <v>-8.8006758020112569E-2</v>
      </c>
      <c r="W516" s="14">
        <f t="shared" ca="1" si="492"/>
        <v>0.15573751182581438</v>
      </c>
      <c r="X516" s="10">
        <f t="shared" ref="X516:Y516" ca="1" si="559">+X515</f>
        <v>0</v>
      </c>
      <c r="Y516" s="10">
        <f t="shared" ca="1" si="559"/>
        <v>0</v>
      </c>
      <c r="Z516">
        <f t="shared" ca="1" si="499"/>
        <v>1</v>
      </c>
      <c r="AA516">
        <f t="shared" ca="1" si="500"/>
        <v>0</v>
      </c>
      <c r="AB516" s="19">
        <f t="shared" ca="1" si="501"/>
        <v>0.15573751182581438</v>
      </c>
      <c r="AC516" s="19">
        <f t="shared" ca="1" si="502"/>
        <v>0</v>
      </c>
    </row>
    <row r="517" spans="3:29" x14ac:dyDescent="0.25">
      <c r="C517" s="4">
        <v>510</v>
      </c>
      <c r="D517" s="28">
        <v>42731</v>
      </c>
      <c r="E517" s="30">
        <v>18.334</v>
      </c>
      <c r="F517" s="30">
        <v>53.648971783835485</v>
      </c>
      <c r="G517" s="30">
        <v>8.4170253467240546</v>
      </c>
      <c r="H517" s="30">
        <v>79.483500717360101</v>
      </c>
      <c r="I517" s="8">
        <v>0</v>
      </c>
      <c r="J517" s="31">
        <v>0</v>
      </c>
      <c r="K517" s="31">
        <v>0</v>
      </c>
      <c r="L517" s="31">
        <v>0</v>
      </c>
      <c r="M517" s="31">
        <v>0</v>
      </c>
      <c r="N517" s="31">
        <v>0</v>
      </c>
      <c r="O517" s="31">
        <v>0</v>
      </c>
      <c r="P517" s="31">
        <v>0</v>
      </c>
      <c r="Q517" s="31">
        <v>0</v>
      </c>
      <c r="R517" s="31">
        <v>0</v>
      </c>
      <c r="S517" s="31">
        <v>0</v>
      </c>
      <c r="T517" s="21" cm="1">
        <f t="array" aca="1" ref="T517" ca="1">+fair_value_gap(OFFSET(S516,0,0,-1*$I$5,-1*$Z$1),OFFSET(E516,0,0,-1*$I$5,1),F517:S517,0)</f>
        <v>18.066729338757117</v>
      </c>
      <c r="U517" s="7" cm="1">
        <f t="array" aca="1" ref="U517" ca="1">z_score_diff(OFFSET(T517,0,0,$I$5*-1,1),OFFSET(E517,0,0,$I$5*-1,1))</f>
        <v>-0.58854478683138534</v>
      </c>
      <c r="V517" s="7">
        <f t="shared" ca="1" si="497"/>
        <v>-0.12971826042105197</v>
      </c>
      <c r="W517" s="14">
        <f t="shared" ca="1" si="492"/>
        <v>0.12152135776699059</v>
      </c>
      <c r="X517" s="10">
        <f t="shared" ref="X517:Y517" ca="1" si="560">+X516</f>
        <v>0</v>
      </c>
      <c r="Y517" s="10">
        <f t="shared" ca="1" si="560"/>
        <v>0</v>
      </c>
      <c r="Z517">
        <f t="shared" ca="1" si="499"/>
        <v>1</v>
      </c>
      <c r="AA517">
        <f t="shared" ca="1" si="500"/>
        <v>0</v>
      </c>
      <c r="AB517" s="19">
        <f t="shared" ca="1" si="501"/>
        <v>0.12152135776699059</v>
      </c>
      <c r="AC517" s="19">
        <f t="shared" ca="1" si="502"/>
        <v>0</v>
      </c>
    </row>
    <row r="518" spans="3:29" x14ac:dyDescent="0.25">
      <c r="C518" s="4">
        <v>511</v>
      </c>
      <c r="D518" s="28">
        <v>42732</v>
      </c>
      <c r="E518" s="30">
        <v>18.774000000000001</v>
      </c>
      <c r="F518" s="30">
        <v>54.021331795906605</v>
      </c>
      <c r="G518" s="30">
        <v>8.4558470260401659</v>
      </c>
      <c r="H518" s="30">
        <v>79.946190064379749</v>
      </c>
      <c r="I518" s="8">
        <v>0</v>
      </c>
      <c r="J518" s="31">
        <v>0</v>
      </c>
      <c r="K518" s="31">
        <v>0</v>
      </c>
      <c r="L518" s="31">
        <v>0</v>
      </c>
      <c r="M518" s="31">
        <v>0</v>
      </c>
      <c r="N518" s="31">
        <v>0</v>
      </c>
      <c r="O518" s="31">
        <v>0</v>
      </c>
      <c r="P518" s="31">
        <v>0</v>
      </c>
      <c r="Q518" s="31">
        <v>0</v>
      </c>
      <c r="R518" s="31">
        <v>0</v>
      </c>
      <c r="S518" s="31">
        <v>0</v>
      </c>
      <c r="T518" s="21" cm="1">
        <f t="array" aca="1" ref="T518" ca="1">+fair_value_gap(OFFSET(S517,0,0,-1*$I$5,-1*$Z$1),OFFSET(E517,0,0,-1*$I$5,1),F518:S518,0)</f>
        <v>18.165662501045922</v>
      </c>
      <c r="U518" s="7" cm="1">
        <f t="array" aca="1" ref="U518" ca="1">z_score_diff(OFFSET(T518,0,0,$I$5*-1,1),OFFSET(E518,0,0,$I$5*-1,1))</f>
        <v>-0.73248175828961171</v>
      </c>
      <c r="V518" s="7">
        <f t="shared" ca="1" si="497"/>
        <v>-0.17608468333401811</v>
      </c>
      <c r="W518" s="14">
        <f t="shared" ca="1" si="492"/>
        <v>6.4408678895712432E-2</v>
      </c>
      <c r="X518" s="10">
        <f t="shared" ref="X518:Y518" ca="1" si="561">+X517</f>
        <v>0</v>
      </c>
      <c r="Y518" s="10">
        <f t="shared" ca="1" si="561"/>
        <v>0</v>
      </c>
      <c r="Z518">
        <f t="shared" ca="1" si="499"/>
        <v>1</v>
      </c>
      <c r="AA518">
        <f t="shared" ca="1" si="500"/>
        <v>0</v>
      </c>
      <c r="AB518" s="19">
        <f t="shared" ca="1" si="501"/>
        <v>6.4408678895712432E-2</v>
      </c>
      <c r="AC518" s="19">
        <f t="shared" ca="1" si="502"/>
        <v>0</v>
      </c>
    </row>
    <row r="519" spans="3:29" x14ac:dyDescent="0.25">
      <c r="C519" s="4">
        <v>512</v>
      </c>
      <c r="D519" s="28">
        <v>42733</v>
      </c>
      <c r="E519" s="30">
        <v>18.995999999999999</v>
      </c>
      <c r="F519" s="30">
        <v>53.517635843660635</v>
      </c>
      <c r="G519" s="30">
        <v>8.3889418493803642</v>
      </c>
      <c r="H519" s="30">
        <v>79.027645376549103</v>
      </c>
      <c r="I519" s="8">
        <v>0</v>
      </c>
      <c r="J519" s="31">
        <v>0</v>
      </c>
      <c r="K519" s="31">
        <v>0</v>
      </c>
      <c r="L519" s="31">
        <v>0</v>
      </c>
      <c r="M519" s="31">
        <v>0</v>
      </c>
      <c r="N519" s="31">
        <v>0</v>
      </c>
      <c r="O519" s="31">
        <v>0</v>
      </c>
      <c r="P519" s="31">
        <v>0</v>
      </c>
      <c r="Q519" s="31">
        <v>0</v>
      </c>
      <c r="R519" s="31">
        <v>0</v>
      </c>
      <c r="S519" s="31">
        <v>0</v>
      </c>
      <c r="T519" s="21" cm="1">
        <f t="array" aca="1" ref="T519" ca="1">+fair_value_gap(OFFSET(S518,0,0,-1*$I$5,-1*$Z$1),OFFSET(E518,0,0,-1*$I$5,1),F519:S519,0)</f>
        <v>18.019666302133615</v>
      </c>
      <c r="U519" s="7" cm="1">
        <f t="array" aca="1" ref="U519" ca="1">z_score_diff(OFFSET(T519,0,0,$I$5*-1,1),OFFSET(E519,0,0,$I$5*-1,1))</f>
        <v>-0.87903413190703006</v>
      </c>
      <c r="V519" s="7">
        <f t="shared" ca="1" si="497"/>
        <v>-0.22629535823209038</v>
      </c>
      <c r="W519" s="14">
        <f t="shared" ref="W519:W582" ca="1" si="562">+LN(OFFSET(E519,$W$3,0,1,1)/E519)</f>
        <v>4.3774044805174404E-2</v>
      </c>
      <c r="X519" s="10">
        <f t="shared" ref="X519:Y519" ca="1" si="563">+X518</f>
        <v>0</v>
      </c>
      <c r="Y519" s="10">
        <f t="shared" ca="1" si="563"/>
        <v>0</v>
      </c>
      <c r="Z519">
        <f t="shared" ca="1" si="499"/>
        <v>1</v>
      </c>
      <c r="AA519">
        <f t="shared" ca="1" si="500"/>
        <v>0</v>
      </c>
      <c r="AB519" s="19">
        <f t="shared" ca="1" si="501"/>
        <v>4.3774044805174404E-2</v>
      </c>
      <c r="AC519" s="19">
        <f t="shared" ca="1" si="502"/>
        <v>0</v>
      </c>
    </row>
    <row r="520" spans="3:29" x14ac:dyDescent="0.25">
      <c r="C520" s="4">
        <v>513</v>
      </c>
      <c r="D520" s="28">
        <v>42734</v>
      </c>
      <c r="E520" s="30">
        <v>19.541</v>
      </c>
      <c r="F520" s="30">
        <v>54.047369922952541</v>
      </c>
      <c r="G520" s="30">
        <v>8.3705887948254549</v>
      </c>
      <c r="H520" s="30">
        <v>78.80719109673737</v>
      </c>
      <c r="I520" s="8">
        <v>0</v>
      </c>
      <c r="J520" s="31">
        <v>0</v>
      </c>
      <c r="K520" s="31">
        <v>0</v>
      </c>
      <c r="L520" s="31">
        <v>0</v>
      </c>
      <c r="M520" s="31">
        <v>0</v>
      </c>
      <c r="N520" s="31">
        <v>0</v>
      </c>
      <c r="O520" s="31">
        <v>0</v>
      </c>
      <c r="P520" s="31">
        <v>0</v>
      </c>
      <c r="Q520" s="31">
        <v>0</v>
      </c>
      <c r="R520" s="31">
        <v>0</v>
      </c>
      <c r="S520" s="31">
        <v>0</v>
      </c>
      <c r="T520" s="21" cm="1">
        <f t="array" aca="1" ref="T520" ca="1">+fair_value_gap(OFFSET(S519,0,0,-1*$I$5,-1*$Z$1),OFFSET(E519,0,0,-1*$I$5,1),F520:S520,0)</f>
        <v>18.058158680603213</v>
      </c>
      <c r="U520" s="7" cm="1">
        <f t="array" aca="1" ref="U520" ca="1">z_score_diff(OFFSET(T520,0,0,$I$5*-1,1),OFFSET(E520,0,0,$I$5*-1,1))</f>
        <v>-1.08227862694834</v>
      </c>
      <c r="V520" s="7">
        <f t="shared" ca="1" si="497"/>
        <v>-0.28336090947984033</v>
      </c>
      <c r="W520" s="14">
        <f t="shared" ca="1" si="562"/>
        <v>-2.1003568081053446E-3</v>
      </c>
      <c r="X520" s="10">
        <f t="shared" ref="X520:Y520" ca="1" si="564">+X519</f>
        <v>0</v>
      </c>
      <c r="Y520" s="10">
        <f t="shared" ca="1" si="564"/>
        <v>0</v>
      </c>
      <c r="Z520">
        <f t="shared" ca="1" si="499"/>
        <v>1</v>
      </c>
      <c r="AA520">
        <f t="shared" ca="1" si="500"/>
        <v>0</v>
      </c>
      <c r="AB520" s="19">
        <f t="shared" ca="1" si="501"/>
        <v>-2.1003568081053446E-3</v>
      </c>
      <c r="AC520" s="19">
        <f t="shared" ca="1" si="502"/>
        <v>0</v>
      </c>
    </row>
    <row r="521" spans="3:29" x14ac:dyDescent="0.25">
      <c r="C521" s="4">
        <v>514</v>
      </c>
      <c r="D521" s="28">
        <v>42737</v>
      </c>
      <c r="E521" s="30">
        <v>19.202000000000002</v>
      </c>
      <c r="F521" s="30">
        <v>54.336807879889065</v>
      </c>
      <c r="G521" s="30">
        <v>8.4154155111408624</v>
      </c>
      <c r="H521" s="30">
        <v>79.229224442956863</v>
      </c>
      <c r="I521" s="8">
        <v>1</v>
      </c>
      <c r="J521" s="31">
        <v>0</v>
      </c>
      <c r="K521" s="31">
        <v>0</v>
      </c>
      <c r="L521" s="31">
        <v>0</v>
      </c>
      <c r="M521" s="31">
        <v>0</v>
      </c>
      <c r="N521" s="31">
        <v>0</v>
      </c>
      <c r="O521" s="31">
        <v>0</v>
      </c>
      <c r="P521" s="31">
        <v>0</v>
      </c>
      <c r="Q521" s="31">
        <v>0</v>
      </c>
      <c r="R521" s="31">
        <v>0</v>
      </c>
      <c r="S521" s="31">
        <v>0</v>
      </c>
      <c r="T521" s="21" cm="1">
        <f t="array" aca="1" ref="T521" ca="1">+fair_value_gap(OFFSET(S520,0,0,-1*$I$5,-1*$Z$1),OFFSET(E520,0,0,-1*$I$5,1),F521:S521,0)</f>
        <v>20.823286196786356</v>
      </c>
      <c r="U521" s="7" cm="1">
        <f t="array" aca="1" ref="U521" ca="1">z_score_diff(OFFSET(T521,0,0,$I$5*-1,1),OFFSET(E521,0,0,$I$5*-1,1))</f>
        <v>0.28328790278722371</v>
      </c>
      <c r="V521" s="7">
        <f t="shared" ca="1" si="497"/>
        <v>-0.24794535871314885</v>
      </c>
      <c r="W521" s="14">
        <f t="shared" ca="1" si="562"/>
        <v>6.0520460574738449E-2</v>
      </c>
      <c r="X521" s="10">
        <f t="shared" ref="X521:Y521" ca="1" si="565">+X520</f>
        <v>0</v>
      </c>
      <c r="Y521" s="10">
        <f t="shared" ca="1" si="565"/>
        <v>0</v>
      </c>
      <c r="Z521">
        <f t="shared" ca="1" si="499"/>
        <v>1</v>
      </c>
      <c r="AA521">
        <f t="shared" ca="1" si="500"/>
        <v>0</v>
      </c>
      <c r="AB521" s="19">
        <f t="shared" ca="1" si="501"/>
        <v>6.0520460574738449E-2</v>
      </c>
      <c r="AC521" s="19">
        <f t="shared" ca="1" si="502"/>
        <v>0</v>
      </c>
    </row>
    <row r="522" spans="3:29" x14ac:dyDescent="0.25">
      <c r="C522" s="4">
        <v>515</v>
      </c>
      <c r="D522" s="28">
        <v>42738</v>
      </c>
      <c r="E522" s="30">
        <v>18.385000000000002</v>
      </c>
      <c r="F522" s="30">
        <v>53.31603229527105</v>
      </c>
      <c r="G522" s="30">
        <v>8.4582852748942727</v>
      </c>
      <c r="H522" s="30">
        <v>80.930411380238368</v>
      </c>
      <c r="I522" s="8">
        <v>1</v>
      </c>
      <c r="J522" s="31">
        <v>0</v>
      </c>
      <c r="K522" s="31">
        <v>0</v>
      </c>
      <c r="L522" s="31">
        <v>0</v>
      </c>
      <c r="M522" s="31">
        <v>0</v>
      </c>
      <c r="N522" s="31">
        <v>0</v>
      </c>
      <c r="O522" s="31">
        <v>0</v>
      </c>
      <c r="P522" s="31">
        <v>0</v>
      </c>
      <c r="Q522" s="31">
        <v>0</v>
      </c>
      <c r="R522" s="31">
        <v>0</v>
      </c>
      <c r="S522" s="31">
        <v>0</v>
      </c>
      <c r="T522" s="21" cm="1">
        <f t="array" aca="1" ref="T522" ca="1">+fair_value_gap(OFFSET(S521,0,0,-1*$I$5,-1*$Z$1),OFFSET(E521,0,0,-1*$I$5,1),F522:S522,0)</f>
        <v>20.834906082077687</v>
      </c>
      <c r="U522" s="7" cm="1">
        <f t="array" aca="1" ref="U522" ca="1">z_score_diff(OFFSET(T522,0,0,$I$5*-1,1),OFFSET(E522,0,0,$I$5*-1,1))</f>
        <v>0.6349890495367625</v>
      </c>
      <c r="V522" s="7">
        <f t="shared" ca="1" si="497"/>
        <v>-0.19600804058080112</v>
      </c>
      <c r="W522" s="14">
        <f t="shared" ca="1" si="562"/>
        <v>0.1209629379910785</v>
      </c>
      <c r="X522" s="10">
        <f t="shared" ref="X522:Y522" ca="1" si="566">+X521</f>
        <v>0</v>
      </c>
      <c r="Y522" s="10">
        <f t="shared" ca="1" si="566"/>
        <v>0</v>
      </c>
      <c r="Z522">
        <f t="shared" ca="1" si="499"/>
        <v>1</v>
      </c>
      <c r="AA522">
        <f t="shared" ca="1" si="500"/>
        <v>0</v>
      </c>
      <c r="AB522" s="19">
        <f t="shared" ca="1" si="501"/>
        <v>0.1209629379910785</v>
      </c>
      <c r="AC522" s="19">
        <f t="shared" ca="1" si="502"/>
        <v>0</v>
      </c>
    </row>
    <row r="523" spans="3:29" x14ac:dyDescent="0.25">
      <c r="C523" s="4">
        <v>516</v>
      </c>
      <c r="D523" s="28">
        <v>42739</v>
      </c>
      <c r="E523" s="30">
        <v>18.843</v>
      </c>
      <c r="F523" s="30">
        <v>53.843219530802976</v>
      </c>
      <c r="G523" s="30">
        <v>8.3921419034903693</v>
      </c>
      <c r="H523" s="30">
        <v>79.582300209803549</v>
      </c>
      <c r="I523" s="8">
        <v>1</v>
      </c>
      <c r="J523" s="31">
        <v>0</v>
      </c>
      <c r="K523" s="31">
        <v>0</v>
      </c>
      <c r="L523" s="31">
        <v>0</v>
      </c>
      <c r="M523" s="31">
        <v>0</v>
      </c>
      <c r="N523" s="31">
        <v>0</v>
      </c>
      <c r="O523" s="31">
        <v>0</v>
      </c>
      <c r="P523" s="31">
        <v>0</v>
      </c>
      <c r="Q523" s="31">
        <v>0</v>
      </c>
      <c r="R523" s="31">
        <v>0</v>
      </c>
      <c r="S523" s="31">
        <v>0</v>
      </c>
      <c r="T523" s="21" cm="1">
        <f t="array" aca="1" ref="T523" ca="1">+fair_value_gap(OFFSET(S522,0,0,-1*$I$5,-1*$Z$1),OFFSET(E522,0,0,-1*$I$5,1),F523:S523,0)</f>
        <v>20.461098220016339</v>
      </c>
      <c r="U523" s="7" cm="1">
        <f t="array" aca="1" ref="U523" ca="1">z_score_diff(OFFSET(T523,0,0,$I$5*-1,1),OFFSET(E523,0,0,$I$5*-1,1))</f>
        <v>0.26034327802024126</v>
      </c>
      <c r="V523" s="7">
        <f t="shared" ref="V523:V586" ca="1" si="567">+IF(ISERROR(AVERAGE(OFFSET(U523,0,0,$V$5*-1,1))),"",AVERAGE(OFFSET(U523,0,0,$V$5*-1,1)))</f>
        <v>-0.17065518954740988</v>
      </c>
      <c r="W523" s="14">
        <f t="shared" ca="1" si="562"/>
        <v>0.13260887415020964</v>
      </c>
      <c r="X523" s="10">
        <f t="shared" ref="X523:Y523" ca="1" si="568">+X522</f>
        <v>0</v>
      </c>
      <c r="Y523" s="10">
        <f t="shared" ca="1" si="568"/>
        <v>0</v>
      </c>
      <c r="Z523">
        <f t="shared" ref="Z523:Z586" ca="1" si="569">+IF(V523="","",IF(V523&lt;X523,1,0))</f>
        <v>1</v>
      </c>
      <c r="AA523">
        <f t="shared" ref="AA523:AA586" ca="1" si="570">+IF(V523="","",IF(V523&gt;Y523,1,0))</f>
        <v>0</v>
      </c>
      <c r="AB523" s="19">
        <f t="shared" ref="AB523:AB586" ca="1" si="571">+IF(ISERROR(Z523*W523),"",Z523*W523)</f>
        <v>0.13260887415020964</v>
      </c>
      <c r="AC523" s="19">
        <f t="shared" ref="AC523:AC586" ca="1" si="572">+IF(ISERROR(AA523*W523),"",AA523*W523)</f>
        <v>0</v>
      </c>
    </row>
    <row r="524" spans="3:29" x14ac:dyDescent="0.25">
      <c r="C524" s="4">
        <v>517</v>
      </c>
      <c r="D524" s="28">
        <v>42740</v>
      </c>
      <c r="E524" s="30">
        <v>18.86</v>
      </c>
      <c r="F524" s="30">
        <v>53.654626049231346</v>
      </c>
      <c r="G524" s="30">
        <v>8.2995378666415167</v>
      </c>
      <c r="H524" s="30">
        <v>78.987079128548515</v>
      </c>
      <c r="I524" s="8">
        <v>1</v>
      </c>
      <c r="J524" s="31">
        <v>0</v>
      </c>
      <c r="K524" s="31">
        <v>0</v>
      </c>
      <c r="L524" s="31">
        <v>0</v>
      </c>
      <c r="M524" s="31">
        <v>0</v>
      </c>
      <c r="N524" s="31">
        <v>0</v>
      </c>
      <c r="O524" s="31">
        <v>0</v>
      </c>
      <c r="P524" s="31">
        <v>0</v>
      </c>
      <c r="Q524" s="31">
        <v>0</v>
      </c>
      <c r="R524" s="31">
        <v>0</v>
      </c>
      <c r="S524" s="31">
        <v>0</v>
      </c>
      <c r="T524" s="21" cm="1">
        <f t="array" aca="1" ref="T524" ca="1">+fair_value_gap(OFFSET(S523,0,0,-1*$I$5,-1*$Z$1),OFFSET(E523,0,0,-1*$I$5,1),F524:S524,0)</f>
        <v>20.192802378224698</v>
      </c>
      <c r="U524" s="7" cm="1">
        <f t="array" aca="1" ref="U524" ca="1">z_score_diff(OFFSET(T524,0,0,$I$5*-1,1),OFFSET(E524,0,0,$I$5*-1,1))</f>
        <v>0.13430618491384161</v>
      </c>
      <c r="V524" s="7">
        <f t="shared" ca="1" si="567"/>
        <v>-0.15460459089155454</v>
      </c>
      <c r="W524" s="14">
        <f t="shared" ca="1" si="562"/>
        <v>0.14257048032938172</v>
      </c>
      <c r="X524" s="10">
        <f t="shared" ref="X524:Y524" ca="1" si="573">+X523</f>
        <v>0</v>
      </c>
      <c r="Y524" s="10">
        <f t="shared" ca="1" si="573"/>
        <v>0</v>
      </c>
      <c r="Z524">
        <f t="shared" ca="1" si="569"/>
        <v>1</v>
      </c>
      <c r="AA524">
        <f t="shared" ca="1" si="570"/>
        <v>0</v>
      </c>
      <c r="AB524" s="19">
        <f t="shared" ca="1" si="571"/>
        <v>0.14257048032938172</v>
      </c>
      <c r="AC524" s="19">
        <f t="shared" ca="1" si="572"/>
        <v>0</v>
      </c>
    </row>
    <row r="525" spans="3:29" x14ac:dyDescent="0.25">
      <c r="C525" s="4">
        <v>518</v>
      </c>
      <c r="D525" s="28">
        <v>42741</v>
      </c>
      <c r="E525" s="30">
        <v>18.542999999999999</v>
      </c>
      <c r="F525" s="30">
        <v>54.226020892687565</v>
      </c>
      <c r="G525" s="30">
        <v>8.3570750237416913</v>
      </c>
      <c r="H525" s="30">
        <v>78.584995251661923</v>
      </c>
      <c r="I525" s="8">
        <v>1</v>
      </c>
      <c r="J525" s="31">
        <v>0</v>
      </c>
      <c r="K525" s="31">
        <v>0</v>
      </c>
      <c r="L525" s="31">
        <v>0</v>
      </c>
      <c r="M525" s="31">
        <v>0</v>
      </c>
      <c r="N525" s="31">
        <v>0</v>
      </c>
      <c r="O525" s="31">
        <v>0</v>
      </c>
      <c r="P525" s="31">
        <v>0</v>
      </c>
      <c r="Q525" s="31">
        <v>0</v>
      </c>
      <c r="R525" s="31">
        <v>0</v>
      </c>
      <c r="S525" s="31">
        <v>0</v>
      </c>
      <c r="T525" s="21" cm="1">
        <f t="array" aca="1" ref="T525" ca="1">+fair_value_gap(OFFSET(S524,0,0,-1*$I$5,-1*$Z$1),OFFSET(E524,0,0,-1*$I$5,1),F525:S525,0)</f>
        <v>20.127386566311873</v>
      </c>
      <c r="U525" s="7" cm="1">
        <f t="array" aca="1" ref="U525" ca="1">z_score_diff(OFFSET(T525,0,0,$I$5*-1,1),OFFSET(E525,0,0,$I$5*-1,1))</f>
        <v>0.23915795638344184</v>
      </c>
      <c r="V525" s="7">
        <f t="shared" ca="1" si="567"/>
        <v>-0.1349164635278047</v>
      </c>
      <c r="W525" s="14">
        <f t="shared" ca="1" si="562"/>
        <v>0.18193499302634714</v>
      </c>
      <c r="X525" s="10">
        <f t="shared" ref="X525:Y525" ca="1" si="574">+X524</f>
        <v>0</v>
      </c>
      <c r="Y525" s="10">
        <f t="shared" ca="1" si="574"/>
        <v>0</v>
      </c>
      <c r="Z525">
        <f t="shared" ca="1" si="569"/>
        <v>1</v>
      </c>
      <c r="AA525">
        <f t="shared" ca="1" si="570"/>
        <v>0</v>
      </c>
      <c r="AB525" s="19">
        <f t="shared" ca="1" si="571"/>
        <v>0.18193499302634714</v>
      </c>
      <c r="AC525" s="19">
        <f t="shared" ca="1" si="572"/>
        <v>0</v>
      </c>
    </row>
    <row r="526" spans="3:29" x14ac:dyDescent="0.25">
      <c r="C526" s="4">
        <v>519</v>
      </c>
      <c r="D526" s="28">
        <v>42744</v>
      </c>
      <c r="E526" s="30">
        <v>19.137</v>
      </c>
      <c r="F526" s="30">
        <v>51.967461218312529</v>
      </c>
      <c r="G526" s="30">
        <v>8.3238743851683701</v>
      </c>
      <c r="H526" s="30">
        <v>78.414680287552031</v>
      </c>
      <c r="I526" s="8">
        <v>1</v>
      </c>
      <c r="J526" s="31">
        <v>0</v>
      </c>
      <c r="K526" s="31">
        <v>0</v>
      </c>
      <c r="L526" s="31">
        <v>0</v>
      </c>
      <c r="M526" s="31">
        <v>0</v>
      </c>
      <c r="N526" s="31">
        <v>0</v>
      </c>
      <c r="O526" s="31">
        <v>0</v>
      </c>
      <c r="P526" s="31">
        <v>0</v>
      </c>
      <c r="Q526" s="31">
        <v>0</v>
      </c>
      <c r="R526" s="31">
        <v>0</v>
      </c>
      <c r="S526" s="31">
        <v>0</v>
      </c>
      <c r="T526" s="21" cm="1">
        <f t="array" aca="1" ref="T526" ca="1">+fair_value_gap(OFFSET(S525,0,0,-1*$I$5,-1*$Z$1),OFFSET(E525,0,0,-1*$I$5,1),F526:S526,0)</f>
        <v>19.813127671344144</v>
      </c>
      <c r="U526" s="7" cm="1">
        <f t="array" aca="1" ref="U526" ca="1">z_score_diff(OFFSET(T526,0,0,$I$5*-1,1),OFFSET(E526,0,0,$I$5*-1,1))</f>
        <v>-0.14729644293610078</v>
      </c>
      <c r="V526" s="7">
        <f t="shared" ca="1" si="567"/>
        <v>-0.15821610123833246</v>
      </c>
      <c r="W526" s="14">
        <f t="shared" ca="1" si="562"/>
        <v>0.13677897446737125</v>
      </c>
      <c r="X526" s="10">
        <f t="shared" ref="X526:Y526" ca="1" si="575">+X525</f>
        <v>0</v>
      </c>
      <c r="Y526" s="10">
        <f t="shared" ca="1" si="575"/>
        <v>0</v>
      </c>
      <c r="Z526">
        <f t="shared" ca="1" si="569"/>
        <v>1</v>
      </c>
      <c r="AA526">
        <f t="shared" ca="1" si="570"/>
        <v>0</v>
      </c>
      <c r="AB526" s="19">
        <f t="shared" ca="1" si="571"/>
        <v>0.13677897446737125</v>
      </c>
      <c r="AC526" s="19">
        <f t="shared" ca="1" si="572"/>
        <v>0</v>
      </c>
    </row>
    <row r="527" spans="3:29" x14ac:dyDescent="0.25">
      <c r="C527" s="4">
        <v>520</v>
      </c>
      <c r="D527" s="28">
        <v>42745</v>
      </c>
      <c r="E527" s="30">
        <v>19.806000000000001</v>
      </c>
      <c r="F527" s="30">
        <v>50.829148109542317</v>
      </c>
      <c r="G527" s="30">
        <v>8.3388609873969504</v>
      </c>
      <c r="H527" s="30">
        <v>80.451056571591025</v>
      </c>
      <c r="I527" s="8">
        <v>1</v>
      </c>
      <c r="J527" s="31">
        <v>0</v>
      </c>
      <c r="K527" s="31">
        <v>0</v>
      </c>
      <c r="L527" s="31">
        <v>0</v>
      </c>
      <c r="M527" s="31">
        <v>0</v>
      </c>
      <c r="N527" s="31">
        <v>0</v>
      </c>
      <c r="O527" s="31">
        <v>0</v>
      </c>
      <c r="P527" s="31">
        <v>0</v>
      </c>
      <c r="Q527" s="31">
        <v>0</v>
      </c>
      <c r="R527" s="31">
        <v>0</v>
      </c>
      <c r="S527" s="31">
        <v>0</v>
      </c>
      <c r="T527" s="21" cm="1">
        <f t="array" aca="1" ref="T527" ca="1">+fair_value_gap(OFFSET(S526,0,0,-1*$I$5,-1*$Z$1),OFFSET(E526,0,0,-1*$I$5,1),F527:S527,0)</f>
        <v>19.922455816044124</v>
      </c>
      <c r="U527" s="7" cm="1">
        <f t="array" aca="1" ref="U527" ca="1">z_score_diff(OFFSET(T527,0,0,$I$5*-1,1),OFFSET(E527,0,0,$I$5*-1,1))</f>
        <v>-0.37923479240563474</v>
      </c>
      <c r="V527" s="7">
        <f t="shared" ca="1" si="567"/>
        <v>-0.17470575647457248</v>
      </c>
      <c r="W527" s="14">
        <f t="shared" ca="1" si="562"/>
        <v>7.1312707113034751E-2</v>
      </c>
      <c r="X527" s="10">
        <f t="shared" ref="X527:Y527" ca="1" si="576">+X526</f>
        <v>0</v>
      </c>
      <c r="Y527" s="10">
        <f t="shared" ca="1" si="576"/>
        <v>0</v>
      </c>
      <c r="Z527">
        <f t="shared" ca="1" si="569"/>
        <v>1</v>
      </c>
      <c r="AA527">
        <f t="shared" ca="1" si="570"/>
        <v>0</v>
      </c>
      <c r="AB527" s="19">
        <f t="shared" ca="1" si="571"/>
        <v>7.1312707113034751E-2</v>
      </c>
      <c r="AC527" s="19">
        <f t="shared" ca="1" si="572"/>
        <v>0</v>
      </c>
    </row>
    <row r="528" spans="3:29" x14ac:dyDescent="0.25">
      <c r="C528" s="4">
        <v>521</v>
      </c>
      <c r="D528" s="28">
        <v>42746</v>
      </c>
      <c r="E528" s="30">
        <v>20.501000000000001</v>
      </c>
      <c r="F528" s="30">
        <v>52.07939508506616</v>
      </c>
      <c r="G528" s="30">
        <v>8.3175803402646498</v>
      </c>
      <c r="H528" s="30">
        <v>80.954631379962194</v>
      </c>
      <c r="I528" s="8">
        <v>1</v>
      </c>
      <c r="J528" s="31">
        <v>0</v>
      </c>
      <c r="K528" s="31">
        <v>0</v>
      </c>
      <c r="L528" s="31">
        <v>0</v>
      </c>
      <c r="M528" s="31">
        <v>0</v>
      </c>
      <c r="N528" s="31">
        <v>0</v>
      </c>
      <c r="O528" s="31">
        <v>0</v>
      </c>
      <c r="P528" s="31">
        <v>0</v>
      </c>
      <c r="Q528" s="31">
        <v>0</v>
      </c>
      <c r="R528" s="31">
        <v>0</v>
      </c>
      <c r="S528" s="31">
        <v>0</v>
      </c>
      <c r="T528" s="21" cm="1">
        <f t="array" aca="1" ref="T528" ca="1">+fair_value_gap(OFFSET(S527,0,0,-1*$I$5,-1*$Z$1),OFFSET(E527,0,0,-1*$I$5,1),F528:S528,0)</f>
        <v>19.95648070964706</v>
      </c>
      <c r="U528" s="7" cm="1">
        <f t="array" aca="1" ref="U528" ca="1">z_score_diff(OFFSET(T528,0,0,$I$5*-1,1),OFFSET(E528,0,0,$I$5*-1,1))</f>
        <v>-0.63921996366738476</v>
      </c>
      <c r="V528" s="7">
        <f t="shared" ca="1" si="567"/>
        <v>-0.199254334085646</v>
      </c>
      <c r="W528" s="14">
        <f t="shared" ca="1" si="562"/>
        <v>-1.0296227456950921E-2</v>
      </c>
      <c r="X528" s="10">
        <f t="shared" ref="X528:Y528" ca="1" si="577">+X527</f>
        <v>0</v>
      </c>
      <c r="Y528" s="10">
        <f t="shared" ca="1" si="577"/>
        <v>0</v>
      </c>
      <c r="Z528">
        <f t="shared" ca="1" si="569"/>
        <v>1</v>
      </c>
      <c r="AA528">
        <f t="shared" ca="1" si="570"/>
        <v>0</v>
      </c>
      <c r="AB528" s="19">
        <f t="shared" ca="1" si="571"/>
        <v>-1.0296227456950921E-2</v>
      </c>
      <c r="AC528" s="19">
        <f t="shared" ca="1" si="572"/>
        <v>0</v>
      </c>
    </row>
    <row r="529" spans="3:29" x14ac:dyDescent="0.25">
      <c r="C529" s="4">
        <v>522</v>
      </c>
      <c r="D529" s="28">
        <v>42747</v>
      </c>
      <c r="E529" s="30">
        <v>20.318999999999999</v>
      </c>
      <c r="F529" s="30">
        <v>52.789820923656926</v>
      </c>
      <c r="G529" s="30">
        <v>8.2940622054665418</v>
      </c>
      <c r="H529" s="30">
        <v>80.584354382657878</v>
      </c>
      <c r="I529" s="8">
        <v>1</v>
      </c>
      <c r="J529" s="31">
        <v>0</v>
      </c>
      <c r="K529" s="31">
        <v>0</v>
      </c>
      <c r="L529" s="31">
        <v>0</v>
      </c>
      <c r="M529" s="31">
        <v>0</v>
      </c>
      <c r="N529" s="31">
        <v>0</v>
      </c>
      <c r="O529" s="31">
        <v>0</v>
      </c>
      <c r="P529" s="31">
        <v>0</v>
      </c>
      <c r="Q529" s="31">
        <v>0</v>
      </c>
      <c r="R529" s="31">
        <v>0</v>
      </c>
      <c r="S529" s="31">
        <v>0</v>
      </c>
      <c r="T529" s="21" cm="1">
        <f t="array" aca="1" ref="T529" ca="1">+fair_value_gap(OFFSET(S528,0,0,-1*$I$5,-1*$Z$1),OFFSET(E528,0,0,-1*$I$5,1),F529:S529,0)</f>
        <v>19.871993973976082</v>
      </c>
      <c r="U529" s="7" cm="1">
        <f t="array" aca="1" ref="U529" ca="1">z_score_diff(OFFSET(T529,0,0,$I$5*-1,1),OFFSET(E529,0,0,$I$5*-1,1))</f>
        <v>-0.57706860020710105</v>
      </c>
      <c r="V529" s="7">
        <f t="shared" ca="1" si="567"/>
        <v>-0.22146630910209258</v>
      </c>
      <c r="W529" s="14">
        <f t="shared" ca="1" si="562"/>
        <v>-6.4680404228603886E-3</v>
      </c>
      <c r="X529" s="10">
        <f t="shared" ref="X529:Y529" ca="1" si="578">+X528</f>
        <v>0</v>
      </c>
      <c r="Y529" s="10">
        <f t="shared" ca="1" si="578"/>
        <v>0</v>
      </c>
      <c r="Z529">
        <f t="shared" ca="1" si="569"/>
        <v>1</v>
      </c>
      <c r="AA529">
        <f t="shared" ca="1" si="570"/>
        <v>0</v>
      </c>
      <c r="AB529" s="19">
        <f t="shared" ca="1" si="571"/>
        <v>-6.4680404228603886E-3</v>
      </c>
      <c r="AC529" s="19">
        <f t="shared" ca="1" si="572"/>
        <v>0</v>
      </c>
    </row>
    <row r="530" spans="3:29" x14ac:dyDescent="0.25">
      <c r="C530" s="4">
        <v>523</v>
      </c>
      <c r="D530" s="28">
        <v>42748</v>
      </c>
      <c r="E530" s="30">
        <v>20.007999999999999</v>
      </c>
      <c r="F530" s="30">
        <v>52.109764119913542</v>
      </c>
      <c r="G530" s="30">
        <v>8.2698994455408332</v>
      </c>
      <c r="H530" s="30">
        <v>80.443567333897178</v>
      </c>
      <c r="I530" s="8">
        <v>1</v>
      </c>
      <c r="J530" s="31">
        <v>0</v>
      </c>
      <c r="K530" s="31">
        <v>0</v>
      </c>
      <c r="L530" s="31">
        <v>0</v>
      </c>
      <c r="M530" s="31">
        <v>0</v>
      </c>
      <c r="N530" s="31">
        <v>0</v>
      </c>
      <c r="O530" s="31">
        <v>0</v>
      </c>
      <c r="P530" s="31">
        <v>0</v>
      </c>
      <c r="Q530" s="31">
        <v>0</v>
      </c>
      <c r="R530" s="31">
        <v>0</v>
      </c>
      <c r="S530" s="31">
        <v>0</v>
      </c>
      <c r="T530" s="21" cm="1">
        <f t="array" aca="1" ref="T530" ca="1">+fair_value_gap(OFFSET(S529,0,0,-1*$I$5,-1*$Z$1),OFFSET(E529,0,0,-1*$I$5,1),F530:S530,0)</f>
        <v>19.796240709458267</v>
      </c>
      <c r="U530" s="7" cm="1">
        <f t="array" aca="1" ref="U530" ca="1">z_score_diff(OFFSET(T530,0,0,$I$5*-1,1),OFFSET(E530,0,0,$I$5*-1,1))</f>
        <v>-0.46340774265305518</v>
      </c>
      <c r="V530" s="7">
        <f t="shared" ca="1" si="567"/>
        <v>-0.2404995928111025</v>
      </c>
      <c r="W530" s="14">
        <f t="shared" ca="1" si="562"/>
        <v>-1.1865398130605066E-2</v>
      </c>
      <c r="X530" s="10">
        <f t="shared" ref="X530:Y530" ca="1" si="579">+X529</f>
        <v>0</v>
      </c>
      <c r="Y530" s="10">
        <f t="shared" ca="1" si="579"/>
        <v>0</v>
      </c>
      <c r="Z530">
        <f t="shared" ca="1" si="569"/>
        <v>1</v>
      </c>
      <c r="AA530">
        <f t="shared" ca="1" si="570"/>
        <v>0</v>
      </c>
      <c r="AB530" s="19">
        <f t="shared" ca="1" si="571"/>
        <v>-1.1865398130605066E-2</v>
      </c>
      <c r="AC530" s="19">
        <f t="shared" ca="1" si="572"/>
        <v>0</v>
      </c>
    </row>
    <row r="531" spans="3:29" x14ac:dyDescent="0.25">
      <c r="C531" s="4">
        <v>524</v>
      </c>
      <c r="D531" s="28">
        <v>42751</v>
      </c>
      <c r="E531" s="30">
        <v>19.001999999999999</v>
      </c>
      <c r="F531" s="30">
        <v>52.698113207547166</v>
      </c>
      <c r="G531" s="30">
        <v>8.3018867924528301</v>
      </c>
      <c r="H531" s="30">
        <v>80.283018867924525</v>
      </c>
      <c r="I531" s="8">
        <v>1</v>
      </c>
      <c r="J531" s="31">
        <v>0</v>
      </c>
      <c r="K531" s="31">
        <v>0</v>
      </c>
      <c r="L531" s="31">
        <v>0</v>
      </c>
      <c r="M531" s="31">
        <v>0</v>
      </c>
      <c r="N531" s="31">
        <v>0</v>
      </c>
      <c r="O531" s="31">
        <v>0</v>
      </c>
      <c r="P531" s="31">
        <v>0</v>
      </c>
      <c r="Q531" s="31">
        <v>0</v>
      </c>
      <c r="R531" s="31">
        <v>0</v>
      </c>
      <c r="S531" s="31">
        <v>0</v>
      </c>
      <c r="T531" s="21" cm="1">
        <f t="array" aca="1" ref="T531" ca="1">+fair_value_gap(OFFSET(S530,0,0,-1*$I$5,-1*$Z$1),OFFSET(E530,0,0,-1*$I$5,1),F531:S531,0)</f>
        <v>19.785625536573441</v>
      </c>
      <c r="U531" s="7" cm="1">
        <f t="array" aca="1" ref="U531" ca="1">z_score_diff(OFFSET(T531,0,0,$I$5*-1,1),OFFSET(E531,0,0,$I$5*-1,1))</f>
        <v>-5.0646749658615819E-2</v>
      </c>
      <c r="V531" s="7">
        <f t="shared" ca="1" si="567"/>
        <v>-0.25650604004713695</v>
      </c>
      <c r="W531" s="14">
        <f t="shared" ca="1" si="562"/>
        <v>2.5228647881523686E-3</v>
      </c>
      <c r="X531" s="10">
        <f t="shared" ref="X531:Y531" ca="1" si="580">+X530</f>
        <v>0</v>
      </c>
      <c r="Y531" s="10">
        <f t="shared" ca="1" si="580"/>
        <v>0</v>
      </c>
      <c r="Z531">
        <f t="shared" ca="1" si="569"/>
        <v>1</v>
      </c>
      <c r="AA531">
        <f t="shared" ca="1" si="570"/>
        <v>0</v>
      </c>
      <c r="AB531" s="19">
        <f t="shared" ca="1" si="571"/>
        <v>2.5228647881523686E-3</v>
      </c>
      <c r="AC531" s="19">
        <f t="shared" ca="1" si="572"/>
        <v>0</v>
      </c>
    </row>
    <row r="532" spans="3:29" x14ac:dyDescent="0.25">
      <c r="C532" s="4">
        <v>525</v>
      </c>
      <c r="D532" s="28">
        <v>42752</v>
      </c>
      <c r="E532" s="30">
        <v>19.465</v>
      </c>
      <c r="F532" s="30">
        <v>51.783047050037347</v>
      </c>
      <c r="G532" s="30">
        <v>7.468259895444362</v>
      </c>
      <c r="H532" s="30">
        <v>81.917475728155338</v>
      </c>
      <c r="I532" s="8">
        <v>1</v>
      </c>
      <c r="J532" s="31">
        <v>0</v>
      </c>
      <c r="K532" s="31">
        <v>0</v>
      </c>
      <c r="L532" s="31">
        <v>0</v>
      </c>
      <c r="M532" s="31">
        <v>0</v>
      </c>
      <c r="N532" s="31">
        <v>0</v>
      </c>
      <c r="O532" s="31">
        <v>0</v>
      </c>
      <c r="P532" s="31">
        <v>0</v>
      </c>
      <c r="Q532" s="31">
        <v>0</v>
      </c>
      <c r="R532" s="31">
        <v>0</v>
      </c>
      <c r="S532" s="31">
        <v>0</v>
      </c>
      <c r="T532" s="21" cm="1">
        <f t="array" aca="1" ref="T532" ca="1">+fair_value_gap(OFFSET(S531,0,0,-1*$I$5,-1*$Z$1),OFFSET(E531,0,0,-1*$I$5,1),F532:S532,0)</f>
        <v>18.986380289199914</v>
      </c>
      <c r="U532" s="7" cm="1">
        <f t="array" aca="1" ref="U532" ca="1">z_score_diff(OFFSET(T532,0,0,$I$5*-1,1),OFFSET(E532,0,0,$I$5*-1,1))</f>
        <v>-0.54856850056946138</v>
      </c>
      <c r="V532" s="7">
        <f t="shared" ca="1" si="567"/>
        <v>-0.29089467321756179</v>
      </c>
      <c r="W532" s="14">
        <f t="shared" ca="1" si="562"/>
        <v>-3.843807574866371E-2</v>
      </c>
      <c r="X532" s="10">
        <f t="shared" ref="X532:Y532" ca="1" si="581">+X531</f>
        <v>0</v>
      </c>
      <c r="Y532" s="10">
        <f t="shared" ca="1" si="581"/>
        <v>0</v>
      </c>
      <c r="Z532">
        <f t="shared" ca="1" si="569"/>
        <v>1</v>
      </c>
      <c r="AA532">
        <f t="shared" ca="1" si="570"/>
        <v>0</v>
      </c>
      <c r="AB532" s="19">
        <f t="shared" ca="1" si="571"/>
        <v>-3.843807574866371E-2</v>
      </c>
      <c r="AC532" s="19">
        <f t="shared" ca="1" si="572"/>
        <v>0</v>
      </c>
    </row>
    <row r="533" spans="3:29" x14ac:dyDescent="0.25">
      <c r="C533" s="4">
        <v>526</v>
      </c>
      <c r="D533" s="28">
        <v>42753</v>
      </c>
      <c r="E533" s="30">
        <v>19.619</v>
      </c>
      <c r="F533" s="30">
        <v>50.724365004703671</v>
      </c>
      <c r="G533" s="30">
        <v>7.5258701787394173</v>
      </c>
      <c r="H533" s="30">
        <v>81.890874882408283</v>
      </c>
      <c r="I533" s="8">
        <v>1</v>
      </c>
      <c r="J533" s="31">
        <v>0</v>
      </c>
      <c r="K533" s="31">
        <v>0</v>
      </c>
      <c r="L533" s="31">
        <v>0</v>
      </c>
      <c r="M533" s="31">
        <v>0</v>
      </c>
      <c r="N533" s="31">
        <v>0</v>
      </c>
      <c r="O533" s="31">
        <v>0</v>
      </c>
      <c r="P533" s="31">
        <v>0</v>
      </c>
      <c r="Q533" s="31">
        <v>0</v>
      </c>
      <c r="R533" s="31">
        <v>0</v>
      </c>
      <c r="S533" s="31">
        <v>0</v>
      </c>
      <c r="T533" s="21" cm="1">
        <f t="array" aca="1" ref="T533" ca="1">+fair_value_gap(OFFSET(S532,0,0,-1*$I$5,-1*$Z$1),OFFSET(E532,0,0,-1*$I$5,1),F533:S533,0)</f>
        <v>18.895962782663577</v>
      </c>
      <c r="U533" s="7" cm="1">
        <f t="array" aca="1" ref="U533" ca="1">z_score_diff(OFFSET(T533,0,0,$I$5*-1,1),OFFSET(E533,0,0,$I$5*-1,1))</f>
        <v>-0.63261443799765771</v>
      </c>
      <c r="V533" s="7">
        <f t="shared" ca="1" si="567"/>
        <v>-0.32090358985544487</v>
      </c>
      <c r="W533" s="14">
        <f t="shared" ca="1" si="562"/>
        <v>-3.9985570544671938E-2</v>
      </c>
      <c r="X533" s="10">
        <f t="shared" ref="X533:Y533" ca="1" si="582">+X532</f>
        <v>0</v>
      </c>
      <c r="Y533" s="10">
        <f t="shared" ca="1" si="582"/>
        <v>0</v>
      </c>
      <c r="Z533">
        <f t="shared" ca="1" si="569"/>
        <v>1</v>
      </c>
      <c r="AA533">
        <f t="shared" ca="1" si="570"/>
        <v>0</v>
      </c>
      <c r="AB533" s="19">
        <f t="shared" ca="1" si="571"/>
        <v>-3.9985570544671938E-2</v>
      </c>
      <c r="AC533" s="19">
        <f t="shared" ca="1" si="572"/>
        <v>0</v>
      </c>
    </row>
    <row r="534" spans="3:29" x14ac:dyDescent="0.25">
      <c r="C534" s="4">
        <v>527</v>
      </c>
      <c r="D534" s="28">
        <v>42754</v>
      </c>
      <c r="E534" s="30">
        <v>19.908999999999999</v>
      </c>
      <c r="F534" s="30">
        <v>50.792459908093406</v>
      </c>
      <c r="G534" s="30">
        <v>7.5025790115352153</v>
      </c>
      <c r="H534" s="30">
        <v>80.793397730469849</v>
      </c>
      <c r="I534" s="8">
        <v>1</v>
      </c>
      <c r="J534" s="31">
        <v>0</v>
      </c>
      <c r="K534" s="31">
        <v>0</v>
      </c>
      <c r="L534" s="31">
        <v>0</v>
      </c>
      <c r="M534" s="31">
        <v>0</v>
      </c>
      <c r="N534" s="31">
        <v>0</v>
      </c>
      <c r="O534" s="31">
        <v>0</v>
      </c>
      <c r="P534" s="31">
        <v>0</v>
      </c>
      <c r="Q534" s="31">
        <v>0</v>
      </c>
      <c r="R534" s="31">
        <v>0</v>
      </c>
      <c r="S534" s="31">
        <v>0</v>
      </c>
      <c r="T534" s="21" cm="1">
        <f t="array" aca="1" ref="T534" ca="1">+fair_value_gap(OFFSET(S533,0,0,-1*$I$5,-1*$Z$1),OFFSET(E533,0,0,-1*$I$5,1),F534:S534,0)</f>
        <v>18.711108628821226</v>
      </c>
      <c r="U534" s="7" cm="1">
        <f t="array" aca="1" ref="U534" ca="1">z_score_diff(OFFSET(T534,0,0,$I$5*-1,1),OFFSET(E534,0,0,$I$5*-1,1))</f>
        <v>-0.79570221949501341</v>
      </c>
      <c r="V534" s="7">
        <f t="shared" ca="1" si="567"/>
        <v>-0.3476830310701714</v>
      </c>
      <c r="W534" s="14">
        <f t="shared" ca="1" si="562"/>
        <v>-4.6206734297321493E-2</v>
      </c>
      <c r="X534" s="10">
        <f t="shared" ref="X534:Y534" ca="1" si="583">+X533</f>
        <v>0</v>
      </c>
      <c r="Y534" s="10">
        <f t="shared" ca="1" si="583"/>
        <v>0</v>
      </c>
      <c r="Z534">
        <f t="shared" ca="1" si="569"/>
        <v>1</v>
      </c>
      <c r="AA534">
        <f t="shared" ca="1" si="570"/>
        <v>0</v>
      </c>
      <c r="AB534" s="19">
        <f t="shared" ca="1" si="571"/>
        <v>-4.6206734297321493E-2</v>
      </c>
      <c r="AC534" s="19">
        <f t="shared" ca="1" si="572"/>
        <v>0</v>
      </c>
    </row>
    <row r="535" spans="3:29" x14ac:dyDescent="0.25">
      <c r="C535" s="4">
        <v>528</v>
      </c>
      <c r="D535" s="28">
        <v>42755</v>
      </c>
      <c r="E535" s="30">
        <v>20.492999999999999</v>
      </c>
      <c r="F535" s="30">
        <v>51.864660248621362</v>
      </c>
      <c r="G535" s="30">
        <v>7.4773343303112432</v>
      </c>
      <c r="H535" s="30">
        <v>80.988877465183663</v>
      </c>
      <c r="I535" s="8">
        <v>1</v>
      </c>
      <c r="J535" s="31">
        <v>0</v>
      </c>
      <c r="K535" s="31">
        <v>0</v>
      </c>
      <c r="L535" s="31">
        <v>0</v>
      </c>
      <c r="M535" s="31">
        <v>0</v>
      </c>
      <c r="N535" s="31">
        <v>0</v>
      </c>
      <c r="O535" s="31">
        <v>0</v>
      </c>
      <c r="P535" s="31">
        <v>0</v>
      </c>
      <c r="Q535" s="31">
        <v>0</v>
      </c>
      <c r="R535" s="31">
        <v>0</v>
      </c>
      <c r="S535" s="31">
        <v>0</v>
      </c>
      <c r="T535" s="21" cm="1">
        <f t="array" aca="1" ref="T535" ca="1">+fair_value_gap(OFFSET(S534,0,0,-1*$I$5,-1*$Z$1),OFFSET(E534,0,0,-1*$I$5,1),F535:S535,0)</f>
        <v>18.863584292818615</v>
      </c>
      <c r="U535" s="7" cm="1">
        <f t="array" aca="1" ref="U535" ca="1">z_score_diff(OFFSET(T535,0,0,$I$5*-1,1),OFFSET(E535,0,0,$I$5*-1,1))</f>
        <v>-0.9394784503411524</v>
      </c>
      <c r="V535" s="7">
        <f t="shared" ca="1" si="567"/>
        <v>-0.37000648066587066</v>
      </c>
      <c r="W535" s="14">
        <f t="shared" ca="1" si="562"/>
        <v>-0.10361077184946295</v>
      </c>
      <c r="X535" s="10">
        <f t="shared" ref="X535:Y535" ca="1" si="584">+X534</f>
        <v>0</v>
      </c>
      <c r="Y535" s="10">
        <f t="shared" ca="1" si="584"/>
        <v>0</v>
      </c>
      <c r="Z535">
        <f t="shared" ca="1" si="569"/>
        <v>1</v>
      </c>
      <c r="AA535">
        <f t="shared" ca="1" si="570"/>
        <v>0</v>
      </c>
      <c r="AB535" s="19">
        <f t="shared" ca="1" si="571"/>
        <v>-0.10361077184946295</v>
      </c>
      <c r="AC535" s="19">
        <f t="shared" ca="1" si="572"/>
        <v>0</v>
      </c>
    </row>
    <row r="536" spans="3:29" x14ac:dyDescent="0.25">
      <c r="C536" s="4">
        <v>529</v>
      </c>
      <c r="D536" s="28">
        <v>42758</v>
      </c>
      <c r="E536" s="30">
        <v>21.128</v>
      </c>
      <c r="F536" s="30">
        <v>51.324226373013651</v>
      </c>
      <c r="G536" s="30">
        <v>7.4342533221819531</v>
      </c>
      <c r="H536" s="30">
        <v>80.243471796301449</v>
      </c>
      <c r="I536" s="8">
        <v>1</v>
      </c>
      <c r="J536" s="31">
        <v>0</v>
      </c>
      <c r="K536" s="31">
        <v>0</v>
      </c>
      <c r="L536" s="31">
        <v>0</v>
      </c>
      <c r="M536" s="31">
        <v>0</v>
      </c>
      <c r="N536" s="31">
        <v>0</v>
      </c>
      <c r="O536" s="31">
        <v>0</v>
      </c>
      <c r="P536" s="31">
        <v>0</v>
      </c>
      <c r="Q536" s="31">
        <v>0</v>
      </c>
      <c r="R536" s="31">
        <v>0</v>
      </c>
      <c r="S536" s="31">
        <v>0</v>
      </c>
      <c r="T536" s="21" cm="1">
        <f t="array" aca="1" ref="T536" ca="1">+fair_value_gap(OFFSET(S535,0,0,-1*$I$5,-1*$Z$1),OFFSET(E535,0,0,-1*$I$5,1),F536:S536,0)</f>
        <v>18.871763675518466</v>
      </c>
      <c r="U536" s="7" cm="1">
        <f t="array" aca="1" ref="U536" ca="1">z_score_diff(OFFSET(T536,0,0,$I$5*-1,1),OFFSET(E536,0,0,$I$5*-1,1))</f>
        <v>-1.1511813157741211</v>
      </c>
      <c r="V536" s="7">
        <f t="shared" ca="1" si="567"/>
        <v>-0.40273370740200776</v>
      </c>
      <c r="W536" s="14">
        <f t="shared" ca="1" si="562"/>
        <v>-0.12910565137637256</v>
      </c>
      <c r="X536" s="10">
        <f t="shared" ref="X536:Y536" ca="1" si="585">+X535</f>
        <v>0</v>
      </c>
      <c r="Y536" s="10">
        <f t="shared" ca="1" si="585"/>
        <v>0</v>
      </c>
      <c r="Z536">
        <f t="shared" ca="1" si="569"/>
        <v>1</v>
      </c>
      <c r="AA536">
        <f t="shared" ca="1" si="570"/>
        <v>0</v>
      </c>
      <c r="AB536" s="19">
        <f t="shared" ca="1" si="571"/>
        <v>-0.12910565137637256</v>
      </c>
      <c r="AC536" s="19">
        <f t="shared" ca="1" si="572"/>
        <v>0</v>
      </c>
    </row>
    <row r="537" spans="3:29" x14ac:dyDescent="0.25">
      <c r="C537" s="4">
        <v>530</v>
      </c>
      <c r="D537" s="28">
        <v>42759</v>
      </c>
      <c r="E537" s="30">
        <v>20.702999999999999</v>
      </c>
      <c r="F537" s="30">
        <v>51.668219944082011</v>
      </c>
      <c r="G537" s="30">
        <v>7.4557315936626285</v>
      </c>
      <c r="H537" s="30">
        <v>80.14911463187326</v>
      </c>
      <c r="I537" s="8">
        <v>1</v>
      </c>
      <c r="J537" s="31">
        <v>0</v>
      </c>
      <c r="K537" s="31">
        <v>0</v>
      </c>
      <c r="L537" s="31">
        <v>0</v>
      </c>
      <c r="M537" s="31">
        <v>0</v>
      </c>
      <c r="N537" s="31">
        <v>0</v>
      </c>
      <c r="O537" s="31">
        <v>0</v>
      </c>
      <c r="P537" s="31">
        <v>0</v>
      </c>
      <c r="Q537" s="31">
        <v>0</v>
      </c>
      <c r="R537" s="31">
        <v>0</v>
      </c>
      <c r="S537" s="31">
        <v>0</v>
      </c>
      <c r="T537" s="21" cm="1">
        <f t="array" aca="1" ref="T537" ca="1">+fair_value_gap(OFFSET(S536,0,0,-1*$I$5,-1*$Z$1),OFFSET(E536,0,0,-1*$I$5,1),F537:S537,0)</f>
        <v>19.073332318562798</v>
      </c>
      <c r="U537" s="7" cm="1">
        <f t="array" aca="1" ref="U537" ca="1">z_score_diff(OFFSET(T537,0,0,$I$5*-1,1),OFFSET(E537,0,0,$I$5*-1,1))</f>
        <v>-0.88148106970310258</v>
      </c>
      <c r="V537" s="7">
        <f t="shared" ca="1" si="567"/>
        <v>-0.41738052154559357</v>
      </c>
      <c r="W537" s="14">
        <f t="shared" ca="1" si="562"/>
        <v>-0.13320713057655376</v>
      </c>
      <c r="X537" s="10">
        <f t="shared" ref="X537:Y537" ca="1" si="586">+X536</f>
        <v>0</v>
      </c>
      <c r="Y537" s="10">
        <f t="shared" ca="1" si="586"/>
        <v>0</v>
      </c>
      <c r="Z537">
        <f t="shared" ca="1" si="569"/>
        <v>1</v>
      </c>
      <c r="AA537">
        <f t="shared" ca="1" si="570"/>
        <v>0</v>
      </c>
      <c r="AB537" s="19">
        <f t="shared" ca="1" si="571"/>
        <v>-0.13320713057655376</v>
      </c>
      <c r="AC537" s="19">
        <f t="shared" ca="1" si="572"/>
        <v>0</v>
      </c>
    </row>
    <row r="538" spans="3:29" x14ac:dyDescent="0.25">
      <c r="C538" s="4">
        <v>531</v>
      </c>
      <c r="D538" s="28">
        <v>42760</v>
      </c>
      <c r="E538" s="30">
        <v>20.023</v>
      </c>
      <c r="F538" s="30">
        <v>51.265822784810126</v>
      </c>
      <c r="G538" s="30">
        <v>7.4460163812360385</v>
      </c>
      <c r="H538" s="30">
        <v>80.230826507818321</v>
      </c>
      <c r="I538" s="8">
        <v>1</v>
      </c>
      <c r="J538" s="31">
        <v>0</v>
      </c>
      <c r="K538" s="31">
        <v>0</v>
      </c>
      <c r="L538" s="31">
        <v>0</v>
      </c>
      <c r="M538" s="31">
        <v>0</v>
      </c>
      <c r="N538" s="31">
        <v>0</v>
      </c>
      <c r="O538" s="31">
        <v>0</v>
      </c>
      <c r="P538" s="31">
        <v>0</v>
      </c>
      <c r="Q538" s="31">
        <v>0</v>
      </c>
      <c r="R538" s="31">
        <v>0</v>
      </c>
      <c r="S538" s="31">
        <v>0</v>
      </c>
      <c r="T538" s="21" cm="1">
        <f t="array" aca="1" ref="T538" ca="1">+fair_value_gap(OFFSET(S537,0,0,-1*$I$5,-1*$Z$1),OFFSET(E537,0,0,-1*$I$5,1),F538:S538,0)</f>
        <v>19.185887116056183</v>
      </c>
      <c r="U538" s="7" cm="1">
        <f t="array" aca="1" ref="U538" ca="1">z_score_diff(OFFSET(T538,0,0,$I$5*-1,1),OFFSET(E538,0,0,$I$5*-1,1))</f>
        <v>-0.56142951129326324</v>
      </c>
      <c r="V538" s="7">
        <f t="shared" ca="1" si="567"/>
        <v>-0.40882790919577616</v>
      </c>
      <c r="W538" s="14">
        <f t="shared" ca="1" si="562"/>
        <v>-0.1039575592382035</v>
      </c>
      <c r="X538" s="10">
        <f t="shared" ref="X538:Y538" ca="1" si="587">+X537</f>
        <v>0</v>
      </c>
      <c r="Y538" s="10">
        <f t="shared" ca="1" si="587"/>
        <v>0</v>
      </c>
      <c r="Z538">
        <f t="shared" ca="1" si="569"/>
        <v>1</v>
      </c>
      <c r="AA538">
        <f t="shared" ca="1" si="570"/>
        <v>0</v>
      </c>
      <c r="AB538" s="19">
        <f t="shared" ca="1" si="571"/>
        <v>-0.1039575592382035</v>
      </c>
      <c r="AC538" s="19">
        <f t="shared" ca="1" si="572"/>
        <v>0</v>
      </c>
    </row>
    <row r="539" spans="3:29" x14ac:dyDescent="0.25">
      <c r="C539" s="4">
        <v>532</v>
      </c>
      <c r="D539" s="28">
        <v>42761</v>
      </c>
      <c r="E539" s="30">
        <v>19.846</v>
      </c>
      <c r="F539" s="30">
        <v>52.659176029962545</v>
      </c>
      <c r="G539" s="30">
        <v>7.4906367041198498</v>
      </c>
      <c r="H539" s="30">
        <v>80.383895131086135</v>
      </c>
      <c r="I539" s="8">
        <v>1</v>
      </c>
      <c r="J539" s="31">
        <v>0</v>
      </c>
      <c r="K539" s="31">
        <v>0</v>
      </c>
      <c r="L539" s="31">
        <v>0</v>
      </c>
      <c r="M539" s="31">
        <v>0</v>
      </c>
      <c r="N539" s="31">
        <v>0</v>
      </c>
      <c r="O539" s="31">
        <v>0</v>
      </c>
      <c r="P539" s="31">
        <v>0</v>
      </c>
      <c r="Q539" s="31">
        <v>0</v>
      </c>
      <c r="R539" s="31">
        <v>0</v>
      </c>
      <c r="S539" s="31">
        <v>0</v>
      </c>
      <c r="T539" s="21" cm="1">
        <f t="array" aca="1" ref="T539" ca="1">+fair_value_gap(OFFSET(S538,0,0,-1*$I$5,-1*$Z$1),OFFSET(E538,0,0,-1*$I$5,1),F539:S539,0)</f>
        <v>19.335089139717589</v>
      </c>
      <c r="U539" s="7" cm="1">
        <f t="array" aca="1" ref="U539" ca="1">z_score_diff(OFFSET(T539,0,0,$I$5*-1,1),OFFSET(E539,0,0,$I$5*-1,1))</f>
        <v>-0.42591203937416311</v>
      </c>
      <c r="V539" s="7">
        <f t="shared" ca="1" si="567"/>
        <v>-0.3861718045691328</v>
      </c>
      <c r="W539" s="14">
        <f t="shared" ca="1" si="562"/>
        <v>-8.0992131998863376E-2</v>
      </c>
      <c r="X539" s="10">
        <f t="shared" ref="X539:Y539" ca="1" si="588">+X538</f>
        <v>0</v>
      </c>
      <c r="Y539" s="10">
        <f t="shared" ca="1" si="588"/>
        <v>0</v>
      </c>
      <c r="Z539">
        <f t="shared" ca="1" si="569"/>
        <v>1</v>
      </c>
      <c r="AA539">
        <f t="shared" ca="1" si="570"/>
        <v>0</v>
      </c>
      <c r="AB539" s="19">
        <f t="shared" ca="1" si="571"/>
        <v>-8.0992131998863376E-2</v>
      </c>
      <c r="AC539" s="19">
        <f t="shared" ca="1" si="572"/>
        <v>0</v>
      </c>
    </row>
    <row r="540" spans="3:29" x14ac:dyDescent="0.25">
      <c r="C540" s="4">
        <v>533</v>
      </c>
      <c r="D540" s="28">
        <v>42762</v>
      </c>
      <c r="E540" s="30">
        <v>19.5</v>
      </c>
      <c r="F540" s="30">
        <v>51.916962782868907</v>
      </c>
      <c r="G540" s="30">
        <v>7.4808303721713116</v>
      </c>
      <c r="H540" s="30">
        <v>80.372171311015535</v>
      </c>
      <c r="I540" s="8">
        <v>1</v>
      </c>
      <c r="J540" s="31">
        <v>0</v>
      </c>
      <c r="K540" s="31">
        <v>0</v>
      </c>
      <c r="L540" s="31">
        <v>0</v>
      </c>
      <c r="M540" s="31">
        <v>0</v>
      </c>
      <c r="N540" s="31">
        <v>0</v>
      </c>
      <c r="O540" s="31">
        <v>0</v>
      </c>
      <c r="P540" s="31">
        <v>0</v>
      </c>
      <c r="Q540" s="31">
        <v>0</v>
      </c>
      <c r="R540" s="31">
        <v>0</v>
      </c>
      <c r="S540" s="31">
        <v>0</v>
      </c>
      <c r="T540" s="21" cm="1">
        <f t="array" aca="1" ref="T540" ca="1">+fair_value_gap(OFFSET(S539,0,0,-1*$I$5,-1*$Z$1),OFFSET(E539,0,0,-1*$I$5,1),F540:S540,0)</f>
        <v>19.337314332394531</v>
      </c>
      <c r="U540" s="7" cm="1">
        <f t="array" aca="1" ref="U540" ca="1">z_score_diff(OFFSET(T540,0,0,$I$5*-1,1),OFFSET(E540,0,0,$I$5*-1,1))</f>
        <v>-0.28738360823051456</v>
      </c>
      <c r="V540" s="7">
        <f t="shared" ca="1" si="567"/>
        <v>-0.3464270536332415</v>
      </c>
      <c r="W540" s="14">
        <f t="shared" ca="1" si="562"/>
        <v>-9.1328374135030713E-2</v>
      </c>
      <c r="X540" s="10">
        <f t="shared" ref="X540:Y540" ca="1" si="589">+X539</f>
        <v>0</v>
      </c>
      <c r="Y540" s="10">
        <f t="shared" ca="1" si="589"/>
        <v>0</v>
      </c>
      <c r="Z540">
        <f t="shared" ca="1" si="569"/>
        <v>1</v>
      </c>
      <c r="AA540">
        <f t="shared" ca="1" si="570"/>
        <v>0</v>
      </c>
      <c r="AB540" s="19">
        <f t="shared" ca="1" si="571"/>
        <v>-9.1328374135030713E-2</v>
      </c>
      <c r="AC540" s="19">
        <f t="shared" ca="1" si="572"/>
        <v>0</v>
      </c>
    </row>
    <row r="541" spans="3:29" x14ac:dyDescent="0.25">
      <c r="C541" s="4">
        <v>534</v>
      </c>
      <c r="D541" s="28">
        <v>42765</v>
      </c>
      <c r="E541" s="30">
        <v>20.399999999999999</v>
      </c>
      <c r="F541" s="30">
        <v>51.655443322109988</v>
      </c>
      <c r="G541" s="30">
        <v>7.4822297044519273</v>
      </c>
      <c r="H541" s="30">
        <v>80.527497194163857</v>
      </c>
      <c r="I541" s="8">
        <v>1</v>
      </c>
      <c r="J541" s="31">
        <v>0</v>
      </c>
      <c r="K541" s="31">
        <v>0</v>
      </c>
      <c r="L541" s="31">
        <v>0</v>
      </c>
      <c r="M541" s="31">
        <v>0</v>
      </c>
      <c r="N541" s="31">
        <v>0</v>
      </c>
      <c r="O541" s="31">
        <v>0</v>
      </c>
      <c r="P541" s="31">
        <v>0</v>
      </c>
      <c r="Q541" s="31">
        <v>0</v>
      </c>
      <c r="R541" s="31">
        <v>0</v>
      </c>
      <c r="S541" s="31">
        <v>0</v>
      </c>
      <c r="T541" s="21" cm="1">
        <f t="array" aca="1" ref="T541" ca="1">+fair_value_gap(OFFSET(S540,0,0,-1*$I$5,-1*$Z$1),OFFSET(E540,0,0,-1*$I$5,1),F541:S541,0)</f>
        <v>19.362960050118232</v>
      </c>
      <c r="U541" s="7" cm="1">
        <f t="array" aca="1" ref="U541" ca="1">z_score_diff(OFFSET(T541,0,0,$I$5*-1,1),OFFSET(E541,0,0,$I$5*-1,1))</f>
        <v>-0.60432304921132185</v>
      </c>
      <c r="V541" s="7">
        <f t="shared" ca="1" si="567"/>
        <v>-0.39080760123316882</v>
      </c>
      <c r="W541" s="14">
        <f t="shared" ca="1" si="562"/>
        <v>-0.16592726877831598</v>
      </c>
      <c r="X541" s="10">
        <f t="shared" ref="X541:Y541" ca="1" si="590">+X540</f>
        <v>0</v>
      </c>
      <c r="Y541" s="10">
        <f t="shared" ca="1" si="590"/>
        <v>0</v>
      </c>
      <c r="Z541">
        <f t="shared" ca="1" si="569"/>
        <v>1</v>
      </c>
      <c r="AA541">
        <f t="shared" ca="1" si="570"/>
        <v>0</v>
      </c>
      <c r="AB541" s="19">
        <f t="shared" ca="1" si="571"/>
        <v>-0.16592726877831598</v>
      </c>
      <c r="AC541" s="19">
        <f t="shared" ca="1" si="572"/>
        <v>0</v>
      </c>
    </row>
    <row r="542" spans="3:29" x14ac:dyDescent="0.25">
      <c r="C542" s="4">
        <v>535</v>
      </c>
      <c r="D542" s="28">
        <v>42766</v>
      </c>
      <c r="E542" s="30">
        <v>20.748999999999999</v>
      </c>
      <c r="F542" s="30">
        <v>51.597962019453455</v>
      </c>
      <c r="G542" s="30">
        <v>7.4108383510884677</v>
      </c>
      <c r="H542" s="30">
        <v>80.778138026864298</v>
      </c>
      <c r="I542" s="8">
        <v>1</v>
      </c>
      <c r="J542" s="31">
        <v>0</v>
      </c>
      <c r="K542" s="31">
        <v>0</v>
      </c>
      <c r="L542" s="31">
        <v>0</v>
      </c>
      <c r="M542" s="31">
        <v>0</v>
      </c>
      <c r="N542" s="31">
        <v>0</v>
      </c>
      <c r="O542" s="31">
        <v>0</v>
      </c>
      <c r="P542" s="31">
        <v>0</v>
      </c>
      <c r="Q542" s="31">
        <v>0</v>
      </c>
      <c r="R542" s="31">
        <v>0</v>
      </c>
      <c r="S542" s="31">
        <v>0</v>
      </c>
      <c r="T542" s="21" cm="1">
        <f t="array" aca="1" ref="T542" ca="1">+fair_value_gap(OFFSET(S541,0,0,-1*$I$5,-1*$Z$1),OFFSET(E541,0,0,-1*$I$5,1),F542:S542,0)</f>
        <v>19.4082397442216</v>
      </c>
      <c r="U542" s="7" cm="1">
        <f t="array" aca="1" ref="U542" ca="1">z_score_diff(OFFSET(T542,0,0,$I$5*-1,1),OFFSET(E542,0,0,$I$5*-1,1))</f>
        <v>-0.70067700751787254</v>
      </c>
      <c r="V542" s="7">
        <f t="shared" ca="1" si="567"/>
        <v>-0.45759090408590064</v>
      </c>
      <c r="W542" s="14">
        <f t="shared" ca="1" si="562"/>
        <v>-0.20542114522046298</v>
      </c>
      <c r="X542" s="10">
        <f t="shared" ref="X542:Y542" ca="1" si="591">+X541</f>
        <v>0</v>
      </c>
      <c r="Y542" s="10">
        <f t="shared" ca="1" si="591"/>
        <v>0</v>
      </c>
      <c r="Z542">
        <f t="shared" ca="1" si="569"/>
        <v>1</v>
      </c>
      <c r="AA542">
        <f t="shared" ca="1" si="570"/>
        <v>0</v>
      </c>
      <c r="AB542" s="19">
        <f t="shared" ca="1" si="571"/>
        <v>-0.20542114522046298</v>
      </c>
      <c r="AC542" s="19">
        <f t="shared" ca="1" si="572"/>
        <v>0</v>
      </c>
    </row>
    <row r="543" spans="3:29" x14ac:dyDescent="0.25">
      <c r="C543" s="4">
        <v>536</v>
      </c>
      <c r="D543" s="28">
        <v>42767</v>
      </c>
      <c r="E543" s="30">
        <v>21.515000000000001</v>
      </c>
      <c r="F543" s="30">
        <v>52.753784712547599</v>
      </c>
      <c r="G543" s="30">
        <v>7.4301105228940285</v>
      </c>
      <c r="H543" s="30">
        <v>81.034642890312995</v>
      </c>
      <c r="I543" s="8">
        <v>0</v>
      </c>
      <c r="J543" s="31">
        <v>1</v>
      </c>
      <c r="K543" s="31">
        <v>0</v>
      </c>
      <c r="L543" s="31">
        <v>0</v>
      </c>
      <c r="M543" s="31">
        <v>0</v>
      </c>
      <c r="N543" s="31">
        <v>0</v>
      </c>
      <c r="O543" s="31">
        <v>0</v>
      </c>
      <c r="P543" s="31">
        <v>0</v>
      </c>
      <c r="Q543" s="31">
        <v>0</v>
      </c>
      <c r="R543" s="31">
        <v>0</v>
      </c>
      <c r="S543" s="31">
        <v>0</v>
      </c>
      <c r="T543" s="21" cm="1">
        <f t="array" aca="1" ref="T543" ca="1">+fair_value_gap(OFFSET(S542,0,0,-1*$I$5,-1*$Z$1),OFFSET(E542,0,0,-1*$I$5,1),F543:S543,0)</f>
        <v>19.494238798836108</v>
      </c>
      <c r="U543" s="7" cm="1">
        <f t="array" aca="1" ref="U543" ca="1">z_score_diff(OFFSET(T543,0,0,$I$5*-1,1),OFFSET(E543,0,0,$I$5*-1,1))</f>
        <v>-0.92713850034687462</v>
      </c>
      <c r="V543" s="7">
        <f t="shared" ca="1" si="567"/>
        <v>-0.51696499300425636</v>
      </c>
      <c r="W543" s="14">
        <f t="shared" ca="1" si="562"/>
        <v>-0.22897039451045859</v>
      </c>
      <c r="X543" s="10">
        <f t="shared" ref="X543:Y543" ca="1" si="592">+X542</f>
        <v>0</v>
      </c>
      <c r="Y543" s="10">
        <f t="shared" ca="1" si="592"/>
        <v>0</v>
      </c>
      <c r="Z543">
        <f t="shared" ca="1" si="569"/>
        <v>1</v>
      </c>
      <c r="AA543">
        <f t="shared" ca="1" si="570"/>
        <v>0</v>
      </c>
      <c r="AB543" s="19">
        <f t="shared" ca="1" si="571"/>
        <v>-0.22897039451045859</v>
      </c>
      <c r="AC543" s="19">
        <f t="shared" ca="1" si="572"/>
        <v>0</v>
      </c>
    </row>
    <row r="544" spans="3:29" x14ac:dyDescent="0.25">
      <c r="C544" s="4">
        <v>537</v>
      </c>
      <c r="D544" s="28">
        <v>42768</v>
      </c>
      <c r="E544" s="30">
        <v>21.75</v>
      </c>
      <c r="F544" s="30">
        <v>52.574828034950734</v>
      </c>
      <c r="G544" s="30">
        <v>7.4363264547313621</v>
      </c>
      <c r="H544" s="30">
        <v>81.427774679308413</v>
      </c>
      <c r="I544" s="8">
        <v>0</v>
      </c>
      <c r="J544" s="31">
        <v>1</v>
      </c>
      <c r="K544" s="31">
        <v>0</v>
      </c>
      <c r="L544" s="31">
        <v>0</v>
      </c>
      <c r="M544" s="31">
        <v>0</v>
      </c>
      <c r="N544" s="31">
        <v>0</v>
      </c>
      <c r="O544" s="31">
        <v>0</v>
      </c>
      <c r="P544" s="31">
        <v>0</v>
      </c>
      <c r="Q544" s="31">
        <v>0</v>
      </c>
      <c r="R544" s="31">
        <v>0</v>
      </c>
      <c r="S544" s="31">
        <v>0</v>
      </c>
      <c r="T544" s="21" cm="1">
        <f t="array" aca="1" ref="T544" ca="1">+fair_value_gap(OFFSET(S543,0,0,-1*$I$5,-1*$Z$1),OFFSET(E543,0,0,-1*$I$5,1),F544:S544,0)</f>
        <v>19.742114725137359</v>
      </c>
      <c r="U544" s="7" cm="1">
        <f t="array" aca="1" ref="U544" ca="1">z_score_diff(OFFSET(T544,0,0,$I$5*-1,1),OFFSET(E544,0,0,$I$5*-1,1))</f>
        <v>-0.8923861327281426</v>
      </c>
      <c r="V544" s="7">
        <f t="shared" ca="1" si="567"/>
        <v>-0.56829960888635567</v>
      </c>
      <c r="W544" s="14">
        <f t="shared" ca="1" si="562"/>
        <v>-0.26061866248075599</v>
      </c>
      <c r="X544" s="10">
        <f t="shared" ref="X544:Y544" ca="1" si="593">+X543</f>
        <v>0</v>
      </c>
      <c r="Y544" s="10">
        <f t="shared" ca="1" si="593"/>
        <v>0</v>
      </c>
      <c r="Z544">
        <f t="shared" ca="1" si="569"/>
        <v>1</v>
      </c>
      <c r="AA544">
        <f t="shared" ca="1" si="570"/>
        <v>0</v>
      </c>
      <c r="AB544" s="19">
        <f t="shared" ca="1" si="571"/>
        <v>-0.26061866248075599</v>
      </c>
      <c r="AC544" s="19">
        <f t="shared" ca="1" si="572"/>
        <v>0</v>
      </c>
    </row>
    <row r="545" spans="3:29" x14ac:dyDescent="0.25">
      <c r="C545" s="4">
        <v>538</v>
      </c>
      <c r="D545" s="28">
        <v>42769</v>
      </c>
      <c r="E545" s="30">
        <v>22.242999999999999</v>
      </c>
      <c r="F545" s="30">
        <v>52.694555236063444</v>
      </c>
      <c r="G545" s="30">
        <v>7.4204619237547531</v>
      </c>
      <c r="H545" s="30">
        <v>80.975790742973743</v>
      </c>
      <c r="I545" s="8">
        <v>0</v>
      </c>
      <c r="J545" s="31">
        <v>1</v>
      </c>
      <c r="K545" s="31">
        <v>0</v>
      </c>
      <c r="L545" s="31">
        <v>0</v>
      </c>
      <c r="M545" s="31">
        <v>0</v>
      </c>
      <c r="N545" s="31">
        <v>0</v>
      </c>
      <c r="O545" s="31">
        <v>0</v>
      </c>
      <c r="P545" s="31">
        <v>0</v>
      </c>
      <c r="Q545" s="31">
        <v>0</v>
      </c>
      <c r="R545" s="31">
        <v>0</v>
      </c>
      <c r="S545" s="31">
        <v>0</v>
      </c>
      <c r="T545" s="21" cm="1">
        <f t="array" aca="1" ref="T545" ca="1">+fair_value_gap(OFFSET(S544,0,0,-1*$I$5,-1*$Z$1),OFFSET(E544,0,0,-1*$I$5,1),F545:S545,0)</f>
        <v>19.892098591289454</v>
      </c>
      <c r="U545" s="7" cm="1">
        <f t="array" aca="1" ref="U545" ca="1">z_score_diff(OFFSET(T545,0,0,$I$5*-1,1),OFFSET(E545,0,0,$I$5*-1,1))</f>
        <v>-0.98308006659462288</v>
      </c>
      <c r="V545" s="7">
        <f t="shared" ca="1" si="567"/>
        <v>-0.62941151003525886</v>
      </c>
      <c r="W545" s="14">
        <f t="shared" ca="1" si="562"/>
        <v>-0.28267432615592764</v>
      </c>
      <c r="X545" s="10">
        <f t="shared" ref="X545:Y545" ca="1" si="594">+X544</f>
        <v>0</v>
      </c>
      <c r="Y545" s="10">
        <f t="shared" ca="1" si="594"/>
        <v>0</v>
      </c>
      <c r="Z545">
        <f t="shared" ca="1" si="569"/>
        <v>1</v>
      </c>
      <c r="AA545">
        <f t="shared" ca="1" si="570"/>
        <v>0</v>
      </c>
      <c r="AB545" s="19">
        <f t="shared" ca="1" si="571"/>
        <v>-0.28267432615592764</v>
      </c>
      <c r="AC545" s="19">
        <f t="shared" ca="1" si="572"/>
        <v>0</v>
      </c>
    </row>
    <row r="546" spans="3:29" x14ac:dyDescent="0.25">
      <c r="C546" s="4">
        <v>539</v>
      </c>
      <c r="D546" s="28">
        <v>42772</v>
      </c>
      <c r="E546" s="30">
        <v>21.942</v>
      </c>
      <c r="F546" s="30">
        <v>51.837380221415948</v>
      </c>
      <c r="G546" s="30">
        <v>7.4425527956088944</v>
      </c>
      <c r="H546" s="30">
        <v>79.170155363289609</v>
      </c>
      <c r="I546" s="8">
        <v>0</v>
      </c>
      <c r="J546" s="31">
        <v>1</v>
      </c>
      <c r="K546" s="31">
        <v>0</v>
      </c>
      <c r="L546" s="31">
        <v>0</v>
      </c>
      <c r="M546" s="31">
        <v>0</v>
      </c>
      <c r="N546" s="31">
        <v>0</v>
      </c>
      <c r="O546" s="31">
        <v>0</v>
      </c>
      <c r="P546" s="31">
        <v>0</v>
      </c>
      <c r="Q546" s="31">
        <v>0</v>
      </c>
      <c r="R546" s="31">
        <v>0</v>
      </c>
      <c r="S546" s="31">
        <v>0</v>
      </c>
      <c r="T546" s="21" cm="1">
        <f t="array" aca="1" ref="T546" ca="1">+fair_value_gap(OFFSET(S545,0,0,-1*$I$5,-1*$Z$1),OFFSET(E545,0,0,-1*$I$5,1),F546:S546,0)</f>
        <v>19.878978176129586</v>
      </c>
      <c r="U546" s="7" cm="1">
        <f t="array" aca="1" ref="U546" ca="1">z_score_diff(OFFSET(T546,0,0,$I$5*-1,1),OFFSET(E546,0,0,$I$5*-1,1))</f>
        <v>-0.85426171993076983</v>
      </c>
      <c r="V546" s="7">
        <f t="shared" ca="1" si="567"/>
        <v>-0.66475977388499241</v>
      </c>
      <c r="W546" s="14">
        <f t="shared" ca="1" si="562"/>
        <v>-0.27815689497841933</v>
      </c>
      <c r="X546" s="10">
        <f t="shared" ref="X546:Y546" ca="1" si="595">+X545</f>
        <v>0</v>
      </c>
      <c r="Y546" s="10">
        <f t="shared" ca="1" si="595"/>
        <v>0</v>
      </c>
      <c r="Z546">
        <f t="shared" ca="1" si="569"/>
        <v>1</v>
      </c>
      <c r="AA546">
        <f t="shared" ca="1" si="570"/>
        <v>0</v>
      </c>
      <c r="AB546" s="19">
        <f t="shared" ca="1" si="571"/>
        <v>-0.27815689497841933</v>
      </c>
      <c r="AC546" s="19">
        <f t="shared" ca="1" si="572"/>
        <v>0</v>
      </c>
    </row>
    <row r="547" spans="3:29" x14ac:dyDescent="0.25">
      <c r="C547" s="4">
        <v>540</v>
      </c>
      <c r="D547" s="28">
        <v>42773</v>
      </c>
      <c r="E547" s="30">
        <v>21.27</v>
      </c>
      <c r="F547" s="30">
        <v>51.544943820224717</v>
      </c>
      <c r="G547" s="30">
        <v>7.4906367041198498</v>
      </c>
      <c r="H547" s="30">
        <v>79.588014981273403</v>
      </c>
      <c r="I547" s="8">
        <v>0</v>
      </c>
      <c r="J547" s="31">
        <v>1</v>
      </c>
      <c r="K547" s="31">
        <v>0</v>
      </c>
      <c r="L547" s="31">
        <v>0</v>
      </c>
      <c r="M547" s="31">
        <v>0</v>
      </c>
      <c r="N547" s="31">
        <v>0</v>
      </c>
      <c r="O547" s="31">
        <v>0</v>
      </c>
      <c r="P547" s="31">
        <v>0</v>
      </c>
      <c r="Q547" s="31">
        <v>0</v>
      </c>
      <c r="R547" s="31">
        <v>0</v>
      </c>
      <c r="S547" s="31">
        <v>0</v>
      </c>
      <c r="T547" s="21" cm="1">
        <f t="array" aca="1" ref="T547" ca="1">+fair_value_gap(OFFSET(S546,0,0,-1*$I$5,-1*$Z$1),OFFSET(E546,0,0,-1*$I$5,1),F547:S547,0)</f>
        <v>20.208959197993138</v>
      </c>
      <c r="U547" s="7" cm="1">
        <f t="array" aca="1" ref="U547" ca="1">z_score_diff(OFFSET(T547,0,0,$I$5*-1,1),OFFSET(E547,0,0,$I$5*-1,1))</f>
        <v>-0.47523634455329078</v>
      </c>
      <c r="V547" s="7">
        <f t="shared" ca="1" si="567"/>
        <v>-0.66955985149237518</v>
      </c>
      <c r="W547" s="14">
        <f t="shared" ca="1" si="562"/>
        <v>-0.25375544665071509</v>
      </c>
      <c r="X547" s="10">
        <f t="shared" ref="X547:Y547" ca="1" si="596">+X546</f>
        <v>0</v>
      </c>
      <c r="Y547" s="10">
        <f t="shared" ca="1" si="596"/>
        <v>0</v>
      </c>
      <c r="Z547">
        <f t="shared" ca="1" si="569"/>
        <v>1</v>
      </c>
      <c r="AA547">
        <f t="shared" ca="1" si="570"/>
        <v>0</v>
      </c>
      <c r="AB547" s="19">
        <f t="shared" ca="1" si="571"/>
        <v>-0.25375544665071509</v>
      </c>
      <c r="AC547" s="19">
        <f t="shared" ca="1" si="572"/>
        <v>0</v>
      </c>
    </row>
    <row r="548" spans="3:29" x14ac:dyDescent="0.25">
      <c r="C548" s="4">
        <v>541</v>
      </c>
      <c r="D548" s="28">
        <v>42774</v>
      </c>
      <c r="E548" s="30">
        <v>20.291</v>
      </c>
      <c r="F548" s="30">
        <v>51.528465925025699</v>
      </c>
      <c r="G548" s="30">
        <v>7.4787323548658495</v>
      </c>
      <c r="H548" s="30">
        <v>78.807142189398888</v>
      </c>
      <c r="I548" s="8">
        <v>0</v>
      </c>
      <c r="J548" s="31">
        <v>1</v>
      </c>
      <c r="K548" s="31">
        <v>0</v>
      </c>
      <c r="L548" s="31">
        <v>0</v>
      </c>
      <c r="M548" s="31">
        <v>0</v>
      </c>
      <c r="N548" s="31">
        <v>0</v>
      </c>
      <c r="O548" s="31">
        <v>0</v>
      </c>
      <c r="P548" s="31">
        <v>0</v>
      </c>
      <c r="Q548" s="31">
        <v>0</v>
      </c>
      <c r="R548" s="31">
        <v>0</v>
      </c>
      <c r="S548" s="31">
        <v>0</v>
      </c>
      <c r="T548" s="21" cm="1">
        <f t="array" aca="1" ref="T548" ca="1">+fair_value_gap(OFFSET(S547,0,0,-1*$I$5,-1*$Z$1),OFFSET(E547,0,0,-1*$I$5,1),F548:S548,0)</f>
        <v>20.246085792578818</v>
      </c>
      <c r="U548" s="7" cm="1">
        <f t="array" aca="1" ref="U548" ca="1">z_score_diff(OFFSET(T548,0,0,$I$5*-1,1),OFFSET(E548,0,0,$I$5*-1,1))</f>
        <v>-0.1111818462502443</v>
      </c>
      <c r="V548" s="7">
        <f t="shared" ca="1" si="567"/>
        <v>-0.64315794562151807</v>
      </c>
      <c r="W548" s="14">
        <f t="shared" ca="1" si="562"/>
        <v>-0.22239226886442362</v>
      </c>
      <c r="X548" s="10">
        <f t="shared" ref="X548:Y548" ca="1" si="597">+X547</f>
        <v>0</v>
      </c>
      <c r="Y548" s="10">
        <f t="shared" ca="1" si="597"/>
        <v>0</v>
      </c>
      <c r="Z548">
        <f t="shared" ca="1" si="569"/>
        <v>1</v>
      </c>
      <c r="AA548">
        <f t="shared" ca="1" si="570"/>
        <v>0</v>
      </c>
      <c r="AB548" s="19">
        <f t="shared" ca="1" si="571"/>
        <v>-0.22239226886442362</v>
      </c>
      <c r="AC548" s="19">
        <f t="shared" ca="1" si="572"/>
        <v>0</v>
      </c>
    </row>
    <row r="549" spans="3:29" x14ac:dyDescent="0.25">
      <c r="C549" s="4">
        <v>542</v>
      </c>
      <c r="D549" s="28">
        <v>42775</v>
      </c>
      <c r="E549" s="30">
        <v>20.187999999999999</v>
      </c>
      <c r="F549" s="30">
        <v>52.215130467430079</v>
      </c>
      <c r="G549" s="30">
        <v>7.5089168387460115</v>
      </c>
      <c r="H549" s="30">
        <v>79.312934109254741</v>
      </c>
      <c r="I549" s="8">
        <v>0</v>
      </c>
      <c r="J549" s="31">
        <v>1</v>
      </c>
      <c r="K549" s="31">
        <v>0</v>
      </c>
      <c r="L549" s="31">
        <v>0</v>
      </c>
      <c r="M549" s="31">
        <v>0</v>
      </c>
      <c r="N549" s="31">
        <v>0</v>
      </c>
      <c r="O549" s="31">
        <v>0</v>
      </c>
      <c r="P549" s="31">
        <v>0</v>
      </c>
      <c r="Q549" s="31">
        <v>0</v>
      </c>
      <c r="R549" s="31">
        <v>0</v>
      </c>
      <c r="S549" s="31">
        <v>0</v>
      </c>
      <c r="T549" s="21" cm="1">
        <f t="array" aca="1" ref="T549" ca="1">+fair_value_gap(OFFSET(S548,0,0,-1*$I$5,-1*$Z$1),OFFSET(E548,0,0,-1*$I$5,1),F549:S549,0)</f>
        <v>20.4414677891974</v>
      </c>
      <c r="U549" s="7" cm="1">
        <f t="array" aca="1" ref="U549" ca="1">z_score_diff(OFFSET(T549,0,0,$I$5*-1,1),OFFSET(E549,0,0,$I$5*-1,1))</f>
        <v>3.0363891311813163E-4</v>
      </c>
      <c r="V549" s="7">
        <f t="shared" ca="1" si="567"/>
        <v>-0.6142893336655072</v>
      </c>
      <c r="W549" s="14">
        <f t="shared" ca="1" si="562"/>
        <v>-0.22496559858415452</v>
      </c>
      <c r="X549" s="10">
        <f t="shared" ref="X549:Y549" ca="1" si="598">+X548</f>
        <v>0</v>
      </c>
      <c r="Y549" s="10">
        <f t="shared" ca="1" si="598"/>
        <v>0</v>
      </c>
      <c r="Z549">
        <f t="shared" ca="1" si="569"/>
        <v>1</v>
      </c>
      <c r="AA549">
        <f t="shared" ca="1" si="570"/>
        <v>0</v>
      </c>
      <c r="AB549" s="19">
        <f t="shared" ca="1" si="571"/>
        <v>-0.22496559858415452</v>
      </c>
      <c r="AC549" s="19">
        <f t="shared" ca="1" si="572"/>
        <v>0</v>
      </c>
    </row>
    <row r="550" spans="3:29" x14ac:dyDescent="0.25">
      <c r="C550" s="4">
        <v>543</v>
      </c>
      <c r="D550" s="28">
        <v>42776</v>
      </c>
      <c r="E550" s="30">
        <v>19.771999999999998</v>
      </c>
      <c r="F550" s="30">
        <v>53.299492385786799</v>
      </c>
      <c r="G550" s="30">
        <v>7.5202105658958445</v>
      </c>
      <c r="H550" s="30">
        <v>79.15021620605377</v>
      </c>
      <c r="I550" s="8">
        <v>0</v>
      </c>
      <c r="J550" s="31">
        <v>1</v>
      </c>
      <c r="K550" s="31">
        <v>0</v>
      </c>
      <c r="L550" s="31">
        <v>0</v>
      </c>
      <c r="M550" s="31">
        <v>0</v>
      </c>
      <c r="N550" s="31">
        <v>0</v>
      </c>
      <c r="O550" s="31">
        <v>0</v>
      </c>
      <c r="P550" s="31">
        <v>0</v>
      </c>
      <c r="Q550" s="31">
        <v>0</v>
      </c>
      <c r="R550" s="31">
        <v>0</v>
      </c>
      <c r="S550" s="31">
        <v>0</v>
      </c>
      <c r="T550" s="21" cm="1">
        <f t="array" aca="1" ref="T550" ca="1">+fair_value_gap(OFFSET(S549,0,0,-1*$I$5,-1*$Z$1),OFFSET(E549,0,0,-1*$I$5,1),F550:S550,0)</f>
        <v>20.491682232394496</v>
      </c>
      <c r="U550" s="7" cm="1">
        <f t="array" aca="1" ref="U550" ca="1">z_score_diff(OFFSET(T550,0,0,$I$5*-1,1),OFFSET(E550,0,0,$I$5*-1,1))</f>
        <v>0.16299478955030855</v>
      </c>
      <c r="V550" s="7">
        <f t="shared" ca="1" si="567"/>
        <v>-0.58296920705533883</v>
      </c>
      <c r="W550" s="14">
        <f t="shared" ca="1" si="562"/>
        <v>-0.20234674577604728</v>
      </c>
      <c r="X550" s="10">
        <f t="shared" ref="X550:Y550" ca="1" si="599">+X549</f>
        <v>0</v>
      </c>
      <c r="Y550" s="10">
        <f t="shared" ca="1" si="599"/>
        <v>0</v>
      </c>
      <c r="Z550">
        <f t="shared" ca="1" si="569"/>
        <v>1</v>
      </c>
      <c r="AA550">
        <f t="shared" ca="1" si="570"/>
        <v>0</v>
      </c>
      <c r="AB550" s="19">
        <f t="shared" ca="1" si="571"/>
        <v>-0.20234674577604728</v>
      </c>
      <c r="AC550" s="19">
        <f t="shared" ca="1" si="572"/>
        <v>0</v>
      </c>
    </row>
    <row r="551" spans="3:29" x14ac:dyDescent="0.25">
      <c r="C551" s="4">
        <v>544</v>
      </c>
      <c r="D551" s="28">
        <v>42779</v>
      </c>
      <c r="E551" s="30">
        <v>19.05</v>
      </c>
      <c r="F551" s="30">
        <v>52.458242898933662</v>
      </c>
      <c r="G551" s="30">
        <v>7.5493064074738125</v>
      </c>
      <c r="H551" s="30">
        <v>78.795885628007923</v>
      </c>
      <c r="I551" s="8">
        <v>0</v>
      </c>
      <c r="J551" s="31">
        <v>1</v>
      </c>
      <c r="K551" s="31">
        <v>0</v>
      </c>
      <c r="L551" s="31">
        <v>0</v>
      </c>
      <c r="M551" s="31">
        <v>0</v>
      </c>
      <c r="N551" s="31">
        <v>0</v>
      </c>
      <c r="O551" s="31">
        <v>0</v>
      </c>
      <c r="P551" s="31">
        <v>0</v>
      </c>
      <c r="Q551" s="31">
        <v>0</v>
      </c>
      <c r="R551" s="31">
        <v>0</v>
      </c>
      <c r="S551" s="31">
        <v>0</v>
      </c>
      <c r="T551" s="21" cm="1">
        <f t="array" aca="1" ref="T551" ca="1">+fair_value_gap(OFFSET(S550,0,0,-1*$I$5,-1*$Z$1),OFFSET(E550,0,0,-1*$I$5,1),F551:S551,0)</f>
        <v>20.451614688585941</v>
      </c>
      <c r="U551" s="7" cm="1">
        <f t="array" aca="1" ref="U551" ca="1">z_score_diff(OFFSET(T551,0,0,$I$5*-1,1),OFFSET(E551,0,0,$I$5*-1,1))</f>
        <v>0.39375828597683782</v>
      </c>
      <c r="V551" s="7">
        <f t="shared" ca="1" si="567"/>
        <v>-0.56074895527356627</v>
      </c>
      <c r="W551" s="14">
        <f t="shared" ca="1" si="562"/>
        <v>-0.18547613354247011</v>
      </c>
      <c r="X551" s="10">
        <f t="shared" ref="X551:Y551" ca="1" si="600">+X550</f>
        <v>0</v>
      </c>
      <c r="Y551" s="10">
        <f t="shared" ca="1" si="600"/>
        <v>0</v>
      </c>
      <c r="Z551">
        <f t="shared" ca="1" si="569"/>
        <v>1</v>
      </c>
      <c r="AA551">
        <f t="shared" ca="1" si="570"/>
        <v>0</v>
      </c>
      <c r="AB551" s="19">
        <f t="shared" ca="1" si="571"/>
        <v>-0.18547613354247011</v>
      </c>
      <c r="AC551" s="19">
        <f t="shared" ca="1" si="572"/>
        <v>0</v>
      </c>
    </row>
    <row r="552" spans="3:29" x14ac:dyDescent="0.25">
      <c r="C552" s="4">
        <v>545</v>
      </c>
      <c r="D552" s="28">
        <v>42780</v>
      </c>
      <c r="E552" s="30">
        <v>18.731000000000002</v>
      </c>
      <c r="F552" s="30">
        <v>52.916706060319555</v>
      </c>
      <c r="G552" s="30">
        <v>7.5635813557719578</v>
      </c>
      <c r="H552" s="30">
        <v>77.715798430556859</v>
      </c>
      <c r="I552" s="8">
        <v>0</v>
      </c>
      <c r="J552" s="31">
        <v>1</v>
      </c>
      <c r="K552" s="31">
        <v>0</v>
      </c>
      <c r="L552" s="31">
        <v>0</v>
      </c>
      <c r="M552" s="31">
        <v>0</v>
      </c>
      <c r="N552" s="31">
        <v>0</v>
      </c>
      <c r="O552" s="31">
        <v>0</v>
      </c>
      <c r="P552" s="31">
        <v>0</v>
      </c>
      <c r="Q552" s="31">
        <v>0</v>
      </c>
      <c r="R552" s="31">
        <v>0</v>
      </c>
      <c r="S552" s="31">
        <v>0</v>
      </c>
      <c r="T552" s="21" cm="1">
        <f t="array" aca="1" ref="T552" ca="1">+fair_value_gap(OFFSET(S551,0,0,-1*$I$5,-1*$Z$1),OFFSET(E551,0,0,-1*$I$5,1),F552:S552,0)</f>
        <v>20.281721354318574</v>
      </c>
      <c r="U552" s="7" cm="1">
        <f t="array" aca="1" ref="U552" ca="1">z_score_diff(OFFSET(T552,0,0,$I$5*-1,1),OFFSET(E552,0,0,$I$5*-1,1))</f>
        <v>0.43516550566178647</v>
      </c>
      <c r="V552" s="7">
        <f t="shared" ca="1" si="567"/>
        <v>-0.5115622549620038</v>
      </c>
      <c r="W552" s="14">
        <f t="shared" ca="1" si="562"/>
        <v>-0.16228970385552816</v>
      </c>
      <c r="X552" s="10">
        <f t="shared" ref="X552:Y552" ca="1" si="601">+X551</f>
        <v>0</v>
      </c>
      <c r="Y552" s="10">
        <f t="shared" ca="1" si="601"/>
        <v>0</v>
      </c>
      <c r="Z552">
        <f t="shared" ca="1" si="569"/>
        <v>1</v>
      </c>
      <c r="AA552">
        <f t="shared" ca="1" si="570"/>
        <v>0</v>
      </c>
      <c r="AB552" s="19">
        <f t="shared" ca="1" si="571"/>
        <v>-0.16228970385552816</v>
      </c>
      <c r="AC552" s="19">
        <f t="shared" ca="1" si="572"/>
        <v>0</v>
      </c>
    </row>
    <row r="553" spans="3:29" x14ac:dyDescent="0.25">
      <c r="C553" s="4">
        <v>546</v>
      </c>
      <c r="D553" s="28">
        <v>42781</v>
      </c>
      <c r="E553" s="30">
        <v>18.850000000000001</v>
      </c>
      <c r="F553" s="30">
        <v>52.604264955652006</v>
      </c>
      <c r="G553" s="30">
        <v>7.5485940743536508</v>
      </c>
      <c r="H553" s="30">
        <v>78.31666352141913</v>
      </c>
      <c r="I553" s="8">
        <v>0</v>
      </c>
      <c r="J553" s="31">
        <v>1</v>
      </c>
      <c r="K553" s="31">
        <v>0</v>
      </c>
      <c r="L553" s="31">
        <v>0</v>
      </c>
      <c r="M553" s="31">
        <v>0</v>
      </c>
      <c r="N553" s="31">
        <v>0</v>
      </c>
      <c r="O553" s="31">
        <v>0</v>
      </c>
      <c r="P553" s="31">
        <v>0</v>
      </c>
      <c r="Q553" s="31">
        <v>0</v>
      </c>
      <c r="R553" s="31">
        <v>0</v>
      </c>
      <c r="S553" s="31">
        <v>0</v>
      </c>
      <c r="T553" s="21" cm="1">
        <f t="array" aca="1" ref="T553" ca="1">+fair_value_gap(OFFSET(S552,0,0,-1*$I$5,-1*$Z$1),OFFSET(E552,0,0,-1*$I$5,1),F553:S553,0)</f>
        <v>20.320007190857158</v>
      </c>
      <c r="U553" s="7" cm="1">
        <f t="array" aca="1" ref="U553" ca="1">z_score_diff(OFFSET(T553,0,0,$I$5*-1,1),OFFSET(E553,0,0,$I$5*-1,1))</f>
        <v>0.40257725521960652</v>
      </c>
      <c r="V553" s="7">
        <f t="shared" ca="1" si="567"/>
        <v>-0.45980267030114075</v>
      </c>
      <c r="W553" s="14">
        <f t="shared" ca="1" si="562"/>
        <v>-0.15800424914324845</v>
      </c>
      <c r="X553" s="10">
        <f t="shared" ref="X553:Y553" ca="1" si="602">+X552</f>
        <v>0</v>
      </c>
      <c r="Y553" s="10">
        <f t="shared" ca="1" si="602"/>
        <v>0</v>
      </c>
      <c r="Z553">
        <f t="shared" ca="1" si="569"/>
        <v>1</v>
      </c>
      <c r="AA553">
        <f t="shared" ca="1" si="570"/>
        <v>0</v>
      </c>
      <c r="AB553" s="19">
        <f t="shared" ca="1" si="571"/>
        <v>-0.15800424914324845</v>
      </c>
      <c r="AC553" s="19">
        <f t="shared" ca="1" si="572"/>
        <v>0</v>
      </c>
    </row>
    <row r="554" spans="3:29" x14ac:dyDescent="0.25">
      <c r="C554" s="4">
        <v>547</v>
      </c>
      <c r="D554" s="28">
        <v>42782</v>
      </c>
      <c r="E554" s="30">
        <v>19.010000000000002</v>
      </c>
      <c r="F554" s="30">
        <v>52.145802098950526</v>
      </c>
      <c r="G554" s="30">
        <v>6.2312593703148433</v>
      </c>
      <c r="H554" s="30">
        <v>78.101574212893553</v>
      </c>
      <c r="I554" s="8">
        <v>0</v>
      </c>
      <c r="J554" s="31">
        <v>1</v>
      </c>
      <c r="K554" s="31">
        <v>0</v>
      </c>
      <c r="L554" s="31">
        <v>0</v>
      </c>
      <c r="M554" s="31">
        <v>0</v>
      </c>
      <c r="N554" s="31">
        <v>0</v>
      </c>
      <c r="O554" s="31">
        <v>0</v>
      </c>
      <c r="P554" s="31">
        <v>0</v>
      </c>
      <c r="Q554" s="31">
        <v>0</v>
      </c>
      <c r="R554" s="31">
        <v>0</v>
      </c>
      <c r="S554" s="31">
        <v>0</v>
      </c>
      <c r="T554" s="21" cm="1">
        <f t="array" aca="1" ref="T554" ca="1">+fair_value_gap(OFFSET(S553,0,0,-1*$I$5,-1*$Z$1),OFFSET(E553,0,0,-1*$I$5,1),F554:S554,0)</f>
        <v>19.456583284264685</v>
      </c>
      <c r="U554" s="7" cm="1">
        <f t="array" aca="1" ref="U554" ca="1">z_score_diff(OFFSET(T554,0,0,$I$5*-1,1),OFFSET(E554,0,0,$I$5*-1,1))</f>
        <v>2.6115371271300702E-2</v>
      </c>
      <c r="V554" s="7">
        <f t="shared" ca="1" si="567"/>
        <v>-0.41871179076282489</v>
      </c>
      <c r="W554" s="14">
        <f t="shared" ca="1" si="562"/>
        <v>-0.17368979634308643</v>
      </c>
      <c r="X554" s="10">
        <f t="shared" ref="X554:Y554" ca="1" si="603">+X553</f>
        <v>0</v>
      </c>
      <c r="Y554" s="10">
        <f t="shared" ca="1" si="603"/>
        <v>0</v>
      </c>
      <c r="Z554">
        <f t="shared" ca="1" si="569"/>
        <v>1</v>
      </c>
      <c r="AA554">
        <f t="shared" ca="1" si="570"/>
        <v>0</v>
      </c>
      <c r="AB554" s="19">
        <f t="shared" ca="1" si="571"/>
        <v>-0.17368979634308643</v>
      </c>
      <c r="AC554" s="19">
        <f t="shared" ca="1" si="572"/>
        <v>0</v>
      </c>
    </row>
    <row r="555" spans="3:29" x14ac:dyDescent="0.25">
      <c r="C555" s="4">
        <v>548</v>
      </c>
      <c r="D555" s="28">
        <v>42783</v>
      </c>
      <c r="E555" s="30">
        <v>18.475999999999999</v>
      </c>
      <c r="F555" s="30">
        <v>52.596362265573468</v>
      </c>
      <c r="G555" s="30">
        <v>6.2670813306945634</v>
      </c>
      <c r="H555" s="30">
        <v>78.644802563377638</v>
      </c>
      <c r="I555" s="8">
        <v>0</v>
      </c>
      <c r="J555" s="31">
        <v>1</v>
      </c>
      <c r="K555" s="31">
        <v>0</v>
      </c>
      <c r="L555" s="31">
        <v>0</v>
      </c>
      <c r="M555" s="31">
        <v>0</v>
      </c>
      <c r="N555" s="31">
        <v>0</v>
      </c>
      <c r="O555" s="31">
        <v>0</v>
      </c>
      <c r="P555" s="31">
        <v>0</v>
      </c>
      <c r="Q555" s="31">
        <v>0</v>
      </c>
      <c r="R555" s="31">
        <v>0</v>
      </c>
      <c r="S555" s="31">
        <v>0</v>
      </c>
      <c r="T555" s="21" cm="1">
        <f t="array" aca="1" ref="T555" ca="1">+fair_value_gap(OFFSET(S554,0,0,-1*$I$5,-1*$Z$1),OFFSET(E554,0,0,-1*$I$5,1),F555:S555,0)</f>
        <v>19.601739674646847</v>
      </c>
      <c r="U555" s="7" cm="1">
        <f t="array" aca="1" ref="U555" ca="1">z_score_diff(OFFSET(T555,0,0,$I$5*-1,1),OFFSET(E555,0,0,$I$5*-1,1))</f>
        <v>0.26305759667490691</v>
      </c>
      <c r="V555" s="7">
        <f t="shared" ca="1" si="567"/>
        <v>-0.35858498841202191</v>
      </c>
      <c r="W555" s="14">
        <f t="shared" ca="1" si="562"/>
        <v>-0.1449469351818424</v>
      </c>
      <c r="X555" s="10">
        <f t="shared" ref="X555:Y555" ca="1" si="604">+X554</f>
        <v>0</v>
      </c>
      <c r="Y555" s="10">
        <f t="shared" ca="1" si="604"/>
        <v>0</v>
      </c>
      <c r="Z555">
        <f t="shared" ca="1" si="569"/>
        <v>1</v>
      </c>
      <c r="AA555">
        <f t="shared" ca="1" si="570"/>
        <v>0</v>
      </c>
      <c r="AB555" s="19">
        <f t="shared" ca="1" si="571"/>
        <v>-0.1449469351818424</v>
      </c>
      <c r="AC555" s="19">
        <f t="shared" ca="1" si="572"/>
        <v>0</v>
      </c>
    </row>
    <row r="556" spans="3:29" x14ac:dyDescent="0.25">
      <c r="C556" s="4">
        <v>549</v>
      </c>
      <c r="D556" s="28">
        <v>42786</v>
      </c>
      <c r="E556" s="30">
        <v>18.568999999999999</v>
      </c>
      <c r="F556" s="30">
        <v>52.95503817513432</v>
      </c>
      <c r="G556" s="30">
        <v>6.2682627957394672</v>
      </c>
      <c r="H556" s="30">
        <v>78.942407389951924</v>
      </c>
      <c r="I556" s="8">
        <v>0</v>
      </c>
      <c r="J556" s="31">
        <v>1</v>
      </c>
      <c r="K556" s="31">
        <v>0</v>
      </c>
      <c r="L556" s="31">
        <v>0</v>
      </c>
      <c r="M556" s="31">
        <v>0</v>
      </c>
      <c r="N556" s="31">
        <v>0</v>
      </c>
      <c r="O556" s="31">
        <v>0</v>
      </c>
      <c r="P556" s="31">
        <v>0</v>
      </c>
      <c r="Q556" s="31">
        <v>0</v>
      </c>
      <c r="R556" s="31">
        <v>0</v>
      </c>
      <c r="S556" s="31">
        <v>0</v>
      </c>
      <c r="T556" s="21" cm="1">
        <f t="array" aca="1" ref="T556" ca="1">+fair_value_gap(OFFSET(S555,0,0,-1*$I$5,-1*$Z$1),OFFSET(E555,0,0,-1*$I$5,1),F556:S556,0)</f>
        <v>19.515802562875525</v>
      </c>
      <c r="U556" s="7" cm="1">
        <f t="array" aca="1" ref="U556" ca="1">z_score_diff(OFFSET(T556,0,0,$I$5*-1,1),OFFSET(E556,0,0,$I$5*-1,1))</f>
        <v>0.19679480030496732</v>
      </c>
      <c r="V556" s="7">
        <f t="shared" ca="1" si="567"/>
        <v>-0.29118618260806739</v>
      </c>
      <c r="W556" s="14">
        <f t="shared" ca="1" si="562"/>
        <v>-0.16306711519118167</v>
      </c>
      <c r="X556" s="10">
        <f t="shared" ref="X556:Y556" ca="1" si="605">+X555</f>
        <v>0</v>
      </c>
      <c r="Y556" s="10">
        <f t="shared" ca="1" si="605"/>
        <v>0</v>
      </c>
      <c r="Z556">
        <f t="shared" ca="1" si="569"/>
        <v>1</v>
      </c>
      <c r="AA556">
        <f t="shared" ca="1" si="570"/>
        <v>0</v>
      </c>
      <c r="AB556" s="19">
        <f t="shared" ca="1" si="571"/>
        <v>-0.16306711519118167</v>
      </c>
      <c r="AC556" s="19">
        <f t="shared" ca="1" si="572"/>
        <v>0</v>
      </c>
    </row>
    <row r="557" spans="3:29" x14ac:dyDescent="0.25">
      <c r="C557" s="4">
        <v>550</v>
      </c>
      <c r="D557" s="28">
        <v>42787</v>
      </c>
      <c r="E557" s="30">
        <v>18.120999999999999</v>
      </c>
      <c r="F557" s="30">
        <v>53.782629330802081</v>
      </c>
      <c r="G557" s="30">
        <v>6.3122923588039868</v>
      </c>
      <c r="H557" s="30">
        <v>79.54437588989083</v>
      </c>
      <c r="I557" s="8">
        <v>0</v>
      </c>
      <c r="J557" s="31">
        <v>1</v>
      </c>
      <c r="K557" s="31">
        <v>0</v>
      </c>
      <c r="L557" s="31">
        <v>0</v>
      </c>
      <c r="M557" s="31">
        <v>0</v>
      </c>
      <c r="N557" s="31">
        <v>0</v>
      </c>
      <c r="O557" s="31">
        <v>0</v>
      </c>
      <c r="P557" s="31">
        <v>0</v>
      </c>
      <c r="Q557" s="31">
        <v>0</v>
      </c>
      <c r="R557" s="31">
        <v>0</v>
      </c>
      <c r="S557" s="31">
        <v>0</v>
      </c>
      <c r="T557" s="21" cm="1">
        <f t="array" aca="1" ref="T557" ca="1">+fair_value_gap(OFFSET(S556,0,0,-1*$I$5,-1*$Z$1),OFFSET(E556,0,0,-1*$I$5,1),F557:S557,0)</f>
        <v>19.542613345192414</v>
      </c>
      <c r="U557" s="7" cm="1">
        <f t="array" aca="1" ref="U557" ca="1">z_score_diff(OFFSET(T557,0,0,$I$5*-1,1),OFFSET(E557,0,0,$I$5*-1,1))</f>
        <v>0.35746066662978948</v>
      </c>
      <c r="V557" s="7">
        <f t="shared" ca="1" si="567"/>
        <v>-0.2292390957914229</v>
      </c>
      <c r="W557" s="14">
        <f t="shared" ca="1" si="562"/>
        <v>-0.14749553879931232</v>
      </c>
      <c r="X557" s="10">
        <f t="shared" ref="X557:Y557" ca="1" si="606">+X556</f>
        <v>0</v>
      </c>
      <c r="Y557" s="10">
        <f t="shared" ca="1" si="606"/>
        <v>0</v>
      </c>
      <c r="Z557">
        <f t="shared" ca="1" si="569"/>
        <v>1</v>
      </c>
      <c r="AA557">
        <f t="shared" ca="1" si="570"/>
        <v>0</v>
      </c>
      <c r="AB557" s="19">
        <f t="shared" ca="1" si="571"/>
        <v>-0.14749553879931232</v>
      </c>
      <c r="AC557" s="19">
        <f t="shared" ca="1" si="572"/>
        <v>0</v>
      </c>
    </row>
    <row r="558" spans="3:29" x14ac:dyDescent="0.25">
      <c r="C558" s="4">
        <v>551</v>
      </c>
      <c r="D558" s="28">
        <v>42788</v>
      </c>
      <c r="E558" s="30">
        <v>18.045999999999999</v>
      </c>
      <c r="F558" s="30">
        <v>52.903837044054946</v>
      </c>
      <c r="G558" s="30">
        <v>6.3003315963998103</v>
      </c>
      <c r="H558" s="30">
        <v>79.204168640454753</v>
      </c>
      <c r="I558" s="8">
        <v>0</v>
      </c>
      <c r="J558" s="31">
        <v>1</v>
      </c>
      <c r="K558" s="31">
        <v>0</v>
      </c>
      <c r="L558" s="31">
        <v>0</v>
      </c>
      <c r="M558" s="31">
        <v>0</v>
      </c>
      <c r="N558" s="31">
        <v>0</v>
      </c>
      <c r="O558" s="31">
        <v>0</v>
      </c>
      <c r="P558" s="31">
        <v>0</v>
      </c>
      <c r="Q558" s="31">
        <v>0</v>
      </c>
      <c r="R558" s="31">
        <v>0</v>
      </c>
      <c r="S558" s="31">
        <v>0</v>
      </c>
      <c r="T558" s="21" cm="1">
        <f t="array" aca="1" ref="T558" ca="1">+fair_value_gap(OFFSET(S557,0,0,-1*$I$5,-1*$Z$1),OFFSET(E557,0,0,-1*$I$5,1),F558:S558,0)</f>
        <v>19.327608833683733</v>
      </c>
      <c r="U558" s="7" cm="1">
        <f t="array" aca="1" ref="U558" ca="1">z_score_diff(OFFSET(T558,0,0,$I$5*-1,1),OFFSET(E558,0,0,$I$5*-1,1))</f>
        <v>0.30115604298654874</v>
      </c>
      <c r="V558" s="7">
        <f t="shared" ca="1" si="567"/>
        <v>-0.18610981807743227</v>
      </c>
      <c r="W558" s="14">
        <f t="shared" ca="1" si="562"/>
        <v>-0.14565313931681761</v>
      </c>
      <c r="X558" s="10">
        <f t="shared" ref="X558:Y558" ca="1" si="607">+X557</f>
        <v>0</v>
      </c>
      <c r="Y558" s="10">
        <f t="shared" ca="1" si="607"/>
        <v>0</v>
      </c>
      <c r="Z558">
        <f t="shared" ca="1" si="569"/>
        <v>1</v>
      </c>
      <c r="AA558">
        <f t="shared" ca="1" si="570"/>
        <v>0</v>
      </c>
      <c r="AB558" s="19">
        <f t="shared" ca="1" si="571"/>
        <v>-0.14565313931681761</v>
      </c>
      <c r="AC558" s="19">
        <f t="shared" ca="1" si="572"/>
        <v>0</v>
      </c>
    </row>
    <row r="559" spans="3:29" x14ac:dyDescent="0.25">
      <c r="C559" s="4">
        <v>552</v>
      </c>
      <c r="D559" s="28">
        <v>42789</v>
      </c>
      <c r="E559" s="30">
        <v>18.302</v>
      </c>
      <c r="F559" s="30">
        <v>53.483316003402962</v>
      </c>
      <c r="G559" s="30">
        <v>6.2860383779185174</v>
      </c>
      <c r="H559" s="30">
        <v>78.977219018810842</v>
      </c>
      <c r="I559" s="8">
        <v>0</v>
      </c>
      <c r="J559" s="31">
        <v>1</v>
      </c>
      <c r="K559" s="31">
        <v>0</v>
      </c>
      <c r="L559" s="31">
        <v>0</v>
      </c>
      <c r="M559" s="31">
        <v>0</v>
      </c>
      <c r="N559" s="31">
        <v>0</v>
      </c>
      <c r="O559" s="31">
        <v>0</v>
      </c>
      <c r="P559" s="31">
        <v>0</v>
      </c>
      <c r="Q559" s="31">
        <v>0</v>
      </c>
      <c r="R559" s="31">
        <v>0</v>
      </c>
      <c r="S559" s="31">
        <v>0</v>
      </c>
      <c r="T559" s="21" cm="1">
        <f t="array" aca="1" ref="T559" ca="1">+fair_value_gap(OFFSET(S558,0,0,-1*$I$5,-1*$Z$1),OFFSET(E558,0,0,-1*$I$5,1),F559:S559,0)</f>
        <v>19.174987215487246</v>
      </c>
      <c r="U559" s="7" cm="1">
        <f t="array" aca="1" ref="U559" ca="1">z_score_diff(OFFSET(T559,0,0,$I$5*-1,1),OFFSET(E559,0,0,$I$5*-1,1))</f>
        <v>0.15487716524725959</v>
      </c>
      <c r="V559" s="7">
        <f t="shared" ca="1" si="567"/>
        <v>-0.15707035784636111</v>
      </c>
      <c r="W559" s="14">
        <f t="shared" ca="1" si="562"/>
        <v>-0.16108648996289476</v>
      </c>
      <c r="X559" s="10">
        <f t="shared" ref="X559:Y559" ca="1" si="608">+X558</f>
        <v>0</v>
      </c>
      <c r="Y559" s="10">
        <f t="shared" ca="1" si="608"/>
        <v>0</v>
      </c>
      <c r="Z559">
        <f t="shared" ca="1" si="569"/>
        <v>1</v>
      </c>
      <c r="AA559">
        <f t="shared" ca="1" si="570"/>
        <v>0</v>
      </c>
      <c r="AB559" s="19">
        <f t="shared" ca="1" si="571"/>
        <v>-0.16108648996289476</v>
      </c>
      <c r="AC559" s="19">
        <f t="shared" ca="1" si="572"/>
        <v>0</v>
      </c>
    </row>
    <row r="560" spans="3:29" x14ac:dyDescent="0.25">
      <c r="C560" s="4">
        <v>553</v>
      </c>
      <c r="D560" s="28">
        <v>42790</v>
      </c>
      <c r="E560" s="30">
        <v>17.797999999999998</v>
      </c>
      <c r="F560" s="30">
        <v>53.020833333333336</v>
      </c>
      <c r="G560" s="30">
        <v>6.2973484848484853</v>
      </c>
      <c r="H560" s="30">
        <v>79.119318181818173</v>
      </c>
      <c r="I560" s="8">
        <v>0</v>
      </c>
      <c r="J560" s="31">
        <v>1</v>
      </c>
      <c r="K560" s="31">
        <v>0</v>
      </c>
      <c r="L560" s="31">
        <v>0</v>
      </c>
      <c r="M560" s="31">
        <v>0</v>
      </c>
      <c r="N560" s="31">
        <v>0</v>
      </c>
      <c r="O560" s="31">
        <v>0</v>
      </c>
      <c r="P560" s="31">
        <v>0</v>
      </c>
      <c r="Q560" s="31">
        <v>0</v>
      </c>
      <c r="R560" s="31">
        <v>0</v>
      </c>
      <c r="S560" s="31">
        <v>0</v>
      </c>
      <c r="T560" s="21" cm="1">
        <f t="array" aca="1" ref="T560" ca="1">+fair_value_gap(OFFSET(S559,0,0,-1*$I$5,-1*$Z$1),OFFSET(E559,0,0,-1*$I$5,1),F560:S560,0)</f>
        <v>19.125158415175029</v>
      </c>
      <c r="U560" s="7" cm="1">
        <f t="array" aca="1" ref="U560" ca="1">z_score_diff(OFFSET(T560,0,0,$I$5*-1,1),OFFSET(E560,0,0,$I$5*-1,1))</f>
        <v>0.30836522062200455</v>
      </c>
      <c r="V560" s="7">
        <f t="shared" ca="1" si="567"/>
        <v>-0.12728291640373515</v>
      </c>
      <c r="W560" s="14">
        <f t="shared" ca="1" si="562"/>
        <v>-0.15470332904490047</v>
      </c>
      <c r="X560" s="10">
        <f t="shared" ref="X560:Y560" ca="1" si="609">+X559</f>
        <v>0</v>
      </c>
      <c r="Y560" s="10">
        <f t="shared" ca="1" si="609"/>
        <v>0</v>
      </c>
      <c r="Z560">
        <f t="shared" ca="1" si="569"/>
        <v>1</v>
      </c>
      <c r="AA560">
        <f t="shared" ca="1" si="570"/>
        <v>0</v>
      </c>
      <c r="AB560" s="19">
        <f t="shared" ca="1" si="571"/>
        <v>-0.15470332904490047</v>
      </c>
      <c r="AC560" s="19">
        <f t="shared" ca="1" si="572"/>
        <v>0</v>
      </c>
    </row>
    <row r="561" spans="3:29" x14ac:dyDescent="0.25">
      <c r="C561" s="4">
        <v>554</v>
      </c>
      <c r="D561" s="28">
        <v>42793</v>
      </c>
      <c r="E561" s="30">
        <v>17.280999999999999</v>
      </c>
      <c r="F561" s="30">
        <v>52.838923004251299</v>
      </c>
      <c r="G561" s="30">
        <v>6.2824752007557869</v>
      </c>
      <c r="H561" s="30">
        <v>79.026924893717535</v>
      </c>
      <c r="I561" s="8">
        <v>0</v>
      </c>
      <c r="J561" s="31">
        <v>1</v>
      </c>
      <c r="K561" s="31">
        <v>0</v>
      </c>
      <c r="L561" s="31">
        <v>0</v>
      </c>
      <c r="M561" s="31">
        <v>0</v>
      </c>
      <c r="N561" s="31">
        <v>0</v>
      </c>
      <c r="O561" s="31">
        <v>0</v>
      </c>
      <c r="P561" s="31">
        <v>0</v>
      </c>
      <c r="Q561" s="31">
        <v>0</v>
      </c>
      <c r="R561" s="31">
        <v>0</v>
      </c>
      <c r="S561" s="31">
        <v>0</v>
      </c>
      <c r="T561" s="21" cm="1">
        <f t="array" aca="1" ref="T561" ca="1">+fair_value_gap(OFFSET(S560,0,0,-1*$I$5,-1*$Z$1),OFFSET(E560,0,0,-1*$I$5,1),F561:S561,0)</f>
        <v>18.996788322566054</v>
      </c>
      <c r="U561" s="7" cm="1">
        <f t="array" aca="1" ref="U561" ca="1">z_score_diff(OFFSET(T561,0,0,$I$5*-1,1),OFFSET(E561,0,0,$I$5*-1,1))</f>
        <v>0.43743811482150496</v>
      </c>
      <c r="V561" s="7">
        <f t="shared" ca="1" si="567"/>
        <v>-7.5194858202093887E-2</v>
      </c>
      <c r="W561" s="14">
        <f t="shared" ca="1" si="562"/>
        <v>-0.14576627574369921</v>
      </c>
      <c r="X561" s="10">
        <f t="shared" ref="X561:Y561" ca="1" si="610">+X560</f>
        <v>0</v>
      </c>
      <c r="Y561" s="10">
        <f t="shared" ca="1" si="610"/>
        <v>0</v>
      </c>
      <c r="Z561">
        <f t="shared" ca="1" si="569"/>
        <v>1</v>
      </c>
      <c r="AA561">
        <f t="shared" ca="1" si="570"/>
        <v>0</v>
      </c>
      <c r="AB561" s="19">
        <f t="shared" ca="1" si="571"/>
        <v>-0.14576627574369921</v>
      </c>
      <c r="AC561" s="19">
        <f t="shared" ca="1" si="572"/>
        <v>0</v>
      </c>
    </row>
    <row r="562" spans="3:29" x14ac:dyDescent="0.25">
      <c r="C562" s="4">
        <v>555</v>
      </c>
      <c r="D562" s="28">
        <v>42794</v>
      </c>
      <c r="E562" s="30">
        <v>16.896000000000001</v>
      </c>
      <c r="F562" s="30">
        <v>52.567375886524822</v>
      </c>
      <c r="G562" s="30">
        <v>6.288416075650118</v>
      </c>
      <c r="H562" s="30">
        <v>78.865248226950357</v>
      </c>
      <c r="I562" s="8">
        <v>0</v>
      </c>
      <c r="J562" s="31">
        <v>1</v>
      </c>
      <c r="K562" s="31">
        <v>0</v>
      </c>
      <c r="L562" s="31">
        <v>0</v>
      </c>
      <c r="M562" s="31">
        <v>0</v>
      </c>
      <c r="N562" s="31">
        <v>0</v>
      </c>
      <c r="O562" s="31">
        <v>0</v>
      </c>
      <c r="P562" s="31">
        <v>0</v>
      </c>
      <c r="Q562" s="31">
        <v>0</v>
      </c>
      <c r="R562" s="31">
        <v>0</v>
      </c>
      <c r="S562" s="31">
        <v>0</v>
      </c>
      <c r="T562" s="21" cm="1">
        <f t="array" aca="1" ref="T562" ca="1">+fair_value_gap(OFFSET(S561,0,0,-1*$I$5,-1*$Z$1),OFFSET(E561,0,0,-1*$I$5,1),F562:S562,0)</f>
        <v>18.857830504970572</v>
      </c>
      <c r="U562" s="7" cm="1">
        <f t="array" aca="1" ref="U562" ca="1">z_score_diff(OFFSET(T562,0,0,$I$5*-1,1),OFFSET(E562,0,0,$I$5*-1,1))</f>
        <v>0.51732355012033926</v>
      </c>
      <c r="V562" s="7">
        <f t="shared" ca="1" si="567"/>
        <v>-1.429483032018326E-2</v>
      </c>
      <c r="W562" s="14">
        <f t="shared" ca="1" si="562"/>
        <v>-0.11410550210257289</v>
      </c>
      <c r="X562" s="10">
        <f t="shared" ref="X562:Y562" ca="1" si="611">+X561</f>
        <v>0</v>
      </c>
      <c r="Y562" s="10">
        <f t="shared" ca="1" si="611"/>
        <v>0</v>
      </c>
      <c r="Z562">
        <f t="shared" ca="1" si="569"/>
        <v>1</v>
      </c>
      <c r="AA562">
        <f t="shared" ca="1" si="570"/>
        <v>0</v>
      </c>
      <c r="AB562" s="19">
        <f t="shared" ca="1" si="571"/>
        <v>-0.11410550210257289</v>
      </c>
      <c r="AC562" s="19">
        <f t="shared" ca="1" si="572"/>
        <v>0</v>
      </c>
    </row>
    <row r="563" spans="3:29" x14ac:dyDescent="0.25">
      <c r="C563" s="4">
        <v>556</v>
      </c>
      <c r="D563" s="28">
        <v>42795</v>
      </c>
      <c r="E563" s="30">
        <v>17.111999999999998</v>
      </c>
      <c r="F563" s="30">
        <v>53.442063341551297</v>
      </c>
      <c r="G563" s="30">
        <v>6.3057083254314437</v>
      </c>
      <c r="H563" s="30">
        <v>79.27176180542385</v>
      </c>
      <c r="I563" s="8">
        <v>0</v>
      </c>
      <c r="J563" s="31">
        <v>0</v>
      </c>
      <c r="K563" s="31">
        <v>1</v>
      </c>
      <c r="L563" s="31">
        <v>0</v>
      </c>
      <c r="M563" s="31">
        <v>0</v>
      </c>
      <c r="N563" s="31">
        <v>0</v>
      </c>
      <c r="O563" s="31">
        <v>0</v>
      </c>
      <c r="P563" s="31">
        <v>0</v>
      </c>
      <c r="Q563" s="31">
        <v>0</v>
      </c>
      <c r="R563" s="31">
        <v>0</v>
      </c>
      <c r="S563" s="31">
        <v>0</v>
      </c>
      <c r="T563" s="21" cm="1">
        <f t="array" aca="1" ref="T563" ca="1">+fair_value_gap(OFFSET(S562,0,0,-1*$I$5,-1*$Z$1),OFFSET(E562,0,0,-1*$I$5,1),F563:S563,0)</f>
        <v>18.338536698855307</v>
      </c>
      <c r="U563" s="7" cm="1">
        <f t="array" aca="1" ref="U563" ca="1">z_score_diff(OFFSET(T563,0,0,$I$5*-1,1),OFFSET(E563,0,0,$I$5*-1,1))</f>
        <v>0.2514389561275433</v>
      </c>
      <c r="V563" s="7">
        <f t="shared" ca="1" si="567"/>
        <v>4.4634042503537627E-2</v>
      </c>
      <c r="W563" s="14">
        <f t="shared" ca="1" si="562"/>
        <v>-9.4048703710205822E-2</v>
      </c>
      <c r="X563" s="10">
        <f t="shared" ref="X563:Y563" ca="1" si="612">+X562</f>
        <v>0</v>
      </c>
      <c r="Y563" s="10">
        <f t="shared" ca="1" si="612"/>
        <v>0</v>
      </c>
      <c r="Z563">
        <f t="shared" ca="1" si="569"/>
        <v>0</v>
      </c>
      <c r="AA563">
        <f t="shared" ca="1" si="570"/>
        <v>1</v>
      </c>
      <c r="AB563" s="19">
        <f t="shared" ca="1" si="571"/>
        <v>0</v>
      </c>
      <c r="AC563" s="19">
        <f t="shared" ca="1" si="572"/>
        <v>-9.4048703710205822E-2</v>
      </c>
    </row>
    <row r="564" spans="3:29" x14ac:dyDescent="0.25">
      <c r="C564" s="4">
        <v>557</v>
      </c>
      <c r="D564" s="28">
        <v>42796</v>
      </c>
      <c r="E564" s="30">
        <v>16.760000000000002</v>
      </c>
      <c r="F564" s="30">
        <v>52.427184466019419</v>
      </c>
      <c r="G564" s="30">
        <v>6.3297163525604425</v>
      </c>
      <c r="H564" s="30">
        <v>79.76394441271654</v>
      </c>
      <c r="I564" s="8">
        <v>0</v>
      </c>
      <c r="J564" s="31">
        <v>0</v>
      </c>
      <c r="K564" s="31">
        <v>1</v>
      </c>
      <c r="L564" s="31">
        <v>0</v>
      </c>
      <c r="M564" s="31">
        <v>0</v>
      </c>
      <c r="N564" s="31">
        <v>0</v>
      </c>
      <c r="O564" s="31">
        <v>0</v>
      </c>
      <c r="P564" s="31">
        <v>0</v>
      </c>
      <c r="Q564" s="31">
        <v>0</v>
      </c>
      <c r="R564" s="31">
        <v>0</v>
      </c>
      <c r="S564" s="31">
        <v>0</v>
      </c>
      <c r="T564" s="21" cm="1">
        <f t="array" aca="1" ref="T564" ca="1">+fair_value_gap(OFFSET(S563,0,0,-1*$I$5,-1*$Z$1),OFFSET(E563,0,0,-1*$I$5,1),F564:S564,0)</f>
        <v>18.307798071434433</v>
      </c>
      <c r="U564" s="7" cm="1">
        <f t="array" aca="1" ref="U564" ca="1">z_score_diff(OFFSET(T564,0,0,$I$5*-1,1),OFFSET(E564,0,0,$I$5*-1,1))</f>
        <v>0.3612476781415902</v>
      </c>
      <c r="V564" s="7">
        <f t="shared" ca="1" si="567"/>
        <v>0.10731573304702424</v>
      </c>
      <c r="W564" s="14">
        <f t="shared" ca="1" si="562"/>
        <v>-5.0351645176440578E-2</v>
      </c>
      <c r="X564" s="10">
        <f t="shared" ref="X564:Y564" ca="1" si="613">+X563</f>
        <v>0</v>
      </c>
      <c r="Y564" s="10">
        <f t="shared" ca="1" si="613"/>
        <v>0</v>
      </c>
      <c r="Z564">
        <f t="shared" ca="1" si="569"/>
        <v>0</v>
      </c>
      <c r="AA564">
        <f t="shared" ca="1" si="570"/>
        <v>1</v>
      </c>
      <c r="AB564" s="19">
        <f t="shared" ca="1" si="571"/>
        <v>0</v>
      </c>
      <c r="AC564" s="19">
        <f t="shared" ca="1" si="572"/>
        <v>-5.0351645176440578E-2</v>
      </c>
    </row>
    <row r="565" spans="3:29" x14ac:dyDescent="0.25">
      <c r="C565" s="4">
        <v>558</v>
      </c>
      <c r="D565" s="28">
        <v>42797</v>
      </c>
      <c r="E565" s="30">
        <v>16.765999999999998</v>
      </c>
      <c r="F565" s="30">
        <v>52.636534839924664</v>
      </c>
      <c r="G565" s="30">
        <v>6.2617702448210926</v>
      </c>
      <c r="H565" s="30">
        <v>78.013182674199612</v>
      </c>
      <c r="I565" s="8">
        <v>0</v>
      </c>
      <c r="J565" s="31">
        <v>0</v>
      </c>
      <c r="K565" s="31">
        <v>1</v>
      </c>
      <c r="L565" s="31">
        <v>0</v>
      </c>
      <c r="M565" s="31">
        <v>0</v>
      </c>
      <c r="N565" s="31">
        <v>0</v>
      </c>
      <c r="O565" s="31">
        <v>0</v>
      </c>
      <c r="P565" s="31">
        <v>0</v>
      </c>
      <c r="Q565" s="31">
        <v>0</v>
      </c>
      <c r="R565" s="31">
        <v>0</v>
      </c>
      <c r="S565" s="31">
        <v>0</v>
      </c>
      <c r="T565" s="21" cm="1">
        <f t="array" aca="1" ref="T565" ca="1">+fair_value_gap(OFFSET(S564,0,0,-1*$I$5,-1*$Z$1),OFFSET(E564,0,0,-1*$I$5,1),F565:S565,0)</f>
        <v>17.892261179529299</v>
      </c>
      <c r="U565" s="7" cm="1">
        <f t="array" aca="1" ref="U565" ca="1">z_score_diff(OFFSET(T565,0,0,$I$5*-1,1),OFFSET(E565,0,0,$I$5*-1,1))</f>
        <v>0.20638479799197829</v>
      </c>
      <c r="V565" s="7">
        <f t="shared" ca="1" si="567"/>
        <v>0.16678897627635428</v>
      </c>
      <c r="W565" s="14">
        <f t="shared" ca="1" si="562"/>
        <v>-5.9279797046303553E-2</v>
      </c>
      <c r="X565" s="10">
        <f t="shared" ref="X565:Y565" ca="1" si="614">+X564</f>
        <v>0</v>
      </c>
      <c r="Y565" s="10">
        <f t="shared" ca="1" si="614"/>
        <v>0</v>
      </c>
      <c r="Z565">
        <f t="shared" ca="1" si="569"/>
        <v>0</v>
      </c>
      <c r="AA565">
        <f t="shared" ca="1" si="570"/>
        <v>1</v>
      </c>
      <c r="AB565" s="19">
        <f t="shared" ca="1" si="571"/>
        <v>0</v>
      </c>
      <c r="AC565" s="19">
        <f t="shared" ca="1" si="572"/>
        <v>-5.9279797046303553E-2</v>
      </c>
    </row>
    <row r="566" spans="3:29" x14ac:dyDescent="0.25">
      <c r="C566" s="4">
        <v>559</v>
      </c>
      <c r="D566" s="28">
        <v>42800</v>
      </c>
      <c r="E566" s="30">
        <v>16.614000000000001</v>
      </c>
      <c r="F566" s="30">
        <v>52.949517867271688</v>
      </c>
      <c r="G566" s="30">
        <v>6.2866326337681979</v>
      </c>
      <c r="H566" s="30">
        <v>78.228398563055393</v>
      </c>
      <c r="I566" s="8">
        <v>0</v>
      </c>
      <c r="J566" s="31">
        <v>0</v>
      </c>
      <c r="K566" s="31">
        <v>1</v>
      </c>
      <c r="L566" s="31">
        <v>0</v>
      </c>
      <c r="M566" s="31">
        <v>0</v>
      </c>
      <c r="N566" s="31">
        <v>0</v>
      </c>
      <c r="O566" s="31">
        <v>0</v>
      </c>
      <c r="P566" s="31">
        <v>0</v>
      </c>
      <c r="Q566" s="31">
        <v>0</v>
      </c>
      <c r="R566" s="31">
        <v>0</v>
      </c>
      <c r="S566" s="31">
        <v>0</v>
      </c>
      <c r="T566" s="21" cm="1">
        <f t="array" aca="1" ref="T566" ca="1">+fair_value_gap(OFFSET(S565,0,0,-1*$I$5,-1*$Z$1),OFFSET(E565,0,0,-1*$I$5,1),F566:S566,0)</f>
        <v>17.84412085193194</v>
      </c>
      <c r="U566" s="7" cm="1">
        <f t="array" aca="1" ref="U566" ca="1">z_score_diff(OFFSET(T566,0,0,$I$5*-1,1),OFFSET(E566,0,0,$I$5*-1,1))</f>
        <v>0.24106965775234473</v>
      </c>
      <c r="V566" s="7">
        <f t="shared" ca="1" si="567"/>
        <v>0.22155554516051001</v>
      </c>
      <c r="W566" s="14">
        <f t="shared" ca="1" si="562"/>
        <v>-3.8219649439574829E-2</v>
      </c>
      <c r="X566" s="10">
        <f t="shared" ref="X566:Y566" ca="1" si="615">+X565</f>
        <v>0</v>
      </c>
      <c r="Y566" s="10">
        <f t="shared" ca="1" si="615"/>
        <v>0</v>
      </c>
      <c r="Z566">
        <f t="shared" ca="1" si="569"/>
        <v>0</v>
      </c>
      <c r="AA566">
        <f t="shared" ca="1" si="570"/>
        <v>1</v>
      </c>
      <c r="AB566" s="19">
        <f t="shared" ca="1" si="571"/>
        <v>0</v>
      </c>
      <c r="AC566" s="19">
        <f t="shared" ca="1" si="572"/>
        <v>-3.8219649439574829E-2</v>
      </c>
    </row>
    <row r="567" spans="3:29" x14ac:dyDescent="0.25">
      <c r="C567" s="4">
        <v>560</v>
      </c>
      <c r="D567" s="28">
        <v>42801</v>
      </c>
      <c r="E567" s="30">
        <v>16.503</v>
      </c>
      <c r="F567" s="30">
        <v>52.92948414576432</v>
      </c>
      <c r="G567" s="30">
        <v>6.2943681968764791</v>
      </c>
      <c r="H567" s="30">
        <v>77.520113582584003</v>
      </c>
      <c r="I567" s="8">
        <v>0</v>
      </c>
      <c r="J567" s="31">
        <v>0</v>
      </c>
      <c r="K567" s="31">
        <v>1</v>
      </c>
      <c r="L567" s="31">
        <v>0</v>
      </c>
      <c r="M567" s="31">
        <v>0</v>
      </c>
      <c r="N567" s="31">
        <v>0</v>
      </c>
      <c r="O567" s="31">
        <v>0</v>
      </c>
      <c r="P567" s="31">
        <v>0</v>
      </c>
      <c r="Q567" s="31">
        <v>0</v>
      </c>
      <c r="R567" s="31">
        <v>0</v>
      </c>
      <c r="S567" s="31">
        <v>0</v>
      </c>
      <c r="T567" s="21" cm="1">
        <f t="array" aca="1" ref="T567" ca="1">+fair_value_gap(OFFSET(S566,0,0,-1*$I$5,-1*$Z$1),OFFSET(E566,0,0,-1*$I$5,1),F567:S567,0)</f>
        <v>17.651404179194767</v>
      </c>
      <c r="U567" s="7" cm="1">
        <f t="array" aca="1" ref="U567" ca="1">z_score_diff(OFFSET(T567,0,0,$I$5*-1,1),OFFSET(E567,0,0,$I$5*-1,1))</f>
        <v>0.20850327346989461</v>
      </c>
      <c r="V567" s="7">
        <f t="shared" ca="1" si="567"/>
        <v>0.25574252606166931</v>
      </c>
      <c r="W567" s="14">
        <f t="shared" ca="1" si="562"/>
        <v>-2.2675318877423859E-2</v>
      </c>
      <c r="X567" s="10">
        <f t="shared" ref="X567:Y567" ca="1" si="616">+X566</f>
        <v>0</v>
      </c>
      <c r="Y567" s="10">
        <f t="shared" ca="1" si="616"/>
        <v>0</v>
      </c>
      <c r="Z567">
        <f t="shared" ca="1" si="569"/>
        <v>0</v>
      </c>
      <c r="AA567">
        <f t="shared" ca="1" si="570"/>
        <v>1</v>
      </c>
      <c r="AB567" s="19">
        <f t="shared" ca="1" si="571"/>
        <v>0</v>
      </c>
      <c r="AC567" s="19">
        <f t="shared" ca="1" si="572"/>
        <v>-2.2675318877423859E-2</v>
      </c>
    </row>
    <row r="568" spans="3:29" x14ac:dyDescent="0.25">
      <c r="C568" s="4">
        <v>561</v>
      </c>
      <c r="D568" s="28">
        <v>42802</v>
      </c>
      <c r="E568" s="30">
        <v>16.245000000000001</v>
      </c>
      <c r="F568" s="30">
        <v>50.393775500521869</v>
      </c>
      <c r="G568" s="30">
        <v>6.3098965746275741</v>
      </c>
      <c r="H568" s="30">
        <v>76.857386848847142</v>
      </c>
      <c r="I568" s="8">
        <v>0</v>
      </c>
      <c r="J568" s="31">
        <v>0</v>
      </c>
      <c r="K568" s="31">
        <v>1</v>
      </c>
      <c r="L568" s="31">
        <v>0</v>
      </c>
      <c r="M568" s="31">
        <v>0</v>
      </c>
      <c r="N568" s="31">
        <v>0</v>
      </c>
      <c r="O568" s="31">
        <v>0</v>
      </c>
      <c r="P568" s="31">
        <v>0</v>
      </c>
      <c r="Q568" s="31">
        <v>0</v>
      </c>
      <c r="R568" s="31">
        <v>0</v>
      </c>
      <c r="S568" s="31">
        <v>0</v>
      </c>
      <c r="T568" s="21" cm="1">
        <f t="array" aca="1" ref="T568" ca="1">+fair_value_gap(OFFSET(S567,0,0,-1*$I$5,-1*$Z$1),OFFSET(E567,0,0,-1*$I$5,1),F568:S568,0)</f>
        <v>17.433930802191465</v>
      </c>
      <c r="U568" s="7" cm="1">
        <f t="array" aca="1" ref="U568" ca="1">z_score_diff(OFFSET(T568,0,0,$I$5*-1,1),OFFSET(E568,0,0,$I$5*-1,1))</f>
        <v>0.21832416234722885</v>
      </c>
      <c r="V568" s="7">
        <f t="shared" ca="1" si="567"/>
        <v>0.27221782649154302</v>
      </c>
      <c r="W568" s="14">
        <f t="shared" ca="1" si="562"/>
        <v>-1.355180692801888E-3</v>
      </c>
      <c r="X568" s="10">
        <f t="shared" ref="X568:Y568" ca="1" si="617">+X567</f>
        <v>0</v>
      </c>
      <c r="Y568" s="10">
        <f t="shared" ca="1" si="617"/>
        <v>0</v>
      </c>
      <c r="Z568">
        <f t="shared" ca="1" si="569"/>
        <v>0</v>
      </c>
      <c r="AA568">
        <f t="shared" ca="1" si="570"/>
        <v>1</v>
      </c>
      <c r="AB568" s="19">
        <f t="shared" ca="1" si="571"/>
        <v>0</v>
      </c>
      <c r="AC568" s="19">
        <f t="shared" ca="1" si="572"/>
        <v>-1.355180692801888E-3</v>
      </c>
    </row>
    <row r="569" spans="3:29" x14ac:dyDescent="0.25">
      <c r="C569" s="4">
        <v>562</v>
      </c>
      <c r="D569" s="28">
        <v>42803</v>
      </c>
      <c r="E569" s="30">
        <v>16.120999999999999</v>
      </c>
      <c r="F569" s="30">
        <v>49.352245862884153</v>
      </c>
      <c r="G569" s="30">
        <v>6.288416075650118</v>
      </c>
      <c r="H569" s="30">
        <v>75.839243498817964</v>
      </c>
      <c r="I569" s="8">
        <v>0</v>
      </c>
      <c r="J569" s="31">
        <v>0</v>
      </c>
      <c r="K569" s="31">
        <v>1</v>
      </c>
      <c r="L569" s="31">
        <v>0</v>
      </c>
      <c r="M569" s="31">
        <v>0</v>
      </c>
      <c r="N569" s="31">
        <v>0</v>
      </c>
      <c r="O569" s="31">
        <v>0</v>
      </c>
      <c r="P569" s="31">
        <v>0</v>
      </c>
      <c r="Q569" s="31">
        <v>0</v>
      </c>
      <c r="R569" s="31">
        <v>0</v>
      </c>
      <c r="S569" s="31">
        <v>0</v>
      </c>
      <c r="T569" s="21" cm="1">
        <f t="array" aca="1" ref="T569" ca="1">+fair_value_gap(OFFSET(S568,0,0,-1*$I$5,-1*$Z$1),OFFSET(E568,0,0,-1*$I$5,1),F569:S569,0)</f>
        <v>17.141952979385906</v>
      </c>
      <c r="U569" s="7" cm="1">
        <f t="array" aca="1" ref="U569" ca="1">z_score_diff(OFFSET(T569,0,0,$I$5*-1,1),OFFSET(E569,0,0,$I$5*-1,1))</f>
        <v>0.15362721639136534</v>
      </c>
      <c r="V569" s="7">
        <f t="shared" ca="1" si="567"/>
        <v>0.27988400536545532</v>
      </c>
      <c r="W569" s="14">
        <f t="shared" ca="1" si="562"/>
        <v>1.7972797748041056E-3</v>
      </c>
      <c r="X569" s="10">
        <f t="shared" ref="X569:Y569" ca="1" si="618">+X568</f>
        <v>0</v>
      </c>
      <c r="Y569" s="10">
        <f t="shared" ca="1" si="618"/>
        <v>0</v>
      </c>
      <c r="Z569">
        <f t="shared" ca="1" si="569"/>
        <v>0</v>
      </c>
      <c r="AA569">
        <f t="shared" ca="1" si="570"/>
        <v>1</v>
      </c>
      <c r="AB569" s="19">
        <f t="shared" ca="1" si="571"/>
        <v>0</v>
      </c>
      <c r="AC569" s="19">
        <f t="shared" ca="1" si="572"/>
        <v>1.7972797748041056E-3</v>
      </c>
    </row>
    <row r="570" spans="3:29" x14ac:dyDescent="0.25">
      <c r="C570" s="4">
        <v>563</v>
      </c>
      <c r="D570" s="28">
        <v>42804</v>
      </c>
      <c r="E570" s="30">
        <v>16.149999999999999</v>
      </c>
      <c r="F570" s="30">
        <v>48.148842440716095</v>
      </c>
      <c r="G570" s="30">
        <v>6.2330115287280909</v>
      </c>
      <c r="H570" s="30">
        <v>75.264785828100102</v>
      </c>
      <c r="I570" s="8">
        <v>0</v>
      </c>
      <c r="J570" s="31">
        <v>0</v>
      </c>
      <c r="K570" s="31">
        <v>1</v>
      </c>
      <c r="L570" s="31">
        <v>0</v>
      </c>
      <c r="M570" s="31">
        <v>0</v>
      </c>
      <c r="N570" s="31">
        <v>0</v>
      </c>
      <c r="O570" s="31">
        <v>0</v>
      </c>
      <c r="P570" s="31">
        <v>0</v>
      </c>
      <c r="Q570" s="31">
        <v>0</v>
      </c>
      <c r="R570" s="31">
        <v>0</v>
      </c>
      <c r="S570" s="31">
        <v>0</v>
      </c>
      <c r="T570" s="21" cm="1">
        <f t="array" aca="1" ref="T570" ca="1">+fair_value_gap(OFFSET(S569,0,0,-1*$I$5,-1*$Z$1),OFFSET(E569,0,0,-1*$I$5,1),F570:S570,0)</f>
        <v>16.876401383257019</v>
      </c>
      <c r="U570" s="7" cm="1">
        <f t="array" aca="1" ref="U570" ca="1">z_score_diff(OFFSET(T570,0,0,$I$5*-1,1),OFFSET(E570,0,0,$I$5*-1,1))</f>
        <v>4.4302451934496057E-2</v>
      </c>
      <c r="V570" s="7">
        <f t="shared" ca="1" si="567"/>
        <v>0.27394938848466471</v>
      </c>
      <c r="W570" s="14">
        <f t="shared" ca="1" si="562"/>
        <v>-1.9697369678062251E-2</v>
      </c>
      <c r="X570" s="10">
        <f t="shared" ref="X570:Y570" ca="1" si="619">+X569</f>
        <v>0</v>
      </c>
      <c r="Y570" s="10">
        <f t="shared" ca="1" si="619"/>
        <v>0</v>
      </c>
      <c r="Z570">
        <f t="shared" ca="1" si="569"/>
        <v>0</v>
      </c>
      <c r="AA570">
        <f t="shared" ca="1" si="570"/>
        <v>1</v>
      </c>
      <c r="AB570" s="19">
        <f t="shared" ca="1" si="571"/>
        <v>0</v>
      </c>
      <c r="AC570" s="19">
        <f t="shared" ca="1" si="572"/>
        <v>-1.9697369678062251E-2</v>
      </c>
    </row>
    <row r="571" spans="3:29" x14ac:dyDescent="0.25">
      <c r="C571" s="4">
        <v>564</v>
      </c>
      <c r="D571" s="28">
        <v>42807</v>
      </c>
      <c r="E571" s="30">
        <v>15.824999999999999</v>
      </c>
      <c r="F571" s="30">
        <v>48.202384304890643</v>
      </c>
      <c r="G571" s="30">
        <v>6.2423730404580882</v>
      </c>
      <c r="H571" s="30">
        <v>75.847179198347888</v>
      </c>
      <c r="I571" s="8">
        <v>0</v>
      </c>
      <c r="J571" s="31">
        <v>0</v>
      </c>
      <c r="K571" s="31">
        <v>1</v>
      </c>
      <c r="L571" s="31">
        <v>0</v>
      </c>
      <c r="M571" s="31">
        <v>0</v>
      </c>
      <c r="N571" s="31">
        <v>0</v>
      </c>
      <c r="O571" s="31">
        <v>0</v>
      </c>
      <c r="P571" s="31">
        <v>0</v>
      </c>
      <c r="Q571" s="31">
        <v>0</v>
      </c>
      <c r="R571" s="31">
        <v>0</v>
      </c>
      <c r="S571" s="31">
        <v>0</v>
      </c>
      <c r="T571" s="21" cm="1">
        <f t="array" aca="1" ref="T571" ca="1">+fair_value_gap(OFFSET(S570,0,0,-1*$I$5,-1*$Z$1),OFFSET(E570,0,0,-1*$I$5,1),F571:S571,0)</f>
        <v>16.84383010310917</v>
      </c>
      <c r="U571" s="7" cm="1">
        <f t="array" aca="1" ref="U571" ca="1">z_score_diff(OFFSET(T571,0,0,$I$5*-1,1),OFFSET(E571,0,0,$I$5*-1,1))</f>
        <v>0.14638578004108943</v>
      </c>
      <c r="V571" s="7">
        <f t="shared" ca="1" si="567"/>
        <v>0.26158076318787721</v>
      </c>
      <c r="W571" s="14">
        <f t="shared" ca="1" si="562"/>
        <v>-1.984812596156001E-2</v>
      </c>
      <c r="X571" s="10">
        <f t="shared" ref="X571:Y571" ca="1" si="620">+X570</f>
        <v>0</v>
      </c>
      <c r="Y571" s="10">
        <f t="shared" ca="1" si="620"/>
        <v>0</v>
      </c>
      <c r="Z571">
        <f t="shared" ca="1" si="569"/>
        <v>0</v>
      </c>
      <c r="AA571">
        <f t="shared" ca="1" si="570"/>
        <v>1</v>
      </c>
      <c r="AB571" s="19">
        <f t="shared" ca="1" si="571"/>
        <v>0</v>
      </c>
      <c r="AC571" s="19">
        <f t="shared" ca="1" si="572"/>
        <v>-1.984812596156001E-2</v>
      </c>
    </row>
    <row r="572" spans="3:29" x14ac:dyDescent="0.25">
      <c r="C572" s="4">
        <v>565</v>
      </c>
      <c r="D572" s="28">
        <v>42808</v>
      </c>
      <c r="E572" s="30">
        <v>15.925000000000001</v>
      </c>
      <c r="F572" s="30">
        <v>48.028673835125446</v>
      </c>
      <c r="G572" s="30">
        <v>6.2724014336917566</v>
      </c>
      <c r="H572" s="30">
        <v>75.457460856442182</v>
      </c>
      <c r="I572" s="8">
        <v>0</v>
      </c>
      <c r="J572" s="31">
        <v>0</v>
      </c>
      <c r="K572" s="31">
        <v>1</v>
      </c>
      <c r="L572" s="31">
        <v>0</v>
      </c>
      <c r="M572" s="31">
        <v>0</v>
      </c>
      <c r="N572" s="31">
        <v>0</v>
      </c>
      <c r="O572" s="31">
        <v>0</v>
      </c>
      <c r="P572" s="31">
        <v>0</v>
      </c>
      <c r="Q572" s="31">
        <v>0</v>
      </c>
      <c r="R572" s="31">
        <v>0</v>
      </c>
      <c r="S572" s="31">
        <v>0</v>
      </c>
      <c r="T572" s="21" cm="1">
        <f t="array" aca="1" ref="T572" ca="1">+fair_value_gap(OFFSET(S571,0,0,-1*$I$5,-1*$Z$1),OFFSET(E571,0,0,-1*$I$5,1),F572:S572,0)</f>
        <v>16.688353879120584</v>
      </c>
      <c r="U572" s="7" cm="1">
        <f t="array" aca="1" ref="U572" ca="1">z_score_diff(OFFSET(T572,0,0,$I$5*-1,1),OFFSET(E572,0,0,$I$5*-1,1))</f>
        <v>5.1715293140542712E-2</v>
      </c>
      <c r="V572" s="7">
        <f t="shared" ca="1" si="567"/>
        <v>0.24240825256181506</v>
      </c>
      <c r="W572" s="14">
        <f t="shared" ca="1" si="562"/>
        <v>-2.7050177533026173E-2</v>
      </c>
      <c r="X572" s="10">
        <f t="shared" ref="X572:Y572" ca="1" si="621">+X571</f>
        <v>0</v>
      </c>
      <c r="Y572" s="10">
        <f t="shared" ca="1" si="621"/>
        <v>0</v>
      </c>
      <c r="Z572">
        <f t="shared" ca="1" si="569"/>
        <v>0</v>
      </c>
      <c r="AA572">
        <f t="shared" ca="1" si="570"/>
        <v>1</v>
      </c>
      <c r="AB572" s="19">
        <f t="shared" ca="1" si="571"/>
        <v>0</v>
      </c>
      <c r="AC572" s="19">
        <f t="shared" ca="1" si="572"/>
        <v>-2.7050177533026173E-2</v>
      </c>
    </row>
    <row r="573" spans="3:29" x14ac:dyDescent="0.25">
      <c r="C573" s="4">
        <v>566</v>
      </c>
      <c r="D573" s="28">
        <v>42809</v>
      </c>
      <c r="E573" s="30">
        <v>16.094999999999999</v>
      </c>
      <c r="F573" s="30">
        <v>48.276183376817002</v>
      </c>
      <c r="G573" s="30">
        <v>6.1964219157659342</v>
      </c>
      <c r="H573" s="30">
        <v>74.217294073798001</v>
      </c>
      <c r="I573" s="8">
        <v>0</v>
      </c>
      <c r="J573" s="31">
        <v>0</v>
      </c>
      <c r="K573" s="31">
        <v>1</v>
      </c>
      <c r="L573" s="31">
        <v>0</v>
      </c>
      <c r="M573" s="31">
        <v>0</v>
      </c>
      <c r="N573" s="31">
        <v>0</v>
      </c>
      <c r="O573" s="31">
        <v>0</v>
      </c>
      <c r="P573" s="31">
        <v>0</v>
      </c>
      <c r="Q573" s="31">
        <v>0</v>
      </c>
      <c r="R573" s="31">
        <v>0</v>
      </c>
      <c r="S573" s="31">
        <v>0</v>
      </c>
      <c r="T573" s="21" cm="1">
        <f t="array" aca="1" ref="T573" ca="1">+fair_value_gap(OFFSET(S572,0,0,-1*$I$5,-1*$Z$1),OFFSET(E572,0,0,-1*$I$5,1),F573:S573,0)</f>
        <v>16.347309839610311</v>
      </c>
      <c r="U573" s="7" cm="1">
        <f t="array" aca="1" ref="U573" ca="1">z_score_diff(OFFSET(T573,0,0,$I$5*-1,1),OFFSET(E573,0,0,$I$5*-1,1))</f>
        <v>-0.13852990380798363</v>
      </c>
      <c r="V573" s="7">
        <f t="shared" ca="1" si="567"/>
        <v>0.21535289461043555</v>
      </c>
      <c r="W573" s="14">
        <f t="shared" ca="1" si="562"/>
        <v>-2.8996673840966831E-2</v>
      </c>
      <c r="X573" s="10">
        <f t="shared" ref="X573:Y573" ca="1" si="622">+X572</f>
        <v>0</v>
      </c>
      <c r="Y573" s="10">
        <f t="shared" ca="1" si="622"/>
        <v>0</v>
      </c>
      <c r="Z573">
        <f t="shared" ca="1" si="569"/>
        <v>0</v>
      </c>
      <c r="AA573">
        <f t="shared" ca="1" si="570"/>
        <v>1</v>
      </c>
      <c r="AB573" s="19">
        <f t="shared" ca="1" si="571"/>
        <v>0</v>
      </c>
      <c r="AC573" s="19">
        <f t="shared" ca="1" si="572"/>
        <v>-2.8996673840966831E-2</v>
      </c>
    </row>
    <row r="574" spans="3:29" x14ac:dyDescent="0.25">
      <c r="C574" s="4">
        <v>567</v>
      </c>
      <c r="D574" s="28">
        <v>42810</v>
      </c>
      <c r="E574" s="30">
        <v>15.978999999999999</v>
      </c>
      <c r="F574" s="30">
        <v>48.067632850241544</v>
      </c>
      <c r="G574" s="30">
        <v>5.7599405425492378</v>
      </c>
      <c r="H574" s="30">
        <v>73.671497584541058</v>
      </c>
      <c r="I574" s="8">
        <v>0</v>
      </c>
      <c r="J574" s="31">
        <v>0</v>
      </c>
      <c r="K574" s="31">
        <v>1</v>
      </c>
      <c r="L574" s="31">
        <v>0</v>
      </c>
      <c r="M574" s="31">
        <v>0</v>
      </c>
      <c r="N574" s="31">
        <v>0</v>
      </c>
      <c r="O574" s="31">
        <v>0</v>
      </c>
      <c r="P574" s="31">
        <v>0</v>
      </c>
      <c r="Q574" s="31">
        <v>0</v>
      </c>
      <c r="R574" s="31">
        <v>0</v>
      </c>
      <c r="S574" s="31">
        <v>0</v>
      </c>
      <c r="T574" s="21" cm="1">
        <f t="array" aca="1" ref="T574" ca="1">+fair_value_gap(OFFSET(S573,0,0,-1*$I$5,-1*$Z$1),OFFSET(E573,0,0,-1*$I$5,1),F574:S574,0)</f>
        <v>15.727284204303555</v>
      </c>
      <c r="U574" s="7" cm="1">
        <f t="array" aca="1" ref="U574" ca="1">z_score_diff(OFFSET(T574,0,0,$I$5*-1,1),OFFSET(E574,0,0,$I$5*-1,1))</f>
        <v>-0.33342621310654996</v>
      </c>
      <c r="V574" s="7">
        <f t="shared" ca="1" si="567"/>
        <v>0.197375815391543</v>
      </c>
      <c r="W574" s="14">
        <f t="shared" ca="1" si="562"/>
        <v>-2.0804443171089201E-2</v>
      </c>
      <c r="X574" s="10">
        <f t="shared" ref="X574:Y574" ca="1" si="623">+X573</f>
        <v>0</v>
      </c>
      <c r="Y574" s="10">
        <f t="shared" ca="1" si="623"/>
        <v>0</v>
      </c>
      <c r="Z574">
        <f t="shared" ca="1" si="569"/>
        <v>0</v>
      </c>
      <c r="AA574">
        <f t="shared" ca="1" si="570"/>
        <v>1</v>
      </c>
      <c r="AB574" s="19">
        <f t="shared" ca="1" si="571"/>
        <v>0</v>
      </c>
      <c r="AC574" s="19">
        <f t="shared" ca="1" si="572"/>
        <v>-2.0804443171089201E-2</v>
      </c>
    </row>
    <row r="575" spans="3:29" x14ac:dyDescent="0.25">
      <c r="C575" s="4">
        <v>568</v>
      </c>
      <c r="D575" s="28">
        <v>42811</v>
      </c>
      <c r="E575" s="30">
        <v>15.983000000000001</v>
      </c>
      <c r="F575" s="30">
        <v>48.211624441132628</v>
      </c>
      <c r="G575" s="30">
        <v>5.7749627421758563</v>
      </c>
      <c r="H575" s="30">
        <v>73.86363636363636</v>
      </c>
      <c r="I575" s="8">
        <v>0</v>
      </c>
      <c r="J575" s="31">
        <v>0</v>
      </c>
      <c r="K575" s="31">
        <v>1</v>
      </c>
      <c r="L575" s="31">
        <v>0</v>
      </c>
      <c r="M575" s="31">
        <v>0</v>
      </c>
      <c r="N575" s="31">
        <v>0</v>
      </c>
      <c r="O575" s="31">
        <v>0</v>
      </c>
      <c r="P575" s="31">
        <v>0</v>
      </c>
      <c r="Q575" s="31">
        <v>0</v>
      </c>
      <c r="R575" s="31">
        <v>0</v>
      </c>
      <c r="S575" s="31">
        <v>0</v>
      </c>
      <c r="T575" s="21" cm="1">
        <f t="array" aca="1" ref="T575" ca="1">+fair_value_gap(OFFSET(S574,0,0,-1*$I$5,-1*$Z$1),OFFSET(E574,0,0,-1*$I$5,1),F575:S575,0)</f>
        <v>15.674678807495589</v>
      </c>
      <c r="U575" s="7" cm="1">
        <f t="array" aca="1" ref="U575" ca="1">z_score_diff(OFFSET(T575,0,0,$I$5*-1,1),OFFSET(E575,0,0,$I$5*-1,1))</f>
        <v>-0.35691939948326756</v>
      </c>
      <c r="V575" s="7">
        <f t="shared" ca="1" si="567"/>
        <v>0.1663769655836343</v>
      </c>
      <c r="W575" s="14">
        <f t="shared" ca="1" si="562"/>
        <v>1.5582150952467646E-2</v>
      </c>
      <c r="X575" s="10">
        <f t="shared" ref="X575:Y575" ca="1" si="624">+X574</f>
        <v>0</v>
      </c>
      <c r="Y575" s="10">
        <f t="shared" ca="1" si="624"/>
        <v>0</v>
      </c>
      <c r="Z575">
        <f t="shared" ca="1" si="569"/>
        <v>0</v>
      </c>
      <c r="AA575">
        <f t="shared" ca="1" si="570"/>
        <v>1</v>
      </c>
      <c r="AB575" s="19">
        <f t="shared" ca="1" si="571"/>
        <v>0</v>
      </c>
      <c r="AC575" s="19">
        <f t="shared" ca="1" si="572"/>
        <v>1.5582150952467646E-2</v>
      </c>
    </row>
    <row r="576" spans="3:29" x14ac:dyDescent="0.25">
      <c r="C576" s="4">
        <v>569</v>
      </c>
      <c r="D576" s="28">
        <v>42814</v>
      </c>
      <c r="E576" s="30">
        <v>15.775</v>
      </c>
      <c r="F576" s="30">
        <v>48.076743969451421</v>
      </c>
      <c r="G576" s="30">
        <v>5.7744248859085401</v>
      </c>
      <c r="H576" s="30">
        <v>73.717053180590483</v>
      </c>
      <c r="I576" s="8">
        <v>0</v>
      </c>
      <c r="J576" s="31">
        <v>0</v>
      </c>
      <c r="K576" s="31">
        <v>1</v>
      </c>
      <c r="L576" s="31">
        <v>0</v>
      </c>
      <c r="M576" s="31">
        <v>0</v>
      </c>
      <c r="N576" s="31">
        <v>0</v>
      </c>
      <c r="O576" s="31">
        <v>0</v>
      </c>
      <c r="P576" s="31">
        <v>0</v>
      </c>
      <c r="Q576" s="31">
        <v>0</v>
      </c>
      <c r="R576" s="31">
        <v>0</v>
      </c>
      <c r="S576" s="31">
        <v>0</v>
      </c>
      <c r="T576" s="21" cm="1">
        <f t="array" aca="1" ref="T576" ca="1">+fair_value_gap(OFFSET(S575,0,0,-1*$I$5,-1*$Z$1),OFFSET(E575,0,0,-1*$I$5,1),F576:S576,0)</f>
        <v>15.560747751008694</v>
      </c>
      <c r="U576" s="7" cm="1">
        <f t="array" aca="1" ref="U576" ca="1">z_score_diff(OFFSET(T576,0,0,$I$5*-1,1),OFFSET(E576,0,0,$I$5*-1,1))</f>
        <v>-0.32125412738457237</v>
      </c>
      <c r="V576" s="7">
        <f t="shared" ca="1" si="567"/>
        <v>0.14047451919915732</v>
      </c>
      <c r="W576" s="14">
        <f t="shared" ca="1" si="562"/>
        <v>2.4360138788950422E-2</v>
      </c>
      <c r="X576" s="10">
        <f t="shared" ref="X576:Y576" ca="1" si="625">+X575</f>
        <v>0</v>
      </c>
      <c r="Y576" s="10">
        <f t="shared" ca="1" si="625"/>
        <v>0</v>
      </c>
      <c r="Z576">
        <f t="shared" ca="1" si="569"/>
        <v>0</v>
      </c>
      <c r="AA576">
        <f t="shared" ca="1" si="570"/>
        <v>1</v>
      </c>
      <c r="AB576" s="19">
        <f t="shared" ca="1" si="571"/>
        <v>0</v>
      </c>
      <c r="AC576" s="19">
        <f t="shared" ca="1" si="572"/>
        <v>2.4360138788950422E-2</v>
      </c>
    </row>
    <row r="577" spans="3:29" x14ac:dyDescent="0.25">
      <c r="C577" s="4">
        <v>570</v>
      </c>
      <c r="D577" s="28">
        <v>42815</v>
      </c>
      <c r="E577" s="30">
        <v>15.635999999999999</v>
      </c>
      <c r="F577" s="30">
        <v>47.150259067357517</v>
      </c>
      <c r="G577" s="30">
        <v>5.7364914877868252</v>
      </c>
      <c r="H577" s="30">
        <v>73.094004441154695</v>
      </c>
      <c r="I577" s="8">
        <v>0</v>
      </c>
      <c r="J577" s="31">
        <v>0</v>
      </c>
      <c r="K577" s="31">
        <v>1</v>
      </c>
      <c r="L577" s="31">
        <v>0</v>
      </c>
      <c r="M577" s="31">
        <v>0</v>
      </c>
      <c r="N577" s="31">
        <v>0</v>
      </c>
      <c r="O577" s="31">
        <v>0</v>
      </c>
      <c r="P577" s="31">
        <v>0</v>
      </c>
      <c r="Q577" s="31">
        <v>0</v>
      </c>
      <c r="R577" s="31">
        <v>0</v>
      </c>
      <c r="S577" s="31">
        <v>0</v>
      </c>
      <c r="T577" s="21" cm="1">
        <f t="array" aca="1" ref="T577" ca="1">+fair_value_gap(OFFSET(S576,0,0,-1*$I$5,-1*$Z$1),OFFSET(E576,0,0,-1*$I$5,1),F577:S577,0)</f>
        <v>15.457822515221114</v>
      </c>
      <c r="U577" s="7" cm="1">
        <f t="array" aca="1" ref="U577" ca="1">z_score_diff(OFFSET(T577,0,0,$I$5*-1,1),OFFSET(E577,0,0,$I$5*-1,1))</f>
        <v>-0.30858282514744489</v>
      </c>
      <c r="V577" s="7">
        <f t="shared" ca="1" si="567"/>
        <v>0.10717234461029561</v>
      </c>
      <c r="W577" s="14">
        <f t="shared" ca="1" si="562"/>
        <v>2.5696669438230364E-2</v>
      </c>
      <c r="X577" s="10">
        <f t="shared" ref="X577:Y577" ca="1" si="626">+X576</f>
        <v>0</v>
      </c>
      <c r="Y577" s="10">
        <f t="shared" ca="1" si="626"/>
        <v>0</v>
      </c>
      <c r="Z577">
        <f t="shared" ca="1" si="569"/>
        <v>0</v>
      </c>
      <c r="AA577">
        <f t="shared" ca="1" si="570"/>
        <v>1</v>
      </c>
      <c r="AB577" s="19">
        <f t="shared" ca="1" si="571"/>
        <v>0</v>
      </c>
      <c r="AC577" s="19">
        <f t="shared" ca="1" si="572"/>
        <v>2.5696669438230364E-2</v>
      </c>
    </row>
    <row r="578" spans="3:29" x14ac:dyDescent="0.25">
      <c r="C578" s="4">
        <v>571</v>
      </c>
      <c r="D578" s="28">
        <v>42816</v>
      </c>
      <c r="E578" s="30">
        <v>15.6</v>
      </c>
      <c r="F578" s="30">
        <v>46.910606762390003</v>
      </c>
      <c r="G578" s="30">
        <v>5.7433997220935629</v>
      </c>
      <c r="H578" s="30">
        <v>73.043075497915709</v>
      </c>
      <c r="I578" s="8">
        <v>0</v>
      </c>
      <c r="J578" s="31">
        <v>0</v>
      </c>
      <c r="K578" s="31">
        <v>1</v>
      </c>
      <c r="L578" s="31">
        <v>0</v>
      </c>
      <c r="M578" s="31">
        <v>0</v>
      </c>
      <c r="N578" s="31">
        <v>0</v>
      </c>
      <c r="O578" s="31">
        <v>0</v>
      </c>
      <c r="P578" s="31">
        <v>0</v>
      </c>
      <c r="Q578" s="31">
        <v>0</v>
      </c>
      <c r="R578" s="31">
        <v>0</v>
      </c>
      <c r="S578" s="31">
        <v>0</v>
      </c>
      <c r="T578" s="21" cm="1">
        <f t="array" aca="1" ref="T578" ca="1">+fair_value_gap(OFFSET(S577,0,0,-1*$I$5,-1*$Z$1),OFFSET(E577,0,0,-1*$I$5,1),F578:S578,0)</f>
        <v>15.471203529900468</v>
      </c>
      <c r="U578" s="7" cm="1">
        <f t="array" aca="1" ref="U578" ca="1">z_score_diff(OFFSET(T578,0,0,$I$5*-1,1),OFFSET(E578,0,0,$I$5*-1,1))</f>
        <v>-0.28957666005239135</v>
      </c>
      <c r="V578" s="7">
        <f t="shared" ca="1" si="567"/>
        <v>7.7635709458348592E-2</v>
      </c>
      <c r="W578" s="14">
        <f t="shared" ca="1" si="562"/>
        <v>4.5181707913067512E-2</v>
      </c>
      <c r="X578" s="10">
        <f t="shared" ref="X578:Y578" ca="1" si="627">+X577</f>
        <v>0</v>
      </c>
      <c r="Y578" s="10">
        <f t="shared" ca="1" si="627"/>
        <v>0</v>
      </c>
      <c r="Z578">
        <f t="shared" ca="1" si="569"/>
        <v>0</v>
      </c>
      <c r="AA578">
        <f t="shared" ca="1" si="570"/>
        <v>1</v>
      </c>
      <c r="AB578" s="19">
        <f t="shared" ca="1" si="571"/>
        <v>0</v>
      </c>
      <c r="AC578" s="19">
        <f t="shared" ca="1" si="572"/>
        <v>4.5181707913067512E-2</v>
      </c>
    </row>
    <row r="579" spans="3:29" x14ac:dyDescent="0.25">
      <c r="C579" s="4">
        <v>572</v>
      </c>
      <c r="D579" s="28">
        <v>42817</v>
      </c>
      <c r="E579" s="30">
        <v>15.579000000000001</v>
      </c>
      <c r="F579" s="30">
        <v>46.901669758812616</v>
      </c>
      <c r="G579" s="30">
        <v>5.7513914656771794</v>
      </c>
      <c r="H579" s="30">
        <v>73.283858998144709</v>
      </c>
      <c r="I579" s="8">
        <v>0</v>
      </c>
      <c r="J579" s="31">
        <v>0</v>
      </c>
      <c r="K579" s="31">
        <v>1</v>
      </c>
      <c r="L579" s="31">
        <v>0</v>
      </c>
      <c r="M579" s="31">
        <v>0</v>
      </c>
      <c r="N579" s="31">
        <v>0</v>
      </c>
      <c r="O579" s="31">
        <v>0</v>
      </c>
      <c r="P579" s="31">
        <v>0</v>
      </c>
      <c r="Q579" s="31">
        <v>0</v>
      </c>
      <c r="R579" s="31">
        <v>0</v>
      </c>
      <c r="S579" s="31">
        <v>0</v>
      </c>
      <c r="T579" s="21" cm="1">
        <f t="array" aca="1" ref="T579" ca="1">+fair_value_gap(OFFSET(S578,0,0,-1*$I$5,-1*$Z$1),OFFSET(E578,0,0,-1*$I$5,1),F579:S579,0)</f>
        <v>15.521348143103506</v>
      </c>
      <c r="U579" s="7" cm="1">
        <f t="array" aca="1" ref="U579" ca="1">z_score_diff(OFFSET(T579,0,0,$I$5*-1,1),OFFSET(E579,0,0,$I$5*-1,1))</f>
        <v>-0.26206549547844737</v>
      </c>
      <c r="V579" s="7">
        <f t="shared" ca="1" si="567"/>
        <v>5.6788576422063253E-2</v>
      </c>
      <c r="W579" s="14">
        <f t="shared" ca="1" si="562"/>
        <v>3.4447009151544507E-2</v>
      </c>
      <c r="X579" s="10">
        <f t="shared" ref="X579:Y579" ca="1" si="628">+X578</f>
        <v>0</v>
      </c>
      <c r="Y579" s="10">
        <f t="shared" ca="1" si="628"/>
        <v>0</v>
      </c>
      <c r="Z579">
        <f t="shared" ca="1" si="569"/>
        <v>0</v>
      </c>
      <c r="AA579">
        <f t="shared" ca="1" si="570"/>
        <v>1</v>
      </c>
      <c r="AB579" s="19">
        <f t="shared" ca="1" si="571"/>
        <v>0</v>
      </c>
      <c r="AC579" s="19">
        <f t="shared" ca="1" si="572"/>
        <v>3.4447009151544507E-2</v>
      </c>
    </row>
    <row r="580" spans="3:29" x14ac:dyDescent="0.25">
      <c r="C580" s="4">
        <v>573</v>
      </c>
      <c r="D580" s="28">
        <v>42818</v>
      </c>
      <c r="E580" s="30">
        <v>15.247</v>
      </c>
      <c r="F580" s="30">
        <v>47.050106511067881</v>
      </c>
      <c r="G580" s="30">
        <v>5.74233583402797</v>
      </c>
      <c r="H580" s="30">
        <v>73.168472723904785</v>
      </c>
      <c r="I580" s="8">
        <v>0</v>
      </c>
      <c r="J580" s="31">
        <v>0</v>
      </c>
      <c r="K580" s="31">
        <v>1</v>
      </c>
      <c r="L580" s="31">
        <v>0</v>
      </c>
      <c r="M580" s="31">
        <v>0</v>
      </c>
      <c r="N580" s="31">
        <v>0</v>
      </c>
      <c r="O580" s="31">
        <v>0</v>
      </c>
      <c r="P580" s="31">
        <v>0</v>
      </c>
      <c r="Q580" s="31">
        <v>0</v>
      </c>
      <c r="R580" s="31">
        <v>0</v>
      </c>
      <c r="S580" s="31">
        <v>0</v>
      </c>
      <c r="T580" s="21" cm="1">
        <f t="array" aca="1" ref="T580" ca="1">+fair_value_gap(OFFSET(S579,0,0,-1*$I$5,-1*$Z$1),OFFSET(E579,0,0,-1*$I$5,1),F580:S580,0)</f>
        <v>15.501993719676328</v>
      </c>
      <c r="U580" s="7" cm="1">
        <f t="array" aca="1" ref="U580" ca="1">z_score_diff(OFFSET(T580,0,0,$I$5*-1,1),OFFSET(E580,0,0,$I$5*-1,1))</f>
        <v>-0.14759945987708273</v>
      </c>
      <c r="V580" s="7">
        <f t="shared" ca="1" si="567"/>
        <v>3.3990342397108894E-2</v>
      </c>
      <c r="W580" s="14">
        <f t="shared" ca="1" si="562"/>
        <v>3.3980252586029221E-2</v>
      </c>
      <c r="X580" s="10">
        <f t="shared" ref="X580:Y580" ca="1" si="629">+X579</f>
        <v>0</v>
      </c>
      <c r="Y580" s="10">
        <f t="shared" ca="1" si="629"/>
        <v>0</v>
      </c>
      <c r="Z580">
        <f t="shared" ca="1" si="569"/>
        <v>0</v>
      </c>
      <c r="AA580">
        <f t="shared" ca="1" si="570"/>
        <v>1</v>
      </c>
      <c r="AB580" s="19">
        <f t="shared" ca="1" si="571"/>
        <v>0</v>
      </c>
      <c r="AC580" s="19">
        <f t="shared" ca="1" si="572"/>
        <v>3.3980252586029221E-2</v>
      </c>
    </row>
    <row r="581" spans="3:29" x14ac:dyDescent="0.25">
      <c r="C581" s="4">
        <v>574</v>
      </c>
      <c r="D581" s="28">
        <v>42821</v>
      </c>
      <c r="E581" s="30">
        <v>14.936999999999999</v>
      </c>
      <c r="F581" s="30">
        <v>46.713917525773198</v>
      </c>
      <c r="G581" s="30">
        <v>5.7069219440353463</v>
      </c>
      <c r="H581" s="30">
        <v>72.118924889543436</v>
      </c>
      <c r="I581" s="8">
        <v>0</v>
      </c>
      <c r="J581" s="31">
        <v>0</v>
      </c>
      <c r="K581" s="31">
        <v>1</v>
      </c>
      <c r="L581" s="31">
        <v>0</v>
      </c>
      <c r="M581" s="31">
        <v>0</v>
      </c>
      <c r="N581" s="31">
        <v>0</v>
      </c>
      <c r="O581" s="31">
        <v>0</v>
      </c>
      <c r="P581" s="31">
        <v>0</v>
      </c>
      <c r="Q581" s="31">
        <v>0</v>
      </c>
      <c r="R581" s="31">
        <v>0</v>
      </c>
      <c r="S581" s="31">
        <v>0</v>
      </c>
      <c r="T581" s="21" cm="1">
        <f t="array" aca="1" ref="T581" ca="1">+fair_value_gap(OFFSET(S580,0,0,-1*$I$5,-1*$Z$1),OFFSET(E580,0,0,-1*$I$5,1),F581:S581,0)</f>
        <v>15.318516683496915</v>
      </c>
      <c r="U581" s="7" cm="1">
        <f t="array" aca="1" ref="U581" ca="1">z_score_diff(OFFSET(T581,0,0,$I$5*-1,1),OFFSET(E581,0,0,$I$5*-1,1))</f>
        <v>-0.10353108945468201</v>
      </c>
      <c r="V581" s="7">
        <f t="shared" ca="1" si="567"/>
        <v>6.9418821832995508E-3</v>
      </c>
      <c r="W581" s="14">
        <f t="shared" ca="1" si="562"/>
        <v>7.2614877438115163E-2</v>
      </c>
      <c r="X581" s="10">
        <f t="shared" ref="X581:Y581" ca="1" si="630">+X580</f>
        <v>0</v>
      </c>
      <c r="Y581" s="10">
        <f t="shared" ca="1" si="630"/>
        <v>0</v>
      </c>
      <c r="Z581">
        <f t="shared" ca="1" si="569"/>
        <v>0</v>
      </c>
      <c r="AA581">
        <f t="shared" ca="1" si="570"/>
        <v>1</v>
      </c>
      <c r="AB581" s="19">
        <f t="shared" ca="1" si="571"/>
        <v>0</v>
      </c>
      <c r="AC581" s="19">
        <f t="shared" ca="1" si="572"/>
        <v>7.2614877438115163E-2</v>
      </c>
    </row>
    <row r="582" spans="3:29" x14ac:dyDescent="0.25">
      <c r="C582" s="4">
        <v>575</v>
      </c>
      <c r="D582" s="28">
        <v>42822</v>
      </c>
      <c r="E582" s="30">
        <v>15.074</v>
      </c>
      <c r="F582" s="30">
        <v>47.475027746947838</v>
      </c>
      <c r="G582" s="30">
        <v>5.7343692193858677</v>
      </c>
      <c r="H582" s="30">
        <v>72.280799112097682</v>
      </c>
      <c r="I582" s="8">
        <v>0</v>
      </c>
      <c r="J582" s="31">
        <v>0</v>
      </c>
      <c r="K582" s="31">
        <v>1</v>
      </c>
      <c r="L582" s="31">
        <v>0</v>
      </c>
      <c r="M582" s="31">
        <v>0</v>
      </c>
      <c r="N582" s="31">
        <v>0</v>
      </c>
      <c r="O582" s="31">
        <v>0</v>
      </c>
      <c r="P582" s="31">
        <v>0</v>
      </c>
      <c r="Q582" s="31">
        <v>0</v>
      </c>
      <c r="R582" s="31">
        <v>0</v>
      </c>
      <c r="S582" s="31">
        <v>0</v>
      </c>
      <c r="T582" s="21" cm="1">
        <f t="array" aca="1" ref="T582" ca="1">+fair_value_gap(OFFSET(S581,0,0,-1*$I$5,-1*$Z$1),OFFSET(E581,0,0,-1*$I$5,1),F582:S582,0)</f>
        <v>15.340535650832551</v>
      </c>
      <c r="U582" s="7" cm="1">
        <f t="array" aca="1" ref="U582" ca="1">z_score_diff(OFFSET(T582,0,0,$I$5*-1,1),OFFSET(E582,0,0,$I$5*-1,1))</f>
        <v>-0.14432476223632745</v>
      </c>
      <c r="V582" s="7">
        <f t="shared" ca="1" si="567"/>
        <v>-2.6140533434533784E-2</v>
      </c>
      <c r="W582" s="14">
        <f t="shared" ca="1" si="562"/>
        <v>6.2675136917741028E-2</v>
      </c>
      <c r="X582" s="10">
        <f t="shared" ref="X582:Y582" ca="1" si="631">+X581</f>
        <v>0</v>
      </c>
      <c r="Y582" s="10">
        <f t="shared" ca="1" si="631"/>
        <v>0</v>
      </c>
      <c r="Z582">
        <f t="shared" ca="1" si="569"/>
        <v>1</v>
      </c>
      <c r="AA582">
        <f t="shared" ca="1" si="570"/>
        <v>0</v>
      </c>
      <c r="AB582" s="19">
        <f t="shared" ca="1" si="571"/>
        <v>6.2675136917741028E-2</v>
      </c>
      <c r="AC582" s="19">
        <f t="shared" ca="1" si="572"/>
        <v>0</v>
      </c>
    </row>
    <row r="583" spans="3:29" x14ac:dyDescent="0.25">
      <c r="C583" s="4">
        <v>576</v>
      </c>
      <c r="D583" s="28">
        <v>42823</v>
      </c>
      <c r="E583" s="30">
        <v>15.576000000000001</v>
      </c>
      <c r="F583" s="30">
        <v>48.690321382128928</v>
      </c>
      <c r="G583" s="30">
        <v>5.7588705182983464</v>
      </c>
      <c r="H583" s="30">
        <v>73.007616570685485</v>
      </c>
      <c r="I583" s="8">
        <v>0</v>
      </c>
      <c r="J583" s="31">
        <v>0</v>
      </c>
      <c r="K583" s="31">
        <v>1</v>
      </c>
      <c r="L583" s="31">
        <v>0</v>
      </c>
      <c r="M583" s="31">
        <v>0</v>
      </c>
      <c r="N583" s="31">
        <v>0</v>
      </c>
      <c r="O583" s="31">
        <v>0</v>
      </c>
      <c r="P583" s="31">
        <v>0</v>
      </c>
      <c r="Q583" s="31">
        <v>0</v>
      </c>
      <c r="R583" s="31">
        <v>0</v>
      </c>
      <c r="S583" s="31">
        <v>0</v>
      </c>
      <c r="T583" s="21" cm="1">
        <f t="array" aca="1" ref="T583" ca="1">+fair_value_gap(OFFSET(S582,0,0,-1*$I$5,-1*$Z$1),OFFSET(E582,0,0,-1*$I$5,1),F583:S583,0)</f>
        <v>15.435650434204298</v>
      </c>
      <c r="U583" s="7" cm="1">
        <f t="array" aca="1" ref="U583" ca="1">z_score_diff(OFFSET(T583,0,0,$I$5*-1,1),OFFSET(E583,0,0,$I$5*-1,1))</f>
        <v>-0.29229252874835437</v>
      </c>
      <c r="V583" s="7">
        <f t="shared" ca="1" si="567"/>
        <v>-5.332710767832867E-2</v>
      </c>
      <c r="W583" s="14">
        <f t="shared" ref="W583:W646" ca="1" si="632">+LN(OFFSET(E583,$W$3,0,1,1)/E583)</f>
        <v>3.816824531574927E-2</v>
      </c>
      <c r="X583" s="10">
        <f t="shared" ref="X583:Y583" ca="1" si="633">+X582</f>
        <v>0</v>
      </c>
      <c r="Y583" s="10">
        <f t="shared" ca="1" si="633"/>
        <v>0</v>
      </c>
      <c r="Z583">
        <f t="shared" ca="1" si="569"/>
        <v>1</v>
      </c>
      <c r="AA583">
        <f t="shared" ca="1" si="570"/>
        <v>0</v>
      </c>
      <c r="AB583" s="19">
        <f t="shared" ca="1" si="571"/>
        <v>3.816824531574927E-2</v>
      </c>
      <c r="AC583" s="19">
        <f t="shared" ca="1" si="572"/>
        <v>0</v>
      </c>
    </row>
    <row r="584" spans="3:29" x14ac:dyDescent="0.25">
      <c r="C584" s="4">
        <v>577</v>
      </c>
      <c r="D584" s="28">
        <v>42824</v>
      </c>
      <c r="E584" s="30">
        <v>15.936999999999999</v>
      </c>
      <c r="F584" s="30">
        <v>49.615889076260075</v>
      </c>
      <c r="G584" s="30">
        <v>5.8085066516769723</v>
      </c>
      <c r="H584" s="30">
        <v>73.63687464867904</v>
      </c>
      <c r="I584" s="8">
        <v>0</v>
      </c>
      <c r="J584" s="31">
        <v>0</v>
      </c>
      <c r="K584" s="31">
        <v>1</v>
      </c>
      <c r="L584" s="31">
        <v>0</v>
      </c>
      <c r="M584" s="31">
        <v>0</v>
      </c>
      <c r="N584" s="31">
        <v>0</v>
      </c>
      <c r="O584" s="31">
        <v>0</v>
      </c>
      <c r="P584" s="31">
        <v>0</v>
      </c>
      <c r="Q584" s="31">
        <v>0</v>
      </c>
      <c r="R584" s="31">
        <v>0</v>
      </c>
      <c r="S584" s="31">
        <v>0</v>
      </c>
      <c r="T584" s="21" cm="1">
        <f t="array" aca="1" ref="T584" ca="1">+fair_value_gap(OFFSET(S583,0,0,-1*$I$5,-1*$Z$1),OFFSET(E583,0,0,-1*$I$5,1),F584:S584,0)</f>
        <v>15.565342657117156</v>
      </c>
      <c r="U584" s="7" cm="1">
        <f t="array" aca="1" ref="U584" ca="1">z_score_diff(OFFSET(T584,0,0,$I$5*-1,1),OFFSET(E584,0,0,$I$5*-1,1))</f>
        <v>-0.3754523370524796</v>
      </c>
      <c r="V584" s="7">
        <f t="shared" ca="1" si="567"/>
        <v>-9.0162108438032157E-2</v>
      </c>
      <c r="W584" s="14">
        <f t="shared" ca="1" si="632"/>
        <v>1.4823390509467696E-2</v>
      </c>
      <c r="X584" s="10">
        <f t="shared" ref="X584:Y584" ca="1" si="634">+X583</f>
        <v>0</v>
      </c>
      <c r="Y584" s="10">
        <f t="shared" ca="1" si="634"/>
        <v>0</v>
      </c>
      <c r="Z584">
        <f t="shared" ca="1" si="569"/>
        <v>1</v>
      </c>
      <c r="AA584">
        <f t="shared" ca="1" si="570"/>
        <v>0</v>
      </c>
      <c r="AB584" s="19">
        <f t="shared" ca="1" si="571"/>
        <v>1.4823390509467696E-2</v>
      </c>
      <c r="AC584" s="19">
        <f t="shared" ca="1" si="572"/>
        <v>0</v>
      </c>
    </row>
    <row r="585" spans="3:29" x14ac:dyDescent="0.25">
      <c r="C585" s="4">
        <v>578</v>
      </c>
      <c r="D585" s="28">
        <v>42825</v>
      </c>
      <c r="E585" s="30">
        <v>15.801</v>
      </c>
      <c r="F585" s="30">
        <v>49.610292046201522</v>
      </c>
      <c r="G585" s="30">
        <v>5.8221429242182365</v>
      </c>
      <c r="H585" s="30">
        <v>74.654897173443516</v>
      </c>
      <c r="I585" s="8">
        <v>0</v>
      </c>
      <c r="J585" s="31">
        <v>0</v>
      </c>
      <c r="K585" s="31">
        <v>1</v>
      </c>
      <c r="L585" s="31">
        <v>0</v>
      </c>
      <c r="M585" s="31">
        <v>0</v>
      </c>
      <c r="N585" s="31">
        <v>0</v>
      </c>
      <c r="O585" s="31">
        <v>0</v>
      </c>
      <c r="P585" s="31">
        <v>0</v>
      </c>
      <c r="Q585" s="31">
        <v>0</v>
      </c>
      <c r="R585" s="31">
        <v>0</v>
      </c>
      <c r="S585" s="31">
        <v>0</v>
      </c>
      <c r="T585" s="21" cm="1">
        <f t="array" aca="1" ref="T585" ca="1">+fair_value_gap(OFFSET(S584,0,0,-1*$I$5,-1*$Z$1),OFFSET(E584,0,0,-1*$I$5,1),F585:S585,0)</f>
        <v>15.7315780152061</v>
      </c>
      <c r="U585" s="7" cm="1">
        <f t="array" aca="1" ref="U585" ca="1">z_score_diff(OFFSET(T585,0,0,$I$5*-1,1),OFFSET(E585,0,0,$I$5*-1,1))</f>
        <v>-0.25829645162681253</v>
      </c>
      <c r="V585" s="7">
        <f t="shared" ca="1" si="567"/>
        <v>-0.11339617091897172</v>
      </c>
      <c r="W585" s="14">
        <f t="shared" ca="1" si="632"/>
        <v>4.0130660103392557E-2</v>
      </c>
      <c r="X585" s="10">
        <f t="shared" ref="X585:Y585" ca="1" si="635">+X584</f>
        <v>0</v>
      </c>
      <c r="Y585" s="10">
        <f t="shared" ca="1" si="635"/>
        <v>0</v>
      </c>
      <c r="Z585">
        <f t="shared" ca="1" si="569"/>
        <v>1</v>
      </c>
      <c r="AA585">
        <f t="shared" ca="1" si="570"/>
        <v>0</v>
      </c>
      <c r="AB585" s="19">
        <f t="shared" ca="1" si="571"/>
        <v>4.0130660103392557E-2</v>
      </c>
      <c r="AC585" s="19">
        <f t="shared" ca="1" si="572"/>
        <v>0</v>
      </c>
    </row>
    <row r="586" spans="3:29" x14ac:dyDescent="0.25">
      <c r="C586" s="4">
        <v>579</v>
      </c>
      <c r="D586" s="28">
        <v>42828</v>
      </c>
      <c r="E586" s="30">
        <v>15.991</v>
      </c>
      <c r="F586" s="30">
        <v>49.793775778027744</v>
      </c>
      <c r="G586" s="30">
        <v>5.8117735283089615</v>
      </c>
      <c r="H586" s="30">
        <v>77.568428946381701</v>
      </c>
      <c r="I586" s="8">
        <v>0</v>
      </c>
      <c r="J586" s="31">
        <v>0</v>
      </c>
      <c r="K586" s="31">
        <v>0</v>
      </c>
      <c r="L586" s="31">
        <v>1</v>
      </c>
      <c r="M586" s="31">
        <v>0</v>
      </c>
      <c r="N586" s="31">
        <v>0</v>
      </c>
      <c r="O586" s="31">
        <v>0</v>
      </c>
      <c r="P586" s="31">
        <v>0</v>
      </c>
      <c r="Q586" s="31">
        <v>0</v>
      </c>
      <c r="R586" s="31">
        <v>0</v>
      </c>
      <c r="S586" s="31">
        <v>0</v>
      </c>
      <c r="T586" s="21" cm="1">
        <f t="array" aca="1" ref="T586" ca="1">+fair_value_gap(OFFSET(S585,0,0,-1*$I$5,-1*$Z$1),OFFSET(E585,0,0,-1*$I$5,1),F586:S586,0)</f>
        <v>18.498933349473521</v>
      </c>
      <c r="U586" s="7" cm="1">
        <f t="array" aca="1" ref="U586" ca="1">z_score_diff(OFFSET(T586,0,0,$I$5*-1,1),OFFSET(E586,0,0,$I$5*-1,1))</f>
        <v>0.76333697329231009</v>
      </c>
      <c r="V586" s="7">
        <f t="shared" ca="1" si="567"/>
        <v>-8.7282805141973438E-2</v>
      </c>
      <c r="W586" s="14">
        <f t="shared" ca="1" si="632"/>
        <v>2.079411516672253E-2</v>
      </c>
      <c r="X586" s="10">
        <f t="shared" ref="X586:Y586" ca="1" si="636">+X585</f>
        <v>0</v>
      </c>
      <c r="Y586" s="10">
        <f t="shared" ca="1" si="636"/>
        <v>0</v>
      </c>
      <c r="Z586">
        <f t="shared" ca="1" si="569"/>
        <v>1</v>
      </c>
      <c r="AA586">
        <f t="shared" ca="1" si="570"/>
        <v>0</v>
      </c>
      <c r="AB586" s="19">
        <f t="shared" ca="1" si="571"/>
        <v>2.079411516672253E-2</v>
      </c>
      <c r="AC586" s="19">
        <f t="shared" ca="1" si="572"/>
        <v>0</v>
      </c>
    </row>
    <row r="587" spans="3:29" x14ac:dyDescent="0.25">
      <c r="C587" s="4">
        <v>580</v>
      </c>
      <c r="D587" s="28">
        <v>42829</v>
      </c>
      <c r="E587" s="30">
        <v>16.132999999999999</v>
      </c>
      <c r="F587" s="30">
        <v>50.758995502248879</v>
      </c>
      <c r="G587" s="30">
        <v>5.8095952023988016</v>
      </c>
      <c r="H587" s="30">
        <v>76.696026986506752</v>
      </c>
      <c r="I587" s="8">
        <v>0</v>
      </c>
      <c r="J587" s="31">
        <v>0</v>
      </c>
      <c r="K587" s="31">
        <v>0</v>
      </c>
      <c r="L587" s="31">
        <v>1</v>
      </c>
      <c r="M587" s="31">
        <v>0</v>
      </c>
      <c r="N587" s="31">
        <v>0</v>
      </c>
      <c r="O587" s="31">
        <v>0</v>
      </c>
      <c r="P587" s="31">
        <v>0</v>
      </c>
      <c r="Q587" s="31">
        <v>0</v>
      </c>
      <c r="R587" s="31">
        <v>0</v>
      </c>
      <c r="S587" s="31">
        <v>0</v>
      </c>
      <c r="T587" s="21" cm="1">
        <f t="array" aca="1" ref="T587" ca="1">+fair_value_gap(OFFSET(S586,0,0,-1*$I$5,-1*$Z$1),OFFSET(E586,0,0,-1*$I$5,1),F587:S587,0)</f>
        <v>18.049284028449652</v>
      </c>
      <c r="U587" s="7" cm="1">
        <f t="array" aca="1" ref="U587" ca="1">z_score_diff(OFFSET(T587,0,0,$I$5*-1,1),OFFSET(E587,0,0,$I$5*-1,1))</f>
        <v>0.53127258080769268</v>
      </c>
      <c r="V587" s="7">
        <f t="shared" ref="V587:V650" ca="1" si="637">+IF(ISERROR(AVERAGE(OFFSET(U587,0,0,$V$5*-1,1))),"",AVERAGE(OFFSET(U587,0,0,$V$5*-1,1)))</f>
        <v>-7.1144339775083526E-2</v>
      </c>
      <c r="W587" s="14">
        <f t="shared" ca="1" si="632"/>
        <v>-1.4547754457820946E-2</v>
      </c>
      <c r="X587" s="10">
        <f t="shared" ref="X587:Y587" ca="1" si="638">+X586</f>
        <v>0</v>
      </c>
      <c r="Y587" s="10">
        <f t="shared" ca="1" si="638"/>
        <v>0</v>
      </c>
      <c r="Z587">
        <f t="shared" ref="Z587:Z650" ca="1" si="639">+IF(V587="","",IF(V587&lt;X587,1,0))</f>
        <v>1</v>
      </c>
      <c r="AA587">
        <f t="shared" ref="AA587:AA650" ca="1" si="640">+IF(V587="","",IF(V587&gt;Y587,1,0))</f>
        <v>0</v>
      </c>
      <c r="AB587" s="19">
        <f t="shared" ref="AB587:AB650" ca="1" si="641">+IF(ISERROR(Z587*W587),"",Z587*W587)</f>
        <v>-1.4547754457820946E-2</v>
      </c>
      <c r="AC587" s="19">
        <f t="shared" ref="AC587:AC650" ca="1" si="642">+IF(ISERROR(AA587*W587),"",AA587*W587)</f>
        <v>0</v>
      </c>
    </row>
    <row r="588" spans="3:29" x14ac:dyDescent="0.25">
      <c r="C588" s="4">
        <v>581</v>
      </c>
      <c r="D588" s="28">
        <v>42830</v>
      </c>
      <c r="E588" s="30">
        <v>16.222999999999999</v>
      </c>
      <c r="F588" s="30">
        <v>50.984805852560491</v>
      </c>
      <c r="G588" s="30">
        <v>5.8150440817857811</v>
      </c>
      <c r="H588" s="30">
        <v>75.970737197523917</v>
      </c>
      <c r="I588" s="8">
        <v>0</v>
      </c>
      <c r="J588" s="31">
        <v>0</v>
      </c>
      <c r="K588" s="31">
        <v>0</v>
      </c>
      <c r="L588" s="31">
        <v>1</v>
      </c>
      <c r="M588" s="31">
        <v>0</v>
      </c>
      <c r="N588" s="31">
        <v>0</v>
      </c>
      <c r="O588" s="31">
        <v>0</v>
      </c>
      <c r="P588" s="31">
        <v>0</v>
      </c>
      <c r="Q588" s="31">
        <v>0</v>
      </c>
      <c r="R588" s="31">
        <v>0</v>
      </c>
      <c r="S588" s="31">
        <v>0</v>
      </c>
      <c r="T588" s="21" cm="1">
        <f t="array" aca="1" ref="T588" ca="1">+fair_value_gap(OFFSET(S587,0,0,-1*$I$5,-1*$Z$1),OFFSET(E587,0,0,-1*$I$5,1),F588:S588,0)</f>
        <v>17.772070119523111</v>
      </c>
      <c r="U588" s="7" cm="1">
        <f t="array" aca="1" ref="U588" ca="1">z_score_diff(OFFSET(T588,0,0,$I$5*-1,1),OFFSET(E588,0,0,$I$5*-1,1))</f>
        <v>0.38625619154120561</v>
      </c>
      <c r="V588" s="7">
        <f t="shared" ca="1" si="637"/>
        <v>-6.2747738315384688E-2</v>
      </c>
      <c r="W588" s="14">
        <f t="shared" ca="1" si="632"/>
        <v>-2.5028611829057228E-2</v>
      </c>
      <c r="X588" s="10">
        <f t="shared" ref="X588:Y588" ca="1" si="643">+X587</f>
        <v>0</v>
      </c>
      <c r="Y588" s="10">
        <f t="shared" ca="1" si="643"/>
        <v>0</v>
      </c>
      <c r="Z588">
        <f t="shared" ca="1" si="639"/>
        <v>1</v>
      </c>
      <c r="AA588">
        <f t="shared" ca="1" si="640"/>
        <v>0</v>
      </c>
      <c r="AB588" s="19">
        <f t="shared" ca="1" si="641"/>
        <v>-2.5028611829057228E-2</v>
      </c>
      <c r="AC588" s="19">
        <f t="shared" ca="1" si="642"/>
        <v>0</v>
      </c>
    </row>
    <row r="589" spans="3:29" x14ac:dyDescent="0.25">
      <c r="C589" s="4">
        <v>582</v>
      </c>
      <c r="D589" s="28">
        <v>42831</v>
      </c>
      <c r="E589" s="30">
        <v>16.149999999999999</v>
      </c>
      <c r="F589" s="30">
        <v>51.578650629580906</v>
      </c>
      <c r="G589" s="30">
        <v>5.8259725615485811</v>
      </c>
      <c r="H589" s="30">
        <v>77.288103739898517</v>
      </c>
      <c r="I589" s="8">
        <v>0</v>
      </c>
      <c r="J589" s="31">
        <v>0</v>
      </c>
      <c r="K589" s="31">
        <v>0</v>
      </c>
      <c r="L589" s="31">
        <v>1</v>
      </c>
      <c r="M589" s="31">
        <v>0</v>
      </c>
      <c r="N589" s="31">
        <v>0</v>
      </c>
      <c r="O589" s="31">
        <v>0</v>
      </c>
      <c r="P589" s="31">
        <v>0</v>
      </c>
      <c r="Q589" s="31">
        <v>0</v>
      </c>
      <c r="R589" s="31">
        <v>0</v>
      </c>
      <c r="S589" s="31">
        <v>0</v>
      </c>
      <c r="T589" s="21" cm="1">
        <f t="array" aca="1" ref="T589" ca="1">+fair_value_gap(OFFSET(S588,0,0,-1*$I$5,-1*$Z$1),OFFSET(E588,0,0,-1*$I$5,1),F589:S589,0)</f>
        <v>17.764042490891974</v>
      </c>
      <c r="U589" s="7" cm="1">
        <f t="array" aca="1" ref="U589" ca="1">z_score_diff(OFFSET(T589,0,0,$I$5*-1,1),OFFSET(E589,0,0,$I$5*-1,1))</f>
        <v>0.41084474611757749</v>
      </c>
      <c r="V589" s="7">
        <f t="shared" ca="1" si="637"/>
        <v>-4.9886861829074092E-2</v>
      </c>
      <c r="W589" s="14">
        <f t="shared" ca="1" si="632"/>
        <v>-4.3858074498483883E-2</v>
      </c>
      <c r="X589" s="10">
        <f t="shared" ref="X589:Y589" ca="1" si="644">+X588</f>
        <v>0</v>
      </c>
      <c r="Y589" s="10">
        <f t="shared" ca="1" si="644"/>
        <v>0</v>
      </c>
      <c r="Z589">
        <f t="shared" ca="1" si="639"/>
        <v>1</v>
      </c>
      <c r="AA589">
        <f t="shared" ca="1" si="640"/>
        <v>0</v>
      </c>
      <c r="AB589" s="19">
        <f t="shared" ca="1" si="641"/>
        <v>-4.3858074498483883E-2</v>
      </c>
      <c r="AC589" s="19">
        <f t="shared" ca="1" si="642"/>
        <v>0</v>
      </c>
    </row>
    <row r="590" spans="3:29" x14ac:dyDescent="0.25">
      <c r="C590" s="4">
        <v>583</v>
      </c>
      <c r="D590" s="28">
        <v>42832</v>
      </c>
      <c r="E590" s="30">
        <v>15.835000000000001</v>
      </c>
      <c r="F590" s="30">
        <v>52.172270494899891</v>
      </c>
      <c r="G590" s="30">
        <v>5.8556856819040428</v>
      </c>
      <c r="H590" s="30">
        <v>76.973932754061209</v>
      </c>
      <c r="I590" s="8">
        <v>0</v>
      </c>
      <c r="J590" s="31">
        <v>0</v>
      </c>
      <c r="K590" s="31">
        <v>0</v>
      </c>
      <c r="L590" s="31">
        <v>1</v>
      </c>
      <c r="M590" s="31">
        <v>0</v>
      </c>
      <c r="N590" s="31">
        <v>0</v>
      </c>
      <c r="O590" s="31">
        <v>0</v>
      </c>
      <c r="P590" s="31">
        <v>0</v>
      </c>
      <c r="Q590" s="31">
        <v>0</v>
      </c>
      <c r="R590" s="31">
        <v>0</v>
      </c>
      <c r="S590" s="31">
        <v>0</v>
      </c>
      <c r="T590" s="21" cm="1">
        <f t="array" aca="1" ref="T590" ca="1">+fair_value_gap(OFFSET(S589,0,0,-1*$I$5,-1*$Z$1),OFFSET(E589,0,0,-1*$I$5,1),F590:S590,0)</f>
        <v>17.602720644139438</v>
      </c>
      <c r="U590" s="7" cm="1">
        <f t="array" aca="1" ref="U590" ca="1">z_score_diff(OFFSET(T590,0,0,$I$5*-1,1),OFFSET(E590,0,0,$I$5*-1,1))</f>
        <v>0.4660590737774164</v>
      </c>
      <c r="V590" s="7">
        <f t="shared" ca="1" si="637"/>
        <v>-2.8799030736928077E-2</v>
      </c>
      <c r="W590" s="14">
        <f t="shared" ca="1" si="632"/>
        <v>-2.655731185541978E-2</v>
      </c>
      <c r="X590" s="10">
        <f t="shared" ref="X590:Y590" ca="1" si="645">+X589</f>
        <v>0</v>
      </c>
      <c r="Y590" s="10">
        <f t="shared" ca="1" si="645"/>
        <v>0</v>
      </c>
      <c r="Z590">
        <f t="shared" ca="1" si="639"/>
        <v>1</v>
      </c>
      <c r="AA590">
        <f t="shared" ca="1" si="640"/>
        <v>0</v>
      </c>
      <c r="AB590" s="19">
        <f t="shared" ca="1" si="641"/>
        <v>-2.655731185541978E-2</v>
      </c>
      <c r="AC590" s="19">
        <f t="shared" ca="1" si="642"/>
        <v>0</v>
      </c>
    </row>
    <row r="591" spans="3:29" x14ac:dyDescent="0.25">
      <c r="C591" s="4">
        <v>584</v>
      </c>
      <c r="D591" s="28">
        <v>42835</v>
      </c>
      <c r="E591" s="30">
        <v>15.513999999999999</v>
      </c>
      <c r="F591" s="30">
        <v>52.846219201359389</v>
      </c>
      <c r="G591" s="30">
        <v>5.8529217407722092</v>
      </c>
      <c r="H591" s="30">
        <v>75.42716888511282</v>
      </c>
      <c r="I591" s="8">
        <v>0</v>
      </c>
      <c r="J591" s="31">
        <v>0</v>
      </c>
      <c r="K591" s="31">
        <v>0</v>
      </c>
      <c r="L591" s="31">
        <v>1</v>
      </c>
      <c r="M591" s="31">
        <v>0</v>
      </c>
      <c r="N591" s="31">
        <v>0</v>
      </c>
      <c r="O591" s="31">
        <v>0</v>
      </c>
      <c r="P591" s="31">
        <v>0</v>
      </c>
      <c r="Q591" s="31">
        <v>0</v>
      </c>
      <c r="R591" s="31">
        <v>0</v>
      </c>
      <c r="S591" s="31">
        <v>0</v>
      </c>
      <c r="T591" s="21" cm="1">
        <f t="array" aca="1" ref="T591" ca="1">+fair_value_gap(OFFSET(S590,0,0,-1*$I$5,-1*$Z$1),OFFSET(E590,0,0,-1*$I$5,1),F591:S591,0)</f>
        <v>17.265052871052191</v>
      </c>
      <c r="U591" s="7" cm="1">
        <f t="array" aca="1" ref="U591" ca="1">z_score_diff(OFFSET(T591,0,0,$I$5*-1,1),OFFSET(E591,0,0,$I$5*-1,1))</f>
        <v>0.45083809462950997</v>
      </c>
      <c r="V591" s="7">
        <f t="shared" ca="1" si="637"/>
        <v>-1.3576415007507031E-2</v>
      </c>
      <c r="W591" s="14">
        <f t="shared" ca="1" si="632"/>
        <v>1.8031947183707328E-3</v>
      </c>
      <c r="X591" s="10">
        <f t="shared" ref="X591:Y591" ca="1" si="646">+X590</f>
        <v>0</v>
      </c>
      <c r="Y591" s="10">
        <f t="shared" ca="1" si="646"/>
        <v>0</v>
      </c>
      <c r="Z591">
        <f t="shared" ca="1" si="639"/>
        <v>1</v>
      </c>
      <c r="AA591">
        <f t="shared" ca="1" si="640"/>
        <v>0</v>
      </c>
      <c r="AB591" s="19">
        <f t="shared" ca="1" si="641"/>
        <v>1.8031947183707328E-3</v>
      </c>
      <c r="AC591" s="19">
        <f t="shared" ca="1" si="642"/>
        <v>0</v>
      </c>
    </row>
    <row r="592" spans="3:29" x14ac:dyDescent="0.25">
      <c r="C592" s="4">
        <v>585</v>
      </c>
      <c r="D592" s="28">
        <v>42836</v>
      </c>
      <c r="E592" s="30">
        <v>15.5</v>
      </c>
      <c r="F592" s="30">
        <v>53.037162799471794</v>
      </c>
      <c r="G592" s="30">
        <v>5.8479532163742691</v>
      </c>
      <c r="H592" s="30">
        <v>74.608564421807202</v>
      </c>
      <c r="I592" s="8">
        <v>0</v>
      </c>
      <c r="J592" s="31">
        <v>0</v>
      </c>
      <c r="K592" s="31">
        <v>0</v>
      </c>
      <c r="L592" s="31">
        <v>1</v>
      </c>
      <c r="M592" s="31">
        <v>0</v>
      </c>
      <c r="N592" s="31">
        <v>0</v>
      </c>
      <c r="O592" s="31">
        <v>0</v>
      </c>
      <c r="P592" s="31">
        <v>0</v>
      </c>
      <c r="Q592" s="31">
        <v>0</v>
      </c>
      <c r="R592" s="31">
        <v>0</v>
      </c>
      <c r="S592" s="31">
        <v>0</v>
      </c>
      <c r="T592" s="21" cm="1">
        <f t="array" aca="1" ref="T592" ca="1">+fair_value_gap(OFFSET(S591,0,0,-1*$I$5,-1*$Z$1),OFFSET(E591,0,0,-1*$I$5,1),F592:S592,0)</f>
        <v>16.942418190668104</v>
      </c>
      <c r="U592" s="7" cm="1">
        <f t="array" aca="1" ref="U592" ca="1">z_score_diff(OFFSET(T592,0,0,$I$5*-1,1),OFFSET(E592,0,0,$I$5*-1,1))</f>
        <v>0.32215431973122816</v>
      </c>
      <c r="V592" s="7">
        <f t="shared" ca="1" si="637"/>
        <v>-5.446367797280194E-5</v>
      </c>
      <c r="W592" s="14">
        <f t="shared" ca="1" si="632"/>
        <v>-6.4725145056174788E-3</v>
      </c>
      <c r="X592" s="10">
        <f t="shared" ref="X592:Y592" ca="1" si="647">+X591</f>
        <v>0</v>
      </c>
      <c r="Y592" s="10">
        <f t="shared" ca="1" si="647"/>
        <v>0</v>
      </c>
      <c r="Z592">
        <f t="shared" ca="1" si="639"/>
        <v>1</v>
      </c>
      <c r="AA592">
        <f t="shared" ca="1" si="640"/>
        <v>0</v>
      </c>
      <c r="AB592" s="19">
        <f t="shared" ca="1" si="641"/>
        <v>-6.4725145056174788E-3</v>
      </c>
      <c r="AC592" s="19">
        <f t="shared" ca="1" si="642"/>
        <v>0</v>
      </c>
    </row>
    <row r="593" spans="3:29" x14ac:dyDescent="0.25">
      <c r="C593" s="4">
        <v>586</v>
      </c>
      <c r="D593" s="28">
        <v>42837</v>
      </c>
      <c r="E593" s="30">
        <v>15.635</v>
      </c>
      <c r="F593" s="30">
        <v>52.381845461365337</v>
      </c>
      <c r="G593" s="30">
        <v>5.8139534883720927</v>
      </c>
      <c r="H593" s="30">
        <v>73.987246811702931</v>
      </c>
      <c r="I593" s="8">
        <v>0</v>
      </c>
      <c r="J593" s="31">
        <v>0</v>
      </c>
      <c r="K593" s="31">
        <v>0</v>
      </c>
      <c r="L593" s="31">
        <v>1</v>
      </c>
      <c r="M593" s="31">
        <v>0</v>
      </c>
      <c r="N593" s="31">
        <v>0</v>
      </c>
      <c r="O593" s="31">
        <v>0</v>
      </c>
      <c r="P593" s="31">
        <v>0</v>
      </c>
      <c r="Q593" s="31">
        <v>0</v>
      </c>
      <c r="R593" s="31">
        <v>0</v>
      </c>
      <c r="S593" s="31">
        <v>0</v>
      </c>
      <c r="T593" s="21" cm="1">
        <f t="array" aca="1" ref="T593" ca="1">+fair_value_gap(OFFSET(S592,0,0,-1*$I$5,-1*$Z$1),OFFSET(E592,0,0,-1*$I$5,1),F593:S593,0)</f>
        <v>16.601378487432882</v>
      </c>
      <c r="U593" s="7" cm="1">
        <f t="array" aca="1" ref="U593" ca="1">z_score_diff(OFFSET(T593,0,0,$I$5*-1,1),OFFSET(E593,0,0,$I$5*-1,1))</f>
        <v>0.12557928734153234</v>
      </c>
      <c r="V593" s="7">
        <f t="shared" ca="1" si="637"/>
        <v>1.3150995879503021E-2</v>
      </c>
      <c r="W593" s="14">
        <f t="shared" ca="1" si="632"/>
        <v>-1.8396516876598504E-2</v>
      </c>
      <c r="X593" s="10">
        <f t="shared" ref="X593:Y593" ca="1" si="648">+X592</f>
        <v>0</v>
      </c>
      <c r="Y593" s="10">
        <f t="shared" ca="1" si="648"/>
        <v>0</v>
      </c>
      <c r="Z593">
        <f t="shared" ca="1" si="639"/>
        <v>0</v>
      </c>
      <c r="AA593">
        <f t="shared" ca="1" si="640"/>
        <v>1</v>
      </c>
      <c r="AB593" s="19">
        <f t="shared" ca="1" si="641"/>
        <v>0</v>
      </c>
      <c r="AC593" s="19">
        <f t="shared" ca="1" si="642"/>
        <v>-1.8396516876598504E-2</v>
      </c>
    </row>
    <row r="594" spans="3:29" x14ac:dyDescent="0.25">
      <c r="C594" s="4">
        <v>587</v>
      </c>
      <c r="D594" s="28">
        <v>42838</v>
      </c>
      <c r="E594" s="30">
        <v>15.65</v>
      </c>
      <c r="F594" s="30">
        <v>52.666792310591788</v>
      </c>
      <c r="G594" s="30">
        <v>5.8424425179042601</v>
      </c>
      <c r="H594" s="30">
        <v>74.396909159442146</v>
      </c>
      <c r="I594" s="8">
        <v>0</v>
      </c>
      <c r="J594" s="31">
        <v>0</v>
      </c>
      <c r="K594" s="31">
        <v>0</v>
      </c>
      <c r="L594" s="31">
        <v>1</v>
      </c>
      <c r="M594" s="31">
        <v>0</v>
      </c>
      <c r="N594" s="31">
        <v>0</v>
      </c>
      <c r="O594" s="31">
        <v>0</v>
      </c>
      <c r="P594" s="31">
        <v>0</v>
      </c>
      <c r="Q594" s="31">
        <v>0</v>
      </c>
      <c r="R594" s="31">
        <v>0</v>
      </c>
      <c r="S594" s="31">
        <v>0</v>
      </c>
      <c r="T594" s="21" cm="1">
        <f t="array" aca="1" ref="T594" ca="1">+fair_value_gap(OFFSET(S593,0,0,-1*$I$5,-1*$Z$1),OFFSET(E593,0,0,-1*$I$5,1),F594:S594,0)</f>
        <v>16.396583806198961</v>
      </c>
      <c r="U594" s="7" cm="1">
        <f t="array" aca="1" ref="U594" ca="1">z_score_diff(OFFSET(T594,0,0,$I$5*-1,1),OFFSET(E594,0,0,$I$5*-1,1))</f>
        <v>3.1341887178875392E-2</v>
      </c>
      <c r="V594" s="7">
        <f t="shared" ca="1" si="637"/>
        <v>3.1389400893774275E-2</v>
      </c>
      <c r="W594" s="14">
        <f t="shared" ca="1" si="632"/>
        <v>-1.0276262557384916E-2</v>
      </c>
      <c r="X594" s="10">
        <f t="shared" ref="X594:Y594" ca="1" si="649">+X593</f>
        <v>0</v>
      </c>
      <c r="Y594" s="10">
        <f t="shared" ca="1" si="649"/>
        <v>0</v>
      </c>
      <c r="Z594">
        <f t="shared" ca="1" si="639"/>
        <v>0</v>
      </c>
      <c r="AA594">
        <f t="shared" ca="1" si="640"/>
        <v>1</v>
      </c>
      <c r="AB594" s="19">
        <f t="shared" ca="1" si="641"/>
        <v>0</v>
      </c>
      <c r="AC594" s="19">
        <f t="shared" ca="1" si="642"/>
        <v>-1.0276262557384916E-2</v>
      </c>
    </row>
    <row r="595" spans="3:29" x14ac:dyDescent="0.25">
      <c r="C595" s="4">
        <v>588</v>
      </c>
      <c r="D595" s="28">
        <v>42843</v>
      </c>
      <c r="E595" s="30">
        <v>16.234000000000002</v>
      </c>
      <c r="F595" s="30">
        <v>51.146105106224383</v>
      </c>
      <c r="G595" s="30">
        <v>5.6839358926574732</v>
      </c>
      <c r="H595" s="30">
        <v>73.471859858367495</v>
      </c>
      <c r="I595" s="8">
        <v>0</v>
      </c>
      <c r="J595" s="31">
        <v>0</v>
      </c>
      <c r="K595" s="31">
        <v>0</v>
      </c>
      <c r="L595" s="31">
        <v>1</v>
      </c>
      <c r="M595" s="31">
        <v>0</v>
      </c>
      <c r="N595" s="31">
        <v>0</v>
      </c>
      <c r="O595" s="31">
        <v>0</v>
      </c>
      <c r="P595" s="31">
        <v>0</v>
      </c>
      <c r="Q595" s="31">
        <v>0</v>
      </c>
      <c r="R595" s="31">
        <v>0</v>
      </c>
      <c r="S595" s="31">
        <v>0</v>
      </c>
      <c r="T595" s="21" cm="1">
        <f t="array" aca="1" ref="T595" ca="1">+fair_value_gap(OFFSET(S594,0,0,-1*$I$5,-1*$Z$1),OFFSET(E594,0,0,-1*$I$5,1),F595:S595,0)</f>
        <v>15.814321710312978</v>
      </c>
      <c r="U595" s="7" cm="1">
        <f t="array" aca="1" ref="U595" ca="1">z_score_diff(OFFSET(T595,0,0,$I$5*-1,1),OFFSET(E595,0,0,$I$5*-1,1))</f>
        <v>-0.43881221489020283</v>
      </c>
      <c r="V595" s="7">
        <f t="shared" ca="1" si="637"/>
        <v>2.7294760123427547E-2</v>
      </c>
      <c r="W595" s="14">
        <f t="shared" ca="1" si="632"/>
        <v>-5.6318120267284548E-2</v>
      </c>
      <c r="X595" s="10">
        <f t="shared" ref="X595:Y595" ca="1" si="650">+X594</f>
        <v>0</v>
      </c>
      <c r="Y595" s="10">
        <f t="shared" ca="1" si="650"/>
        <v>0</v>
      </c>
      <c r="Z595">
        <f t="shared" ca="1" si="639"/>
        <v>0</v>
      </c>
      <c r="AA595">
        <f t="shared" ca="1" si="640"/>
        <v>1</v>
      </c>
      <c r="AB595" s="19">
        <f t="shared" ca="1" si="641"/>
        <v>0</v>
      </c>
      <c r="AC595" s="19">
        <f t="shared" ca="1" si="642"/>
        <v>-5.6318120267284548E-2</v>
      </c>
    </row>
    <row r="596" spans="3:29" x14ac:dyDescent="0.25">
      <c r="C596" s="4">
        <v>589</v>
      </c>
      <c r="D596" s="28">
        <v>42844</v>
      </c>
      <c r="E596" s="30">
        <v>16.164000000000001</v>
      </c>
      <c r="F596" s="30">
        <v>49.425716686898873</v>
      </c>
      <c r="G596" s="30">
        <v>5.6961434307591743</v>
      </c>
      <c r="H596" s="30">
        <v>73.11607059482678</v>
      </c>
      <c r="I596" s="8">
        <v>0</v>
      </c>
      <c r="J596" s="31">
        <v>0</v>
      </c>
      <c r="K596" s="31">
        <v>0</v>
      </c>
      <c r="L596" s="31">
        <v>1</v>
      </c>
      <c r="M596" s="31">
        <v>0</v>
      </c>
      <c r="N596" s="31">
        <v>0</v>
      </c>
      <c r="O596" s="31">
        <v>0</v>
      </c>
      <c r="P596" s="31">
        <v>0</v>
      </c>
      <c r="Q596" s="31">
        <v>0</v>
      </c>
      <c r="R596" s="31">
        <v>0</v>
      </c>
      <c r="S596" s="31">
        <v>0</v>
      </c>
      <c r="T596" s="21" cm="1">
        <f t="array" aca="1" ref="T596" ca="1">+fair_value_gap(OFFSET(S595,0,0,-1*$I$5,-1*$Z$1),OFFSET(E595,0,0,-1*$I$5,1),F596:S596,0)</f>
        <v>15.671702005435325</v>
      </c>
      <c r="U596" s="7" cm="1">
        <f t="array" aca="1" ref="U596" ca="1">z_score_diff(OFFSET(T596,0,0,$I$5*-1,1),OFFSET(E596,0,0,$I$5*-1,1))</f>
        <v>-0.47281726962863102</v>
      </c>
      <c r="V596" s="7">
        <f t="shared" ca="1" si="637"/>
        <v>1.9716603011224593E-2</v>
      </c>
      <c r="W596" s="14">
        <f t="shared" ca="1" si="632"/>
        <v>-3.6926884718470533E-2</v>
      </c>
      <c r="X596" s="10">
        <f t="shared" ref="X596:Y596" ca="1" si="651">+X595</f>
        <v>0</v>
      </c>
      <c r="Y596" s="10">
        <f t="shared" ca="1" si="651"/>
        <v>0</v>
      </c>
      <c r="Z596">
        <f t="shared" ca="1" si="639"/>
        <v>0</v>
      </c>
      <c r="AA596">
        <f t="shared" ca="1" si="640"/>
        <v>1</v>
      </c>
      <c r="AB596" s="19">
        <f t="shared" ca="1" si="641"/>
        <v>0</v>
      </c>
      <c r="AC596" s="19">
        <f t="shared" ca="1" si="642"/>
        <v>-3.6926884718470533E-2</v>
      </c>
    </row>
    <row r="597" spans="3:29" x14ac:dyDescent="0.25">
      <c r="C597" s="4">
        <v>590</v>
      </c>
      <c r="D597" s="28">
        <v>42845</v>
      </c>
      <c r="E597" s="30">
        <v>16.042999999999999</v>
      </c>
      <c r="F597" s="30">
        <v>49.458652230726159</v>
      </c>
      <c r="G597" s="30">
        <v>5.6934851596042559</v>
      </c>
      <c r="H597" s="30">
        <v>73.175284674257995</v>
      </c>
      <c r="I597" s="8">
        <v>0</v>
      </c>
      <c r="J597" s="31">
        <v>0</v>
      </c>
      <c r="K597" s="31">
        <v>0</v>
      </c>
      <c r="L597" s="31">
        <v>1</v>
      </c>
      <c r="M597" s="31">
        <v>0</v>
      </c>
      <c r="N597" s="31">
        <v>0</v>
      </c>
      <c r="O597" s="31">
        <v>0</v>
      </c>
      <c r="P597" s="31">
        <v>0</v>
      </c>
      <c r="Q597" s="31">
        <v>0</v>
      </c>
      <c r="R597" s="31">
        <v>0</v>
      </c>
      <c r="S597" s="31">
        <v>0</v>
      </c>
      <c r="T597" s="21" cm="1">
        <f t="array" aca="1" ref="T597" ca="1">+fair_value_gap(OFFSET(S596,0,0,-1*$I$5,-1*$Z$1),OFFSET(E596,0,0,-1*$I$5,1),F597:S597,0)</f>
        <v>15.528318442741917</v>
      </c>
      <c r="U597" s="7" cm="1">
        <f t="array" aca="1" ref="U597" ca="1">z_score_diff(OFFSET(T597,0,0,$I$5*-1,1),OFFSET(E597,0,0,$I$5*-1,1))</f>
        <v>-0.48281673934951602</v>
      </c>
      <c r="V597" s="7">
        <f t="shared" ca="1" si="637"/>
        <v>1.1004907301121044E-2</v>
      </c>
      <c r="W597" s="14">
        <f t="shared" ca="1" si="632"/>
        <v>-2.0211611997373972E-2</v>
      </c>
      <c r="X597" s="10">
        <f t="shared" ref="X597:Y597" ca="1" si="652">+X596</f>
        <v>0</v>
      </c>
      <c r="Y597" s="10">
        <f t="shared" ca="1" si="652"/>
        <v>0</v>
      </c>
      <c r="Z597">
        <f t="shared" ca="1" si="639"/>
        <v>0</v>
      </c>
      <c r="AA597">
        <f t="shared" ca="1" si="640"/>
        <v>1</v>
      </c>
      <c r="AB597" s="19">
        <f t="shared" ca="1" si="641"/>
        <v>0</v>
      </c>
      <c r="AC597" s="19">
        <f t="shared" ca="1" si="642"/>
        <v>-2.0211611997373972E-2</v>
      </c>
    </row>
    <row r="598" spans="3:29" x14ac:dyDescent="0.25">
      <c r="C598" s="4">
        <v>591</v>
      </c>
      <c r="D598" s="28">
        <v>42846</v>
      </c>
      <c r="E598" s="30">
        <v>16.321000000000002</v>
      </c>
      <c r="F598" s="30">
        <v>48.44303561439493</v>
      </c>
      <c r="G598" s="30">
        <v>5.6871154204736154</v>
      </c>
      <c r="H598" s="30">
        <v>72.720492261793765</v>
      </c>
      <c r="I598" s="8">
        <v>0</v>
      </c>
      <c r="J598" s="31">
        <v>0</v>
      </c>
      <c r="K598" s="31">
        <v>0</v>
      </c>
      <c r="L598" s="31">
        <v>1</v>
      </c>
      <c r="M598" s="31">
        <v>0</v>
      </c>
      <c r="N598" s="31">
        <v>0</v>
      </c>
      <c r="O598" s="31">
        <v>0</v>
      </c>
      <c r="P598" s="31">
        <v>0</v>
      </c>
      <c r="Q598" s="31">
        <v>0</v>
      </c>
      <c r="R598" s="31">
        <v>0</v>
      </c>
      <c r="S598" s="31">
        <v>0</v>
      </c>
      <c r="T598" s="21" cm="1">
        <f t="array" aca="1" ref="T598" ca="1">+fair_value_gap(OFFSET(S597,0,0,-1*$I$5,-1*$Z$1),OFFSET(E597,0,0,-1*$I$5,1),F598:S598,0)</f>
        <v>15.523623397682945</v>
      </c>
      <c r="U598" s="7" cm="1">
        <f t="array" aca="1" ref="U598" ca="1">z_score_diff(OFFSET(T598,0,0,$I$5*-1,1),OFFSET(E598,0,0,$I$5*-1,1))</f>
        <v>-0.59260443283785458</v>
      </c>
      <c r="V598" s="7">
        <f t="shared" ca="1" si="637"/>
        <v>-4.1464813381521196E-3</v>
      </c>
      <c r="W598" s="14">
        <f t="shared" ca="1" si="632"/>
        <v>-5.1612598243357892E-2</v>
      </c>
      <c r="X598" s="10">
        <f t="shared" ref="X598:Y598" ca="1" si="653">+X597</f>
        <v>0</v>
      </c>
      <c r="Y598" s="10">
        <f t="shared" ca="1" si="653"/>
        <v>0</v>
      </c>
      <c r="Z598">
        <f t="shared" ca="1" si="639"/>
        <v>1</v>
      </c>
      <c r="AA598">
        <f t="shared" ca="1" si="640"/>
        <v>0</v>
      </c>
      <c r="AB598" s="19">
        <f t="shared" ca="1" si="641"/>
        <v>-5.1612598243357892E-2</v>
      </c>
      <c r="AC598" s="19">
        <f t="shared" ca="1" si="642"/>
        <v>0</v>
      </c>
    </row>
    <row r="599" spans="3:29" x14ac:dyDescent="0.25">
      <c r="C599" s="4">
        <v>592</v>
      </c>
      <c r="D599" s="28">
        <v>42849</v>
      </c>
      <c r="E599" s="30">
        <v>16.125</v>
      </c>
      <c r="F599" s="30">
        <v>47.483206036624644</v>
      </c>
      <c r="G599" s="30">
        <v>5.6133247446397343</v>
      </c>
      <c r="H599" s="30">
        <v>71.684917640563185</v>
      </c>
      <c r="I599" s="8">
        <v>0</v>
      </c>
      <c r="J599" s="31">
        <v>0</v>
      </c>
      <c r="K599" s="31">
        <v>0</v>
      </c>
      <c r="L599" s="31">
        <v>1</v>
      </c>
      <c r="M599" s="31">
        <v>0</v>
      </c>
      <c r="N599" s="31">
        <v>0</v>
      </c>
      <c r="O599" s="31">
        <v>0</v>
      </c>
      <c r="P599" s="31">
        <v>0</v>
      </c>
      <c r="Q599" s="31">
        <v>0</v>
      </c>
      <c r="R599" s="31">
        <v>0</v>
      </c>
      <c r="S599" s="31">
        <v>0</v>
      </c>
      <c r="T599" s="21" cm="1">
        <f t="array" aca="1" ref="T599" ca="1">+fair_value_gap(OFFSET(S598,0,0,-1*$I$5,-1*$Z$1),OFFSET(E598,0,0,-1*$I$5,1),F599:S599,0)</f>
        <v>15.393114494978196</v>
      </c>
      <c r="U599" s="7" cm="1">
        <f t="array" aca="1" ref="U599" ca="1">z_score_diff(OFFSET(T599,0,0,$I$5*-1,1),OFFSET(E599,0,0,$I$5*-1,1))</f>
        <v>-0.57013862576836338</v>
      </c>
      <c r="V599" s="7">
        <f t="shared" ca="1" si="637"/>
        <v>-1.955013785264792E-2</v>
      </c>
      <c r="W599" s="14">
        <f t="shared" ca="1" si="632"/>
        <v>-3.9466324708679008E-2</v>
      </c>
      <c r="X599" s="10">
        <f t="shared" ref="X599:Y599" ca="1" si="654">+X598</f>
        <v>0</v>
      </c>
      <c r="Y599" s="10">
        <f t="shared" ca="1" si="654"/>
        <v>0</v>
      </c>
      <c r="Z599">
        <f t="shared" ca="1" si="639"/>
        <v>1</v>
      </c>
      <c r="AA599">
        <f t="shared" ca="1" si="640"/>
        <v>0</v>
      </c>
      <c r="AB599" s="19">
        <f t="shared" ca="1" si="641"/>
        <v>-3.9466324708679008E-2</v>
      </c>
      <c r="AC599" s="19">
        <f t="shared" ca="1" si="642"/>
        <v>0</v>
      </c>
    </row>
    <row r="600" spans="3:29" x14ac:dyDescent="0.25">
      <c r="C600" s="4">
        <v>593</v>
      </c>
      <c r="D600" s="28">
        <v>42850</v>
      </c>
      <c r="E600" s="30">
        <v>15.773999999999999</v>
      </c>
      <c r="F600" s="30">
        <v>47.688787185354691</v>
      </c>
      <c r="G600" s="30">
        <v>5.583524027459954</v>
      </c>
      <c r="H600" s="30">
        <v>71.029748283752852</v>
      </c>
      <c r="I600" s="8">
        <v>0</v>
      </c>
      <c r="J600" s="31">
        <v>0</v>
      </c>
      <c r="K600" s="31">
        <v>0</v>
      </c>
      <c r="L600" s="31">
        <v>1</v>
      </c>
      <c r="M600" s="31">
        <v>0</v>
      </c>
      <c r="N600" s="31">
        <v>0</v>
      </c>
      <c r="O600" s="31">
        <v>0</v>
      </c>
      <c r="P600" s="31">
        <v>0</v>
      </c>
      <c r="Q600" s="31">
        <v>0</v>
      </c>
      <c r="R600" s="31">
        <v>0</v>
      </c>
      <c r="S600" s="31">
        <v>0</v>
      </c>
      <c r="T600" s="21" cm="1">
        <f t="array" aca="1" ref="T600" ca="1">+fair_value_gap(OFFSET(S599,0,0,-1*$I$5,-1*$Z$1),OFFSET(E599,0,0,-1*$I$5,1),F600:S600,0)</f>
        <v>15.31936088496864</v>
      </c>
      <c r="U600" s="7" cm="1">
        <f t="array" aca="1" ref="U600" ca="1">z_score_diff(OFFSET(T600,0,0,$I$5*-1,1),OFFSET(E600,0,0,$I$5*-1,1))</f>
        <v>-0.46296329817674048</v>
      </c>
      <c r="V600" s="7">
        <f t="shared" ca="1" si="637"/>
        <v>-3.5318329767630809E-2</v>
      </c>
      <c r="W600" s="14">
        <f t="shared" ca="1" si="632"/>
        <v>-8.9149851776604196E-3</v>
      </c>
      <c r="X600" s="10">
        <f t="shared" ref="X600:Y600" ca="1" si="655">+X599</f>
        <v>0</v>
      </c>
      <c r="Y600" s="10">
        <f t="shared" ca="1" si="655"/>
        <v>0</v>
      </c>
      <c r="Z600">
        <f t="shared" ca="1" si="639"/>
        <v>1</v>
      </c>
      <c r="AA600">
        <f t="shared" ca="1" si="640"/>
        <v>0</v>
      </c>
      <c r="AB600" s="19">
        <f t="shared" ca="1" si="641"/>
        <v>-8.9149851776604196E-3</v>
      </c>
      <c r="AC600" s="19">
        <f t="shared" ca="1" si="642"/>
        <v>0</v>
      </c>
    </row>
    <row r="601" spans="3:29" x14ac:dyDescent="0.25">
      <c r="C601" s="4">
        <v>594</v>
      </c>
      <c r="D601" s="28">
        <v>42851</v>
      </c>
      <c r="E601" s="30">
        <v>16.062000000000001</v>
      </c>
      <c r="F601" s="30">
        <v>47.528203246812801</v>
      </c>
      <c r="G601" s="30">
        <v>5.5947904246537643</v>
      </c>
      <c r="H601" s="30">
        <v>71.356507383288999</v>
      </c>
      <c r="I601" s="8">
        <v>0</v>
      </c>
      <c r="J601" s="31">
        <v>0</v>
      </c>
      <c r="K601" s="31">
        <v>0</v>
      </c>
      <c r="L601" s="31">
        <v>1</v>
      </c>
      <c r="M601" s="31">
        <v>0</v>
      </c>
      <c r="N601" s="31">
        <v>0</v>
      </c>
      <c r="O601" s="31">
        <v>0</v>
      </c>
      <c r="P601" s="31">
        <v>0</v>
      </c>
      <c r="Q601" s="31">
        <v>0</v>
      </c>
      <c r="R601" s="31">
        <v>0</v>
      </c>
      <c r="S601" s="31">
        <v>0</v>
      </c>
      <c r="T601" s="21" cm="1">
        <f t="array" aca="1" ref="T601" ca="1">+fair_value_gap(OFFSET(S600,0,0,-1*$I$5,-1*$Z$1),OFFSET(E600,0,0,-1*$I$5,1),F601:S601,0)</f>
        <v>15.415154156418536</v>
      </c>
      <c r="U601" s="7" cm="1">
        <f t="array" aca="1" ref="U601" ca="1">z_score_diff(OFFSET(T601,0,0,$I$5*-1,1),OFFSET(E601,0,0,$I$5*-1,1))</f>
        <v>-0.53751809949945772</v>
      </c>
      <c r="V601" s="7">
        <f t="shared" ca="1" si="637"/>
        <v>-5.7017680269869586E-2</v>
      </c>
      <c r="W601" s="14">
        <f t="shared" ca="1" si="632"/>
        <v>-3.245990589059139E-2</v>
      </c>
      <c r="X601" s="10">
        <f t="shared" ref="X601:Y601" ca="1" si="656">+X600</f>
        <v>0</v>
      </c>
      <c r="Y601" s="10">
        <f t="shared" ca="1" si="656"/>
        <v>0</v>
      </c>
      <c r="Z601">
        <f t="shared" ca="1" si="639"/>
        <v>1</v>
      </c>
      <c r="AA601">
        <f t="shared" ca="1" si="640"/>
        <v>0</v>
      </c>
      <c r="AB601" s="19">
        <f t="shared" ca="1" si="641"/>
        <v>-3.245990589059139E-2</v>
      </c>
      <c r="AC601" s="19">
        <f t="shared" ca="1" si="642"/>
        <v>0</v>
      </c>
    </row>
    <row r="602" spans="3:29" x14ac:dyDescent="0.25">
      <c r="C602" s="4">
        <v>595</v>
      </c>
      <c r="D602" s="28">
        <v>42852</v>
      </c>
      <c r="E602" s="30">
        <v>16.048999999999999</v>
      </c>
      <c r="F602" s="30">
        <v>47.31420161883738</v>
      </c>
      <c r="G602" s="30">
        <v>5.6107431935246508</v>
      </c>
      <c r="H602" s="30">
        <v>72.111846946284047</v>
      </c>
      <c r="I602" s="8">
        <v>0</v>
      </c>
      <c r="J602" s="31">
        <v>0</v>
      </c>
      <c r="K602" s="31">
        <v>0</v>
      </c>
      <c r="L602" s="31">
        <v>1</v>
      </c>
      <c r="M602" s="31">
        <v>0</v>
      </c>
      <c r="N602" s="31">
        <v>0</v>
      </c>
      <c r="O602" s="31">
        <v>0</v>
      </c>
      <c r="P602" s="31">
        <v>0</v>
      </c>
      <c r="Q602" s="31">
        <v>0</v>
      </c>
      <c r="R602" s="31">
        <v>0</v>
      </c>
      <c r="S602" s="31">
        <v>0</v>
      </c>
      <c r="T602" s="21" cm="1">
        <f t="array" aca="1" ref="T602" ca="1">+fair_value_gap(OFFSET(S601,0,0,-1*$I$5,-1*$Z$1),OFFSET(E601,0,0,-1*$I$5,1),F602:S602,0)</f>
        <v>15.591958562327424</v>
      </c>
      <c r="U602" s="7" cm="1">
        <f t="array" aca="1" ref="U602" ca="1">z_score_diff(OFFSET(T602,0,0,$I$5*-1,1),OFFSET(E602,0,0,$I$5*-1,1))</f>
        <v>-0.45933504072972431</v>
      </c>
      <c r="V602" s="7">
        <f t="shared" ca="1" si="637"/>
        <v>-7.2768194194539421E-2</v>
      </c>
      <c r="W602" s="14">
        <f t="shared" ca="1" si="632"/>
        <v>-4.2773655805463238E-2</v>
      </c>
      <c r="X602" s="10">
        <f t="shared" ref="X602:Y602" ca="1" si="657">+X601</f>
        <v>0</v>
      </c>
      <c r="Y602" s="10">
        <f t="shared" ca="1" si="657"/>
        <v>0</v>
      </c>
      <c r="Z602">
        <f t="shared" ca="1" si="639"/>
        <v>1</v>
      </c>
      <c r="AA602">
        <f t="shared" ca="1" si="640"/>
        <v>0</v>
      </c>
      <c r="AB602" s="19">
        <f t="shared" ca="1" si="641"/>
        <v>-4.2773655805463238E-2</v>
      </c>
      <c r="AC602" s="19">
        <f t="shared" ca="1" si="642"/>
        <v>0</v>
      </c>
    </row>
    <row r="603" spans="3:29" x14ac:dyDescent="0.25">
      <c r="C603" s="4">
        <v>596</v>
      </c>
      <c r="D603" s="28">
        <v>42853</v>
      </c>
      <c r="E603" s="30">
        <v>16.181999999999999</v>
      </c>
      <c r="F603" s="30">
        <v>47.48049564020193</v>
      </c>
      <c r="G603" s="30">
        <v>5.5988985773290505</v>
      </c>
      <c r="H603" s="30">
        <v>71.225332721431855</v>
      </c>
      <c r="I603" s="8">
        <v>0</v>
      </c>
      <c r="J603" s="31">
        <v>0</v>
      </c>
      <c r="K603" s="31">
        <v>0</v>
      </c>
      <c r="L603" s="31">
        <v>1</v>
      </c>
      <c r="M603" s="31">
        <v>0</v>
      </c>
      <c r="N603" s="31">
        <v>0</v>
      </c>
      <c r="O603" s="31">
        <v>0</v>
      </c>
      <c r="P603" s="31">
        <v>0</v>
      </c>
      <c r="Q603" s="31">
        <v>0</v>
      </c>
      <c r="R603" s="31">
        <v>0</v>
      </c>
      <c r="S603" s="31">
        <v>0</v>
      </c>
      <c r="T603" s="21" cm="1">
        <f t="array" aca="1" ref="T603" ca="1">+fair_value_gap(OFFSET(S602,0,0,-1*$I$5,-1*$Z$1),OFFSET(E602,0,0,-1*$I$5,1),F603:S603,0)</f>
        <v>15.471414962085927</v>
      </c>
      <c r="U603" s="7" cm="1">
        <f t="array" aca="1" ref="U603" ca="1">z_score_diff(OFFSET(T603,0,0,$I$5*-1,1),OFFSET(E603,0,0,$I$5*-1,1))</f>
        <v>-0.56489668178797803</v>
      </c>
      <c r="V603" s="7">
        <f t="shared" ca="1" si="637"/>
        <v>-8.6398401846520617E-2</v>
      </c>
      <c r="W603" s="14">
        <f t="shared" ca="1" si="632"/>
        <v>-5.2784039352441657E-2</v>
      </c>
      <c r="X603" s="10">
        <f t="shared" ref="X603:Y603" ca="1" si="658">+X602</f>
        <v>0</v>
      </c>
      <c r="Y603" s="10">
        <f t="shared" ca="1" si="658"/>
        <v>0</v>
      </c>
      <c r="Z603">
        <f t="shared" ca="1" si="639"/>
        <v>1</v>
      </c>
      <c r="AA603">
        <f t="shared" ca="1" si="640"/>
        <v>0</v>
      </c>
      <c r="AB603" s="19">
        <f t="shared" ca="1" si="641"/>
        <v>-5.2784039352441657E-2</v>
      </c>
      <c r="AC603" s="19">
        <f t="shared" ca="1" si="642"/>
        <v>0</v>
      </c>
    </row>
    <row r="604" spans="3:29" x14ac:dyDescent="0.25">
      <c r="C604" s="4">
        <v>597</v>
      </c>
      <c r="D604" s="28">
        <v>42856</v>
      </c>
      <c r="E604" s="30">
        <v>16.175000000000001</v>
      </c>
      <c r="F604" s="30">
        <v>47.274729308129928</v>
      </c>
      <c r="G604" s="30">
        <v>5.5973573132684891</v>
      </c>
      <c r="H604" s="30">
        <v>70.79280601945311</v>
      </c>
      <c r="I604" s="8">
        <v>0</v>
      </c>
      <c r="J604" s="31">
        <v>0</v>
      </c>
      <c r="K604" s="31">
        <v>0</v>
      </c>
      <c r="L604" s="31">
        <v>0</v>
      </c>
      <c r="M604" s="31">
        <v>1</v>
      </c>
      <c r="N604" s="31">
        <v>0</v>
      </c>
      <c r="O604" s="31">
        <v>0</v>
      </c>
      <c r="P604" s="31">
        <v>0</v>
      </c>
      <c r="Q604" s="31">
        <v>0</v>
      </c>
      <c r="R604" s="31">
        <v>0</v>
      </c>
      <c r="S604" s="31">
        <v>0</v>
      </c>
      <c r="T604" s="21" cm="1">
        <f t="array" aca="1" ref="T604" ca="1">+fair_value_gap(OFFSET(S603,0,0,-1*$I$5,-1*$Z$1),OFFSET(E603,0,0,-1*$I$5,1),F604:S604,0)</f>
        <v>18.015725137342535</v>
      </c>
      <c r="U604" s="7" cm="1">
        <f t="array" aca="1" ref="U604" ca="1">z_score_diff(OFFSET(T604,0,0,$I$5*-1,1),OFFSET(E604,0,0,$I$5*-1,1))</f>
        <v>0.5284154150375544</v>
      </c>
      <c r="V604" s="7">
        <f t="shared" ca="1" si="637"/>
        <v>-4.1205014242018924E-2</v>
      </c>
      <c r="W604" s="14">
        <f t="shared" ca="1" si="632"/>
        <v>-4.7477270595512766E-2</v>
      </c>
      <c r="X604" s="10">
        <f t="shared" ref="X604:Y604" ca="1" si="659">+X603</f>
        <v>0</v>
      </c>
      <c r="Y604" s="10">
        <f t="shared" ca="1" si="659"/>
        <v>0</v>
      </c>
      <c r="Z604">
        <f t="shared" ca="1" si="639"/>
        <v>1</v>
      </c>
      <c r="AA604">
        <f t="shared" ca="1" si="640"/>
        <v>0</v>
      </c>
      <c r="AB604" s="19">
        <f t="shared" ca="1" si="641"/>
        <v>-4.7477270595512766E-2</v>
      </c>
      <c r="AC604" s="19">
        <f t="shared" ca="1" si="642"/>
        <v>0</v>
      </c>
    </row>
    <row r="605" spans="3:29" x14ac:dyDescent="0.25">
      <c r="C605" s="4">
        <v>598</v>
      </c>
      <c r="D605" s="28">
        <v>42857</v>
      </c>
      <c r="E605" s="30">
        <v>16.448</v>
      </c>
      <c r="F605" s="30">
        <v>46.179189164455018</v>
      </c>
      <c r="G605" s="30">
        <v>5.5825020591196113</v>
      </c>
      <c r="H605" s="30">
        <v>70.147341447789884</v>
      </c>
      <c r="I605" s="8">
        <v>0</v>
      </c>
      <c r="J605" s="31">
        <v>0</v>
      </c>
      <c r="K605" s="31">
        <v>0</v>
      </c>
      <c r="L605" s="31">
        <v>0</v>
      </c>
      <c r="M605" s="31">
        <v>1</v>
      </c>
      <c r="N605" s="31">
        <v>0</v>
      </c>
      <c r="O605" s="31">
        <v>0</v>
      </c>
      <c r="P605" s="31">
        <v>0</v>
      </c>
      <c r="Q605" s="31">
        <v>0</v>
      </c>
      <c r="R605" s="31">
        <v>0</v>
      </c>
      <c r="S605" s="31">
        <v>0</v>
      </c>
      <c r="T605" s="21" cm="1">
        <f t="array" aca="1" ref="T605" ca="1">+fair_value_gap(OFFSET(S604,0,0,-1*$I$5,-1*$Z$1),OFFSET(E604,0,0,-1*$I$5,1),F605:S605,0)</f>
        <v>17.591806364824684</v>
      </c>
      <c r="U605" s="7" cm="1">
        <f t="array" aca="1" ref="U605" ca="1">z_score_diff(OFFSET(T605,0,0,$I$5*-1,1),OFFSET(E605,0,0,$I$5*-1,1))</f>
        <v>0.23574702227548447</v>
      </c>
      <c r="V605" s="7">
        <f t="shared" ca="1" si="637"/>
        <v>-1.6502840546904051E-2</v>
      </c>
      <c r="W605" s="14">
        <f t="shared" ca="1" si="632"/>
        <v>-4.9732972286592431E-2</v>
      </c>
      <c r="X605" s="10">
        <f t="shared" ref="X605:Y605" ca="1" si="660">+X604</f>
        <v>0</v>
      </c>
      <c r="Y605" s="10">
        <f t="shared" ca="1" si="660"/>
        <v>0</v>
      </c>
      <c r="Z605">
        <f t="shared" ca="1" si="639"/>
        <v>1</v>
      </c>
      <c r="AA605">
        <f t="shared" ca="1" si="640"/>
        <v>0</v>
      </c>
      <c r="AB605" s="19">
        <f t="shared" ca="1" si="641"/>
        <v>-4.9732972286592431E-2</v>
      </c>
      <c r="AC605" s="19">
        <f t="shared" ca="1" si="642"/>
        <v>0</v>
      </c>
    </row>
    <row r="606" spans="3:29" x14ac:dyDescent="0.25">
      <c r="C606" s="4">
        <v>599</v>
      </c>
      <c r="D606" s="28">
        <v>42858</v>
      </c>
      <c r="E606" s="30">
        <v>16.327000000000002</v>
      </c>
      <c r="F606" s="30">
        <v>46.673405623966183</v>
      </c>
      <c r="G606" s="30">
        <v>5.6055872082337803</v>
      </c>
      <c r="H606" s="30">
        <v>69.702260613857732</v>
      </c>
      <c r="I606" s="8">
        <v>0</v>
      </c>
      <c r="J606" s="31">
        <v>0</v>
      </c>
      <c r="K606" s="31">
        <v>0</v>
      </c>
      <c r="L606" s="31">
        <v>0</v>
      </c>
      <c r="M606" s="31">
        <v>1</v>
      </c>
      <c r="N606" s="31">
        <v>0</v>
      </c>
      <c r="O606" s="31">
        <v>0</v>
      </c>
      <c r="P606" s="31">
        <v>0</v>
      </c>
      <c r="Q606" s="31">
        <v>0</v>
      </c>
      <c r="R606" s="31">
        <v>0</v>
      </c>
      <c r="S606" s="31">
        <v>0</v>
      </c>
      <c r="T606" s="21" cm="1">
        <f t="array" aca="1" ref="T606" ca="1">+fair_value_gap(OFFSET(S605,0,0,-1*$I$5,-1*$Z$1),OFFSET(E605,0,0,-1*$I$5,1),F606:S606,0)</f>
        <v>17.363678185118896</v>
      </c>
      <c r="U606" s="7" cm="1">
        <f t="array" aca="1" ref="U606" ca="1">z_score_diff(OFFSET(T606,0,0,$I$5*-1,1),OFFSET(E606,0,0,$I$5*-1,1))</f>
        <v>0.18543359718061783</v>
      </c>
      <c r="V606" s="7">
        <f t="shared" ca="1" si="637"/>
        <v>-4.5398009352488666E-2</v>
      </c>
      <c r="W606" s="14">
        <f t="shared" ca="1" si="632"/>
        <v>-6.5294201541160668E-2</v>
      </c>
      <c r="X606" s="10">
        <f t="shared" ref="X606:Y606" ca="1" si="661">+X605</f>
        <v>0</v>
      </c>
      <c r="Y606" s="10">
        <f t="shared" ca="1" si="661"/>
        <v>0</v>
      </c>
      <c r="Z606">
        <f t="shared" ca="1" si="639"/>
        <v>1</v>
      </c>
      <c r="AA606">
        <f t="shared" ca="1" si="640"/>
        <v>0</v>
      </c>
      <c r="AB606" s="19">
        <f t="shared" ca="1" si="641"/>
        <v>-6.5294201541160668E-2</v>
      </c>
      <c r="AC606" s="19">
        <f t="shared" ca="1" si="642"/>
        <v>0</v>
      </c>
    </row>
    <row r="607" spans="3:29" x14ac:dyDescent="0.25">
      <c r="C607" s="4">
        <v>600</v>
      </c>
      <c r="D607" s="28">
        <v>42859</v>
      </c>
      <c r="E607" s="30">
        <v>15.9</v>
      </c>
      <c r="F607" s="30">
        <v>44.045884923525129</v>
      </c>
      <c r="G607" s="30">
        <v>5.5535324107793151</v>
      </c>
      <c r="H607" s="30">
        <v>68.190094683175531</v>
      </c>
      <c r="I607" s="8">
        <v>0</v>
      </c>
      <c r="J607" s="31">
        <v>0</v>
      </c>
      <c r="K607" s="31">
        <v>0</v>
      </c>
      <c r="L607" s="31">
        <v>0</v>
      </c>
      <c r="M607" s="31">
        <v>1</v>
      </c>
      <c r="N607" s="31">
        <v>0</v>
      </c>
      <c r="O607" s="31">
        <v>0</v>
      </c>
      <c r="P607" s="31">
        <v>0</v>
      </c>
      <c r="Q607" s="31">
        <v>0</v>
      </c>
      <c r="R607" s="31">
        <v>0</v>
      </c>
      <c r="S607" s="31">
        <v>0</v>
      </c>
      <c r="T607" s="21" cm="1">
        <f t="array" aca="1" ref="T607" ca="1">+fair_value_gap(OFFSET(S606,0,0,-1*$I$5,-1*$Z$1),OFFSET(E606,0,0,-1*$I$5,1),F607:S607,0)</f>
        <v>16.982847677543504</v>
      </c>
      <c r="U607" s="7" cm="1">
        <f t="array" aca="1" ref="U607" ca="1">z_score_diff(OFFSET(T607,0,0,$I$5*-1,1),OFFSET(E607,0,0,$I$5*-1,1))</f>
        <v>0.19202597746846881</v>
      </c>
      <c r="V607" s="7">
        <f t="shared" ca="1" si="637"/>
        <v>-6.2360339519449859E-2</v>
      </c>
      <c r="W607" s="14">
        <f t="shared" ca="1" si="632"/>
        <v>-5.1624365405307182E-2</v>
      </c>
      <c r="X607" s="10">
        <f t="shared" ref="X607:Y607" ca="1" si="662">+X606</f>
        <v>0</v>
      </c>
      <c r="Y607" s="10">
        <f t="shared" ca="1" si="662"/>
        <v>0</v>
      </c>
      <c r="Z607">
        <f t="shared" ca="1" si="639"/>
        <v>1</v>
      </c>
      <c r="AA607">
        <f t="shared" ca="1" si="640"/>
        <v>0</v>
      </c>
      <c r="AB607" s="19">
        <f t="shared" ca="1" si="641"/>
        <v>-5.1624365405307182E-2</v>
      </c>
      <c r="AC607" s="19">
        <f t="shared" ca="1" si="642"/>
        <v>0</v>
      </c>
    </row>
    <row r="608" spans="3:29" x14ac:dyDescent="0.25">
      <c r="C608" s="4">
        <v>601</v>
      </c>
      <c r="D608" s="28">
        <v>42860</v>
      </c>
      <c r="E608" s="30">
        <v>15.821999999999999</v>
      </c>
      <c r="F608" s="30">
        <v>44.656662119145068</v>
      </c>
      <c r="G608" s="30">
        <v>5.5479763528876767</v>
      </c>
      <c r="H608" s="30">
        <v>67.530695770804911</v>
      </c>
      <c r="I608" s="8">
        <v>0</v>
      </c>
      <c r="J608" s="31">
        <v>0</v>
      </c>
      <c r="K608" s="31">
        <v>0</v>
      </c>
      <c r="L608" s="31">
        <v>0</v>
      </c>
      <c r="M608" s="31">
        <v>1</v>
      </c>
      <c r="N608" s="31">
        <v>0</v>
      </c>
      <c r="O608" s="31">
        <v>0</v>
      </c>
      <c r="P608" s="31">
        <v>0</v>
      </c>
      <c r="Q608" s="31">
        <v>0</v>
      </c>
      <c r="R608" s="31">
        <v>0</v>
      </c>
      <c r="S608" s="31">
        <v>0</v>
      </c>
      <c r="T608" s="21" cm="1">
        <f t="array" aca="1" ref="T608" ca="1">+fair_value_gap(OFFSET(S607,0,0,-1*$I$5,-1*$Z$1),OFFSET(E607,0,0,-1*$I$5,1),F608:S608,0)</f>
        <v>16.744246709708381</v>
      </c>
      <c r="U608" s="7" cm="1">
        <f t="array" aca="1" ref="U608" ca="1">z_score_diff(OFFSET(T608,0,0,$I$5*-1,1),OFFSET(E608,0,0,$I$5*-1,1))</f>
        <v>0.11903585138652678</v>
      </c>
      <c r="V608" s="7">
        <f t="shared" ca="1" si="637"/>
        <v>-7.5721356527183842E-2</v>
      </c>
      <c r="W608" s="14">
        <f t="shared" ca="1" si="632"/>
        <v>-5.7158413839948637E-2</v>
      </c>
      <c r="X608" s="10">
        <f t="shared" ref="X608:Y608" ca="1" si="663">+X607</f>
        <v>0</v>
      </c>
      <c r="Y608" s="10">
        <f t="shared" ca="1" si="663"/>
        <v>0</v>
      </c>
      <c r="Z608">
        <f t="shared" ca="1" si="639"/>
        <v>1</v>
      </c>
      <c r="AA608">
        <f t="shared" ca="1" si="640"/>
        <v>0</v>
      </c>
      <c r="AB608" s="19">
        <f t="shared" ca="1" si="641"/>
        <v>-5.7158413839948637E-2</v>
      </c>
      <c r="AC608" s="19">
        <f t="shared" ca="1" si="642"/>
        <v>0</v>
      </c>
    </row>
    <row r="609" spans="3:29" x14ac:dyDescent="0.25">
      <c r="C609" s="4">
        <v>602</v>
      </c>
      <c r="D609" s="28">
        <v>42863</v>
      </c>
      <c r="E609" s="30">
        <v>15.457000000000001</v>
      </c>
      <c r="F609" s="30">
        <v>45.174876396264423</v>
      </c>
      <c r="G609" s="30">
        <v>5.5850576817432698</v>
      </c>
      <c r="H609" s="30">
        <v>67.020692180919241</v>
      </c>
      <c r="I609" s="8">
        <v>0</v>
      </c>
      <c r="J609" s="31">
        <v>0</v>
      </c>
      <c r="K609" s="31">
        <v>0</v>
      </c>
      <c r="L609" s="31">
        <v>0</v>
      </c>
      <c r="M609" s="31">
        <v>1</v>
      </c>
      <c r="N609" s="31">
        <v>0</v>
      </c>
      <c r="O609" s="31">
        <v>0</v>
      </c>
      <c r="P609" s="31">
        <v>0</v>
      </c>
      <c r="Q609" s="31">
        <v>0</v>
      </c>
      <c r="R609" s="31">
        <v>0</v>
      </c>
      <c r="S609" s="31">
        <v>0</v>
      </c>
      <c r="T609" s="21" cm="1">
        <f t="array" aca="1" ref="T609" ca="1">+fair_value_gap(OFFSET(S608,0,0,-1*$I$5,-1*$Z$1),OFFSET(E608,0,0,-1*$I$5,1),F609:S609,0)</f>
        <v>16.611582633028021</v>
      </c>
      <c r="U609" s="7" cm="1">
        <f t="array" aca="1" ref="U609" ca="1">z_score_diff(OFFSET(T609,0,0,$I$5*-1,1),OFFSET(E609,0,0,$I$5*-1,1))</f>
        <v>0.20849725202907382</v>
      </c>
      <c r="V609" s="7">
        <f t="shared" ca="1" si="637"/>
        <v>-8.5838731231608997E-2</v>
      </c>
      <c r="W609" s="14">
        <f t="shared" ca="1" si="632"/>
        <v>-2.8346494748910284E-2</v>
      </c>
      <c r="X609" s="10">
        <f t="shared" ref="X609:Y609" ca="1" si="664">+X608</f>
        <v>0</v>
      </c>
      <c r="Y609" s="10">
        <f t="shared" ca="1" si="664"/>
        <v>0</v>
      </c>
      <c r="Z609">
        <f t="shared" ca="1" si="639"/>
        <v>1</v>
      </c>
      <c r="AA609">
        <f t="shared" ca="1" si="640"/>
        <v>0</v>
      </c>
      <c r="AB609" s="19">
        <f t="shared" ca="1" si="641"/>
        <v>-2.8346494748910284E-2</v>
      </c>
      <c r="AC609" s="19">
        <f t="shared" ca="1" si="642"/>
        <v>0</v>
      </c>
    </row>
    <row r="610" spans="3:29" x14ac:dyDescent="0.25">
      <c r="C610" s="4">
        <v>603</v>
      </c>
      <c r="D610" s="28">
        <v>42864</v>
      </c>
      <c r="E610" s="30">
        <v>15.42</v>
      </c>
      <c r="F610" s="30">
        <v>44.821559970566589</v>
      </c>
      <c r="G610" s="30">
        <v>5.6107431935246508</v>
      </c>
      <c r="H610" s="30">
        <v>66.501103752759377</v>
      </c>
      <c r="I610" s="8">
        <v>0</v>
      </c>
      <c r="J610" s="31">
        <v>0</v>
      </c>
      <c r="K610" s="31">
        <v>0</v>
      </c>
      <c r="L610" s="31">
        <v>0</v>
      </c>
      <c r="M610" s="31">
        <v>1</v>
      </c>
      <c r="N610" s="31">
        <v>0</v>
      </c>
      <c r="O610" s="31">
        <v>0</v>
      </c>
      <c r="P610" s="31">
        <v>0</v>
      </c>
      <c r="Q610" s="31">
        <v>0</v>
      </c>
      <c r="R610" s="31">
        <v>0</v>
      </c>
      <c r="S610" s="31">
        <v>0</v>
      </c>
      <c r="T610" s="21" cm="1">
        <f t="array" aca="1" ref="T610" ca="1">+fair_value_gap(OFFSET(S609,0,0,-1*$I$5,-1*$Z$1),OFFSET(E609,0,0,-1*$I$5,1),F610:S610,0)</f>
        <v>16.453830149410969</v>
      </c>
      <c r="U610" s="7" cm="1">
        <f t="array" aca="1" ref="U610" ca="1">z_score_diff(OFFSET(T610,0,0,$I$5*-1,1),OFFSET(E610,0,0,$I$5*-1,1))</f>
        <v>0.1537478623649754</v>
      </c>
      <c r="V610" s="7">
        <f t="shared" ca="1" si="637"/>
        <v>-0.10145429180223102</v>
      </c>
      <c r="W610" s="14">
        <f t="shared" ca="1" si="632"/>
        <v>-3.7934899439828196E-2</v>
      </c>
      <c r="X610" s="10">
        <f t="shared" ref="X610:Y610" ca="1" si="665">+X609</f>
        <v>0</v>
      </c>
      <c r="Y610" s="10">
        <f t="shared" ca="1" si="665"/>
        <v>0</v>
      </c>
      <c r="Z610">
        <f t="shared" ca="1" si="639"/>
        <v>1</v>
      </c>
      <c r="AA610">
        <f t="shared" ca="1" si="640"/>
        <v>0</v>
      </c>
      <c r="AB610" s="19">
        <f t="shared" ca="1" si="641"/>
        <v>-3.7934899439828196E-2</v>
      </c>
      <c r="AC610" s="19">
        <f t="shared" ca="1" si="642"/>
        <v>0</v>
      </c>
    </row>
    <row r="611" spans="3:29" x14ac:dyDescent="0.25">
      <c r="C611" s="4">
        <v>604</v>
      </c>
      <c r="D611" s="28">
        <v>42865</v>
      </c>
      <c r="E611" s="30">
        <v>15.542</v>
      </c>
      <c r="F611" s="30">
        <v>46.217559359469902</v>
      </c>
      <c r="G611" s="30">
        <v>5.6138413399595066</v>
      </c>
      <c r="H611" s="30">
        <v>67.043990428860667</v>
      </c>
      <c r="I611" s="8">
        <v>0</v>
      </c>
      <c r="J611" s="31">
        <v>0</v>
      </c>
      <c r="K611" s="31">
        <v>0</v>
      </c>
      <c r="L611" s="31">
        <v>0</v>
      </c>
      <c r="M611" s="31">
        <v>1</v>
      </c>
      <c r="N611" s="31">
        <v>0</v>
      </c>
      <c r="O611" s="31">
        <v>0</v>
      </c>
      <c r="P611" s="31">
        <v>0</v>
      </c>
      <c r="Q611" s="31">
        <v>0</v>
      </c>
      <c r="R611" s="31">
        <v>0</v>
      </c>
      <c r="S611" s="31">
        <v>0</v>
      </c>
      <c r="T611" s="21" cm="1">
        <f t="array" aca="1" ref="T611" ca="1">+fair_value_gap(OFFSET(S610,0,0,-1*$I$5,-1*$Z$1),OFFSET(E610,0,0,-1*$I$5,1),F611:S611,0)</f>
        <v>16.449886710753898</v>
      </c>
      <c r="U611" s="7" cm="1">
        <f t="array" aca="1" ref="U611" ca="1">z_score_diff(OFFSET(T611,0,0,$I$5*-1,1),OFFSET(E611,0,0,$I$5*-1,1))</f>
        <v>0.101088344413828</v>
      </c>
      <c r="V611" s="7">
        <f t="shared" ca="1" si="637"/>
        <v>-0.11894177931301508</v>
      </c>
      <c r="W611" s="14">
        <f t="shared" ca="1" si="632"/>
        <v>-4.0508377508384624E-2</v>
      </c>
      <c r="X611" s="10">
        <f t="shared" ref="X611:Y611" ca="1" si="666">+X610</f>
        <v>0</v>
      </c>
      <c r="Y611" s="10">
        <f t="shared" ca="1" si="666"/>
        <v>0</v>
      </c>
      <c r="Z611">
        <f t="shared" ca="1" si="639"/>
        <v>1</v>
      </c>
      <c r="AA611">
        <f t="shared" ca="1" si="640"/>
        <v>0</v>
      </c>
      <c r="AB611" s="19">
        <f t="shared" ca="1" si="641"/>
        <v>-4.0508377508384624E-2</v>
      </c>
      <c r="AC611" s="19">
        <f t="shared" ca="1" si="642"/>
        <v>0</v>
      </c>
    </row>
    <row r="612" spans="3:29" x14ac:dyDescent="0.25">
      <c r="C612" s="4">
        <v>605</v>
      </c>
      <c r="D612" s="28">
        <v>42866</v>
      </c>
      <c r="E612" s="30">
        <v>15.4</v>
      </c>
      <c r="F612" s="30">
        <v>46.745235245373351</v>
      </c>
      <c r="G612" s="30">
        <v>5.6164257434858662</v>
      </c>
      <c r="H612" s="30">
        <v>66.798637326213054</v>
      </c>
      <c r="I612" s="8">
        <v>0</v>
      </c>
      <c r="J612" s="31">
        <v>0</v>
      </c>
      <c r="K612" s="31">
        <v>0</v>
      </c>
      <c r="L612" s="31">
        <v>0</v>
      </c>
      <c r="M612" s="31">
        <v>1</v>
      </c>
      <c r="N612" s="31">
        <v>0</v>
      </c>
      <c r="O612" s="31">
        <v>0</v>
      </c>
      <c r="P612" s="31">
        <v>0</v>
      </c>
      <c r="Q612" s="31">
        <v>0</v>
      </c>
      <c r="R612" s="31">
        <v>0</v>
      </c>
      <c r="S612" s="31">
        <v>0</v>
      </c>
      <c r="T612" s="21" cm="1">
        <f t="array" aca="1" ref="T612" ca="1">+fair_value_gap(OFFSET(S611,0,0,-1*$I$5,-1*$Z$1),OFFSET(E611,0,0,-1*$I$5,1),F612:S612,0)</f>
        <v>16.355296821833942</v>
      </c>
      <c r="U612" s="7" cm="1">
        <f t="array" aca="1" ref="U612" ca="1">z_score_diff(OFFSET(T612,0,0,$I$5*-1,1),OFFSET(E612,0,0,$I$5*-1,1))</f>
        <v>0.11629400792793099</v>
      </c>
      <c r="V612" s="7">
        <f t="shared" ca="1" si="637"/>
        <v>-0.12923479490317996</v>
      </c>
      <c r="W612" s="14">
        <f t="shared" ca="1" si="632"/>
        <v>-7.4955540767856913E-3</v>
      </c>
      <c r="X612" s="10">
        <f t="shared" ref="X612:Y612" ca="1" si="667">+X611</f>
        <v>0</v>
      </c>
      <c r="Y612" s="10">
        <f t="shared" ca="1" si="667"/>
        <v>0</v>
      </c>
      <c r="Z612">
        <f t="shared" ca="1" si="639"/>
        <v>1</v>
      </c>
      <c r="AA612">
        <f t="shared" ca="1" si="640"/>
        <v>0</v>
      </c>
      <c r="AB612" s="19">
        <f t="shared" ca="1" si="641"/>
        <v>-7.4955540767856913E-3</v>
      </c>
      <c r="AC612" s="19">
        <f t="shared" ca="1" si="642"/>
        <v>0</v>
      </c>
    </row>
    <row r="613" spans="3:29" x14ac:dyDescent="0.25">
      <c r="C613" s="4">
        <v>606</v>
      </c>
      <c r="D613" s="28">
        <v>42867</v>
      </c>
      <c r="E613" s="30">
        <v>15.35</v>
      </c>
      <c r="F613" s="30">
        <v>46.522693997071748</v>
      </c>
      <c r="G613" s="30">
        <v>5.5819912152269398</v>
      </c>
      <c r="H613" s="30">
        <v>66.343338213762806</v>
      </c>
      <c r="I613" s="8">
        <v>0</v>
      </c>
      <c r="J613" s="31">
        <v>0</v>
      </c>
      <c r="K613" s="31">
        <v>0</v>
      </c>
      <c r="L613" s="31">
        <v>0</v>
      </c>
      <c r="M613" s="31">
        <v>1</v>
      </c>
      <c r="N613" s="31">
        <v>0</v>
      </c>
      <c r="O613" s="31">
        <v>0</v>
      </c>
      <c r="P613" s="31">
        <v>0</v>
      </c>
      <c r="Q613" s="31">
        <v>0</v>
      </c>
      <c r="R613" s="31">
        <v>0</v>
      </c>
      <c r="S613" s="31">
        <v>0</v>
      </c>
      <c r="T613" s="21" cm="1">
        <f t="array" aca="1" ref="T613" ca="1">+fair_value_gap(OFFSET(S612,0,0,-1*$I$5,-1*$Z$1),OFFSET(E612,0,0,-1*$I$5,1),F613:S613,0)</f>
        <v>16.185499579560027</v>
      </c>
      <c r="U613" s="7" cm="1">
        <f t="array" aca="1" ref="U613" ca="1">z_score_diff(OFFSET(T613,0,0,$I$5*-1,1),OFFSET(E613,0,0,$I$5*-1,1))</f>
        <v>6.0425875942110241E-2</v>
      </c>
      <c r="V613" s="7">
        <f t="shared" ca="1" si="637"/>
        <v>-0.13249246547315102</v>
      </c>
      <c r="W613" s="14">
        <f t="shared" ca="1" si="632"/>
        <v>-2.2931948485761515E-2</v>
      </c>
      <c r="X613" s="10">
        <f t="shared" ref="X613:Y613" ca="1" si="668">+X612</f>
        <v>0</v>
      </c>
      <c r="Y613" s="10">
        <f t="shared" ca="1" si="668"/>
        <v>0</v>
      </c>
      <c r="Z613">
        <f t="shared" ca="1" si="639"/>
        <v>1</v>
      </c>
      <c r="AA613">
        <f t="shared" ca="1" si="640"/>
        <v>0</v>
      </c>
      <c r="AB613" s="19">
        <f t="shared" ca="1" si="641"/>
        <v>-2.2931948485761515E-2</v>
      </c>
      <c r="AC613" s="19">
        <f t="shared" ca="1" si="642"/>
        <v>0</v>
      </c>
    </row>
    <row r="614" spans="3:29" x14ac:dyDescent="0.25">
      <c r="C614" s="4">
        <v>607</v>
      </c>
      <c r="D614" s="28">
        <v>42870</v>
      </c>
      <c r="E614" s="30">
        <v>15.49</v>
      </c>
      <c r="F614" s="30">
        <v>47.225006834958535</v>
      </c>
      <c r="G614" s="30">
        <v>5.5590996081290438</v>
      </c>
      <c r="H614" s="30">
        <v>66.071265834320613</v>
      </c>
      <c r="I614" s="8">
        <v>0</v>
      </c>
      <c r="J614" s="31">
        <v>0</v>
      </c>
      <c r="K614" s="31">
        <v>0</v>
      </c>
      <c r="L614" s="31">
        <v>0</v>
      </c>
      <c r="M614" s="31">
        <v>1</v>
      </c>
      <c r="N614" s="31">
        <v>0</v>
      </c>
      <c r="O614" s="31">
        <v>0</v>
      </c>
      <c r="P614" s="31">
        <v>0</v>
      </c>
      <c r="Q614" s="31">
        <v>0</v>
      </c>
      <c r="R614" s="31">
        <v>0</v>
      </c>
      <c r="S614" s="31">
        <v>0</v>
      </c>
      <c r="T614" s="21" cm="1">
        <f t="array" aca="1" ref="T614" ca="1">+fair_value_gap(OFFSET(S613,0,0,-1*$I$5,-1*$Z$1),OFFSET(E613,0,0,-1*$I$5,1),F614:S614,0)</f>
        <v>16.076143431324006</v>
      </c>
      <c r="U614" s="7" cm="1">
        <f t="array" aca="1" ref="U614" ca="1">z_score_diff(OFFSET(T614,0,0,$I$5*-1,1),OFFSET(E614,0,0,$I$5*-1,1))</f>
        <v>-4.7309649236187079E-2</v>
      </c>
      <c r="V614" s="7">
        <f t="shared" ca="1" si="637"/>
        <v>-0.13642504229390423</v>
      </c>
      <c r="W614" s="14">
        <f t="shared" ca="1" si="632"/>
        <v>-4.5972961263101284E-2</v>
      </c>
      <c r="X614" s="10">
        <f t="shared" ref="X614:Y614" ca="1" si="669">+X613</f>
        <v>0</v>
      </c>
      <c r="Y614" s="10">
        <f t="shared" ca="1" si="669"/>
        <v>0</v>
      </c>
      <c r="Z614">
        <f t="shared" ca="1" si="639"/>
        <v>1</v>
      </c>
      <c r="AA614">
        <f t="shared" ca="1" si="640"/>
        <v>0</v>
      </c>
      <c r="AB614" s="19">
        <f t="shared" ca="1" si="641"/>
        <v>-4.5972961263101284E-2</v>
      </c>
      <c r="AC614" s="19">
        <f t="shared" ca="1" si="642"/>
        <v>0</v>
      </c>
    </row>
    <row r="615" spans="3:29" x14ac:dyDescent="0.25">
      <c r="C615" s="4">
        <v>608</v>
      </c>
      <c r="D615" s="28">
        <v>42871</v>
      </c>
      <c r="E615" s="30">
        <v>15.345000000000001</v>
      </c>
      <c r="F615" s="30">
        <v>46.607110629850204</v>
      </c>
      <c r="G615" s="30">
        <v>5.4593033748420856</v>
      </c>
      <c r="H615" s="30">
        <v>65.827467966071112</v>
      </c>
      <c r="I615" s="8">
        <v>0</v>
      </c>
      <c r="J615" s="31">
        <v>0</v>
      </c>
      <c r="K615" s="31">
        <v>0</v>
      </c>
      <c r="L615" s="31">
        <v>0</v>
      </c>
      <c r="M615" s="31">
        <v>1</v>
      </c>
      <c r="N615" s="31">
        <v>0</v>
      </c>
      <c r="O615" s="31">
        <v>0</v>
      </c>
      <c r="P615" s="31">
        <v>0</v>
      </c>
      <c r="Q615" s="31">
        <v>0</v>
      </c>
      <c r="R615" s="31">
        <v>0</v>
      </c>
      <c r="S615" s="31">
        <v>0</v>
      </c>
      <c r="T615" s="21" cm="1">
        <f t="array" aca="1" ref="T615" ca="1">+fair_value_gap(OFFSET(S614,0,0,-1*$I$5,-1*$Z$1),OFFSET(E614,0,0,-1*$I$5,1),F615:S615,0)</f>
        <v>15.857975400517848</v>
      </c>
      <c r="U615" s="7" cm="1">
        <f t="array" aca="1" ref="U615" ca="1">z_score_diff(OFFSET(T615,0,0,$I$5*-1,1),OFFSET(E615,0,0,$I$5*-1,1))</f>
        <v>-8.7007085819881091E-2</v>
      </c>
      <c r="V615" s="7">
        <f t="shared" ca="1" si="637"/>
        <v>-0.11883478584038809</v>
      </c>
      <c r="W615" s="14">
        <f t="shared" ca="1" si="632"/>
        <v>-4.4916931914192583E-2</v>
      </c>
      <c r="X615" s="10">
        <f t="shared" ref="X615:Y615" ca="1" si="670">+X614</f>
        <v>0</v>
      </c>
      <c r="Y615" s="10">
        <f t="shared" ca="1" si="670"/>
        <v>0</v>
      </c>
      <c r="Z615">
        <f t="shared" ca="1" si="639"/>
        <v>1</v>
      </c>
      <c r="AA615">
        <f t="shared" ca="1" si="640"/>
        <v>0</v>
      </c>
      <c r="AB615" s="19">
        <f t="shared" ca="1" si="641"/>
        <v>-4.4916931914192583E-2</v>
      </c>
      <c r="AC615" s="19">
        <f t="shared" ca="1" si="642"/>
        <v>0</v>
      </c>
    </row>
    <row r="616" spans="3:29" x14ac:dyDescent="0.25">
      <c r="C616" s="4">
        <v>609</v>
      </c>
      <c r="D616" s="28">
        <v>42872</v>
      </c>
      <c r="E616" s="30">
        <v>15.577999999999999</v>
      </c>
      <c r="F616" s="30">
        <v>46.791539702455644</v>
      </c>
      <c r="G616" s="30">
        <v>5.422118659257932</v>
      </c>
      <c r="H616" s="30">
        <v>65.692776483240721</v>
      </c>
      <c r="I616" s="8">
        <v>0</v>
      </c>
      <c r="J616" s="31">
        <v>0</v>
      </c>
      <c r="K616" s="31">
        <v>0</v>
      </c>
      <c r="L616" s="31">
        <v>0</v>
      </c>
      <c r="M616" s="31">
        <v>1</v>
      </c>
      <c r="N616" s="31">
        <v>0</v>
      </c>
      <c r="O616" s="31">
        <v>0</v>
      </c>
      <c r="P616" s="31">
        <v>0</v>
      </c>
      <c r="Q616" s="31">
        <v>0</v>
      </c>
      <c r="R616" s="31">
        <v>0</v>
      </c>
      <c r="S616" s="31">
        <v>0</v>
      </c>
      <c r="T616" s="21" cm="1">
        <f t="array" aca="1" ref="T616" ca="1">+fair_value_gap(OFFSET(S615,0,0,-1*$I$5,-1*$Z$1),OFFSET(E615,0,0,-1*$I$5,1),F616:S616,0)</f>
        <v>15.712786710092427</v>
      </c>
      <c r="U616" s="7" cm="1">
        <f t="array" aca="1" ref="U616" ca="1">z_score_diff(OFFSET(T616,0,0,$I$5*-1,1),OFFSET(E616,0,0,$I$5*-1,1))</f>
        <v>-0.2507482851121452</v>
      </c>
      <c r="V616" s="7">
        <f t="shared" ca="1" si="637"/>
        <v>-0.10773133661456383</v>
      </c>
      <c r="W616" s="14">
        <f t="shared" ca="1" si="632"/>
        <v>-5.8012168713066151E-2</v>
      </c>
      <c r="X616" s="10">
        <f t="shared" ref="X616:Y616" ca="1" si="671">+X615</f>
        <v>0</v>
      </c>
      <c r="Y616" s="10">
        <f t="shared" ca="1" si="671"/>
        <v>0</v>
      </c>
      <c r="Z616">
        <f t="shared" ca="1" si="639"/>
        <v>1</v>
      </c>
      <c r="AA616">
        <f t="shared" ca="1" si="640"/>
        <v>0</v>
      </c>
      <c r="AB616" s="19">
        <f t="shared" ca="1" si="641"/>
        <v>-5.8012168713066151E-2</v>
      </c>
      <c r="AC616" s="19">
        <f t="shared" ca="1" si="642"/>
        <v>0</v>
      </c>
    </row>
    <row r="617" spans="3:29" x14ac:dyDescent="0.25">
      <c r="C617" s="4">
        <v>610</v>
      </c>
      <c r="D617" s="28">
        <v>42873</v>
      </c>
      <c r="E617" s="30">
        <v>15.722</v>
      </c>
      <c r="F617" s="30">
        <v>47.302044860823344</v>
      </c>
      <c r="G617" s="30">
        <v>5.4499594631114308</v>
      </c>
      <c r="H617" s="30">
        <v>65.759841455724711</v>
      </c>
      <c r="I617" s="8">
        <v>0</v>
      </c>
      <c r="J617" s="31">
        <v>0</v>
      </c>
      <c r="K617" s="31">
        <v>0</v>
      </c>
      <c r="L617" s="31">
        <v>0</v>
      </c>
      <c r="M617" s="31">
        <v>1</v>
      </c>
      <c r="N617" s="31">
        <v>0</v>
      </c>
      <c r="O617" s="31">
        <v>0</v>
      </c>
      <c r="P617" s="31">
        <v>0</v>
      </c>
      <c r="Q617" s="31">
        <v>0</v>
      </c>
      <c r="R617" s="31">
        <v>0</v>
      </c>
      <c r="S617" s="31">
        <v>0</v>
      </c>
      <c r="T617" s="21" cm="1">
        <f t="array" aca="1" ref="T617" ca="1">+fair_value_gap(OFFSET(S616,0,0,-1*$I$5,-1*$Z$1),OFFSET(E616,0,0,-1*$I$5,1),F617:S617,0)</f>
        <v>15.641057348675748</v>
      </c>
      <c r="U617" s="7" cm="1">
        <f t="array" aca="1" ref="U617" ca="1">z_score_diff(OFFSET(T617,0,0,$I$5*-1,1),OFFSET(E617,0,0,$I$5*-1,1))</f>
        <v>-0.34434867851294426</v>
      </c>
      <c r="V617" s="7">
        <f t="shared" ca="1" si="637"/>
        <v>-0.10080793357273524</v>
      </c>
      <c r="W617" s="14">
        <f t="shared" ca="1" si="632"/>
        <v>-7.5204538640136612E-2</v>
      </c>
      <c r="X617" s="10">
        <f t="shared" ref="X617:Y617" ca="1" si="672">+X616</f>
        <v>0</v>
      </c>
      <c r="Y617" s="10">
        <f t="shared" ca="1" si="672"/>
        <v>0</v>
      </c>
      <c r="Z617">
        <f t="shared" ca="1" si="639"/>
        <v>1</v>
      </c>
      <c r="AA617">
        <f t="shared" ca="1" si="640"/>
        <v>0</v>
      </c>
      <c r="AB617" s="19">
        <f t="shared" ca="1" si="641"/>
        <v>-7.5204538640136612E-2</v>
      </c>
      <c r="AC617" s="19">
        <f t="shared" ca="1" si="642"/>
        <v>0</v>
      </c>
    </row>
    <row r="618" spans="3:29" x14ac:dyDescent="0.25">
      <c r="C618" s="4">
        <v>611</v>
      </c>
      <c r="D618" s="28">
        <v>42874</v>
      </c>
      <c r="E618" s="30">
        <v>15.5</v>
      </c>
      <c r="F618" s="30">
        <v>47.848982506247765</v>
      </c>
      <c r="G618" s="30">
        <v>5.3998571938593356</v>
      </c>
      <c r="H618" s="30">
        <v>65.110674759014643</v>
      </c>
      <c r="I618" s="8">
        <v>0</v>
      </c>
      <c r="J618" s="31">
        <v>0</v>
      </c>
      <c r="K618" s="31">
        <v>0</v>
      </c>
      <c r="L618" s="31">
        <v>0</v>
      </c>
      <c r="M618" s="31">
        <v>1</v>
      </c>
      <c r="N618" s="31">
        <v>0</v>
      </c>
      <c r="O618" s="31">
        <v>0</v>
      </c>
      <c r="P618" s="31">
        <v>0</v>
      </c>
      <c r="Q618" s="31">
        <v>0</v>
      </c>
      <c r="R618" s="31">
        <v>0</v>
      </c>
      <c r="S618" s="31">
        <v>0</v>
      </c>
      <c r="T618" s="21" cm="1">
        <f t="array" aca="1" ref="T618" ca="1">+fair_value_gap(OFFSET(S617,0,0,-1*$I$5,-1*$Z$1),OFFSET(E617,0,0,-1*$I$5,1),F618:S618,0)</f>
        <v>15.379417545459479</v>
      </c>
      <c r="U618" s="7" cm="1">
        <f t="array" aca="1" ref="U618" ca="1">z_score_diff(OFFSET(T618,0,0,$I$5*-1,1),OFFSET(E618,0,0,$I$5*-1,1))</f>
        <v>-0.37245084492495734</v>
      </c>
      <c r="V618" s="7">
        <f t="shared" ca="1" si="637"/>
        <v>-8.9800254177090408E-2</v>
      </c>
      <c r="W618" s="14">
        <f t="shared" ca="1" si="632"/>
        <v>-5.9886990707358097E-2</v>
      </c>
      <c r="X618" s="10">
        <f t="shared" ref="X618:Y618" ca="1" si="673">+X617</f>
        <v>0</v>
      </c>
      <c r="Y618" s="10">
        <f t="shared" ca="1" si="673"/>
        <v>0</v>
      </c>
      <c r="Z618">
        <f t="shared" ca="1" si="639"/>
        <v>1</v>
      </c>
      <c r="AA618">
        <f t="shared" ca="1" si="640"/>
        <v>0</v>
      </c>
      <c r="AB618" s="19">
        <f t="shared" ca="1" si="641"/>
        <v>-5.9886990707358097E-2</v>
      </c>
      <c r="AC618" s="19">
        <f t="shared" ca="1" si="642"/>
        <v>0</v>
      </c>
    </row>
    <row r="619" spans="3:29" x14ac:dyDescent="0.25">
      <c r="C619" s="4">
        <v>612</v>
      </c>
      <c r="D619" s="28">
        <v>42877</v>
      </c>
      <c r="E619" s="30">
        <v>15.500999999999999</v>
      </c>
      <c r="F619" s="30">
        <v>47.944108223567106</v>
      </c>
      <c r="G619" s="30">
        <v>5.3844784620861521</v>
      </c>
      <c r="H619" s="30">
        <v>65.281238875044494</v>
      </c>
      <c r="I619" s="8">
        <v>0</v>
      </c>
      <c r="J619" s="31">
        <v>0</v>
      </c>
      <c r="K619" s="31">
        <v>0</v>
      </c>
      <c r="L619" s="31">
        <v>0</v>
      </c>
      <c r="M619" s="31">
        <v>1</v>
      </c>
      <c r="N619" s="31">
        <v>0</v>
      </c>
      <c r="O619" s="31">
        <v>0</v>
      </c>
      <c r="P619" s="31">
        <v>0</v>
      </c>
      <c r="Q619" s="31">
        <v>0</v>
      </c>
      <c r="R619" s="31">
        <v>0</v>
      </c>
      <c r="S619" s="31">
        <v>0</v>
      </c>
      <c r="T619" s="21" cm="1">
        <f t="array" aca="1" ref="T619" ca="1">+fair_value_gap(OFFSET(S618,0,0,-1*$I$5,-1*$Z$1),OFFSET(E618,0,0,-1*$I$5,1),F619:S619,0)</f>
        <v>15.19786934653705</v>
      </c>
      <c r="U619" s="7" cm="1">
        <f t="array" aca="1" ref="U619" ca="1">z_score_diff(OFFSET(T619,0,0,$I$5*-1,1),OFFSET(E619,0,0,$I$5*-1,1))</f>
        <v>-0.45022231540777735</v>
      </c>
      <c r="V619" s="7">
        <f t="shared" ca="1" si="637"/>
        <v>-8.3804438659061106E-2</v>
      </c>
      <c r="W619" s="14">
        <f t="shared" ca="1" si="632"/>
        <v>-4.9322529578254469E-2</v>
      </c>
      <c r="X619" s="10">
        <f t="shared" ref="X619:Y619" ca="1" si="674">+X618</f>
        <v>0</v>
      </c>
      <c r="Y619" s="10">
        <f t="shared" ca="1" si="674"/>
        <v>0</v>
      </c>
      <c r="Z619">
        <f t="shared" ca="1" si="639"/>
        <v>1</v>
      </c>
      <c r="AA619">
        <f t="shared" ca="1" si="640"/>
        <v>0</v>
      </c>
      <c r="AB619" s="19">
        <f t="shared" ca="1" si="641"/>
        <v>-4.9322529578254469E-2</v>
      </c>
      <c r="AC619" s="19">
        <f t="shared" ca="1" si="642"/>
        <v>0</v>
      </c>
    </row>
    <row r="620" spans="3:29" x14ac:dyDescent="0.25">
      <c r="C620" s="4">
        <v>613</v>
      </c>
      <c r="D620" s="28">
        <v>42878</v>
      </c>
      <c r="E620" s="30">
        <v>15.634</v>
      </c>
      <c r="F620" s="30">
        <v>48.426041852977995</v>
      </c>
      <c r="G620" s="30">
        <v>5.4104811303881233</v>
      </c>
      <c r="H620" s="30">
        <v>65.32820604543015</v>
      </c>
      <c r="I620" s="8">
        <v>0</v>
      </c>
      <c r="J620" s="31">
        <v>0</v>
      </c>
      <c r="K620" s="31">
        <v>0</v>
      </c>
      <c r="L620" s="31">
        <v>0</v>
      </c>
      <c r="M620" s="31">
        <v>1</v>
      </c>
      <c r="N620" s="31">
        <v>0</v>
      </c>
      <c r="O620" s="31">
        <v>0</v>
      </c>
      <c r="P620" s="31">
        <v>0</v>
      </c>
      <c r="Q620" s="31">
        <v>0</v>
      </c>
      <c r="R620" s="31">
        <v>0</v>
      </c>
      <c r="S620" s="31">
        <v>0</v>
      </c>
      <c r="T620" s="21" cm="1">
        <f t="array" aca="1" ref="T620" ca="1">+fair_value_gap(OFFSET(S619,0,0,-1*$I$5,-1*$Z$1),OFFSET(E619,0,0,-1*$I$5,1),F620:S620,0)</f>
        <v>15.235380285298774</v>
      </c>
      <c r="U620" s="7" cm="1">
        <f t="array" aca="1" ref="U620" ca="1">z_score_diff(OFFSET(T620,0,0,$I$5*-1,1),OFFSET(E620,0,0,$I$5*-1,1))</f>
        <v>-0.48487808832028412</v>
      </c>
      <c r="V620" s="7">
        <f t="shared" ca="1" si="637"/>
        <v>-8.490017816623828E-2</v>
      </c>
      <c r="W620" s="14">
        <f t="shared" ca="1" si="632"/>
        <v>-5.5226336632462764E-2</v>
      </c>
      <c r="X620" s="10">
        <f t="shared" ref="X620:Y620" ca="1" si="675">+X619</f>
        <v>0</v>
      </c>
      <c r="Y620" s="10">
        <f t="shared" ca="1" si="675"/>
        <v>0</v>
      </c>
      <c r="Z620">
        <f t="shared" ca="1" si="639"/>
        <v>1</v>
      </c>
      <c r="AA620">
        <f t="shared" ca="1" si="640"/>
        <v>0</v>
      </c>
      <c r="AB620" s="19">
        <f t="shared" ca="1" si="641"/>
        <v>-5.5226336632462764E-2</v>
      </c>
      <c r="AC620" s="19">
        <f t="shared" ca="1" si="642"/>
        <v>0</v>
      </c>
    </row>
    <row r="621" spans="3:29" x14ac:dyDescent="0.25">
      <c r="C621" s="4">
        <v>614</v>
      </c>
      <c r="D621" s="28">
        <v>42879</v>
      </c>
      <c r="E621" s="30">
        <v>15.548999999999999</v>
      </c>
      <c r="F621" s="30">
        <v>48.105554069715616</v>
      </c>
      <c r="G621" s="30">
        <v>4.9567620575911562</v>
      </c>
      <c r="H621" s="30">
        <v>65.258090398502276</v>
      </c>
      <c r="I621" s="8">
        <v>0</v>
      </c>
      <c r="J621" s="31">
        <v>0</v>
      </c>
      <c r="K621" s="31">
        <v>0</v>
      </c>
      <c r="L621" s="31">
        <v>0</v>
      </c>
      <c r="M621" s="31">
        <v>1</v>
      </c>
      <c r="N621" s="31">
        <v>0</v>
      </c>
      <c r="O621" s="31">
        <v>0</v>
      </c>
      <c r="P621" s="31">
        <v>0</v>
      </c>
      <c r="Q621" s="31">
        <v>0</v>
      </c>
      <c r="R621" s="31">
        <v>0</v>
      </c>
      <c r="S621" s="31">
        <v>0</v>
      </c>
      <c r="T621" s="21" cm="1">
        <f t="array" aca="1" ref="T621" ca="1">+fair_value_gap(OFFSET(S620,0,0,-1*$I$5,-1*$Z$1),OFFSET(E620,0,0,-1*$I$5,1),F621:S621,0)</f>
        <v>14.827386532436726</v>
      </c>
      <c r="U621" s="7" cm="1">
        <f t="array" aca="1" ref="U621" ca="1">z_score_diff(OFFSET(T621,0,0,$I$5*-1,1),OFFSET(E621,0,0,$I$5*-1,1))</f>
        <v>-0.63031948303574592</v>
      </c>
      <c r="V621" s="7">
        <f t="shared" ca="1" si="637"/>
        <v>-8.9540247343052701E-2</v>
      </c>
      <c r="W621" s="14">
        <f t="shared" ca="1" si="632"/>
        <v>-5.3906452150461831E-2</v>
      </c>
      <c r="X621" s="10">
        <f t="shared" ref="X621:Y621" ca="1" si="676">+X620</f>
        <v>0</v>
      </c>
      <c r="Y621" s="10">
        <f t="shared" ca="1" si="676"/>
        <v>0</v>
      </c>
      <c r="Z621">
        <f t="shared" ca="1" si="639"/>
        <v>1</v>
      </c>
      <c r="AA621">
        <f t="shared" ca="1" si="640"/>
        <v>0</v>
      </c>
      <c r="AB621" s="19">
        <f t="shared" ca="1" si="641"/>
        <v>-5.3906452150461831E-2</v>
      </c>
      <c r="AC621" s="19">
        <f t="shared" ca="1" si="642"/>
        <v>0</v>
      </c>
    </row>
    <row r="622" spans="3:29" x14ac:dyDescent="0.25">
      <c r="C622" s="4">
        <v>615</v>
      </c>
      <c r="D622" s="28">
        <v>42880</v>
      </c>
      <c r="E622" s="30">
        <v>15.377000000000001</v>
      </c>
      <c r="F622" s="30">
        <v>45.909536979213129</v>
      </c>
      <c r="G622" s="30">
        <v>4.9290748505665096</v>
      </c>
      <c r="H622" s="30">
        <v>65.260058881256143</v>
      </c>
      <c r="I622" s="8">
        <v>0</v>
      </c>
      <c r="J622" s="31">
        <v>0</v>
      </c>
      <c r="K622" s="31">
        <v>0</v>
      </c>
      <c r="L622" s="31">
        <v>0</v>
      </c>
      <c r="M622" s="31">
        <v>1</v>
      </c>
      <c r="N622" s="31">
        <v>0</v>
      </c>
      <c r="O622" s="31">
        <v>0</v>
      </c>
      <c r="P622" s="31">
        <v>0</v>
      </c>
      <c r="Q622" s="31">
        <v>0</v>
      </c>
      <c r="R622" s="31">
        <v>0</v>
      </c>
      <c r="S622" s="31">
        <v>0</v>
      </c>
      <c r="T622" s="21" cm="1">
        <f t="array" aca="1" ref="T622" ca="1">+fair_value_gap(OFFSET(S621,0,0,-1*$I$5,-1*$Z$1),OFFSET(E621,0,0,-1*$I$5,1),F622:S622,0)</f>
        <v>14.914526073312567</v>
      </c>
      <c r="U622" s="7" cm="1">
        <f t="array" aca="1" ref="U622" ca="1">z_score_diff(OFFSET(T622,0,0,$I$5*-1,1),OFFSET(E622,0,0,$I$5*-1,1))</f>
        <v>-0.51650924603348214</v>
      </c>
      <c r="V622" s="7">
        <f t="shared" ca="1" si="637"/>
        <v>-9.2398957608240573E-2</v>
      </c>
      <c r="W622" s="14">
        <f t="shared" ca="1" si="632"/>
        <v>-5.0550834004076999E-2</v>
      </c>
      <c r="X622" s="10">
        <f t="shared" ref="X622:Y622" ca="1" si="677">+X621</f>
        <v>0</v>
      </c>
      <c r="Y622" s="10">
        <f t="shared" ca="1" si="677"/>
        <v>0</v>
      </c>
      <c r="Z622">
        <f t="shared" ca="1" si="639"/>
        <v>1</v>
      </c>
      <c r="AA622">
        <f t="shared" ca="1" si="640"/>
        <v>0</v>
      </c>
      <c r="AB622" s="19">
        <f t="shared" ca="1" si="641"/>
        <v>-5.0550834004076999E-2</v>
      </c>
      <c r="AC622" s="19">
        <f t="shared" ca="1" si="642"/>
        <v>0</v>
      </c>
    </row>
    <row r="623" spans="3:29" x14ac:dyDescent="0.25">
      <c r="C623" s="4">
        <v>616</v>
      </c>
      <c r="D623" s="28">
        <v>42881</v>
      </c>
      <c r="E623" s="30">
        <v>15.35</v>
      </c>
      <c r="F623" s="30">
        <v>46.637453049543907</v>
      </c>
      <c r="G623" s="30">
        <v>4.9141477374351634</v>
      </c>
      <c r="H623" s="30">
        <v>65.149347165086738</v>
      </c>
      <c r="I623" s="8">
        <v>0</v>
      </c>
      <c r="J623" s="31">
        <v>0</v>
      </c>
      <c r="K623" s="31">
        <v>0</v>
      </c>
      <c r="L623" s="31">
        <v>0</v>
      </c>
      <c r="M623" s="31">
        <v>1</v>
      </c>
      <c r="N623" s="31">
        <v>0</v>
      </c>
      <c r="O623" s="31">
        <v>0</v>
      </c>
      <c r="P623" s="31">
        <v>0</v>
      </c>
      <c r="Q623" s="31">
        <v>0</v>
      </c>
      <c r="R623" s="31">
        <v>0</v>
      </c>
      <c r="S623" s="31">
        <v>0</v>
      </c>
      <c r="T623" s="21" cm="1">
        <f t="array" aca="1" ref="T623" ca="1">+fair_value_gap(OFFSET(S622,0,0,-1*$I$5,-1*$Z$1),OFFSET(E622,0,0,-1*$I$5,1),F623:S623,0)</f>
        <v>14.889613606827105</v>
      </c>
      <c r="U623" s="7" cm="1">
        <f t="array" aca="1" ref="U623" ca="1">z_score_diff(OFFSET(T623,0,0,$I$5*-1,1),OFFSET(E623,0,0,$I$5*-1,1))</f>
        <v>-0.51389591644826327</v>
      </c>
      <c r="V623" s="7">
        <f t="shared" ca="1" si="637"/>
        <v>-8.9848919341254843E-2</v>
      </c>
      <c r="W623" s="14">
        <f t="shared" ca="1" si="632"/>
        <v>-4.8383080915285995E-2</v>
      </c>
      <c r="X623" s="10">
        <f t="shared" ref="X623:Y623" ca="1" si="678">+X622</f>
        <v>0</v>
      </c>
      <c r="Y623" s="10">
        <f t="shared" ca="1" si="678"/>
        <v>0</v>
      </c>
      <c r="Z623">
        <f t="shared" ca="1" si="639"/>
        <v>1</v>
      </c>
      <c r="AA623">
        <f t="shared" ca="1" si="640"/>
        <v>0</v>
      </c>
      <c r="AB623" s="19">
        <f t="shared" ca="1" si="641"/>
        <v>-4.8383080915285995E-2</v>
      </c>
      <c r="AC623" s="19">
        <f t="shared" ca="1" si="642"/>
        <v>0</v>
      </c>
    </row>
    <row r="624" spans="3:29" x14ac:dyDescent="0.25">
      <c r="C624" s="4">
        <v>617</v>
      </c>
      <c r="D624" s="28">
        <v>42884</v>
      </c>
      <c r="E624" s="30">
        <v>15.425000000000001</v>
      </c>
      <c r="F624" s="30">
        <v>46.838050877821566</v>
      </c>
      <c r="G624" s="30">
        <v>4.9220709423145825</v>
      </c>
      <c r="H624" s="30">
        <v>66.642780365460411</v>
      </c>
      <c r="I624" s="8">
        <v>0</v>
      </c>
      <c r="J624" s="31">
        <v>0</v>
      </c>
      <c r="K624" s="31">
        <v>0</v>
      </c>
      <c r="L624" s="31">
        <v>0</v>
      </c>
      <c r="M624" s="31">
        <v>1</v>
      </c>
      <c r="N624" s="31">
        <v>0</v>
      </c>
      <c r="O624" s="31">
        <v>0</v>
      </c>
      <c r="P624" s="31">
        <v>0</v>
      </c>
      <c r="Q624" s="31">
        <v>0</v>
      </c>
      <c r="R624" s="31">
        <v>0</v>
      </c>
      <c r="S624" s="31">
        <v>0</v>
      </c>
      <c r="T624" s="21" cm="1">
        <f t="array" aca="1" ref="T624" ca="1">+fair_value_gap(OFFSET(S623,0,0,-1*$I$5,-1*$Z$1),OFFSET(E623,0,0,-1*$I$5,1),F624:S624,0)</f>
        <v>15.136491431239204</v>
      </c>
      <c r="U624" s="7" cm="1">
        <f t="array" aca="1" ref="U624" ca="1">z_score_diff(OFFSET(T624,0,0,$I$5*-1,1),OFFSET(E624,0,0,$I$5*-1,1))</f>
        <v>-0.43134962183846548</v>
      </c>
      <c r="V624" s="7">
        <f t="shared" ca="1" si="637"/>
        <v>-0.13783717118505584</v>
      </c>
      <c r="W624" s="14">
        <f t="shared" ca="1" si="632"/>
        <v>-4.1429958871740724E-2</v>
      </c>
      <c r="X624" s="10">
        <f t="shared" ref="X624:Y624" ca="1" si="679">+X623</f>
        <v>0</v>
      </c>
      <c r="Y624" s="10">
        <f t="shared" ca="1" si="679"/>
        <v>0</v>
      </c>
      <c r="Z624">
        <f t="shared" ca="1" si="639"/>
        <v>1</v>
      </c>
      <c r="AA624">
        <f t="shared" ca="1" si="640"/>
        <v>0</v>
      </c>
      <c r="AB624" s="19">
        <f t="shared" ca="1" si="641"/>
        <v>-4.1429958871740724E-2</v>
      </c>
      <c r="AC624" s="19">
        <f t="shared" ca="1" si="642"/>
        <v>0</v>
      </c>
    </row>
    <row r="625" spans="3:29" x14ac:dyDescent="0.25">
      <c r="C625" s="4">
        <v>618</v>
      </c>
      <c r="D625" s="28">
        <v>42885</v>
      </c>
      <c r="E625" s="30">
        <v>15.65</v>
      </c>
      <c r="F625" s="30">
        <v>46.356076187069661</v>
      </c>
      <c r="G625" s="30">
        <v>4.8868818742734508</v>
      </c>
      <c r="H625" s="30">
        <v>67.334346776356966</v>
      </c>
      <c r="I625" s="8">
        <v>0</v>
      </c>
      <c r="J625" s="31">
        <v>0</v>
      </c>
      <c r="K625" s="31">
        <v>0</v>
      </c>
      <c r="L625" s="31">
        <v>0</v>
      </c>
      <c r="M625" s="31">
        <v>1</v>
      </c>
      <c r="N625" s="31">
        <v>0</v>
      </c>
      <c r="O625" s="31">
        <v>0</v>
      </c>
      <c r="P625" s="31">
        <v>0</v>
      </c>
      <c r="Q625" s="31">
        <v>0</v>
      </c>
      <c r="R625" s="31">
        <v>0</v>
      </c>
      <c r="S625" s="31">
        <v>0</v>
      </c>
      <c r="T625" s="21" cm="1">
        <f t="array" aca="1" ref="T625" ca="1">+fair_value_gap(OFFSET(S624,0,0,-1*$I$5,-1*$Z$1),OFFSET(E624,0,0,-1*$I$5,1),F625:S625,0)</f>
        <v>15.234101809598837</v>
      </c>
      <c r="U625" s="7" cm="1">
        <f t="array" aca="1" ref="U625" ca="1">z_score_diff(OFFSET(T625,0,0,$I$5*-1,1),OFFSET(E625,0,0,$I$5*-1,1))</f>
        <v>-0.47864018685446375</v>
      </c>
      <c r="V625" s="7">
        <f t="shared" ca="1" si="637"/>
        <v>-0.17355653164155327</v>
      </c>
      <c r="W625" s="14">
        <f t="shared" ca="1" si="632"/>
        <v>-4.1687651308123207E-2</v>
      </c>
      <c r="X625" s="10">
        <f t="shared" ref="X625:Y625" ca="1" si="680">+X624</f>
        <v>0</v>
      </c>
      <c r="Y625" s="10">
        <f t="shared" ca="1" si="680"/>
        <v>0</v>
      </c>
      <c r="Z625">
        <f t="shared" ca="1" si="639"/>
        <v>1</v>
      </c>
      <c r="AA625">
        <f t="shared" ca="1" si="640"/>
        <v>0</v>
      </c>
      <c r="AB625" s="19">
        <f t="shared" ca="1" si="641"/>
        <v>-4.1687651308123207E-2</v>
      </c>
      <c r="AC625" s="19">
        <f t="shared" ca="1" si="642"/>
        <v>0</v>
      </c>
    </row>
    <row r="626" spans="3:29" x14ac:dyDescent="0.25">
      <c r="C626" s="4">
        <v>619</v>
      </c>
      <c r="D626" s="28">
        <v>42886</v>
      </c>
      <c r="E626" s="30">
        <v>15.295</v>
      </c>
      <c r="F626" s="30">
        <v>44.755804643714967</v>
      </c>
      <c r="G626" s="30">
        <v>4.861667111466951</v>
      </c>
      <c r="H626" s="30">
        <v>66.230762387687932</v>
      </c>
      <c r="I626" s="8">
        <v>0</v>
      </c>
      <c r="J626" s="31">
        <v>0</v>
      </c>
      <c r="K626" s="31">
        <v>0</v>
      </c>
      <c r="L626" s="31">
        <v>0</v>
      </c>
      <c r="M626" s="31">
        <v>1</v>
      </c>
      <c r="N626" s="31">
        <v>0</v>
      </c>
      <c r="O626" s="31">
        <v>0</v>
      </c>
      <c r="P626" s="31">
        <v>0</v>
      </c>
      <c r="Q626" s="31">
        <v>0</v>
      </c>
      <c r="R626" s="31">
        <v>0</v>
      </c>
      <c r="S626" s="31">
        <v>0</v>
      </c>
      <c r="T626" s="21" cm="1">
        <f t="array" aca="1" ref="T626" ca="1">+fair_value_gap(OFFSET(S625,0,0,-1*$I$5,-1*$Z$1),OFFSET(E625,0,0,-1*$I$5,1),F626:S626,0)</f>
        <v>15.115339533535863</v>
      </c>
      <c r="U626" s="7" cm="1">
        <f t="array" aca="1" ref="U626" ca="1">z_score_diff(OFFSET(T626,0,0,$I$5*-1,1),OFFSET(E626,0,0,$I$5*-1,1))</f>
        <v>-0.38170809754204954</v>
      </c>
      <c r="V626" s="7">
        <f t="shared" ca="1" si="637"/>
        <v>-0.20191361637768662</v>
      </c>
      <c r="W626" s="14">
        <f t="shared" ca="1" si="632"/>
        <v>-1.1044751022804493E-2</v>
      </c>
      <c r="X626" s="10">
        <f t="shared" ref="X626:Y626" ca="1" si="681">+X625</f>
        <v>0</v>
      </c>
      <c r="Y626" s="10">
        <f t="shared" ca="1" si="681"/>
        <v>0</v>
      </c>
      <c r="Z626">
        <f t="shared" ca="1" si="639"/>
        <v>1</v>
      </c>
      <c r="AA626">
        <f t="shared" ca="1" si="640"/>
        <v>0</v>
      </c>
      <c r="AB626" s="19">
        <f t="shared" ca="1" si="641"/>
        <v>-1.1044751022804493E-2</v>
      </c>
      <c r="AC626" s="19">
        <f t="shared" ca="1" si="642"/>
        <v>0</v>
      </c>
    </row>
    <row r="627" spans="3:29" x14ac:dyDescent="0.25">
      <c r="C627" s="4">
        <v>620</v>
      </c>
      <c r="D627" s="28">
        <v>42887</v>
      </c>
      <c r="E627" s="30">
        <v>15.1</v>
      </c>
      <c r="F627" s="30">
        <v>45.161002586745163</v>
      </c>
      <c r="G627" s="30">
        <v>4.8612969405048618</v>
      </c>
      <c r="H627" s="30">
        <v>67.567567567567565</v>
      </c>
      <c r="I627" s="8">
        <v>0</v>
      </c>
      <c r="J627" s="31">
        <v>0</v>
      </c>
      <c r="K627" s="31">
        <v>0</v>
      </c>
      <c r="L627" s="31">
        <v>0</v>
      </c>
      <c r="M627" s="31">
        <v>0</v>
      </c>
      <c r="N627" s="31">
        <v>1</v>
      </c>
      <c r="O627" s="31">
        <v>0</v>
      </c>
      <c r="P627" s="31">
        <v>0</v>
      </c>
      <c r="Q627" s="31">
        <v>0</v>
      </c>
      <c r="R627" s="31">
        <v>0</v>
      </c>
      <c r="S627" s="31">
        <v>0</v>
      </c>
      <c r="T627" s="21" cm="1">
        <f t="array" aca="1" ref="T627" ca="1">+fair_value_gap(OFFSET(S626,0,0,-1*$I$5,-1*$Z$1),OFFSET(E626,0,0,-1*$I$5,1),F627:S627,0)</f>
        <v>17.13656745924202</v>
      </c>
      <c r="U627" s="7" cm="1">
        <f t="array" aca="1" ref="U627" ca="1">z_score_diff(OFFSET(T627,0,0,$I$5*-1,1),OFFSET(E627,0,0,$I$5*-1,1))</f>
        <v>0.61069638150097105</v>
      </c>
      <c r="V627" s="7">
        <f t="shared" ca="1" si="637"/>
        <v>-0.18098009617606153</v>
      </c>
      <c r="W627" s="14">
        <f t="shared" ca="1" si="632"/>
        <v>-8.3125998193655862E-3</v>
      </c>
      <c r="X627" s="10">
        <f t="shared" ref="X627:Y627" ca="1" si="682">+X626</f>
        <v>0</v>
      </c>
      <c r="Y627" s="10">
        <f t="shared" ca="1" si="682"/>
        <v>0</v>
      </c>
      <c r="Z627">
        <f t="shared" ca="1" si="639"/>
        <v>1</v>
      </c>
      <c r="AA627">
        <f t="shared" ca="1" si="640"/>
        <v>0</v>
      </c>
      <c r="AB627" s="19">
        <f t="shared" ca="1" si="641"/>
        <v>-8.3125998193655862E-3</v>
      </c>
      <c r="AC627" s="19">
        <f t="shared" ca="1" si="642"/>
        <v>0</v>
      </c>
    </row>
    <row r="628" spans="3:29" x14ac:dyDescent="0.25">
      <c r="C628" s="4">
        <v>621</v>
      </c>
      <c r="D628" s="28">
        <v>42888</v>
      </c>
      <c r="E628" s="30">
        <v>14.943</v>
      </c>
      <c r="F628" s="30">
        <v>44.281914893617028</v>
      </c>
      <c r="G628" s="30">
        <v>4.8315602836879439</v>
      </c>
      <c r="H628" s="30">
        <v>67.597517730496463</v>
      </c>
      <c r="I628" s="8">
        <v>0</v>
      </c>
      <c r="J628" s="31">
        <v>0</v>
      </c>
      <c r="K628" s="31">
        <v>0</v>
      </c>
      <c r="L628" s="31">
        <v>0</v>
      </c>
      <c r="M628" s="31">
        <v>0</v>
      </c>
      <c r="N628" s="31">
        <v>1</v>
      </c>
      <c r="O628" s="31">
        <v>0</v>
      </c>
      <c r="P628" s="31">
        <v>0</v>
      </c>
      <c r="Q628" s="31">
        <v>0</v>
      </c>
      <c r="R628" s="31">
        <v>0</v>
      </c>
      <c r="S628" s="31">
        <v>0</v>
      </c>
      <c r="T628" s="21" cm="1">
        <f t="array" aca="1" ref="T628" ca="1">+fair_value_gap(OFFSET(S627,0,0,-1*$I$5,-1*$Z$1),OFFSET(E627,0,0,-1*$I$5,1),F628:S628,0)</f>
        <v>16.794521153630992</v>
      </c>
      <c r="U628" s="7" cm="1">
        <f t="array" aca="1" ref="U628" ca="1">z_score_diff(OFFSET(T628,0,0,$I$5*-1,1),OFFSET(E628,0,0,$I$5*-1,1))</f>
        <v>0.52019910869348085</v>
      </c>
      <c r="V628" s="7">
        <f t="shared" ca="1" si="637"/>
        <v>-0.16092193331071383</v>
      </c>
      <c r="W628" s="14">
        <f t="shared" ca="1" si="632"/>
        <v>-6.9167250200216288E-3</v>
      </c>
      <c r="X628" s="10">
        <f t="shared" ref="X628:Y628" ca="1" si="683">+X627</f>
        <v>0</v>
      </c>
      <c r="Y628" s="10">
        <f t="shared" ca="1" si="683"/>
        <v>0</v>
      </c>
      <c r="Z628">
        <f t="shared" ca="1" si="639"/>
        <v>1</v>
      </c>
      <c r="AA628">
        <f t="shared" ca="1" si="640"/>
        <v>0</v>
      </c>
      <c r="AB628" s="19">
        <f t="shared" ca="1" si="641"/>
        <v>-6.9167250200216288E-3</v>
      </c>
      <c r="AC628" s="19">
        <f t="shared" ca="1" si="642"/>
        <v>0</v>
      </c>
    </row>
    <row r="629" spans="3:29" x14ac:dyDescent="0.25">
      <c r="C629" s="4">
        <v>622</v>
      </c>
      <c r="D629" s="28">
        <v>42891</v>
      </c>
      <c r="E629" s="30">
        <v>15.025</v>
      </c>
      <c r="F629" s="30">
        <v>43.96551724137931</v>
      </c>
      <c r="G629" s="30">
        <v>4.8702452897262711</v>
      </c>
      <c r="H629" s="30">
        <v>69.009953785993602</v>
      </c>
      <c r="I629" s="8">
        <v>0</v>
      </c>
      <c r="J629" s="31">
        <v>0</v>
      </c>
      <c r="K629" s="31">
        <v>0</v>
      </c>
      <c r="L629" s="31">
        <v>0</v>
      </c>
      <c r="M629" s="31">
        <v>0</v>
      </c>
      <c r="N629" s="31">
        <v>1</v>
      </c>
      <c r="O629" s="31">
        <v>0</v>
      </c>
      <c r="P629" s="31">
        <v>0</v>
      </c>
      <c r="Q629" s="31">
        <v>0</v>
      </c>
      <c r="R629" s="31">
        <v>0</v>
      </c>
      <c r="S629" s="31">
        <v>0</v>
      </c>
      <c r="T629" s="21" cm="1">
        <f t="array" aca="1" ref="T629" ca="1">+fair_value_gap(OFFSET(S628,0,0,-1*$I$5,-1*$Z$1),OFFSET(E628,0,0,-1*$I$5,1),F629:S629,0)</f>
        <v>16.718657473434806</v>
      </c>
      <c r="U629" s="7" cm="1">
        <f t="array" aca="1" ref="U629" ca="1">z_score_diff(OFFSET(T629,0,0,$I$5*-1,1),OFFSET(E629,0,0,$I$5*-1,1))</f>
        <v>0.44900151795944898</v>
      </c>
      <c r="V629" s="7">
        <f t="shared" ca="1" si="637"/>
        <v>-0.14889672001419504</v>
      </c>
      <c r="W629" s="14">
        <f t="shared" ca="1" si="632"/>
        <v>6.5674056074150697E-3</v>
      </c>
      <c r="X629" s="10">
        <f t="shared" ref="X629:Y629" ca="1" si="684">+X628</f>
        <v>0</v>
      </c>
      <c r="Y629" s="10">
        <f t="shared" ca="1" si="684"/>
        <v>0</v>
      </c>
      <c r="Z629">
        <f t="shared" ca="1" si="639"/>
        <v>1</v>
      </c>
      <c r="AA629">
        <f t="shared" ca="1" si="640"/>
        <v>0</v>
      </c>
      <c r="AB629" s="19">
        <f t="shared" ca="1" si="641"/>
        <v>6.5674056074150697E-3</v>
      </c>
      <c r="AC629" s="19">
        <f t="shared" ca="1" si="642"/>
        <v>0</v>
      </c>
    </row>
    <row r="630" spans="3:29" x14ac:dyDescent="0.25">
      <c r="C630" s="4">
        <v>623</v>
      </c>
      <c r="D630" s="28">
        <v>42892</v>
      </c>
      <c r="E630" s="30">
        <v>14.846</v>
      </c>
      <c r="F630" s="30">
        <v>44.452328159645234</v>
      </c>
      <c r="G630" s="30">
        <v>4.8647450110864749</v>
      </c>
      <c r="H630" s="30">
        <v>68.91352549889136</v>
      </c>
      <c r="I630" s="8">
        <v>0</v>
      </c>
      <c r="J630" s="31">
        <v>0</v>
      </c>
      <c r="K630" s="31">
        <v>0</v>
      </c>
      <c r="L630" s="31">
        <v>0</v>
      </c>
      <c r="M630" s="31">
        <v>0</v>
      </c>
      <c r="N630" s="31">
        <v>1</v>
      </c>
      <c r="O630" s="31">
        <v>0</v>
      </c>
      <c r="P630" s="31">
        <v>0</v>
      </c>
      <c r="Q630" s="31">
        <v>0</v>
      </c>
      <c r="R630" s="31">
        <v>0</v>
      </c>
      <c r="S630" s="31">
        <v>0</v>
      </c>
      <c r="T630" s="21" cm="1">
        <f t="array" aca="1" ref="T630" ca="1">+fair_value_gap(OFFSET(S629,0,0,-1*$I$5,-1*$Z$1),OFFSET(E629,0,0,-1*$I$5,1),F630:S630,0)</f>
        <v>16.426876014739861</v>
      </c>
      <c r="U630" s="7" cm="1">
        <f t="array" aca="1" ref="U630" ca="1">z_score_diff(OFFSET(T630,0,0,$I$5*-1,1),OFFSET(E630,0,0,$I$5*-1,1))</f>
        <v>0.38913508580086109</v>
      </c>
      <c r="V630" s="7">
        <f t="shared" ca="1" si="637"/>
        <v>-0.13712735884240074</v>
      </c>
      <c r="W630" s="14">
        <f t="shared" ca="1" si="632"/>
        <v>7.2483538823685549E-3</v>
      </c>
      <c r="X630" s="10">
        <f t="shared" ref="X630:Y630" ca="1" si="685">+X629</f>
        <v>0</v>
      </c>
      <c r="Y630" s="10">
        <f t="shared" ca="1" si="685"/>
        <v>0</v>
      </c>
      <c r="Z630">
        <f t="shared" ca="1" si="639"/>
        <v>1</v>
      </c>
      <c r="AA630">
        <f t="shared" ca="1" si="640"/>
        <v>0</v>
      </c>
      <c r="AB630" s="19">
        <f t="shared" ca="1" si="641"/>
        <v>7.2483538823685549E-3</v>
      </c>
      <c r="AC630" s="19">
        <f t="shared" ca="1" si="642"/>
        <v>0</v>
      </c>
    </row>
    <row r="631" spans="3:29" x14ac:dyDescent="0.25">
      <c r="C631" s="4">
        <v>624</v>
      </c>
      <c r="D631" s="28">
        <v>42893</v>
      </c>
      <c r="E631" s="30">
        <v>14.925000000000001</v>
      </c>
      <c r="F631" s="30">
        <v>42.701021768103068</v>
      </c>
      <c r="G631" s="30">
        <v>4.8733896046201695</v>
      </c>
      <c r="H631" s="30">
        <v>70.501999111505995</v>
      </c>
      <c r="I631" s="8">
        <v>0</v>
      </c>
      <c r="J631" s="31">
        <v>0</v>
      </c>
      <c r="K631" s="31">
        <v>0</v>
      </c>
      <c r="L631" s="31">
        <v>0</v>
      </c>
      <c r="M631" s="31">
        <v>0</v>
      </c>
      <c r="N631" s="31">
        <v>1</v>
      </c>
      <c r="O631" s="31">
        <v>0</v>
      </c>
      <c r="P631" s="31">
        <v>0</v>
      </c>
      <c r="Q631" s="31">
        <v>0</v>
      </c>
      <c r="R631" s="31">
        <v>0</v>
      </c>
      <c r="S631" s="31">
        <v>0</v>
      </c>
      <c r="T631" s="21" cm="1">
        <f t="array" aca="1" ref="T631" ca="1">+fair_value_gap(OFFSET(S630,0,0,-1*$I$5,-1*$Z$1),OFFSET(E630,0,0,-1*$I$5,1),F631:S631,0)</f>
        <v>16.357461474551652</v>
      </c>
      <c r="U631" s="7" cm="1">
        <f t="array" aca="1" ref="U631" ca="1">z_score_diff(OFFSET(T631,0,0,$I$5*-1,1),OFFSET(E631,0,0,$I$5*-1,1))</f>
        <v>0.32154314052185762</v>
      </c>
      <c r="V631" s="7">
        <f t="shared" ca="1" si="637"/>
        <v>-0.12610461903699927</v>
      </c>
      <c r="W631" s="14">
        <f t="shared" ca="1" si="632"/>
        <v>1.6067486887114178E-3</v>
      </c>
      <c r="X631" s="10">
        <f t="shared" ref="X631:Y631" ca="1" si="686">+X630</f>
        <v>0</v>
      </c>
      <c r="Y631" s="10">
        <f t="shared" ca="1" si="686"/>
        <v>0</v>
      </c>
      <c r="Z631">
        <f t="shared" ca="1" si="639"/>
        <v>1</v>
      </c>
      <c r="AA631">
        <f t="shared" ca="1" si="640"/>
        <v>0</v>
      </c>
      <c r="AB631" s="19">
        <f t="shared" ca="1" si="641"/>
        <v>1.6067486887114178E-3</v>
      </c>
      <c r="AC631" s="19">
        <f t="shared" ca="1" si="642"/>
        <v>0</v>
      </c>
    </row>
    <row r="632" spans="3:29" x14ac:dyDescent="0.25">
      <c r="C632" s="4">
        <v>625</v>
      </c>
      <c r="D632" s="28">
        <v>42894</v>
      </c>
      <c r="E632" s="30">
        <v>15.285</v>
      </c>
      <c r="F632" s="30">
        <v>42.68640742062076</v>
      </c>
      <c r="G632" s="30">
        <v>4.8831608990367465</v>
      </c>
      <c r="H632" s="30">
        <v>72.154834106314667</v>
      </c>
      <c r="I632" s="8">
        <v>0</v>
      </c>
      <c r="J632" s="31">
        <v>0</v>
      </c>
      <c r="K632" s="31">
        <v>0</v>
      </c>
      <c r="L632" s="31">
        <v>0</v>
      </c>
      <c r="M632" s="31">
        <v>0</v>
      </c>
      <c r="N632" s="31">
        <v>1</v>
      </c>
      <c r="O632" s="31">
        <v>0</v>
      </c>
      <c r="P632" s="31">
        <v>0</v>
      </c>
      <c r="Q632" s="31">
        <v>0</v>
      </c>
      <c r="R632" s="31">
        <v>0</v>
      </c>
      <c r="S632" s="31">
        <v>0</v>
      </c>
      <c r="T632" s="21" cm="1">
        <f t="array" aca="1" ref="T632" ca="1">+fair_value_gap(OFFSET(S631,0,0,-1*$I$5,-1*$Z$1),OFFSET(E631,0,0,-1*$I$5,1),F632:S632,0)</f>
        <v>16.289168748688908</v>
      </c>
      <c r="U632" s="7" cm="1">
        <f t="array" aca="1" ref="U632" ca="1">z_score_diff(OFFSET(T632,0,0,$I$5*-1,1),OFFSET(E632,0,0,$I$5*-1,1))</f>
        <v>0.1360926045738102</v>
      </c>
      <c r="V632" s="7">
        <f t="shared" ca="1" si="637"/>
        <v>-0.12511468920470531</v>
      </c>
      <c r="W632" s="14">
        <f t="shared" ca="1" si="632"/>
        <v>-1.8621774237921537E-2</v>
      </c>
      <c r="X632" s="10">
        <f t="shared" ref="X632:Y632" ca="1" si="687">+X631</f>
        <v>0</v>
      </c>
      <c r="Y632" s="10">
        <f t="shared" ca="1" si="687"/>
        <v>0</v>
      </c>
      <c r="Z632">
        <f t="shared" ca="1" si="639"/>
        <v>1</v>
      </c>
      <c r="AA632">
        <f t="shared" ca="1" si="640"/>
        <v>0</v>
      </c>
      <c r="AB632" s="19">
        <f t="shared" ca="1" si="641"/>
        <v>-1.8621774237921537E-2</v>
      </c>
      <c r="AC632" s="19">
        <f t="shared" ca="1" si="642"/>
        <v>0</v>
      </c>
    </row>
    <row r="633" spans="3:29" x14ac:dyDescent="0.25">
      <c r="C633" s="4">
        <v>626</v>
      </c>
      <c r="D633" s="28">
        <v>42895</v>
      </c>
      <c r="E633" s="30">
        <v>15.002000000000001</v>
      </c>
      <c r="F633" s="30">
        <v>43.021801286633313</v>
      </c>
      <c r="G633" s="30">
        <v>4.8918870621872763</v>
      </c>
      <c r="H633" s="30">
        <v>72.194424588992135</v>
      </c>
      <c r="I633" s="8">
        <v>0</v>
      </c>
      <c r="J633" s="31">
        <v>0</v>
      </c>
      <c r="K633" s="31">
        <v>0</v>
      </c>
      <c r="L633" s="31">
        <v>0</v>
      </c>
      <c r="M633" s="31">
        <v>0</v>
      </c>
      <c r="N633" s="31">
        <v>1</v>
      </c>
      <c r="O633" s="31">
        <v>0</v>
      </c>
      <c r="P633" s="31">
        <v>0</v>
      </c>
      <c r="Q633" s="31">
        <v>0</v>
      </c>
      <c r="R633" s="31">
        <v>0</v>
      </c>
      <c r="S633" s="31">
        <v>0</v>
      </c>
      <c r="T633" s="21" cm="1">
        <f t="array" aca="1" ref="T633" ca="1">+fair_value_gap(OFFSET(S632,0,0,-1*$I$5,-1*$Z$1),OFFSET(E632,0,0,-1*$I$5,1),F633:S633,0)</f>
        <v>16.128744684778688</v>
      </c>
      <c r="U633" s="7" cm="1">
        <f t="array" aca="1" ref="U633" ca="1">z_score_diff(OFFSET(T633,0,0,$I$5*-1,1),OFFSET(E633,0,0,$I$5*-1,1))</f>
        <v>0.17924641346588444</v>
      </c>
      <c r="V633" s="7">
        <f t="shared" ca="1" si="637"/>
        <v>-0.11917366232851659</v>
      </c>
      <c r="W633" s="14">
        <f t="shared" ca="1" si="632"/>
        <v>-1.5179282650505778E-2</v>
      </c>
      <c r="X633" s="10">
        <f t="shared" ref="X633:Y633" ca="1" si="688">+X632</f>
        <v>0</v>
      </c>
      <c r="Y633" s="10">
        <f t="shared" ca="1" si="688"/>
        <v>0</v>
      </c>
      <c r="Z633">
        <f t="shared" ca="1" si="639"/>
        <v>1</v>
      </c>
      <c r="AA633">
        <f t="shared" ca="1" si="640"/>
        <v>0</v>
      </c>
      <c r="AB633" s="19">
        <f t="shared" ca="1" si="641"/>
        <v>-1.5179282650505778E-2</v>
      </c>
      <c r="AC633" s="19">
        <f t="shared" ca="1" si="642"/>
        <v>0</v>
      </c>
    </row>
    <row r="634" spans="3:29" x14ac:dyDescent="0.25">
      <c r="C634" s="4">
        <v>627</v>
      </c>
      <c r="D634" s="28">
        <v>42898</v>
      </c>
      <c r="E634" s="30">
        <v>14.794</v>
      </c>
      <c r="F634" s="30">
        <v>43.116071428571423</v>
      </c>
      <c r="G634" s="30">
        <v>4.8928571428571423</v>
      </c>
      <c r="H634" s="30">
        <v>71.294642857142847</v>
      </c>
      <c r="I634" s="8">
        <v>0</v>
      </c>
      <c r="J634" s="31">
        <v>0</v>
      </c>
      <c r="K634" s="31">
        <v>0</v>
      </c>
      <c r="L634" s="31">
        <v>0</v>
      </c>
      <c r="M634" s="31">
        <v>0</v>
      </c>
      <c r="N634" s="31">
        <v>1</v>
      </c>
      <c r="O634" s="31">
        <v>0</v>
      </c>
      <c r="P634" s="31">
        <v>0</v>
      </c>
      <c r="Q634" s="31">
        <v>0</v>
      </c>
      <c r="R634" s="31">
        <v>0</v>
      </c>
      <c r="S634" s="31">
        <v>0</v>
      </c>
      <c r="T634" s="21" cm="1">
        <f t="array" aca="1" ref="T634" ca="1">+fair_value_gap(OFFSET(S633,0,0,-1*$I$5,-1*$Z$1),OFFSET(E633,0,0,-1*$I$5,1),F634:S634,0)</f>
        <v>15.885452509355074</v>
      </c>
      <c r="U634" s="7" cm="1">
        <f t="array" aca="1" ref="U634" ca="1">z_score_diff(OFFSET(T634,0,0,$I$5*-1,1),OFFSET(E634,0,0,$I$5*-1,1))</f>
        <v>0.15153565552077147</v>
      </c>
      <c r="V634" s="7">
        <f t="shared" ca="1" si="637"/>
        <v>-0.10923139709066867</v>
      </c>
      <c r="W634" s="14">
        <f t="shared" ca="1" si="632"/>
        <v>-1.3405665017235002E-2</v>
      </c>
      <c r="X634" s="10">
        <f t="shared" ref="X634:Y634" ca="1" si="689">+X633</f>
        <v>0</v>
      </c>
      <c r="Y634" s="10">
        <f t="shared" ca="1" si="689"/>
        <v>0</v>
      </c>
      <c r="Z634">
        <f t="shared" ca="1" si="639"/>
        <v>1</v>
      </c>
      <c r="AA634">
        <f t="shared" ca="1" si="640"/>
        <v>0</v>
      </c>
      <c r="AB634" s="19">
        <f t="shared" ca="1" si="641"/>
        <v>-1.3405665017235002E-2</v>
      </c>
      <c r="AC634" s="19">
        <f t="shared" ca="1" si="642"/>
        <v>0</v>
      </c>
    </row>
    <row r="635" spans="3:29" x14ac:dyDescent="0.25">
      <c r="C635" s="4">
        <v>628</v>
      </c>
      <c r="D635" s="28">
        <v>42899</v>
      </c>
      <c r="E635" s="30">
        <v>14.670999999999999</v>
      </c>
      <c r="F635" s="30">
        <v>43.445692883895134</v>
      </c>
      <c r="G635" s="30">
        <v>4.8867487069734263</v>
      </c>
      <c r="H635" s="30">
        <v>70.492241840556446</v>
      </c>
      <c r="I635" s="8">
        <v>0</v>
      </c>
      <c r="J635" s="31">
        <v>0</v>
      </c>
      <c r="K635" s="31">
        <v>0</v>
      </c>
      <c r="L635" s="31">
        <v>0</v>
      </c>
      <c r="M635" s="31">
        <v>0</v>
      </c>
      <c r="N635" s="31">
        <v>1</v>
      </c>
      <c r="O635" s="31">
        <v>0</v>
      </c>
      <c r="P635" s="31">
        <v>0</v>
      </c>
      <c r="Q635" s="31">
        <v>0</v>
      </c>
      <c r="R635" s="31">
        <v>0</v>
      </c>
      <c r="S635" s="31">
        <v>0</v>
      </c>
      <c r="T635" s="21" cm="1">
        <f t="array" aca="1" ref="T635" ca="1">+fair_value_gap(OFFSET(S634,0,0,-1*$I$5,-1*$Z$1),OFFSET(E634,0,0,-1*$I$5,1),F635:S635,0)</f>
        <v>15.648284663302764</v>
      </c>
      <c r="U635" s="7" cm="1">
        <f t="array" aca="1" ref="U635" ca="1">z_score_diff(OFFSET(T635,0,0,$I$5*-1,1),OFFSET(E635,0,0,$I$5*-1,1))</f>
        <v>9.1140712684970371E-2</v>
      </c>
      <c r="V635" s="7">
        <f t="shared" ca="1" si="637"/>
        <v>-0.10032400716542611</v>
      </c>
      <c r="W635" s="14">
        <f t="shared" ca="1" si="632"/>
        <v>-1.4417385524851825E-2</v>
      </c>
      <c r="X635" s="10">
        <f t="shared" ref="X635:Y635" ca="1" si="690">+X634</f>
        <v>0</v>
      </c>
      <c r="Y635" s="10">
        <f t="shared" ca="1" si="690"/>
        <v>0</v>
      </c>
      <c r="Z635">
        <f t="shared" ca="1" si="639"/>
        <v>1</v>
      </c>
      <c r="AA635">
        <f t="shared" ca="1" si="640"/>
        <v>0</v>
      </c>
      <c r="AB635" s="19">
        <f t="shared" ca="1" si="641"/>
        <v>-1.4417385524851825E-2</v>
      </c>
      <c r="AC635" s="19">
        <f t="shared" ca="1" si="642"/>
        <v>0</v>
      </c>
    </row>
    <row r="636" spans="3:29" x14ac:dyDescent="0.25">
      <c r="C636" s="4">
        <v>629</v>
      </c>
      <c r="D636" s="28">
        <v>42900</v>
      </c>
      <c r="E636" s="30">
        <v>14.7</v>
      </c>
      <c r="F636" s="30">
        <v>41.900686458054743</v>
      </c>
      <c r="G636" s="30">
        <v>4.8854417402157448</v>
      </c>
      <c r="H636" s="30">
        <v>69.225283052509596</v>
      </c>
      <c r="I636" s="8">
        <v>0</v>
      </c>
      <c r="J636" s="31">
        <v>0</v>
      </c>
      <c r="K636" s="31">
        <v>0</v>
      </c>
      <c r="L636" s="31">
        <v>0</v>
      </c>
      <c r="M636" s="31">
        <v>0</v>
      </c>
      <c r="N636" s="31">
        <v>1</v>
      </c>
      <c r="O636" s="31">
        <v>0</v>
      </c>
      <c r="P636" s="31">
        <v>0</v>
      </c>
      <c r="Q636" s="31">
        <v>0</v>
      </c>
      <c r="R636" s="31">
        <v>0</v>
      </c>
      <c r="S636" s="31">
        <v>0</v>
      </c>
      <c r="T636" s="21" cm="1">
        <f t="array" aca="1" ref="T636" ca="1">+fair_value_gap(OFFSET(S635,0,0,-1*$I$5,-1*$Z$1),OFFSET(E635,0,0,-1*$I$5,1),F636:S636,0)</f>
        <v>15.348779760683724</v>
      </c>
      <c r="U636" s="7" cm="1">
        <f t="array" aca="1" ref="U636" ca="1">z_score_diff(OFFSET(T636,0,0,$I$5*-1,1),OFFSET(E636,0,0,$I$5*-1,1))</f>
        <v>-6.0420341822217116E-2</v>
      </c>
      <c r="V636" s="7">
        <f t="shared" ca="1" si="637"/>
        <v>-9.0807610000929712E-2</v>
      </c>
      <c r="W636" s="14">
        <f t="shared" ca="1" si="632"/>
        <v>-1.583906402974607E-2</v>
      </c>
      <c r="X636" s="10">
        <f t="shared" ref="X636:Y636" ca="1" si="691">+X635</f>
        <v>0</v>
      </c>
      <c r="Y636" s="10">
        <f t="shared" ca="1" si="691"/>
        <v>0</v>
      </c>
      <c r="Z636">
        <f t="shared" ca="1" si="639"/>
        <v>1</v>
      </c>
      <c r="AA636">
        <f t="shared" ca="1" si="640"/>
        <v>0</v>
      </c>
      <c r="AB636" s="19">
        <f t="shared" ca="1" si="641"/>
        <v>-1.583906402974607E-2</v>
      </c>
      <c r="AC636" s="19">
        <f t="shared" ca="1" si="642"/>
        <v>0</v>
      </c>
    </row>
    <row r="637" spans="3:29" x14ac:dyDescent="0.25">
      <c r="C637" s="4">
        <v>630</v>
      </c>
      <c r="D637" s="28">
        <v>42901</v>
      </c>
      <c r="E637" s="30">
        <v>14.583</v>
      </c>
      <c r="F637" s="30">
        <v>42.107152472404202</v>
      </c>
      <c r="G637" s="30">
        <v>4.9178856681324596</v>
      </c>
      <c r="H637" s="30">
        <v>70.358072332405996</v>
      </c>
      <c r="I637" s="8">
        <v>0</v>
      </c>
      <c r="J637" s="31">
        <v>0</v>
      </c>
      <c r="K637" s="31">
        <v>0</v>
      </c>
      <c r="L637" s="31">
        <v>0</v>
      </c>
      <c r="M637" s="31">
        <v>0</v>
      </c>
      <c r="N637" s="31">
        <v>1</v>
      </c>
      <c r="O637" s="31">
        <v>0</v>
      </c>
      <c r="P637" s="31">
        <v>0</v>
      </c>
      <c r="Q637" s="31">
        <v>0</v>
      </c>
      <c r="R637" s="31">
        <v>0</v>
      </c>
      <c r="S637" s="31">
        <v>0</v>
      </c>
      <c r="T637" s="21" cm="1">
        <f t="array" aca="1" ref="T637" ca="1">+fair_value_gap(OFFSET(S636,0,0,-1*$I$5,-1*$Z$1),OFFSET(E636,0,0,-1*$I$5,1),F637:S637,0)</f>
        <v>15.392862896145274</v>
      </c>
      <c r="U637" s="7" cm="1">
        <f t="array" aca="1" ref="U637" ca="1">z_score_diff(OFFSET(T637,0,0,$I$5*-1,1),OFFSET(E637,0,0,$I$5*-1,1))</f>
        <v>7.7393147757393033E-3</v>
      </c>
      <c r="V637" s="7">
        <f t="shared" ca="1" si="637"/>
        <v>-7.3203210336495531E-2</v>
      </c>
      <c r="W637" s="14">
        <f t="shared" ca="1" si="632"/>
        <v>1.1650619828626871E-3</v>
      </c>
      <c r="X637" s="10">
        <f t="shared" ref="X637:Y637" ca="1" si="692">+X636</f>
        <v>0</v>
      </c>
      <c r="Y637" s="10">
        <f t="shared" ca="1" si="692"/>
        <v>0</v>
      </c>
      <c r="Z637">
        <f t="shared" ca="1" si="639"/>
        <v>1</v>
      </c>
      <c r="AA637">
        <f t="shared" ca="1" si="640"/>
        <v>0</v>
      </c>
      <c r="AB637" s="19">
        <f t="shared" ca="1" si="641"/>
        <v>1.1650619828626871E-3</v>
      </c>
      <c r="AC637" s="19">
        <f t="shared" ca="1" si="642"/>
        <v>0</v>
      </c>
    </row>
    <row r="638" spans="3:29" x14ac:dyDescent="0.25">
      <c r="C638" s="4">
        <v>631</v>
      </c>
      <c r="D638" s="28">
        <v>42902</v>
      </c>
      <c r="E638" s="30">
        <v>14.599</v>
      </c>
      <c r="F638" s="30">
        <v>42.305974814682507</v>
      </c>
      <c r="G638" s="30">
        <v>4.8673751897829778</v>
      </c>
      <c r="H638" s="30">
        <v>69.974100205412171</v>
      </c>
      <c r="I638" s="8">
        <v>0</v>
      </c>
      <c r="J638" s="31">
        <v>0</v>
      </c>
      <c r="K638" s="31">
        <v>0</v>
      </c>
      <c r="L638" s="31">
        <v>0</v>
      </c>
      <c r="M638" s="31">
        <v>0</v>
      </c>
      <c r="N638" s="31">
        <v>1</v>
      </c>
      <c r="O638" s="31">
        <v>0</v>
      </c>
      <c r="P638" s="31">
        <v>0</v>
      </c>
      <c r="Q638" s="31">
        <v>0</v>
      </c>
      <c r="R638" s="31">
        <v>0</v>
      </c>
      <c r="S638" s="31">
        <v>0</v>
      </c>
      <c r="T638" s="21" cm="1">
        <f t="array" aca="1" ref="T638" ca="1">+fair_value_gap(OFFSET(S637,0,0,-1*$I$5,-1*$Z$1),OFFSET(E637,0,0,-1*$I$5,1),F638:S638,0)</f>
        <v>15.188484331194358</v>
      </c>
      <c r="U638" s="7" cm="1">
        <f t="array" aca="1" ref="U638" ca="1">z_score_diff(OFFSET(T638,0,0,$I$5*-1,1),OFFSET(E638,0,0,$I$5*-1,1))</f>
        <v>-9.2708680591662374E-2</v>
      </c>
      <c r="V638" s="7">
        <f t="shared" ca="1" si="637"/>
        <v>-5.9216102119830784E-2</v>
      </c>
      <c r="W638" s="14">
        <f t="shared" ca="1" si="632"/>
        <v>2.4628869260063854E-3</v>
      </c>
      <c r="X638" s="10">
        <f t="shared" ref="X638:Y638" ca="1" si="693">+X637</f>
        <v>0</v>
      </c>
      <c r="Y638" s="10">
        <f t="shared" ca="1" si="693"/>
        <v>0</v>
      </c>
      <c r="Z638">
        <f t="shared" ca="1" si="639"/>
        <v>1</v>
      </c>
      <c r="AA638">
        <f t="shared" ca="1" si="640"/>
        <v>0</v>
      </c>
      <c r="AB638" s="19">
        <f t="shared" ca="1" si="641"/>
        <v>2.4628869260063854E-3</v>
      </c>
      <c r="AC638" s="19">
        <f t="shared" ca="1" si="642"/>
        <v>0</v>
      </c>
    </row>
    <row r="639" spans="3:29" x14ac:dyDescent="0.25">
      <c r="C639" s="4">
        <v>632</v>
      </c>
      <c r="D639" s="28">
        <v>42905</v>
      </c>
      <c r="E639" s="30">
        <v>14.755000000000001</v>
      </c>
      <c r="F639" s="30">
        <v>42.079296734840327</v>
      </c>
      <c r="G639" s="30">
        <v>4.8887692859705778</v>
      </c>
      <c r="H639" s="30">
        <v>70.595622533189811</v>
      </c>
      <c r="I639" s="8">
        <v>0</v>
      </c>
      <c r="J639" s="31">
        <v>0</v>
      </c>
      <c r="K639" s="31">
        <v>0</v>
      </c>
      <c r="L639" s="31">
        <v>0</v>
      </c>
      <c r="M639" s="31">
        <v>0</v>
      </c>
      <c r="N639" s="31">
        <v>1</v>
      </c>
      <c r="O639" s="31">
        <v>0</v>
      </c>
      <c r="P639" s="31">
        <v>0</v>
      </c>
      <c r="Q639" s="31">
        <v>0</v>
      </c>
      <c r="R639" s="31">
        <v>0</v>
      </c>
      <c r="S639" s="31">
        <v>0</v>
      </c>
      <c r="T639" s="21" cm="1">
        <f t="array" aca="1" ref="T639" ca="1">+fair_value_gap(OFFSET(S638,0,0,-1*$I$5,-1*$Z$1),OFFSET(E638,0,0,-1*$I$5,1),F639:S639,0)</f>
        <v>15.189780721542308</v>
      </c>
      <c r="U639" s="7" cm="1">
        <f t="array" aca="1" ref="U639" ca="1">z_score_diff(OFFSET(T639,0,0,$I$5*-1,1),OFFSET(E639,0,0,$I$5*-1,1))</f>
        <v>-0.15745372625836673</v>
      </c>
      <c r="V639" s="7">
        <f t="shared" ca="1" si="637"/>
        <v>-4.4577672662360276E-2</v>
      </c>
      <c r="W639" s="14">
        <f t="shared" ca="1" si="632"/>
        <v>7.8309993116438634E-3</v>
      </c>
      <c r="X639" s="10">
        <f t="shared" ref="X639:Y639" ca="1" si="694">+X638</f>
        <v>0</v>
      </c>
      <c r="Y639" s="10">
        <f t="shared" ca="1" si="694"/>
        <v>0</v>
      </c>
      <c r="Z639">
        <f t="shared" ca="1" si="639"/>
        <v>1</v>
      </c>
      <c r="AA639">
        <f t="shared" ca="1" si="640"/>
        <v>0</v>
      </c>
      <c r="AB639" s="19">
        <f t="shared" ca="1" si="641"/>
        <v>7.8309993116438634E-3</v>
      </c>
      <c r="AC639" s="19">
        <f t="shared" ca="1" si="642"/>
        <v>0</v>
      </c>
    </row>
    <row r="640" spans="3:29" x14ac:dyDescent="0.25">
      <c r="C640" s="4">
        <v>633</v>
      </c>
      <c r="D640" s="28">
        <v>42906</v>
      </c>
      <c r="E640" s="30">
        <v>14.794</v>
      </c>
      <c r="F640" s="30">
        <v>41.332854320100594</v>
      </c>
      <c r="G640" s="30">
        <v>4.9353332135800256</v>
      </c>
      <c r="H640" s="30">
        <v>69.920962816597807</v>
      </c>
      <c r="I640" s="8">
        <v>0</v>
      </c>
      <c r="J640" s="31">
        <v>0</v>
      </c>
      <c r="K640" s="31">
        <v>0</v>
      </c>
      <c r="L640" s="31">
        <v>0</v>
      </c>
      <c r="M640" s="31">
        <v>0</v>
      </c>
      <c r="N640" s="31">
        <v>1</v>
      </c>
      <c r="O640" s="31">
        <v>0</v>
      </c>
      <c r="P640" s="31">
        <v>0</v>
      </c>
      <c r="Q640" s="31">
        <v>0</v>
      </c>
      <c r="R640" s="31">
        <v>0</v>
      </c>
      <c r="S640" s="31">
        <v>0</v>
      </c>
      <c r="T640" s="21" cm="1">
        <f t="array" aca="1" ref="T640" ca="1">+fair_value_gap(OFFSET(S639,0,0,-1*$I$5,-1*$Z$1),OFFSET(E639,0,0,-1*$I$5,1),F640:S640,0)</f>
        <v>15.057998546968888</v>
      </c>
      <c r="U640" s="7" cm="1">
        <f t="array" aca="1" ref="U640" ca="1">z_score_diff(OFFSET(T640,0,0,$I$5*-1,1),OFFSET(E640,0,0,$I$5*-1,1))</f>
        <v>-0.23383223542615483</v>
      </c>
      <c r="V640" s="7">
        <f t="shared" ca="1" si="637"/>
        <v>-3.2025380017653794E-2</v>
      </c>
      <c r="W640" s="14">
        <f t="shared" ca="1" si="632"/>
        <v>-3.65680640448536E-3</v>
      </c>
      <c r="X640" s="10">
        <f t="shared" ref="X640:Y640" ca="1" si="695">+X639</f>
        <v>0</v>
      </c>
      <c r="Y640" s="10">
        <f t="shared" ca="1" si="695"/>
        <v>0</v>
      </c>
      <c r="Z640">
        <f t="shared" ca="1" si="639"/>
        <v>1</v>
      </c>
      <c r="AA640">
        <f t="shared" ca="1" si="640"/>
        <v>0</v>
      </c>
      <c r="AB640" s="19">
        <f t="shared" ca="1" si="641"/>
        <v>-3.65680640448536E-3</v>
      </c>
      <c r="AC640" s="19">
        <f t="shared" ca="1" si="642"/>
        <v>0</v>
      </c>
    </row>
    <row r="641" spans="3:29" x14ac:dyDescent="0.25">
      <c r="C641" s="4">
        <v>634</v>
      </c>
      <c r="D641" s="28">
        <v>42907</v>
      </c>
      <c r="E641" s="30">
        <v>14.733000000000001</v>
      </c>
      <c r="F641" s="30">
        <v>40.139709833422891</v>
      </c>
      <c r="G641" s="30">
        <v>4.9211893247358054</v>
      </c>
      <c r="H641" s="30">
        <v>69.944474296972942</v>
      </c>
      <c r="I641" s="8">
        <v>0</v>
      </c>
      <c r="J641" s="31">
        <v>0</v>
      </c>
      <c r="K641" s="31">
        <v>0</v>
      </c>
      <c r="L641" s="31">
        <v>0</v>
      </c>
      <c r="M641" s="31">
        <v>0</v>
      </c>
      <c r="N641" s="31">
        <v>1</v>
      </c>
      <c r="O641" s="31">
        <v>0</v>
      </c>
      <c r="P641" s="31">
        <v>0</v>
      </c>
      <c r="Q641" s="31">
        <v>0</v>
      </c>
      <c r="R641" s="31">
        <v>0</v>
      </c>
      <c r="S641" s="31">
        <v>0</v>
      </c>
      <c r="T641" s="21" cm="1">
        <f t="array" aca="1" ref="T641" ca="1">+fair_value_gap(OFFSET(S640,0,0,-1*$I$5,-1*$Z$1),OFFSET(E640,0,0,-1*$I$5,1),F641:S641,0)</f>
        <v>14.966681711144794</v>
      </c>
      <c r="U641" s="7" cm="1">
        <f t="array" aca="1" ref="U641" ca="1">z_score_diff(OFFSET(T641,0,0,$I$5*-1,1),OFFSET(E641,0,0,$I$5*-1,1))</f>
        <v>-0.24288643662619203</v>
      </c>
      <c r="V641" s="7">
        <f t="shared" ca="1" si="637"/>
        <v>-1.2653727697176109E-2</v>
      </c>
      <c r="W641" s="14">
        <f t="shared" ca="1" si="632"/>
        <v>2.8466875669446957E-3</v>
      </c>
      <c r="X641" s="10">
        <f t="shared" ref="X641:Y641" ca="1" si="696">+X640</f>
        <v>0</v>
      </c>
      <c r="Y641" s="10">
        <f t="shared" ca="1" si="696"/>
        <v>0</v>
      </c>
      <c r="Z641">
        <f t="shared" ca="1" si="639"/>
        <v>1</v>
      </c>
      <c r="AA641">
        <f t="shared" ca="1" si="640"/>
        <v>0</v>
      </c>
      <c r="AB641" s="19">
        <f t="shared" ca="1" si="641"/>
        <v>2.8466875669446957E-3</v>
      </c>
      <c r="AC641" s="19">
        <f t="shared" ca="1" si="642"/>
        <v>0</v>
      </c>
    </row>
    <row r="642" spans="3:29" x14ac:dyDescent="0.25">
      <c r="C642" s="4">
        <v>635</v>
      </c>
      <c r="D642" s="28">
        <v>42908</v>
      </c>
      <c r="E642" s="30">
        <v>14.619</v>
      </c>
      <c r="F642" s="30">
        <v>40.55605381165919</v>
      </c>
      <c r="G642" s="30">
        <v>4.928251121076233</v>
      </c>
      <c r="H642" s="30">
        <v>69.775784753363226</v>
      </c>
      <c r="I642" s="8">
        <v>0</v>
      </c>
      <c r="J642" s="31">
        <v>0</v>
      </c>
      <c r="K642" s="31">
        <v>0</v>
      </c>
      <c r="L642" s="31">
        <v>0</v>
      </c>
      <c r="M642" s="31">
        <v>0</v>
      </c>
      <c r="N642" s="31">
        <v>1</v>
      </c>
      <c r="O642" s="31">
        <v>0</v>
      </c>
      <c r="P642" s="31">
        <v>0</v>
      </c>
      <c r="Q642" s="31">
        <v>0</v>
      </c>
      <c r="R642" s="31">
        <v>0</v>
      </c>
      <c r="S642" s="31">
        <v>0</v>
      </c>
      <c r="T642" s="21" cm="1">
        <f t="array" aca="1" ref="T642" ca="1">+fair_value_gap(OFFSET(S641,0,0,-1*$I$5,-1*$Z$1),OFFSET(E641,0,0,-1*$I$5,1),F642:S642,0)</f>
        <v>14.925342247585254</v>
      </c>
      <c r="U642" s="7" cm="1">
        <f t="array" aca="1" ref="U642" ca="1">z_score_diff(OFFSET(T642,0,0,$I$5*-1,1),OFFSET(E642,0,0,$I$5*-1,1))</f>
        <v>-0.20917836223407749</v>
      </c>
      <c r="V642" s="7">
        <f t="shared" ca="1" si="637"/>
        <v>2.7128164927941456E-3</v>
      </c>
      <c r="W642" s="14">
        <f t="shared" ca="1" si="632"/>
        <v>2.225545909375861E-2</v>
      </c>
      <c r="X642" s="10">
        <f t="shared" ref="X642:Y642" ca="1" si="697">+X641</f>
        <v>0</v>
      </c>
      <c r="Y642" s="10">
        <f t="shared" ca="1" si="697"/>
        <v>0</v>
      </c>
      <c r="Z642">
        <f t="shared" ca="1" si="639"/>
        <v>0</v>
      </c>
      <c r="AA642">
        <f t="shared" ca="1" si="640"/>
        <v>1</v>
      </c>
      <c r="AB642" s="19">
        <f t="shared" ca="1" si="641"/>
        <v>0</v>
      </c>
      <c r="AC642" s="19">
        <f t="shared" ca="1" si="642"/>
        <v>2.225545909375861E-2</v>
      </c>
    </row>
    <row r="643" spans="3:29" x14ac:dyDescent="0.25">
      <c r="C643" s="4">
        <v>636</v>
      </c>
      <c r="D643" s="28">
        <v>42909</v>
      </c>
      <c r="E643" s="30">
        <v>14.625</v>
      </c>
      <c r="F643" s="30">
        <v>40.689778413152254</v>
      </c>
      <c r="G643" s="30">
        <v>4.9097569692637597</v>
      </c>
      <c r="H643" s="30">
        <v>69.558613295210861</v>
      </c>
      <c r="I643" s="8">
        <v>0</v>
      </c>
      <c r="J643" s="31">
        <v>0</v>
      </c>
      <c r="K643" s="31">
        <v>0</v>
      </c>
      <c r="L643" s="31">
        <v>0</v>
      </c>
      <c r="M643" s="31">
        <v>0</v>
      </c>
      <c r="N643" s="31">
        <v>1</v>
      </c>
      <c r="O643" s="31">
        <v>0</v>
      </c>
      <c r="P643" s="31">
        <v>0</v>
      </c>
      <c r="Q643" s="31">
        <v>0</v>
      </c>
      <c r="R643" s="31">
        <v>0</v>
      </c>
      <c r="S643" s="31">
        <v>0</v>
      </c>
      <c r="T643" s="21" cm="1">
        <f t="array" aca="1" ref="T643" ca="1">+fair_value_gap(OFFSET(S642,0,0,-1*$I$5,-1*$Z$1),OFFSET(E642,0,0,-1*$I$5,1),F643:S643,0)</f>
        <v>14.857598411944242</v>
      </c>
      <c r="U643" s="7" cm="1">
        <f t="array" aca="1" ref="U643" ca="1">z_score_diff(OFFSET(T643,0,0,$I$5*-1,1),OFFSET(E643,0,0,$I$5*-1,1))</f>
        <v>-0.2389855831477945</v>
      </c>
      <c r="V643" s="7">
        <f t="shared" ca="1" si="637"/>
        <v>1.6458333157817563E-2</v>
      </c>
      <c r="W643" s="14">
        <f t="shared" ca="1" si="632"/>
        <v>1.7554417366455882E-2</v>
      </c>
      <c r="X643" s="10">
        <f t="shared" ref="X643:Y643" ca="1" si="698">+X642</f>
        <v>0</v>
      </c>
      <c r="Y643" s="10">
        <f t="shared" ca="1" si="698"/>
        <v>0</v>
      </c>
      <c r="Z643">
        <f t="shared" ca="1" si="639"/>
        <v>0</v>
      </c>
      <c r="AA643">
        <f t="shared" ca="1" si="640"/>
        <v>1</v>
      </c>
      <c r="AB643" s="19">
        <f t="shared" ca="1" si="641"/>
        <v>0</v>
      </c>
      <c r="AC643" s="19">
        <f t="shared" ca="1" si="642"/>
        <v>1.7554417366455882E-2</v>
      </c>
    </row>
    <row r="644" spans="3:29" x14ac:dyDescent="0.25">
      <c r="C644" s="4">
        <v>637</v>
      </c>
      <c r="D644" s="28">
        <v>42912</v>
      </c>
      <c r="E644" s="30">
        <v>14.798999999999999</v>
      </c>
      <c r="F644" s="30">
        <v>40.996511315860097</v>
      </c>
      <c r="G644" s="30">
        <v>4.9154664996869135</v>
      </c>
      <c r="H644" s="30">
        <v>69.594775919134094</v>
      </c>
      <c r="I644" s="8">
        <v>0</v>
      </c>
      <c r="J644" s="31">
        <v>0</v>
      </c>
      <c r="K644" s="31">
        <v>0</v>
      </c>
      <c r="L644" s="31">
        <v>0</v>
      </c>
      <c r="M644" s="31">
        <v>0</v>
      </c>
      <c r="N644" s="31">
        <v>1</v>
      </c>
      <c r="O644" s="31">
        <v>0</v>
      </c>
      <c r="P644" s="31">
        <v>0</v>
      </c>
      <c r="Q644" s="31">
        <v>0</v>
      </c>
      <c r="R644" s="31">
        <v>0</v>
      </c>
      <c r="S644" s="31">
        <v>0</v>
      </c>
      <c r="T644" s="21" cm="1">
        <f t="array" aca="1" ref="T644" ca="1">+fair_value_gap(OFFSET(S643,0,0,-1*$I$5,-1*$Z$1),OFFSET(E643,0,0,-1*$I$5,1),F644:S644,0)</f>
        <v>14.846480696561402</v>
      </c>
      <c r="U644" s="7" cm="1">
        <f t="array" aca="1" ref="U644" ca="1">z_score_diff(OFFSET(T644,0,0,$I$5*-1,1),OFFSET(E644,0,0,$I$5*-1,1))</f>
        <v>-0.31368355370390222</v>
      </c>
      <c r="V644" s="7">
        <f t="shared" ca="1" si="637"/>
        <v>2.2341636564545731E-2</v>
      </c>
      <c r="W644" s="14">
        <f t="shared" ca="1" si="632"/>
        <v>-5.1487140364392739E-3</v>
      </c>
      <c r="X644" s="10">
        <f t="shared" ref="X644:Y644" ca="1" si="699">+X643</f>
        <v>0</v>
      </c>
      <c r="Y644" s="10">
        <f t="shared" ca="1" si="699"/>
        <v>0</v>
      </c>
      <c r="Z644">
        <f t="shared" ca="1" si="639"/>
        <v>0</v>
      </c>
      <c r="AA644">
        <f t="shared" ca="1" si="640"/>
        <v>1</v>
      </c>
      <c r="AB644" s="19">
        <f t="shared" ca="1" si="641"/>
        <v>0</v>
      </c>
      <c r="AC644" s="19">
        <f t="shared" ca="1" si="642"/>
        <v>-5.1487140364392739E-3</v>
      </c>
    </row>
    <row r="645" spans="3:29" x14ac:dyDescent="0.25">
      <c r="C645" s="4">
        <v>638</v>
      </c>
      <c r="D645" s="28">
        <v>42913</v>
      </c>
      <c r="E645" s="30">
        <v>15.010999999999999</v>
      </c>
      <c r="F645" s="30">
        <v>41.148451971421011</v>
      </c>
      <c r="G645" s="30">
        <v>4.8469612772338362</v>
      </c>
      <c r="H645" s="30">
        <v>68.536649907382909</v>
      </c>
      <c r="I645" s="8">
        <v>0</v>
      </c>
      <c r="J645" s="31">
        <v>0</v>
      </c>
      <c r="K645" s="31">
        <v>0</v>
      </c>
      <c r="L645" s="31">
        <v>0</v>
      </c>
      <c r="M645" s="31">
        <v>0</v>
      </c>
      <c r="N645" s="31">
        <v>1</v>
      </c>
      <c r="O645" s="31">
        <v>0</v>
      </c>
      <c r="P645" s="31">
        <v>0</v>
      </c>
      <c r="Q645" s="31">
        <v>0</v>
      </c>
      <c r="R645" s="31">
        <v>0</v>
      </c>
      <c r="S645" s="31">
        <v>0</v>
      </c>
      <c r="T645" s="21" cm="1">
        <f t="array" aca="1" ref="T645" ca="1">+fair_value_gap(OFFSET(S644,0,0,-1*$I$5,-1*$Z$1),OFFSET(E644,0,0,-1*$I$5,1),F645:S645,0)</f>
        <v>14.617108765162719</v>
      </c>
      <c r="U645" s="7" cm="1">
        <f t="array" aca="1" ref="U645" ca="1">z_score_diff(OFFSET(T645,0,0,$I$5*-1,1),OFFSET(E645,0,0,$I$5*-1,1))</f>
        <v>-0.50552291717847009</v>
      </c>
      <c r="V645" s="7">
        <f t="shared" ca="1" si="637"/>
        <v>2.0997500048345375E-2</v>
      </c>
      <c r="W645" s="14">
        <f t="shared" ca="1" si="632"/>
        <v>-1.2265980389553156E-2</v>
      </c>
      <c r="X645" s="10">
        <f t="shared" ref="X645:Y645" ca="1" si="700">+X644</f>
        <v>0</v>
      </c>
      <c r="Y645" s="10">
        <f t="shared" ca="1" si="700"/>
        <v>0</v>
      </c>
      <c r="Z645">
        <f t="shared" ca="1" si="639"/>
        <v>0</v>
      </c>
      <c r="AA645">
        <f t="shared" ca="1" si="640"/>
        <v>1</v>
      </c>
      <c r="AB645" s="19">
        <f t="shared" ca="1" si="641"/>
        <v>0</v>
      </c>
      <c r="AC645" s="19">
        <f t="shared" ca="1" si="642"/>
        <v>-1.2265980389553156E-2</v>
      </c>
    </row>
    <row r="646" spans="3:29" x14ac:dyDescent="0.25">
      <c r="C646" s="4">
        <v>639</v>
      </c>
      <c r="D646" s="28">
        <v>42914</v>
      </c>
      <c r="E646" s="30">
        <v>15.127000000000001</v>
      </c>
      <c r="F646" s="30">
        <v>41.58755274261604</v>
      </c>
      <c r="G646" s="30">
        <v>4.8303445850914208</v>
      </c>
      <c r="H646" s="30">
        <v>68.30168776371309</v>
      </c>
      <c r="I646" s="8">
        <v>0</v>
      </c>
      <c r="J646" s="31">
        <v>0</v>
      </c>
      <c r="K646" s="31">
        <v>0</v>
      </c>
      <c r="L646" s="31">
        <v>0</v>
      </c>
      <c r="M646" s="31">
        <v>0</v>
      </c>
      <c r="N646" s="31">
        <v>1</v>
      </c>
      <c r="O646" s="31">
        <v>0</v>
      </c>
      <c r="P646" s="31">
        <v>0</v>
      </c>
      <c r="Q646" s="31">
        <v>0</v>
      </c>
      <c r="R646" s="31">
        <v>0</v>
      </c>
      <c r="S646" s="31">
        <v>0</v>
      </c>
      <c r="T646" s="21" cm="1">
        <f t="array" aca="1" ref="T646" ca="1">+fair_value_gap(OFFSET(S645,0,0,-1*$I$5,-1*$Z$1),OFFSET(E645,0,0,-1*$I$5,1),F646:S646,0)</f>
        <v>14.572697139436441</v>
      </c>
      <c r="U646" s="7" cm="1">
        <f t="array" aca="1" ref="U646" ca="1">z_score_diff(OFFSET(T646,0,0,$I$5*-1,1),OFFSET(E646,0,0,$I$5*-1,1))</f>
        <v>-0.57124104201890002</v>
      </c>
      <c r="V646" s="7">
        <f t="shared" ca="1" si="637"/>
        <v>1.1520852824502914E-2</v>
      </c>
      <c r="W646" s="14">
        <f t="shared" ca="1" si="632"/>
        <v>3.2998973978464788E-3</v>
      </c>
      <c r="X646" s="10">
        <f t="shared" ref="X646:Y646" ca="1" si="701">+X645</f>
        <v>0</v>
      </c>
      <c r="Y646" s="10">
        <f t="shared" ca="1" si="701"/>
        <v>0</v>
      </c>
      <c r="Z646">
        <f t="shared" ca="1" si="639"/>
        <v>0</v>
      </c>
      <c r="AA646">
        <f t="shared" ca="1" si="640"/>
        <v>1</v>
      </c>
      <c r="AB646" s="19">
        <f t="shared" ca="1" si="641"/>
        <v>0</v>
      </c>
      <c r="AC646" s="19">
        <f t="shared" ca="1" si="642"/>
        <v>3.2998973978464788E-3</v>
      </c>
    </row>
    <row r="647" spans="3:29" x14ac:dyDescent="0.25">
      <c r="C647" s="4">
        <v>640</v>
      </c>
      <c r="D647" s="28">
        <v>42915</v>
      </c>
      <c r="E647" s="30">
        <v>14.975</v>
      </c>
      <c r="F647" s="30">
        <v>41.451048951048953</v>
      </c>
      <c r="G647" s="30">
        <v>4.8033216783216792</v>
      </c>
      <c r="H647" s="30">
        <v>67.832167832167826</v>
      </c>
      <c r="I647" s="8">
        <v>0</v>
      </c>
      <c r="J647" s="31">
        <v>0</v>
      </c>
      <c r="K647" s="31">
        <v>0</v>
      </c>
      <c r="L647" s="31">
        <v>0</v>
      </c>
      <c r="M647" s="31">
        <v>0</v>
      </c>
      <c r="N647" s="31">
        <v>1</v>
      </c>
      <c r="O647" s="31">
        <v>0</v>
      </c>
      <c r="P647" s="31">
        <v>0</v>
      </c>
      <c r="Q647" s="31">
        <v>0</v>
      </c>
      <c r="R647" s="31">
        <v>0</v>
      </c>
      <c r="S647" s="31">
        <v>0</v>
      </c>
      <c r="T647" s="21" cm="1">
        <f t="array" aca="1" ref="T647" ca="1">+fair_value_gap(OFFSET(S646,0,0,-1*$I$5,-1*$Z$1),OFFSET(E646,0,0,-1*$I$5,1),F647:S647,0)</f>
        <v>14.509074127435417</v>
      </c>
      <c r="U647" s="7" cm="1">
        <f t="array" aca="1" ref="U647" ca="1">z_score_diff(OFFSET(T647,0,0,$I$5*-1,1),OFFSET(E647,0,0,$I$5*-1,1))</f>
        <v>-0.53324110446650086</v>
      </c>
      <c r="V647" s="7">
        <f t="shared" ca="1" si="637"/>
        <v>-4.5676021473870697E-2</v>
      </c>
      <c r="W647" s="14">
        <f t="shared" ref="W647:W710" ca="1" si="702">+LN(OFFSET(E647,$W$3,0,1,1)/E647)</f>
        <v>1.0231287761184957E-2</v>
      </c>
      <c r="X647" s="10">
        <f t="shared" ref="X647:Y647" ca="1" si="703">+X646</f>
        <v>0</v>
      </c>
      <c r="Y647" s="10">
        <f t="shared" ca="1" si="703"/>
        <v>0</v>
      </c>
      <c r="Z647">
        <f t="shared" ca="1" si="639"/>
        <v>1</v>
      </c>
      <c r="AA647">
        <f t="shared" ca="1" si="640"/>
        <v>0</v>
      </c>
      <c r="AB647" s="19">
        <f t="shared" ca="1" si="641"/>
        <v>1.0231287761184957E-2</v>
      </c>
      <c r="AC647" s="19">
        <f t="shared" ca="1" si="642"/>
        <v>0</v>
      </c>
    </row>
    <row r="648" spans="3:29" x14ac:dyDescent="0.25">
      <c r="C648" s="4">
        <v>641</v>
      </c>
      <c r="D648" s="28">
        <v>42916</v>
      </c>
      <c r="E648" s="30">
        <v>14.84</v>
      </c>
      <c r="F648" s="30">
        <v>41.950450844786829</v>
      </c>
      <c r="G648" s="30">
        <v>4.7973387026175258</v>
      </c>
      <c r="H648" s="30">
        <v>68.195745425895126</v>
      </c>
      <c r="I648" s="8">
        <v>0</v>
      </c>
      <c r="J648" s="31">
        <v>0</v>
      </c>
      <c r="K648" s="31">
        <v>0</v>
      </c>
      <c r="L648" s="31">
        <v>0</v>
      </c>
      <c r="M648" s="31">
        <v>0</v>
      </c>
      <c r="N648" s="31">
        <v>1</v>
      </c>
      <c r="O648" s="31">
        <v>0</v>
      </c>
      <c r="P648" s="31">
        <v>0</v>
      </c>
      <c r="Q648" s="31">
        <v>0</v>
      </c>
      <c r="R648" s="31">
        <v>0</v>
      </c>
      <c r="S648" s="31">
        <v>0</v>
      </c>
      <c r="T648" s="21" cm="1">
        <f t="array" aca="1" ref="T648" ca="1">+fair_value_gap(OFFSET(S647,0,0,-1*$I$5,-1*$Z$1),OFFSET(E647,0,0,-1*$I$5,1),F648:S648,0)</f>
        <v>14.562464375978911</v>
      </c>
      <c r="U648" s="7" cm="1">
        <f t="array" aca="1" ref="U648" ca="1">z_score_diff(OFFSET(T648,0,0,$I$5*-1,1),OFFSET(E648,0,0,$I$5*-1,1))</f>
        <v>-0.44875942661619528</v>
      </c>
      <c r="V648" s="7">
        <f t="shared" ca="1" si="637"/>
        <v>-9.4123948239354521E-2</v>
      </c>
      <c r="W648" s="14">
        <f t="shared" ca="1" si="702"/>
        <v>9.5899873217728492E-3</v>
      </c>
      <c r="X648" s="10">
        <f t="shared" ref="X648:Y648" ca="1" si="704">+X647</f>
        <v>0</v>
      </c>
      <c r="Y648" s="10">
        <f t="shared" ca="1" si="704"/>
        <v>0</v>
      </c>
      <c r="Z648">
        <f t="shared" ca="1" si="639"/>
        <v>1</v>
      </c>
      <c r="AA648">
        <f t="shared" ca="1" si="640"/>
        <v>0</v>
      </c>
      <c r="AB648" s="19">
        <f t="shared" ca="1" si="641"/>
        <v>9.5899873217728492E-3</v>
      </c>
      <c r="AC648" s="19">
        <f t="shared" ca="1" si="642"/>
        <v>0</v>
      </c>
    </row>
    <row r="649" spans="3:29" x14ac:dyDescent="0.25">
      <c r="C649" s="4">
        <v>642</v>
      </c>
      <c r="D649" s="28">
        <v>42919</v>
      </c>
      <c r="E649" s="30">
        <v>15.124000000000001</v>
      </c>
      <c r="F649" s="30">
        <v>43.732394366197184</v>
      </c>
      <c r="G649" s="30">
        <v>4.8327464788732399</v>
      </c>
      <c r="H649" s="30">
        <v>68.485915492957744</v>
      </c>
      <c r="I649" s="8">
        <v>0</v>
      </c>
      <c r="J649" s="31">
        <v>0</v>
      </c>
      <c r="K649" s="31">
        <v>0</v>
      </c>
      <c r="L649" s="31">
        <v>0</v>
      </c>
      <c r="M649" s="31">
        <v>0</v>
      </c>
      <c r="N649" s="31">
        <v>0</v>
      </c>
      <c r="O649" s="31">
        <v>1</v>
      </c>
      <c r="P649" s="31">
        <v>0</v>
      </c>
      <c r="Q649" s="31">
        <v>0</v>
      </c>
      <c r="R649" s="31">
        <v>0</v>
      </c>
      <c r="S649" s="31">
        <v>0</v>
      </c>
      <c r="T649" s="21" cm="1">
        <f t="array" aca="1" ref="T649" ca="1">+fair_value_gap(OFFSET(S648,0,0,-1*$I$5,-1*$Z$1),OFFSET(E648,0,0,-1*$I$5,1),F649:S649,0)</f>
        <v>15.923853048336447</v>
      </c>
      <c r="U649" s="7" cm="1">
        <f t="array" aca="1" ref="U649" ca="1">z_score_diff(OFFSET(T649,0,0,$I$5*-1,1),OFFSET(E649,0,0,$I$5*-1,1))</f>
        <v>5.1537058329110874E-2</v>
      </c>
      <c r="V649" s="7">
        <f t="shared" ca="1" si="637"/>
        <v>-0.11399717122087141</v>
      </c>
      <c r="W649" s="14">
        <f t="shared" ca="1" si="702"/>
        <v>-1.0501924370519706E-2</v>
      </c>
      <c r="X649" s="10">
        <f t="shared" ref="X649:Y649" ca="1" si="705">+X648</f>
        <v>0</v>
      </c>
      <c r="Y649" s="10">
        <f t="shared" ca="1" si="705"/>
        <v>0</v>
      </c>
      <c r="Z649">
        <f t="shared" ca="1" si="639"/>
        <v>1</v>
      </c>
      <c r="AA649">
        <f t="shared" ca="1" si="640"/>
        <v>0</v>
      </c>
      <c r="AB649" s="19">
        <f t="shared" ca="1" si="641"/>
        <v>-1.0501924370519706E-2</v>
      </c>
      <c r="AC649" s="19">
        <f t="shared" ca="1" si="642"/>
        <v>0</v>
      </c>
    </row>
    <row r="650" spans="3:29" x14ac:dyDescent="0.25">
      <c r="C650" s="4">
        <v>643</v>
      </c>
      <c r="D650" s="28">
        <v>42920</v>
      </c>
      <c r="E650" s="30">
        <v>14.954000000000001</v>
      </c>
      <c r="F650" s="30">
        <v>43.740081114441892</v>
      </c>
      <c r="G650" s="30">
        <v>4.8404161523540816</v>
      </c>
      <c r="H650" s="30">
        <v>70.622465173690699</v>
      </c>
      <c r="I650" s="8">
        <v>0</v>
      </c>
      <c r="J650" s="31">
        <v>0</v>
      </c>
      <c r="K650" s="31">
        <v>0</v>
      </c>
      <c r="L650" s="31">
        <v>0</v>
      </c>
      <c r="M650" s="31">
        <v>0</v>
      </c>
      <c r="N650" s="31">
        <v>0</v>
      </c>
      <c r="O650" s="31">
        <v>1</v>
      </c>
      <c r="P650" s="31">
        <v>0</v>
      </c>
      <c r="Q650" s="31">
        <v>0</v>
      </c>
      <c r="R650" s="31">
        <v>0</v>
      </c>
      <c r="S650" s="31">
        <v>0</v>
      </c>
      <c r="T650" s="21" cm="1">
        <f t="array" aca="1" ref="T650" ca="1">+fair_value_gap(OFFSET(S649,0,0,-1*$I$5,-1*$Z$1),OFFSET(E649,0,0,-1*$I$5,1),F650:S650,0)</f>
        <v>16.089077241196222</v>
      </c>
      <c r="U650" s="7" cm="1">
        <f t="array" aca="1" ref="U650" ca="1">z_score_diff(OFFSET(T650,0,0,$I$5*-1,1),OFFSET(E650,0,0,$I$5*-1,1))</f>
        <v>0.19745394199702537</v>
      </c>
      <c r="V650" s="7">
        <f t="shared" ca="1" si="637"/>
        <v>-0.1235812284110632</v>
      </c>
      <c r="W650" s="14">
        <f t="shared" ca="1" si="702"/>
        <v>-1.8833456863563646E-2</v>
      </c>
      <c r="X650" s="10">
        <f t="shared" ref="X650:Y650" ca="1" si="706">+X649</f>
        <v>0</v>
      </c>
      <c r="Y650" s="10">
        <f t="shared" ca="1" si="706"/>
        <v>0</v>
      </c>
      <c r="Z650">
        <f t="shared" ca="1" si="639"/>
        <v>1</v>
      </c>
      <c r="AA650">
        <f t="shared" ca="1" si="640"/>
        <v>0</v>
      </c>
      <c r="AB650" s="19">
        <f t="shared" ca="1" si="641"/>
        <v>-1.8833456863563646E-2</v>
      </c>
      <c r="AC650" s="19">
        <f t="shared" ca="1" si="642"/>
        <v>0</v>
      </c>
    </row>
    <row r="651" spans="3:29" x14ac:dyDescent="0.25">
      <c r="C651" s="4">
        <v>644</v>
      </c>
      <c r="D651" s="28">
        <v>42921</v>
      </c>
      <c r="E651" s="30">
        <v>14.949</v>
      </c>
      <c r="F651" s="30">
        <v>42.098308668076108</v>
      </c>
      <c r="G651" s="30">
        <v>4.8141296687808319</v>
      </c>
      <c r="H651" s="30">
        <v>72.762508809020431</v>
      </c>
      <c r="I651" s="8">
        <v>0</v>
      </c>
      <c r="J651" s="31">
        <v>0</v>
      </c>
      <c r="K651" s="31">
        <v>0</v>
      </c>
      <c r="L651" s="31">
        <v>0</v>
      </c>
      <c r="M651" s="31">
        <v>0</v>
      </c>
      <c r="N651" s="31">
        <v>0</v>
      </c>
      <c r="O651" s="31">
        <v>1</v>
      </c>
      <c r="P651" s="31">
        <v>0</v>
      </c>
      <c r="Q651" s="31">
        <v>0</v>
      </c>
      <c r="R651" s="31">
        <v>0</v>
      </c>
      <c r="S651" s="31">
        <v>0</v>
      </c>
      <c r="T651" s="21" cm="1">
        <f t="array" aca="1" ref="T651" ca="1">+fair_value_gap(OFFSET(S650,0,0,-1*$I$5,-1*$Z$1),OFFSET(E650,0,0,-1*$I$5,1),F651:S651,0)</f>
        <v>16.183121729020176</v>
      </c>
      <c r="U651" s="7" cm="1">
        <f t="array" aca="1" ref="U651" ca="1">z_score_diff(OFFSET(T651,0,0,$I$5*-1,1),OFFSET(E651,0,0,$I$5*-1,1))</f>
        <v>0.24136146142073217</v>
      </c>
      <c r="V651" s="7">
        <f t="shared" ref="V651:V714" ca="1" si="707">+IF(ISERROR(AVERAGE(OFFSET(U651,0,0,$V$5*-1,1))),"",AVERAGE(OFFSET(U651,0,0,$V$5*-1,1)))</f>
        <v>-0.12759031236611945</v>
      </c>
      <c r="W651" s="14">
        <f t="shared" ca="1" si="702"/>
        <v>-1.3943845200280058E-2</v>
      </c>
      <c r="X651" s="10">
        <f t="shared" ref="X651:Y651" ca="1" si="708">+X650</f>
        <v>0</v>
      </c>
      <c r="Y651" s="10">
        <f t="shared" ca="1" si="708"/>
        <v>0</v>
      </c>
      <c r="Z651">
        <f t="shared" ref="Z651:Z714" ca="1" si="709">+IF(V651="","",IF(V651&lt;X651,1,0))</f>
        <v>1</v>
      </c>
      <c r="AA651">
        <f t="shared" ref="AA651:AA714" ca="1" si="710">+IF(V651="","",IF(V651&gt;Y651,1,0))</f>
        <v>0</v>
      </c>
      <c r="AB651" s="19">
        <f t="shared" ref="AB651:AB714" ca="1" si="711">+IF(ISERROR(Z651*W651),"",Z651*W651)</f>
        <v>-1.3943845200280058E-2</v>
      </c>
      <c r="AC651" s="19">
        <f t="shared" ref="AC651:AC714" ca="1" si="712">+IF(ISERROR(AA651*W651),"",AA651*W651)</f>
        <v>0</v>
      </c>
    </row>
    <row r="652" spans="3:29" x14ac:dyDescent="0.25">
      <c r="C652" s="4">
        <v>645</v>
      </c>
      <c r="D652" s="28">
        <v>42922</v>
      </c>
      <c r="E652" s="30">
        <v>15.003</v>
      </c>
      <c r="F652" s="30">
        <v>42.120469269830146</v>
      </c>
      <c r="G652" s="30">
        <v>4.767116091752758</v>
      </c>
      <c r="H652" s="30">
        <v>73.717387497811231</v>
      </c>
      <c r="I652" s="8">
        <v>0</v>
      </c>
      <c r="J652" s="31">
        <v>0</v>
      </c>
      <c r="K652" s="31">
        <v>0</v>
      </c>
      <c r="L652" s="31">
        <v>0</v>
      </c>
      <c r="M652" s="31">
        <v>0</v>
      </c>
      <c r="N652" s="31">
        <v>0</v>
      </c>
      <c r="O652" s="31">
        <v>1</v>
      </c>
      <c r="P652" s="31">
        <v>0</v>
      </c>
      <c r="Q652" s="31">
        <v>0</v>
      </c>
      <c r="R652" s="31">
        <v>0</v>
      </c>
      <c r="S652" s="31">
        <v>0</v>
      </c>
      <c r="T652" s="21" cm="1">
        <f t="array" aca="1" ref="T652" ca="1">+fair_value_gap(OFFSET(S651,0,0,-1*$I$5,-1*$Z$1),OFFSET(E651,0,0,-1*$I$5,1),F652:S652,0)</f>
        <v>16.002770731281931</v>
      </c>
      <c r="U652" s="7" cm="1">
        <f t="array" aca="1" ref="U652" ca="1">z_score_diff(OFFSET(T652,0,0,$I$5*-1,1),OFFSET(E652,0,0,$I$5*-1,1))</f>
        <v>0.13525504922848575</v>
      </c>
      <c r="V652" s="7">
        <f t="shared" ca="1" si="707"/>
        <v>-0.1276321901333857</v>
      </c>
      <c r="W652" s="14">
        <f t="shared" ca="1" si="702"/>
        <v>-1.4298904382167927E-2</v>
      </c>
      <c r="X652" s="10">
        <f t="shared" ref="X652:Y652" ca="1" si="713">+X651</f>
        <v>0</v>
      </c>
      <c r="Y652" s="10">
        <f t="shared" ca="1" si="713"/>
        <v>0</v>
      </c>
      <c r="Z652">
        <f t="shared" ca="1" si="709"/>
        <v>1</v>
      </c>
      <c r="AA652">
        <f t="shared" ca="1" si="710"/>
        <v>0</v>
      </c>
      <c r="AB652" s="19">
        <f t="shared" ca="1" si="711"/>
        <v>-1.4298904382167927E-2</v>
      </c>
      <c r="AC652" s="19">
        <f t="shared" ca="1" si="712"/>
        <v>0</v>
      </c>
    </row>
    <row r="653" spans="3:29" x14ac:dyDescent="0.25">
      <c r="C653" s="4">
        <v>646</v>
      </c>
      <c r="D653" s="28">
        <v>42923</v>
      </c>
      <c r="E653" s="30">
        <v>14.776</v>
      </c>
      <c r="F653" s="30">
        <v>40.973684210526322</v>
      </c>
      <c r="G653" s="30">
        <v>4.776315789473685</v>
      </c>
      <c r="H653" s="30">
        <v>73.859649122807028</v>
      </c>
      <c r="I653" s="8">
        <v>0</v>
      </c>
      <c r="J653" s="31">
        <v>0</v>
      </c>
      <c r="K653" s="31">
        <v>0</v>
      </c>
      <c r="L653" s="31">
        <v>0</v>
      </c>
      <c r="M653" s="31">
        <v>0</v>
      </c>
      <c r="N653" s="31">
        <v>0</v>
      </c>
      <c r="O653" s="31">
        <v>1</v>
      </c>
      <c r="P653" s="31">
        <v>0</v>
      </c>
      <c r="Q653" s="31">
        <v>0</v>
      </c>
      <c r="R653" s="31">
        <v>0</v>
      </c>
      <c r="S653" s="31">
        <v>0</v>
      </c>
      <c r="T653" s="21" cm="1">
        <f t="array" aca="1" ref="T653" ca="1">+fair_value_gap(OFFSET(S652,0,0,-1*$I$5,-1*$Z$1),OFFSET(E652,0,0,-1*$I$5,1),F653:S653,0)</f>
        <v>15.880663151035774</v>
      </c>
      <c r="U653" s="7" cm="1">
        <f t="array" aca="1" ref="U653" ca="1">z_score_diff(OFFSET(T653,0,0,$I$5*-1,1),OFFSET(E653,0,0,$I$5*-1,1))</f>
        <v>0.17454908148944026</v>
      </c>
      <c r="V653" s="7">
        <f t="shared" ca="1" si="707"/>
        <v>-0.12786705673220791</v>
      </c>
      <c r="W653" s="14">
        <f t="shared" ca="1" si="702"/>
        <v>1.5045958205271333E-2</v>
      </c>
      <c r="X653" s="10">
        <f t="shared" ref="X653:Y653" ca="1" si="714">+X652</f>
        <v>0</v>
      </c>
      <c r="Y653" s="10">
        <f t="shared" ca="1" si="714"/>
        <v>0</v>
      </c>
      <c r="Z653">
        <f t="shared" ca="1" si="709"/>
        <v>1</v>
      </c>
      <c r="AA653">
        <f t="shared" ca="1" si="710"/>
        <v>0</v>
      </c>
      <c r="AB653" s="19">
        <f t="shared" ca="1" si="711"/>
        <v>1.5045958205271333E-2</v>
      </c>
      <c r="AC653" s="19">
        <f t="shared" ca="1" si="712"/>
        <v>0</v>
      </c>
    </row>
    <row r="654" spans="3:29" x14ac:dyDescent="0.25">
      <c r="C654" s="4">
        <v>647</v>
      </c>
      <c r="D654" s="28">
        <v>42926</v>
      </c>
      <c r="E654" s="30">
        <v>14.597</v>
      </c>
      <c r="F654" s="30">
        <v>41.126414597771742</v>
      </c>
      <c r="G654" s="30">
        <v>4.7767348012983604</v>
      </c>
      <c r="H654" s="30">
        <v>73.602947626984829</v>
      </c>
      <c r="I654" s="8">
        <v>0</v>
      </c>
      <c r="J654" s="31">
        <v>0</v>
      </c>
      <c r="K654" s="31">
        <v>0</v>
      </c>
      <c r="L654" s="31">
        <v>0</v>
      </c>
      <c r="M654" s="31">
        <v>0</v>
      </c>
      <c r="N654" s="31">
        <v>0</v>
      </c>
      <c r="O654" s="31">
        <v>1</v>
      </c>
      <c r="P654" s="31">
        <v>0</v>
      </c>
      <c r="Q654" s="31">
        <v>0</v>
      </c>
      <c r="R654" s="31">
        <v>0</v>
      </c>
      <c r="S654" s="31">
        <v>0</v>
      </c>
      <c r="T654" s="21" cm="1">
        <f t="array" aca="1" ref="T654" ca="1">+fair_value_gap(OFFSET(S653,0,0,-1*$I$5,-1*$Z$1),OFFSET(E653,0,0,-1*$I$5,1),F654:S654,0)</f>
        <v>15.666337755244497</v>
      </c>
      <c r="U654" s="7" cm="1">
        <f t="array" aca="1" ref="U654" ca="1">z_score_diff(OFFSET(T654,0,0,$I$5*-1,1),OFFSET(E654,0,0,$I$5*-1,1))</f>
        <v>0.15042911879756804</v>
      </c>
      <c r="V654" s="7">
        <f t="shared" ca="1" si="707"/>
        <v>-0.12792238356836805</v>
      </c>
      <c r="W654" s="14">
        <f t="shared" ca="1" si="702"/>
        <v>5.023429718282995E-2</v>
      </c>
      <c r="X654" s="10">
        <f t="shared" ref="X654:Y654" ca="1" si="715">+X653</f>
        <v>0</v>
      </c>
      <c r="Y654" s="10">
        <f t="shared" ca="1" si="715"/>
        <v>0</v>
      </c>
      <c r="Z654">
        <f t="shared" ca="1" si="709"/>
        <v>1</v>
      </c>
      <c r="AA654">
        <f t="shared" ca="1" si="710"/>
        <v>0</v>
      </c>
      <c r="AB654" s="19">
        <f t="shared" ca="1" si="711"/>
        <v>5.023429718282995E-2</v>
      </c>
      <c r="AC654" s="19">
        <f t="shared" ca="1" si="712"/>
        <v>0</v>
      </c>
    </row>
    <row r="655" spans="3:29" x14ac:dyDescent="0.25">
      <c r="C655" s="4">
        <v>648</v>
      </c>
      <c r="D655" s="28">
        <v>42927</v>
      </c>
      <c r="E655" s="30">
        <v>14.461</v>
      </c>
      <c r="F655" s="30">
        <v>41.447884866986477</v>
      </c>
      <c r="G655" s="30">
        <v>4.7492368076755342</v>
      </c>
      <c r="H655" s="30">
        <v>72.743131269079811</v>
      </c>
      <c r="I655" s="8">
        <v>0</v>
      </c>
      <c r="J655" s="31">
        <v>0</v>
      </c>
      <c r="K655" s="31">
        <v>0</v>
      </c>
      <c r="L655" s="31">
        <v>0</v>
      </c>
      <c r="M655" s="31">
        <v>0</v>
      </c>
      <c r="N655" s="31">
        <v>0</v>
      </c>
      <c r="O655" s="31">
        <v>1</v>
      </c>
      <c r="P655" s="31">
        <v>0</v>
      </c>
      <c r="Q655" s="31">
        <v>0</v>
      </c>
      <c r="R655" s="31">
        <v>0</v>
      </c>
      <c r="S655" s="31">
        <v>0</v>
      </c>
      <c r="T655" s="21" cm="1">
        <f t="array" aca="1" ref="T655" ca="1">+fair_value_gap(OFFSET(S654,0,0,-1*$I$5,-1*$Z$1),OFFSET(E654,0,0,-1*$I$5,1),F655:S655,0)</f>
        <v>15.365036570146309</v>
      </c>
      <c r="U655" s="7" cm="1">
        <f t="array" aca="1" ref="U655" ca="1">z_score_diff(OFFSET(T655,0,0,$I$5*-1,1),OFFSET(E655,0,0,$I$5*-1,1))</f>
        <v>6.7038814926509094E-2</v>
      </c>
      <c r="V655" s="7">
        <f t="shared" ca="1" si="707"/>
        <v>-0.12912747845629113</v>
      </c>
      <c r="W655" s="14">
        <f t="shared" ca="1" si="702"/>
        <v>4.806216191044891E-2</v>
      </c>
      <c r="X655" s="10">
        <f t="shared" ref="X655:Y655" ca="1" si="716">+X654</f>
        <v>0</v>
      </c>
      <c r="Y655" s="10">
        <f t="shared" ca="1" si="716"/>
        <v>0</v>
      </c>
      <c r="Z655">
        <f t="shared" ca="1" si="709"/>
        <v>1</v>
      </c>
      <c r="AA655">
        <f t="shared" ca="1" si="710"/>
        <v>0</v>
      </c>
      <c r="AB655" s="19">
        <f t="shared" ca="1" si="711"/>
        <v>4.806216191044891E-2</v>
      </c>
      <c r="AC655" s="19">
        <f t="shared" ca="1" si="712"/>
        <v>0</v>
      </c>
    </row>
    <row r="656" spans="3:29" x14ac:dyDescent="0.25">
      <c r="C656" s="4">
        <v>649</v>
      </c>
      <c r="D656" s="28">
        <v>42928</v>
      </c>
      <c r="E656" s="30">
        <v>14.468999999999999</v>
      </c>
      <c r="F656" s="30">
        <v>41.840490797546011</v>
      </c>
      <c r="G656" s="30">
        <v>4.7721297107800176</v>
      </c>
      <c r="H656" s="30">
        <v>72.480280455740584</v>
      </c>
      <c r="I656" s="8">
        <v>0</v>
      </c>
      <c r="J656" s="31">
        <v>0</v>
      </c>
      <c r="K656" s="31">
        <v>0</v>
      </c>
      <c r="L656" s="31">
        <v>0</v>
      </c>
      <c r="M656" s="31">
        <v>0</v>
      </c>
      <c r="N656" s="31">
        <v>0</v>
      </c>
      <c r="O656" s="31">
        <v>1</v>
      </c>
      <c r="P656" s="31">
        <v>0</v>
      </c>
      <c r="Q656" s="31">
        <v>0</v>
      </c>
      <c r="R656" s="31">
        <v>0</v>
      </c>
      <c r="S656" s="31">
        <v>0</v>
      </c>
      <c r="T656" s="21" cm="1">
        <f t="array" aca="1" ref="T656" ca="1">+fair_value_gap(OFFSET(S655,0,0,-1*$I$5,-1*$Z$1),OFFSET(E655,0,0,-1*$I$5,1),F656:S656,0)</f>
        <v>15.218147205983751</v>
      </c>
      <c r="U656" s="7" cm="1">
        <f t="array" aca="1" ref="U656" ca="1">z_score_diff(OFFSET(T656,0,0,$I$5*-1,1),OFFSET(E656,0,0,$I$5*-1,1))</f>
        <v>-6.3351771077539976E-3</v>
      </c>
      <c r="V656" s="7">
        <f t="shared" ca="1" si="707"/>
        <v>-0.12642322022056796</v>
      </c>
      <c r="W656" s="14">
        <f t="shared" ca="1" si="702"/>
        <v>7.3401780104343228E-2</v>
      </c>
      <c r="X656" s="10">
        <f t="shared" ref="X656:Y656" ca="1" si="717">+X655</f>
        <v>0</v>
      </c>
      <c r="Y656" s="10">
        <f t="shared" ca="1" si="717"/>
        <v>0</v>
      </c>
      <c r="Z656">
        <f t="shared" ca="1" si="709"/>
        <v>1</v>
      </c>
      <c r="AA656">
        <f t="shared" ca="1" si="710"/>
        <v>0</v>
      </c>
      <c r="AB656" s="19">
        <f t="shared" ca="1" si="711"/>
        <v>7.3401780104343228E-2</v>
      </c>
      <c r="AC656" s="19">
        <f t="shared" ca="1" si="712"/>
        <v>0</v>
      </c>
    </row>
    <row r="657" spans="3:29" x14ac:dyDescent="0.25">
      <c r="C657" s="4">
        <v>650</v>
      </c>
      <c r="D657" s="28">
        <v>42929</v>
      </c>
      <c r="E657" s="30">
        <v>14.6</v>
      </c>
      <c r="F657" s="30">
        <v>42.49232119350593</v>
      </c>
      <c r="G657" s="30">
        <v>4.778411584028083</v>
      </c>
      <c r="H657" s="30">
        <v>71.478718736287846</v>
      </c>
      <c r="I657" s="8">
        <v>0</v>
      </c>
      <c r="J657" s="31">
        <v>0</v>
      </c>
      <c r="K657" s="31">
        <v>0</v>
      </c>
      <c r="L657" s="31">
        <v>0</v>
      </c>
      <c r="M657" s="31">
        <v>0</v>
      </c>
      <c r="N657" s="31">
        <v>0</v>
      </c>
      <c r="O657" s="31">
        <v>1</v>
      </c>
      <c r="P657" s="31">
        <v>0</v>
      </c>
      <c r="Q657" s="31">
        <v>0</v>
      </c>
      <c r="R657" s="31">
        <v>0</v>
      </c>
      <c r="S657" s="31">
        <v>0</v>
      </c>
      <c r="T657" s="21" cm="1">
        <f t="array" aca="1" ref="T657" ca="1">+fair_value_gap(OFFSET(S656,0,0,-1*$I$5,-1*$Z$1),OFFSET(E656,0,0,-1*$I$5,1),F657:S657,0)</f>
        <v>14.985271489051964</v>
      </c>
      <c r="U657" s="7" cm="1">
        <f t="array" aca="1" ref="U657" ca="1">z_score_diff(OFFSET(T657,0,0,$I$5*-1,1),OFFSET(E657,0,0,$I$5*-1,1))</f>
        <v>-0.17080393236219138</v>
      </c>
      <c r="V657" s="7">
        <f t="shared" ca="1" si="707"/>
        <v>-0.13535038257746446</v>
      </c>
      <c r="W657" s="14">
        <f t="shared" ca="1" si="702"/>
        <v>7.7404879712986249E-2</v>
      </c>
      <c r="X657" s="10">
        <f t="shared" ref="X657:Y657" ca="1" si="718">+X656</f>
        <v>0</v>
      </c>
      <c r="Y657" s="10">
        <f t="shared" ca="1" si="718"/>
        <v>0</v>
      </c>
      <c r="Z657">
        <f t="shared" ca="1" si="709"/>
        <v>1</v>
      </c>
      <c r="AA657">
        <f t="shared" ca="1" si="710"/>
        <v>0</v>
      </c>
      <c r="AB657" s="19">
        <f t="shared" ca="1" si="711"/>
        <v>7.7404879712986249E-2</v>
      </c>
      <c r="AC657" s="19">
        <f t="shared" ca="1" si="712"/>
        <v>0</v>
      </c>
    </row>
    <row r="658" spans="3:29" x14ac:dyDescent="0.25">
      <c r="C658" s="4">
        <v>651</v>
      </c>
      <c r="D658" s="28">
        <v>42930</v>
      </c>
      <c r="E658" s="30">
        <v>14.635</v>
      </c>
      <c r="F658" s="30">
        <v>42.652829859597098</v>
      </c>
      <c r="G658" s="30">
        <v>4.7484084764977759</v>
      </c>
      <c r="H658" s="30">
        <v>71.247928839277932</v>
      </c>
      <c r="I658" s="8">
        <v>0</v>
      </c>
      <c r="J658" s="31">
        <v>0</v>
      </c>
      <c r="K658" s="31">
        <v>0</v>
      </c>
      <c r="L658" s="31">
        <v>0</v>
      </c>
      <c r="M658" s="31">
        <v>0</v>
      </c>
      <c r="N658" s="31">
        <v>0</v>
      </c>
      <c r="O658" s="31">
        <v>1</v>
      </c>
      <c r="P658" s="31">
        <v>0</v>
      </c>
      <c r="Q658" s="31">
        <v>0</v>
      </c>
      <c r="R658" s="31">
        <v>0</v>
      </c>
      <c r="S658" s="31">
        <v>0</v>
      </c>
      <c r="T658" s="21" cm="1">
        <f t="array" aca="1" ref="T658" ca="1">+fair_value_gap(OFFSET(S657,0,0,-1*$I$5,-1*$Z$1),OFFSET(E657,0,0,-1*$I$5,1),F658:S658,0)</f>
        <v>14.841198307698647</v>
      </c>
      <c r="U658" s="7" cm="1">
        <f t="array" aca="1" ref="U658" ca="1">z_score_diff(OFFSET(T658,0,0,$I$5*-1,1),OFFSET(E658,0,0,$I$5*-1,1))</f>
        <v>-0.25247270655823095</v>
      </c>
      <c r="V658" s="7">
        <f t="shared" ca="1" si="707"/>
        <v>-0.1433385838757929</v>
      </c>
      <c r="W658" s="14">
        <f t="shared" ca="1" si="702"/>
        <v>9.0047419506592827E-2</v>
      </c>
      <c r="X658" s="10">
        <f t="shared" ref="X658:Y658" ca="1" si="719">+X657</f>
        <v>0</v>
      </c>
      <c r="Y658" s="10">
        <f t="shared" ca="1" si="719"/>
        <v>0</v>
      </c>
      <c r="Z658">
        <f t="shared" ca="1" si="709"/>
        <v>1</v>
      </c>
      <c r="AA658">
        <f t="shared" ca="1" si="710"/>
        <v>0</v>
      </c>
      <c r="AB658" s="19">
        <f t="shared" ca="1" si="711"/>
        <v>9.0047419506592827E-2</v>
      </c>
      <c r="AC658" s="19">
        <f t="shared" ca="1" si="712"/>
        <v>0</v>
      </c>
    </row>
    <row r="659" spans="3:29" x14ac:dyDescent="0.25">
      <c r="C659" s="4">
        <v>652</v>
      </c>
      <c r="D659" s="28">
        <v>42933</v>
      </c>
      <c r="E659" s="30">
        <v>14.871</v>
      </c>
      <c r="F659" s="30">
        <v>42.185049660219555</v>
      </c>
      <c r="G659" s="30">
        <v>4.8571179648022307</v>
      </c>
      <c r="H659" s="30">
        <v>71.223209618400418</v>
      </c>
      <c r="I659" s="8">
        <v>0</v>
      </c>
      <c r="J659" s="31">
        <v>0</v>
      </c>
      <c r="K659" s="31">
        <v>0</v>
      </c>
      <c r="L659" s="31">
        <v>0</v>
      </c>
      <c r="M659" s="31">
        <v>0</v>
      </c>
      <c r="N659" s="31">
        <v>0</v>
      </c>
      <c r="O659" s="31">
        <v>1</v>
      </c>
      <c r="P659" s="31">
        <v>0</v>
      </c>
      <c r="Q659" s="31">
        <v>0</v>
      </c>
      <c r="R659" s="31">
        <v>0</v>
      </c>
      <c r="S659" s="31">
        <v>0</v>
      </c>
      <c r="T659" s="21" cm="1">
        <f t="array" aca="1" ref="T659" ca="1">+fair_value_gap(OFFSET(S658,0,0,-1*$I$5,-1*$Z$1),OFFSET(E658,0,0,-1*$I$5,1),F659:S659,0)</f>
        <v>14.922283424972525</v>
      </c>
      <c r="U659" s="7" cm="1">
        <f t="array" aca="1" ref="U659" ca="1">z_score_diff(OFFSET(T659,0,0,$I$5*-1,1),OFFSET(E659,0,0,$I$5*-1,1))</f>
        <v>-0.31599287734596726</v>
      </c>
      <c r="V659" s="7">
        <f t="shared" ca="1" si="707"/>
        <v>-0.15126554143017296</v>
      </c>
      <c r="W659" s="14">
        <f t="shared" ca="1" si="702"/>
        <v>6.5332537072208777E-2</v>
      </c>
      <c r="X659" s="10">
        <f t="shared" ref="X659:Y659" ca="1" si="720">+X658</f>
        <v>0</v>
      </c>
      <c r="Y659" s="10">
        <f t="shared" ca="1" si="720"/>
        <v>0</v>
      </c>
      <c r="Z659">
        <f t="shared" ca="1" si="709"/>
        <v>1</v>
      </c>
      <c r="AA659">
        <f t="shared" ca="1" si="710"/>
        <v>0</v>
      </c>
      <c r="AB659" s="19">
        <f t="shared" ca="1" si="711"/>
        <v>6.5332537072208777E-2</v>
      </c>
      <c r="AC659" s="19">
        <f t="shared" ca="1" si="712"/>
        <v>0</v>
      </c>
    </row>
    <row r="660" spans="3:29" x14ac:dyDescent="0.25">
      <c r="C660" s="4">
        <v>653</v>
      </c>
      <c r="D660" s="28">
        <v>42934</v>
      </c>
      <c r="E660" s="30">
        <v>14.74</v>
      </c>
      <c r="F660" s="30">
        <v>42.27839335180056</v>
      </c>
      <c r="G660" s="30">
        <v>4.8260041551246537</v>
      </c>
      <c r="H660" s="30">
        <v>70.983379501385045</v>
      </c>
      <c r="I660" s="8">
        <v>0</v>
      </c>
      <c r="J660" s="31">
        <v>0</v>
      </c>
      <c r="K660" s="31">
        <v>0</v>
      </c>
      <c r="L660" s="31">
        <v>0</v>
      </c>
      <c r="M660" s="31">
        <v>0</v>
      </c>
      <c r="N660" s="31">
        <v>0</v>
      </c>
      <c r="O660" s="31">
        <v>1</v>
      </c>
      <c r="P660" s="31">
        <v>0</v>
      </c>
      <c r="Q660" s="31">
        <v>0</v>
      </c>
      <c r="R660" s="31">
        <v>0</v>
      </c>
      <c r="S660" s="31">
        <v>0</v>
      </c>
      <c r="T660" s="21" cm="1">
        <f t="array" aca="1" ref="T660" ca="1">+fair_value_gap(OFFSET(S659,0,0,-1*$I$5,-1*$Z$1),OFFSET(E659,0,0,-1*$I$5,1),F660:S660,0)</f>
        <v>14.801841808663813</v>
      </c>
      <c r="U660" s="7" cm="1">
        <f t="array" aca="1" ref="U660" ca="1">z_score_diff(OFFSET(T660,0,0,$I$5*-1,1),OFFSET(E660,0,0,$I$5*-1,1))</f>
        <v>-0.31655229414944053</v>
      </c>
      <c r="V660" s="7">
        <f t="shared" ca="1" si="707"/>
        <v>-0.15540154436633724</v>
      </c>
      <c r="W660" s="14">
        <f t="shared" ca="1" si="702"/>
        <v>5.523058058327817E-2</v>
      </c>
      <c r="X660" s="10">
        <f t="shared" ref="X660:Y660" ca="1" si="721">+X659</f>
        <v>0</v>
      </c>
      <c r="Y660" s="10">
        <f t="shared" ca="1" si="721"/>
        <v>0</v>
      </c>
      <c r="Z660">
        <f t="shared" ca="1" si="709"/>
        <v>1</v>
      </c>
      <c r="AA660">
        <f t="shared" ca="1" si="710"/>
        <v>0</v>
      </c>
      <c r="AB660" s="19">
        <f t="shared" ca="1" si="711"/>
        <v>5.523058058327817E-2</v>
      </c>
      <c r="AC660" s="19">
        <f t="shared" ca="1" si="712"/>
        <v>0</v>
      </c>
    </row>
    <row r="661" spans="3:29" x14ac:dyDescent="0.25">
      <c r="C661" s="4">
        <v>654</v>
      </c>
      <c r="D661" s="28">
        <v>42935</v>
      </c>
      <c r="E661" s="30">
        <v>14.775</v>
      </c>
      <c r="F661" s="30">
        <v>43.164842800069486</v>
      </c>
      <c r="G661" s="30">
        <v>4.8419315615772103</v>
      </c>
      <c r="H661" s="30">
        <v>71.521625846795203</v>
      </c>
      <c r="I661" s="8">
        <v>0</v>
      </c>
      <c r="J661" s="31">
        <v>0</v>
      </c>
      <c r="K661" s="31">
        <v>0</v>
      </c>
      <c r="L661" s="31">
        <v>0</v>
      </c>
      <c r="M661" s="31">
        <v>0</v>
      </c>
      <c r="N661" s="31">
        <v>0</v>
      </c>
      <c r="O661" s="31">
        <v>1</v>
      </c>
      <c r="P661" s="31">
        <v>0</v>
      </c>
      <c r="Q661" s="31">
        <v>0</v>
      </c>
      <c r="R661" s="31">
        <v>0</v>
      </c>
      <c r="S661" s="31">
        <v>0</v>
      </c>
      <c r="T661" s="21" cm="1">
        <f t="array" aca="1" ref="T661" ca="1">+fair_value_gap(OFFSET(S660,0,0,-1*$I$5,-1*$Z$1),OFFSET(E660,0,0,-1*$I$5,1),F661:S661,0)</f>
        <v>14.817561513265074</v>
      </c>
      <c r="U661" s="7" cm="1">
        <f t="array" aca="1" ref="U661" ca="1">z_score_diff(OFFSET(T661,0,0,$I$5*-1,1),OFFSET(E661,0,0,$I$5*-1,1))</f>
        <v>-0.32611581642841536</v>
      </c>
      <c r="V661" s="7">
        <f t="shared" ca="1" si="707"/>
        <v>-0.15956301335644837</v>
      </c>
      <c r="W661" s="14">
        <f t="shared" ca="1" si="702"/>
        <v>8.5758477379380207E-2</v>
      </c>
      <c r="X661" s="10">
        <f t="shared" ref="X661:Y661" ca="1" si="722">+X660</f>
        <v>0</v>
      </c>
      <c r="Y661" s="10">
        <f t="shared" ca="1" si="722"/>
        <v>0</v>
      </c>
      <c r="Z661">
        <f t="shared" ca="1" si="709"/>
        <v>1</v>
      </c>
      <c r="AA661">
        <f t="shared" ca="1" si="710"/>
        <v>0</v>
      </c>
      <c r="AB661" s="19">
        <f t="shared" ca="1" si="711"/>
        <v>8.5758477379380207E-2</v>
      </c>
      <c r="AC661" s="19">
        <f t="shared" ca="1" si="712"/>
        <v>0</v>
      </c>
    </row>
    <row r="662" spans="3:29" x14ac:dyDescent="0.25">
      <c r="C662" s="4">
        <v>655</v>
      </c>
      <c r="D662" s="28">
        <v>42936</v>
      </c>
      <c r="E662" s="30">
        <v>14.948</v>
      </c>
      <c r="F662" s="30">
        <v>42.394014962593509</v>
      </c>
      <c r="G662" s="30">
        <v>4.8112477427121849</v>
      </c>
      <c r="H662" s="30">
        <v>70.943331326855272</v>
      </c>
      <c r="I662" s="8">
        <v>0</v>
      </c>
      <c r="J662" s="31">
        <v>0</v>
      </c>
      <c r="K662" s="31">
        <v>0</v>
      </c>
      <c r="L662" s="31">
        <v>0</v>
      </c>
      <c r="M662" s="31">
        <v>0</v>
      </c>
      <c r="N662" s="31">
        <v>0</v>
      </c>
      <c r="O662" s="31">
        <v>1</v>
      </c>
      <c r="P662" s="31">
        <v>0</v>
      </c>
      <c r="Q662" s="31">
        <v>0</v>
      </c>
      <c r="R662" s="31">
        <v>0</v>
      </c>
      <c r="S662" s="31">
        <v>0</v>
      </c>
      <c r="T662" s="21" cm="1">
        <f t="array" aca="1" ref="T662" ca="1">+fair_value_gap(OFFSET(S661,0,0,-1*$I$5,-1*$Z$1),OFFSET(E661,0,0,-1*$I$5,1),F662:S662,0)</f>
        <v>14.635715461098949</v>
      </c>
      <c r="U662" s="7" cm="1">
        <f t="array" aca="1" ref="U662" ca="1">z_score_diff(OFFSET(T662,0,0,$I$5*-1,1),OFFSET(E662,0,0,$I$5*-1,1))</f>
        <v>-0.47394938205808734</v>
      </c>
      <c r="V662" s="7">
        <f t="shared" ca="1" si="707"/>
        <v>-0.1728015643476489</v>
      </c>
      <c r="W662" s="14">
        <f t="shared" ca="1" si="702"/>
        <v>8.0310266203560687E-2</v>
      </c>
      <c r="X662" s="10">
        <f t="shared" ref="X662:Y662" ca="1" si="723">+X661</f>
        <v>0</v>
      </c>
      <c r="Y662" s="10">
        <f t="shared" ca="1" si="723"/>
        <v>0</v>
      </c>
      <c r="Z662">
        <f t="shared" ca="1" si="709"/>
        <v>1</v>
      </c>
      <c r="AA662">
        <f t="shared" ca="1" si="710"/>
        <v>0</v>
      </c>
      <c r="AB662" s="19">
        <f t="shared" ca="1" si="711"/>
        <v>8.0310266203560687E-2</v>
      </c>
      <c r="AC662" s="19">
        <f t="shared" ca="1" si="712"/>
        <v>0</v>
      </c>
    </row>
    <row r="663" spans="3:29" x14ac:dyDescent="0.25">
      <c r="C663" s="4">
        <v>656</v>
      </c>
      <c r="D663" s="28">
        <v>42937</v>
      </c>
      <c r="E663" s="30">
        <v>14.884</v>
      </c>
      <c r="F663" s="30">
        <v>41.214304090558279</v>
      </c>
      <c r="G663" s="30">
        <v>4.7980447645999487</v>
      </c>
      <c r="H663" s="30">
        <v>70.748649343967074</v>
      </c>
      <c r="I663" s="8">
        <v>0</v>
      </c>
      <c r="J663" s="31">
        <v>0</v>
      </c>
      <c r="K663" s="31">
        <v>0</v>
      </c>
      <c r="L663" s="31">
        <v>0</v>
      </c>
      <c r="M663" s="31">
        <v>0</v>
      </c>
      <c r="N663" s="31">
        <v>0</v>
      </c>
      <c r="O663" s="31">
        <v>1</v>
      </c>
      <c r="P663" s="31">
        <v>0</v>
      </c>
      <c r="Q663" s="31">
        <v>0</v>
      </c>
      <c r="R663" s="31">
        <v>0</v>
      </c>
      <c r="S663" s="31">
        <v>0</v>
      </c>
      <c r="T663" s="21" cm="1">
        <f t="array" aca="1" ref="T663" ca="1">+fair_value_gap(OFFSET(S662,0,0,-1*$I$5,-1*$Z$1),OFFSET(E662,0,0,-1*$I$5,1),F663:S663,0)</f>
        <v>14.654599579200642</v>
      </c>
      <c r="U663" s="7" cm="1">
        <f t="array" aca="1" ref="U663" ca="1">z_score_diff(OFFSET(T663,0,0,$I$5*-1,1),OFFSET(E663,0,0,$I$5*-1,1))</f>
        <v>-0.43110651490952212</v>
      </c>
      <c r="V663" s="7">
        <f t="shared" ca="1" si="707"/>
        <v>-0.18240761093573526</v>
      </c>
      <c r="W663" s="14">
        <f t="shared" ca="1" si="702"/>
        <v>7.8408230187165903E-2</v>
      </c>
      <c r="X663" s="10">
        <f t="shared" ref="X663:Y663" ca="1" si="724">+X662</f>
        <v>0</v>
      </c>
      <c r="Y663" s="10">
        <f t="shared" ca="1" si="724"/>
        <v>0</v>
      </c>
      <c r="Z663">
        <f t="shared" ca="1" si="709"/>
        <v>1</v>
      </c>
      <c r="AA663">
        <f t="shared" ca="1" si="710"/>
        <v>0</v>
      </c>
      <c r="AB663" s="19">
        <f t="shared" ca="1" si="711"/>
        <v>7.8408230187165903E-2</v>
      </c>
      <c r="AC663" s="19">
        <f t="shared" ca="1" si="712"/>
        <v>0</v>
      </c>
    </row>
    <row r="664" spans="3:29" x14ac:dyDescent="0.25">
      <c r="C664" s="4">
        <v>657</v>
      </c>
      <c r="D664" s="28">
        <v>42940</v>
      </c>
      <c r="E664" s="30">
        <v>14.723000000000001</v>
      </c>
      <c r="F664" s="30">
        <v>41.759752534799794</v>
      </c>
      <c r="G664" s="30">
        <v>4.8247121498539274</v>
      </c>
      <c r="H664" s="30">
        <v>70.544767142120634</v>
      </c>
      <c r="I664" s="8">
        <v>0</v>
      </c>
      <c r="J664" s="31">
        <v>0</v>
      </c>
      <c r="K664" s="31">
        <v>0</v>
      </c>
      <c r="L664" s="31">
        <v>0</v>
      </c>
      <c r="M664" s="31">
        <v>0</v>
      </c>
      <c r="N664" s="31">
        <v>0</v>
      </c>
      <c r="O664" s="31">
        <v>1</v>
      </c>
      <c r="P664" s="31">
        <v>0</v>
      </c>
      <c r="Q664" s="31">
        <v>0</v>
      </c>
      <c r="R664" s="31">
        <v>0</v>
      </c>
      <c r="S664" s="31">
        <v>0</v>
      </c>
      <c r="T664" s="21" cm="1">
        <f t="array" aca="1" ref="T664" ca="1">+fair_value_gap(OFFSET(S663,0,0,-1*$I$5,-1*$Z$1),OFFSET(E663,0,0,-1*$I$5,1),F664:S664,0)</f>
        <v>14.650853808687859</v>
      </c>
      <c r="U664" s="7" cm="1">
        <f t="array" aca="1" ref="U664" ca="1">z_score_diff(OFFSET(T664,0,0,$I$5*-1,1),OFFSET(E664,0,0,$I$5*-1,1))</f>
        <v>-0.35856200012340589</v>
      </c>
      <c r="V664" s="7">
        <f t="shared" ca="1" si="707"/>
        <v>-0.18465153325671044</v>
      </c>
      <c r="W664" s="14">
        <f t="shared" ca="1" si="702"/>
        <v>9.4488616502376277E-2</v>
      </c>
      <c r="X664" s="10">
        <f t="shared" ref="X664:Y664" ca="1" si="725">+X663</f>
        <v>0</v>
      </c>
      <c r="Y664" s="10">
        <f t="shared" ca="1" si="725"/>
        <v>0</v>
      </c>
      <c r="Z664">
        <f t="shared" ca="1" si="709"/>
        <v>1</v>
      </c>
      <c r="AA664">
        <f t="shared" ca="1" si="710"/>
        <v>0</v>
      </c>
      <c r="AB664" s="19">
        <f t="shared" ca="1" si="711"/>
        <v>9.4488616502376277E-2</v>
      </c>
      <c r="AC664" s="19">
        <f t="shared" ca="1" si="712"/>
        <v>0</v>
      </c>
    </row>
    <row r="665" spans="3:29" x14ac:dyDescent="0.25">
      <c r="C665" s="4">
        <v>658</v>
      </c>
      <c r="D665" s="28">
        <v>42941</v>
      </c>
      <c r="E665" s="30">
        <v>14.827999999999999</v>
      </c>
      <c r="F665" s="30">
        <v>43.086430349326243</v>
      </c>
      <c r="G665" s="30">
        <v>4.8193288129774272</v>
      </c>
      <c r="H665" s="30">
        <v>70.508969187194239</v>
      </c>
      <c r="I665" s="8">
        <v>0</v>
      </c>
      <c r="J665" s="31">
        <v>0</v>
      </c>
      <c r="K665" s="31">
        <v>0</v>
      </c>
      <c r="L665" s="31">
        <v>0</v>
      </c>
      <c r="M665" s="31">
        <v>0</v>
      </c>
      <c r="N665" s="31">
        <v>0</v>
      </c>
      <c r="O665" s="31">
        <v>1</v>
      </c>
      <c r="P665" s="31">
        <v>0</v>
      </c>
      <c r="Q665" s="31">
        <v>0</v>
      </c>
      <c r="R665" s="31">
        <v>0</v>
      </c>
      <c r="S665" s="31">
        <v>0</v>
      </c>
      <c r="T665" s="21" cm="1">
        <f t="array" aca="1" ref="T665" ca="1">+fair_value_gap(OFFSET(S664,0,0,-1*$I$5,-1*$Z$1),OFFSET(E664,0,0,-1*$I$5,1),F665:S665,0)</f>
        <v>14.626333190229264</v>
      </c>
      <c r="U665" s="7" cm="1">
        <f t="array" aca="1" ref="U665" ca="1">z_score_diff(OFFSET(T665,0,0,$I$5*-1,1),OFFSET(E665,0,0,$I$5*-1,1))</f>
        <v>-0.4088026948143394</v>
      </c>
      <c r="V665" s="7">
        <f t="shared" ca="1" si="707"/>
        <v>-0.17981552213850391</v>
      </c>
      <c r="W665" s="14">
        <f t="shared" ca="1" si="702"/>
        <v>8.558850564313511E-2</v>
      </c>
      <c r="X665" s="10">
        <f t="shared" ref="X665:Y665" ca="1" si="726">+X664</f>
        <v>0</v>
      </c>
      <c r="Y665" s="10">
        <f t="shared" ca="1" si="726"/>
        <v>0</v>
      </c>
      <c r="Z665">
        <f t="shared" ca="1" si="709"/>
        <v>1</v>
      </c>
      <c r="AA665">
        <f t="shared" ca="1" si="710"/>
        <v>0</v>
      </c>
      <c r="AB665" s="19">
        <f t="shared" ca="1" si="711"/>
        <v>8.558850564313511E-2</v>
      </c>
      <c r="AC665" s="19">
        <f t="shared" ca="1" si="712"/>
        <v>0</v>
      </c>
    </row>
    <row r="666" spans="3:29" x14ac:dyDescent="0.25">
      <c r="C666" s="4">
        <v>659</v>
      </c>
      <c r="D666" s="28">
        <v>42942</v>
      </c>
      <c r="E666" s="30">
        <v>15.177</v>
      </c>
      <c r="F666" s="30">
        <v>43.445277872485505</v>
      </c>
      <c r="G666" s="30">
        <v>4.8158881691101261</v>
      </c>
      <c r="H666" s="30">
        <v>69.936924650528468</v>
      </c>
      <c r="I666" s="8">
        <v>0</v>
      </c>
      <c r="J666" s="31">
        <v>0</v>
      </c>
      <c r="K666" s="31">
        <v>0</v>
      </c>
      <c r="L666" s="31">
        <v>0</v>
      </c>
      <c r="M666" s="31">
        <v>0</v>
      </c>
      <c r="N666" s="31">
        <v>0</v>
      </c>
      <c r="O666" s="31">
        <v>1</v>
      </c>
      <c r="P666" s="31">
        <v>0</v>
      </c>
      <c r="Q666" s="31">
        <v>0</v>
      </c>
      <c r="R666" s="31">
        <v>0</v>
      </c>
      <c r="S666" s="31">
        <v>0</v>
      </c>
      <c r="T666" s="21" cm="1">
        <f t="array" aca="1" ref="T666" ca="1">+fair_value_gap(OFFSET(S665,0,0,-1*$I$5,-1*$Z$1),OFFSET(E665,0,0,-1*$I$5,1),F666:S666,0)</f>
        <v>14.560204279741269</v>
      </c>
      <c r="U666" s="7" cm="1">
        <f t="array" aca="1" ref="U666" ca="1">z_score_diff(OFFSET(T666,0,0,$I$5*-1,1),OFFSET(E666,0,0,$I$5*-1,1))</f>
        <v>-0.58149324019841497</v>
      </c>
      <c r="V666" s="7">
        <f t="shared" ca="1" si="707"/>
        <v>-0.18032813204747969</v>
      </c>
      <c r="W666" s="14">
        <f t="shared" ca="1" si="702"/>
        <v>7.505820719669222E-2</v>
      </c>
      <c r="X666" s="10">
        <f t="shared" ref="X666:Y666" ca="1" si="727">+X665</f>
        <v>0</v>
      </c>
      <c r="Y666" s="10">
        <f t="shared" ca="1" si="727"/>
        <v>0</v>
      </c>
      <c r="Z666">
        <f t="shared" ca="1" si="709"/>
        <v>1</v>
      </c>
      <c r="AA666">
        <f t="shared" ca="1" si="710"/>
        <v>0</v>
      </c>
      <c r="AB666" s="19">
        <f t="shared" ca="1" si="711"/>
        <v>7.505820719669222E-2</v>
      </c>
      <c r="AC666" s="19">
        <f t="shared" ca="1" si="712"/>
        <v>0</v>
      </c>
    </row>
    <row r="667" spans="3:29" x14ac:dyDescent="0.25">
      <c r="C667" s="4">
        <v>660</v>
      </c>
      <c r="D667" s="28">
        <v>42943</v>
      </c>
      <c r="E667" s="30">
        <v>15.129</v>
      </c>
      <c r="F667" s="30">
        <v>44.099006509078457</v>
      </c>
      <c r="G667" s="30">
        <v>4.8903734155532721</v>
      </c>
      <c r="H667" s="30">
        <v>70.743405275779367</v>
      </c>
      <c r="I667" s="8">
        <v>0</v>
      </c>
      <c r="J667" s="31">
        <v>0</v>
      </c>
      <c r="K667" s="31">
        <v>0</v>
      </c>
      <c r="L667" s="31">
        <v>0</v>
      </c>
      <c r="M667" s="31">
        <v>0</v>
      </c>
      <c r="N667" s="31">
        <v>0</v>
      </c>
      <c r="O667" s="31">
        <v>1</v>
      </c>
      <c r="P667" s="31">
        <v>0</v>
      </c>
      <c r="Q667" s="31">
        <v>0</v>
      </c>
      <c r="R667" s="31">
        <v>0</v>
      </c>
      <c r="S667" s="31">
        <v>0</v>
      </c>
      <c r="T667" s="21" cm="1">
        <f t="array" aca="1" ref="T667" ca="1">+fair_value_gap(OFFSET(S666,0,0,-1*$I$5,-1*$Z$1),OFFSET(E666,0,0,-1*$I$5,1),F667:S667,0)</f>
        <v>14.777222324941587</v>
      </c>
      <c r="U667" s="7" cm="1">
        <f t="array" aca="1" ref="U667" ca="1">z_score_diff(OFFSET(T667,0,0,$I$5*-1,1),OFFSET(E667,0,0,$I$5*-1,1))</f>
        <v>-0.45521247920518981</v>
      </c>
      <c r="V667" s="7">
        <f t="shared" ca="1" si="707"/>
        <v>-0.17642670078441414</v>
      </c>
      <c r="W667" s="14">
        <f t="shared" ca="1" si="702"/>
        <v>7.7492133939332825E-2</v>
      </c>
      <c r="X667" s="10">
        <f t="shared" ref="X667:Y667" ca="1" si="728">+X666</f>
        <v>0</v>
      </c>
      <c r="Y667" s="10">
        <f t="shared" ca="1" si="728"/>
        <v>0</v>
      </c>
      <c r="Z667">
        <f t="shared" ca="1" si="709"/>
        <v>1</v>
      </c>
      <c r="AA667">
        <f t="shared" ca="1" si="710"/>
        <v>0</v>
      </c>
      <c r="AB667" s="19">
        <f t="shared" ca="1" si="711"/>
        <v>7.7492133939332825E-2</v>
      </c>
      <c r="AC667" s="19">
        <f t="shared" ca="1" si="712"/>
        <v>0</v>
      </c>
    </row>
    <row r="668" spans="3:29" x14ac:dyDescent="0.25">
      <c r="C668" s="4">
        <v>661</v>
      </c>
      <c r="D668" s="28">
        <v>42944</v>
      </c>
      <c r="E668" s="30">
        <v>14.983000000000001</v>
      </c>
      <c r="F668" s="30">
        <v>44.697872340425533</v>
      </c>
      <c r="G668" s="30">
        <v>4.8851063829787238</v>
      </c>
      <c r="H668" s="30">
        <v>70</v>
      </c>
      <c r="I668" s="8">
        <v>0</v>
      </c>
      <c r="J668" s="31">
        <v>0</v>
      </c>
      <c r="K668" s="31">
        <v>0</v>
      </c>
      <c r="L668" s="31">
        <v>0</v>
      </c>
      <c r="M668" s="31">
        <v>0</v>
      </c>
      <c r="N668" s="31">
        <v>0</v>
      </c>
      <c r="O668" s="31">
        <v>1</v>
      </c>
      <c r="P668" s="31">
        <v>0</v>
      </c>
      <c r="Q668" s="31">
        <v>0</v>
      </c>
      <c r="R668" s="31">
        <v>0</v>
      </c>
      <c r="S668" s="31">
        <v>0</v>
      </c>
      <c r="T668" s="21" cm="1">
        <f t="array" aca="1" ref="T668" ca="1">+fair_value_gap(OFFSET(S667,0,0,-1*$I$5,-1*$Z$1),OFFSET(E667,0,0,-1*$I$5,1),F668:S668,0)</f>
        <v>14.70014073234926</v>
      </c>
      <c r="U668" s="7" cm="1">
        <f t="array" aca="1" ref="U668" ca="1">z_score_diff(OFFSET(T668,0,0,$I$5*-1,1),OFFSET(E668,0,0,$I$5*-1,1))</f>
        <v>-0.42251109543074405</v>
      </c>
      <c r="V668" s="7">
        <f t="shared" ca="1" si="707"/>
        <v>-0.17511428422514155</v>
      </c>
      <c r="W668" s="14">
        <f t="shared" ca="1" si="702"/>
        <v>8.4432914896510058E-2</v>
      </c>
      <c r="X668" s="10">
        <f t="shared" ref="X668:Y668" ca="1" si="729">+X667</f>
        <v>0</v>
      </c>
      <c r="Y668" s="10">
        <f t="shared" ca="1" si="729"/>
        <v>0</v>
      </c>
      <c r="Z668">
        <f t="shared" ca="1" si="709"/>
        <v>1</v>
      </c>
      <c r="AA668">
        <f t="shared" ca="1" si="710"/>
        <v>0</v>
      </c>
      <c r="AB668" s="19">
        <f t="shared" ca="1" si="711"/>
        <v>8.4432914896510058E-2</v>
      </c>
      <c r="AC668" s="19">
        <f t="shared" ca="1" si="712"/>
        <v>0</v>
      </c>
    </row>
    <row r="669" spans="3:29" x14ac:dyDescent="0.25">
      <c r="C669" s="4">
        <v>662</v>
      </c>
      <c r="D669" s="28">
        <v>42947</v>
      </c>
      <c r="E669" s="30">
        <v>14.965999999999999</v>
      </c>
      <c r="F669" s="30">
        <v>44.467905405405403</v>
      </c>
      <c r="G669" s="30">
        <v>4.8986486486486491</v>
      </c>
      <c r="H669" s="30">
        <v>70.819256756756758</v>
      </c>
      <c r="I669" s="8">
        <v>0</v>
      </c>
      <c r="J669" s="31">
        <v>0</v>
      </c>
      <c r="K669" s="31">
        <v>0</v>
      </c>
      <c r="L669" s="31">
        <v>0</v>
      </c>
      <c r="M669" s="31">
        <v>0</v>
      </c>
      <c r="N669" s="31">
        <v>0</v>
      </c>
      <c r="O669" s="31">
        <v>1</v>
      </c>
      <c r="P669" s="31">
        <v>0</v>
      </c>
      <c r="Q669" s="31">
        <v>0</v>
      </c>
      <c r="R669" s="31">
        <v>0</v>
      </c>
      <c r="S669" s="31">
        <v>0</v>
      </c>
      <c r="T669" s="21" cm="1">
        <f t="array" aca="1" ref="T669" ca="1">+fair_value_gap(OFFSET(S668,0,0,-1*$I$5,-1*$Z$1),OFFSET(E668,0,0,-1*$I$5,1),F669:S669,0)</f>
        <v>14.843408471597293</v>
      </c>
      <c r="U669" s="7" cm="1">
        <f t="array" aca="1" ref="U669" ca="1">z_score_diff(OFFSET(T669,0,0,$I$5*-1,1),OFFSET(E669,0,0,$I$5*-1,1))</f>
        <v>-0.34600346720278374</v>
      </c>
      <c r="V669" s="7">
        <f t="shared" ca="1" si="707"/>
        <v>-0.19499131050173629</v>
      </c>
      <c r="W669" s="14">
        <f t="shared" ca="1" si="702"/>
        <v>8.5690847583115751E-2</v>
      </c>
      <c r="X669" s="10">
        <f t="shared" ref="X669:Y669" ca="1" si="730">+X668</f>
        <v>0</v>
      </c>
      <c r="Y669" s="10">
        <f t="shared" ca="1" si="730"/>
        <v>0</v>
      </c>
      <c r="Z669">
        <f t="shared" ca="1" si="709"/>
        <v>1</v>
      </c>
      <c r="AA669">
        <f t="shared" ca="1" si="710"/>
        <v>0</v>
      </c>
      <c r="AB669" s="19">
        <f t="shared" ca="1" si="711"/>
        <v>8.5690847583115751E-2</v>
      </c>
      <c r="AC669" s="19">
        <f t="shared" ca="1" si="712"/>
        <v>0</v>
      </c>
    </row>
    <row r="670" spans="3:29" x14ac:dyDescent="0.25">
      <c r="C670" s="4">
        <v>663</v>
      </c>
      <c r="D670" s="28">
        <v>42948</v>
      </c>
      <c r="E670" s="30">
        <v>14.675000000000001</v>
      </c>
      <c r="F670" s="30">
        <v>43.877637488348448</v>
      </c>
      <c r="G670" s="30">
        <v>4.8936530802474376</v>
      </c>
      <c r="H670" s="30">
        <v>71.561732056605379</v>
      </c>
      <c r="I670" s="8">
        <v>0</v>
      </c>
      <c r="J670" s="31">
        <v>0</v>
      </c>
      <c r="K670" s="31">
        <v>0</v>
      </c>
      <c r="L670" s="31">
        <v>0</v>
      </c>
      <c r="M670" s="31">
        <v>0</v>
      </c>
      <c r="N670" s="31">
        <v>0</v>
      </c>
      <c r="O670" s="31">
        <v>0</v>
      </c>
      <c r="P670" s="31">
        <v>1</v>
      </c>
      <c r="Q670" s="31">
        <v>0</v>
      </c>
      <c r="R670" s="31">
        <v>0</v>
      </c>
      <c r="S670" s="31">
        <v>0</v>
      </c>
      <c r="T670" s="21" cm="1">
        <f t="array" aca="1" ref="T670" ca="1">+fair_value_gap(OFFSET(S669,0,0,-1*$I$5,-1*$Z$1),OFFSET(E669,0,0,-1*$I$5,1),F670:S670,0)</f>
        <v>13.318093418410179</v>
      </c>
      <c r="U670" s="7" cm="1">
        <f t="array" aca="1" ref="U670" ca="1">z_score_diff(OFFSET(T670,0,0,$I$5*-1,1),OFFSET(E670,0,0,$I$5*-1,1))</f>
        <v>-0.90960964715634973</v>
      </c>
      <c r="V670" s="7">
        <f t="shared" ca="1" si="707"/>
        <v>-0.25034448995940506</v>
      </c>
      <c r="W670" s="14">
        <f t="shared" ca="1" si="702"/>
        <v>0.11545589308637851</v>
      </c>
      <c r="X670" s="10">
        <f t="shared" ref="X670:Y670" ca="1" si="731">+X669</f>
        <v>0</v>
      </c>
      <c r="Y670" s="10">
        <f t="shared" ca="1" si="731"/>
        <v>0</v>
      </c>
      <c r="Z670">
        <f t="shared" ca="1" si="709"/>
        <v>1</v>
      </c>
      <c r="AA670">
        <f t="shared" ca="1" si="710"/>
        <v>0</v>
      </c>
      <c r="AB670" s="19">
        <f t="shared" ca="1" si="711"/>
        <v>0.11545589308637851</v>
      </c>
      <c r="AC670" s="19">
        <f t="shared" ca="1" si="712"/>
        <v>0</v>
      </c>
    </row>
    <row r="671" spans="3:29" x14ac:dyDescent="0.25">
      <c r="C671" s="4">
        <v>664</v>
      </c>
      <c r="D671" s="28">
        <v>42949</v>
      </c>
      <c r="E671" s="30">
        <v>14.742000000000001</v>
      </c>
      <c r="F671" s="30">
        <v>44.170744052640458</v>
      </c>
      <c r="G671" s="30">
        <v>4.8717732411000512</v>
      </c>
      <c r="H671" s="30">
        <v>71.705753332208531</v>
      </c>
      <c r="I671" s="8">
        <v>0</v>
      </c>
      <c r="J671" s="31">
        <v>0</v>
      </c>
      <c r="K671" s="31">
        <v>0</v>
      </c>
      <c r="L671" s="31">
        <v>0</v>
      </c>
      <c r="M671" s="31">
        <v>0</v>
      </c>
      <c r="N671" s="31">
        <v>0</v>
      </c>
      <c r="O671" s="31">
        <v>0</v>
      </c>
      <c r="P671" s="31">
        <v>1</v>
      </c>
      <c r="Q671" s="31">
        <v>0</v>
      </c>
      <c r="R671" s="31">
        <v>0</v>
      </c>
      <c r="S671" s="31">
        <v>0</v>
      </c>
      <c r="T671" s="21" cm="1">
        <f t="array" aca="1" ref="T671" ca="1">+fair_value_gap(OFFSET(S670,0,0,-1*$I$5,-1*$Z$1),OFFSET(E670,0,0,-1*$I$5,1),F671:S671,0)</f>
        <v>13.465603441229989</v>
      </c>
      <c r="U671" s="7" cm="1">
        <f t="array" aca="1" ref="U671" ca="1">z_score_diff(OFFSET(T671,0,0,$I$5*-1,1),OFFSET(E671,0,0,$I$5*-1,1))</f>
        <v>-0.85856889645455226</v>
      </c>
      <c r="V671" s="7">
        <f t="shared" ca="1" si="707"/>
        <v>-0.30534100785316926</v>
      </c>
      <c r="W671" s="14">
        <f t="shared" ca="1" si="702"/>
        <v>0.11381067080590633</v>
      </c>
      <c r="X671" s="10">
        <f t="shared" ref="X671:Y671" ca="1" si="732">+X670</f>
        <v>0</v>
      </c>
      <c r="Y671" s="10">
        <f t="shared" ca="1" si="732"/>
        <v>0</v>
      </c>
      <c r="Z671">
        <f t="shared" ca="1" si="709"/>
        <v>1</v>
      </c>
      <c r="AA671">
        <f t="shared" ca="1" si="710"/>
        <v>0</v>
      </c>
      <c r="AB671" s="19">
        <f t="shared" ca="1" si="711"/>
        <v>0.11381067080590633</v>
      </c>
      <c r="AC671" s="19">
        <f t="shared" ca="1" si="712"/>
        <v>0</v>
      </c>
    </row>
    <row r="672" spans="3:29" x14ac:dyDescent="0.25">
      <c r="C672" s="4">
        <v>665</v>
      </c>
      <c r="D672" s="28">
        <v>42950</v>
      </c>
      <c r="E672" s="30">
        <v>14.79</v>
      </c>
      <c r="F672" s="30">
        <v>43.823727671048189</v>
      </c>
      <c r="G672" s="30">
        <v>4.8702392989551733</v>
      </c>
      <c r="H672" s="30">
        <v>72.000337040781929</v>
      </c>
      <c r="I672" s="8">
        <v>0</v>
      </c>
      <c r="J672" s="31">
        <v>0</v>
      </c>
      <c r="K672" s="31">
        <v>0</v>
      </c>
      <c r="L672" s="31">
        <v>0</v>
      </c>
      <c r="M672" s="31">
        <v>0</v>
      </c>
      <c r="N672" s="31">
        <v>0</v>
      </c>
      <c r="O672" s="31">
        <v>0</v>
      </c>
      <c r="P672" s="31">
        <v>1</v>
      </c>
      <c r="Q672" s="31">
        <v>0</v>
      </c>
      <c r="R672" s="31">
        <v>0</v>
      </c>
      <c r="S672" s="31">
        <v>0</v>
      </c>
      <c r="T672" s="21" cm="1">
        <f t="array" aca="1" ref="T672" ca="1">+fair_value_gap(OFFSET(S671,0,0,-1*$I$5,-1*$Z$1),OFFSET(E671,0,0,-1*$I$5,1),F672:S672,0)</f>
        <v>13.663532358092587</v>
      </c>
      <c r="U672" s="7" cm="1">
        <f t="array" aca="1" ref="U672" ca="1">z_score_diff(OFFSET(T672,0,0,$I$5*-1,1),OFFSET(E672,0,0,$I$5*-1,1))</f>
        <v>-0.77518589658005455</v>
      </c>
      <c r="V672" s="7">
        <f t="shared" ca="1" si="707"/>
        <v>-0.35086305514359628</v>
      </c>
      <c r="W672" s="14">
        <f t="shared" ca="1" si="702"/>
        <v>0.1064349889145749</v>
      </c>
      <c r="X672" s="10">
        <f t="shared" ref="X672:Y672" ca="1" si="733">+X671</f>
        <v>0</v>
      </c>
      <c r="Y672" s="10">
        <f t="shared" ca="1" si="733"/>
        <v>0</v>
      </c>
      <c r="Z672">
        <f t="shared" ca="1" si="709"/>
        <v>1</v>
      </c>
      <c r="AA672">
        <f t="shared" ca="1" si="710"/>
        <v>0</v>
      </c>
      <c r="AB672" s="19">
        <f t="shared" ca="1" si="711"/>
        <v>0.1064349889145749</v>
      </c>
      <c r="AC672" s="19">
        <f t="shared" ca="1" si="712"/>
        <v>0</v>
      </c>
    </row>
    <row r="673" spans="3:29" x14ac:dyDescent="0.25">
      <c r="C673" s="4">
        <v>666</v>
      </c>
      <c r="D673" s="28">
        <v>42951</v>
      </c>
      <c r="E673" s="30">
        <v>15</v>
      </c>
      <c r="F673" s="30">
        <v>44.544527532290957</v>
      </c>
      <c r="G673" s="30">
        <v>4.9371176070700198</v>
      </c>
      <c r="H673" s="30">
        <v>73.546906866077492</v>
      </c>
      <c r="I673" s="8">
        <v>0</v>
      </c>
      <c r="J673" s="31">
        <v>0</v>
      </c>
      <c r="K673" s="31">
        <v>0</v>
      </c>
      <c r="L673" s="31">
        <v>0</v>
      </c>
      <c r="M673" s="31">
        <v>0</v>
      </c>
      <c r="N673" s="31">
        <v>0</v>
      </c>
      <c r="O673" s="31">
        <v>0</v>
      </c>
      <c r="P673" s="31">
        <v>1</v>
      </c>
      <c r="Q673" s="31">
        <v>0</v>
      </c>
      <c r="R673" s="31">
        <v>0</v>
      </c>
      <c r="S673" s="31">
        <v>0</v>
      </c>
      <c r="T673" s="21" cm="1">
        <f t="array" aca="1" ref="T673" ca="1">+fair_value_gap(OFFSET(S672,0,0,-1*$I$5,-1*$Z$1),OFFSET(E672,0,0,-1*$I$5,1),F673:S673,0)</f>
        <v>14.109120302835279</v>
      </c>
      <c r="U673" s="7" cm="1">
        <f t="array" aca="1" ref="U673" ca="1">z_score_diff(OFFSET(T673,0,0,$I$5*-1,1),OFFSET(E673,0,0,$I$5*-1,1))</f>
        <v>-0.65666787165502483</v>
      </c>
      <c r="V673" s="7">
        <f t="shared" ca="1" si="707"/>
        <v>-0.39242390280081951</v>
      </c>
      <c r="W673" s="14">
        <f t="shared" ca="1" si="702"/>
        <v>8.9962573477729443E-2</v>
      </c>
      <c r="X673" s="10">
        <f t="shared" ref="X673:Y673" ca="1" si="734">+X672</f>
        <v>0</v>
      </c>
      <c r="Y673" s="10">
        <f t="shared" ca="1" si="734"/>
        <v>0</v>
      </c>
      <c r="Z673">
        <f t="shared" ca="1" si="709"/>
        <v>1</v>
      </c>
      <c r="AA673">
        <f t="shared" ca="1" si="710"/>
        <v>0</v>
      </c>
      <c r="AB673" s="19">
        <f t="shared" ca="1" si="711"/>
        <v>8.9962573477729443E-2</v>
      </c>
      <c r="AC673" s="19">
        <f t="shared" ca="1" si="712"/>
        <v>0</v>
      </c>
    </row>
    <row r="674" spans="3:29" x14ac:dyDescent="0.25">
      <c r="C674" s="4">
        <v>667</v>
      </c>
      <c r="D674" s="28">
        <v>42954</v>
      </c>
      <c r="E674" s="30">
        <v>15.349</v>
      </c>
      <c r="F674" s="30">
        <v>44.407699482744</v>
      </c>
      <c r="G674" s="30">
        <v>4.9308912066480115</v>
      </c>
      <c r="H674" s="30">
        <v>73.009412363266335</v>
      </c>
      <c r="I674" s="8">
        <v>0</v>
      </c>
      <c r="J674" s="31">
        <v>0</v>
      </c>
      <c r="K674" s="31">
        <v>0</v>
      </c>
      <c r="L674" s="31">
        <v>0</v>
      </c>
      <c r="M674" s="31">
        <v>0</v>
      </c>
      <c r="N674" s="31">
        <v>0</v>
      </c>
      <c r="O674" s="31">
        <v>0</v>
      </c>
      <c r="P674" s="31">
        <v>1</v>
      </c>
      <c r="Q674" s="31">
        <v>0</v>
      </c>
      <c r="R674" s="31">
        <v>0</v>
      </c>
      <c r="S674" s="31">
        <v>0</v>
      </c>
      <c r="T674" s="21" cm="1">
        <f t="array" aca="1" ref="T674" ca="1">+fair_value_gap(OFFSET(S673,0,0,-1*$I$5,-1*$Z$1),OFFSET(E673,0,0,-1*$I$5,1),F674:S674,0)</f>
        <v>14.124527277543846</v>
      </c>
      <c r="U674" s="7" cm="1">
        <f t="array" aca="1" ref="U674" ca="1">z_score_diff(OFFSET(T674,0,0,$I$5*-1,1),OFFSET(E674,0,0,$I$5*-1,1))</f>
        <v>-0.79765772648392519</v>
      </c>
      <c r="V674" s="7">
        <f t="shared" ca="1" si="707"/>
        <v>-0.43982824506489421</v>
      </c>
      <c r="W674" s="14">
        <f t="shared" ca="1" si="702"/>
        <v>6.9214359758750121E-2</v>
      </c>
      <c r="X674" s="10">
        <f t="shared" ref="X674:Y674" ca="1" si="735">+X673</f>
        <v>0</v>
      </c>
      <c r="Y674" s="10">
        <f t="shared" ca="1" si="735"/>
        <v>0</v>
      </c>
      <c r="Z674">
        <f t="shared" ca="1" si="709"/>
        <v>1</v>
      </c>
      <c r="AA674">
        <f t="shared" ca="1" si="710"/>
        <v>0</v>
      </c>
      <c r="AB674" s="19">
        <f t="shared" ca="1" si="711"/>
        <v>6.9214359758750121E-2</v>
      </c>
      <c r="AC674" s="19">
        <f t="shared" ca="1" si="712"/>
        <v>0</v>
      </c>
    </row>
    <row r="675" spans="3:29" x14ac:dyDescent="0.25">
      <c r="C675" s="4">
        <v>668</v>
      </c>
      <c r="D675" s="28">
        <v>42955</v>
      </c>
      <c r="E675" s="30">
        <v>15.173</v>
      </c>
      <c r="F675" s="30">
        <v>44.378244957017614</v>
      </c>
      <c r="G675" s="30">
        <v>4.9748914801259678</v>
      </c>
      <c r="H675" s="30">
        <v>72.474253127925778</v>
      </c>
      <c r="I675" s="8">
        <v>0</v>
      </c>
      <c r="J675" s="31">
        <v>0</v>
      </c>
      <c r="K675" s="31">
        <v>0</v>
      </c>
      <c r="L675" s="31">
        <v>0</v>
      </c>
      <c r="M675" s="31">
        <v>0</v>
      </c>
      <c r="N675" s="31">
        <v>0</v>
      </c>
      <c r="O675" s="31">
        <v>0</v>
      </c>
      <c r="P675" s="31">
        <v>1</v>
      </c>
      <c r="Q675" s="31">
        <v>0</v>
      </c>
      <c r="R675" s="31">
        <v>0</v>
      </c>
      <c r="S675" s="31">
        <v>0</v>
      </c>
      <c r="T675" s="21" cm="1">
        <f t="array" aca="1" ref="T675" ca="1">+fair_value_gap(OFFSET(S674,0,0,-1*$I$5,-1*$Z$1),OFFSET(E674,0,0,-1*$I$5,1),F675:S675,0)</f>
        <v>14.18856638603852</v>
      </c>
      <c r="U675" s="7" cm="1">
        <f t="array" aca="1" ref="U675" ca="1">z_score_diff(OFFSET(T675,0,0,$I$5*-1,1),OFFSET(E675,0,0,$I$5*-1,1))</f>
        <v>-0.68386051817908888</v>
      </c>
      <c r="V675" s="7">
        <f t="shared" ca="1" si="707"/>
        <v>-0.47737321172017405</v>
      </c>
      <c r="W675" s="14">
        <f t="shared" ca="1" si="702"/>
        <v>0.10465506686096307</v>
      </c>
      <c r="X675" s="10">
        <f t="shared" ref="X675:Y675" ca="1" si="736">+X674</f>
        <v>0</v>
      </c>
      <c r="Y675" s="10">
        <f t="shared" ca="1" si="736"/>
        <v>0</v>
      </c>
      <c r="Z675">
        <f t="shared" ca="1" si="709"/>
        <v>1</v>
      </c>
      <c r="AA675">
        <f t="shared" ca="1" si="710"/>
        <v>0</v>
      </c>
      <c r="AB675" s="19">
        <f t="shared" ca="1" si="711"/>
        <v>0.10465506686096307</v>
      </c>
      <c r="AC675" s="19">
        <f t="shared" ca="1" si="712"/>
        <v>0</v>
      </c>
    </row>
    <row r="676" spans="3:29" x14ac:dyDescent="0.25">
      <c r="C676" s="4">
        <v>669</v>
      </c>
      <c r="D676" s="28">
        <v>42956</v>
      </c>
      <c r="E676" s="30">
        <v>15.571</v>
      </c>
      <c r="F676" s="30">
        <v>44.824359955771037</v>
      </c>
      <c r="G676" s="30">
        <v>4.9715063366505063</v>
      </c>
      <c r="H676" s="30">
        <v>73.232967593773921</v>
      </c>
      <c r="I676" s="8">
        <v>0</v>
      </c>
      <c r="J676" s="31">
        <v>0</v>
      </c>
      <c r="K676" s="31">
        <v>0</v>
      </c>
      <c r="L676" s="31">
        <v>0</v>
      </c>
      <c r="M676" s="31">
        <v>0</v>
      </c>
      <c r="N676" s="31">
        <v>0</v>
      </c>
      <c r="O676" s="31">
        <v>0</v>
      </c>
      <c r="P676" s="31">
        <v>1</v>
      </c>
      <c r="Q676" s="31">
        <v>0</v>
      </c>
      <c r="R676" s="31">
        <v>0</v>
      </c>
      <c r="S676" s="31">
        <v>0</v>
      </c>
      <c r="T676" s="21" cm="1">
        <f t="array" aca="1" ref="T676" ca="1">+fair_value_gap(OFFSET(S675,0,0,-1*$I$5,-1*$Z$1),OFFSET(E675,0,0,-1*$I$5,1),F676:S676,0)</f>
        <v>14.386815756604223</v>
      </c>
      <c r="U676" s="7" cm="1">
        <f t="array" aca="1" ref="U676" ca="1">z_score_diff(OFFSET(T676,0,0,$I$5*-1,1),OFFSET(E676,0,0,$I$5*-1,1))</f>
        <v>-0.76192065411085541</v>
      </c>
      <c r="V676" s="7">
        <f t="shared" ca="1" si="707"/>
        <v>-0.51515248557032911</v>
      </c>
      <c r="W676" s="14">
        <f t="shared" ca="1" si="702"/>
        <v>7.7574529335022013E-2</v>
      </c>
      <c r="X676" s="10">
        <f t="shared" ref="X676:Y676" ca="1" si="737">+X675</f>
        <v>0</v>
      </c>
      <c r="Y676" s="10">
        <f t="shared" ca="1" si="737"/>
        <v>0</v>
      </c>
      <c r="Z676">
        <f t="shared" ca="1" si="709"/>
        <v>1</v>
      </c>
      <c r="AA676">
        <f t="shared" ca="1" si="710"/>
        <v>0</v>
      </c>
      <c r="AB676" s="19">
        <f t="shared" ca="1" si="711"/>
        <v>7.7574529335022013E-2</v>
      </c>
      <c r="AC676" s="19">
        <f t="shared" ca="1" si="712"/>
        <v>0</v>
      </c>
    </row>
    <row r="677" spans="3:29" x14ac:dyDescent="0.25">
      <c r="C677" s="4">
        <v>670</v>
      </c>
      <c r="D677" s="28">
        <v>42957</v>
      </c>
      <c r="E677" s="30">
        <v>15.775</v>
      </c>
      <c r="F677" s="30">
        <v>44.095157179269329</v>
      </c>
      <c r="G677" s="30">
        <v>4.9702633814783344</v>
      </c>
      <c r="H677" s="30">
        <v>73.576890399320291</v>
      </c>
      <c r="I677" s="8">
        <v>0</v>
      </c>
      <c r="J677" s="31">
        <v>0</v>
      </c>
      <c r="K677" s="31">
        <v>0</v>
      </c>
      <c r="L677" s="31">
        <v>0</v>
      </c>
      <c r="M677" s="31">
        <v>0</v>
      </c>
      <c r="N677" s="31">
        <v>0</v>
      </c>
      <c r="O677" s="31">
        <v>0</v>
      </c>
      <c r="P677" s="31">
        <v>1</v>
      </c>
      <c r="Q677" s="31">
        <v>0</v>
      </c>
      <c r="R677" s="31">
        <v>0</v>
      </c>
      <c r="S677" s="31">
        <v>0</v>
      </c>
      <c r="T677" s="21" cm="1">
        <f t="array" aca="1" ref="T677" ca="1">+fair_value_gap(OFFSET(S676,0,0,-1*$I$5,-1*$Z$1),OFFSET(E676,0,0,-1*$I$5,1),F677:S677,0)</f>
        <v>14.612962787372762</v>
      </c>
      <c r="U677" s="7" cm="1">
        <f t="array" aca="1" ref="U677" ca="1">z_score_diff(OFFSET(T677,0,0,$I$5*-1,1),OFFSET(E677,0,0,$I$5*-1,1))</f>
        <v>-0.74784760946500362</v>
      </c>
      <c r="V677" s="7">
        <f t="shared" ca="1" si="707"/>
        <v>-0.54400466942546977</v>
      </c>
      <c r="W677" s="14">
        <f t="shared" ca="1" si="702"/>
        <v>6.2892952400800284E-2</v>
      </c>
      <c r="X677" s="10">
        <f t="shared" ref="X677:Y677" ca="1" si="738">+X676</f>
        <v>0</v>
      </c>
      <c r="Y677" s="10">
        <f t="shared" ca="1" si="738"/>
        <v>0</v>
      </c>
      <c r="Z677">
        <f t="shared" ca="1" si="709"/>
        <v>1</v>
      </c>
      <c r="AA677">
        <f t="shared" ca="1" si="710"/>
        <v>0</v>
      </c>
      <c r="AB677" s="19">
        <f t="shared" ca="1" si="711"/>
        <v>6.2892952400800284E-2</v>
      </c>
      <c r="AC677" s="19">
        <f t="shared" ca="1" si="712"/>
        <v>0</v>
      </c>
    </row>
    <row r="678" spans="3:29" x14ac:dyDescent="0.25">
      <c r="C678" s="4">
        <v>671</v>
      </c>
      <c r="D678" s="28">
        <v>42958</v>
      </c>
      <c r="E678" s="30">
        <v>16.013999999999999</v>
      </c>
      <c r="F678" s="30">
        <v>44.077834179357026</v>
      </c>
      <c r="G678" s="30">
        <v>4.9492385786802027</v>
      </c>
      <c r="H678" s="30">
        <v>73.73096446700508</v>
      </c>
      <c r="I678" s="8">
        <v>0</v>
      </c>
      <c r="J678" s="31">
        <v>0</v>
      </c>
      <c r="K678" s="31">
        <v>0</v>
      </c>
      <c r="L678" s="31">
        <v>0</v>
      </c>
      <c r="M678" s="31">
        <v>0</v>
      </c>
      <c r="N678" s="31">
        <v>0</v>
      </c>
      <c r="O678" s="31">
        <v>0</v>
      </c>
      <c r="P678" s="31">
        <v>1</v>
      </c>
      <c r="Q678" s="31">
        <v>0</v>
      </c>
      <c r="R678" s="31">
        <v>0</v>
      </c>
      <c r="S678" s="31">
        <v>0</v>
      </c>
      <c r="T678" s="21" cm="1">
        <f t="array" aca="1" ref="T678" ca="1">+fair_value_gap(OFFSET(S677,0,0,-1*$I$5,-1*$Z$1),OFFSET(E677,0,0,-1*$I$5,1),F678:S678,0)</f>
        <v>14.768236432594216</v>
      </c>
      <c r="U678" s="7" cm="1">
        <f t="array" aca="1" ref="U678" ca="1">z_score_diff(OFFSET(T678,0,0,$I$5*-1,1),OFFSET(E678,0,0,$I$5*-1,1))</f>
        <v>-0.78545010284541039</v>
      </c>
      <c r="V678" s="7">
        <f t="shared" ca="1" si="707"/>
        <v>-0.57065353923982864</v>
      </c>
      <c r="W678" s="14">
        <f t="shared" ca="1" si="702"/>
        <v>4.7141437689834878E-2</v>
      </c>
      <c r="X678" s="10">
        <f t="shared" ref="X678:Y678" ca="1" si="739">+X677</f>
        <v>0</v>
      </c>
      <c r="Y678" s="10">
        <f t="shared" ca="1" si="739"/>
        <v>0</v>
      </c>
      <c r="Z678">
        <f t="shared" ca="1" si="709"/>
        <v>1</v>
      </c>
      <c r="AA678">
        <f t="shared" ca="1" si="710"/>
        <v>0</v>
      </c>
      <c r="AB678" s="19">
        <f t="shared" ca="1" si="711"/>
        <v>4.7141437689834878E-2</v>
      </c>
      <c r="AC678" s="19">
        <f t="shared" ca="1" si="712"/>
        <v>0</v>
      </c>
    </row>
    <row r="679" spans="3:29" x14ac:dyDescent="0.25">
      <c r="C679" s="4">
        <v>672</v>
      </c>
      <c r="D679" s="28">
        <v>42961</v>
      </c>
      <c r="E679" s="30">
        <v>15.875</v>
      </c>
      <c r="F679" s="30">
        <v>43.071828833418238</v>
      </c>
      <c r="G679" s="30">
        <v>4.971132620139243</v>
      </c>
      <c r="H679" s="30">
        <v>73.484462557310238</v>
      </c>
      <c r="I679" s="8">
        <v>0</v>
      </c>
      <c r="J679" s="31">
        <v>0</v>
      </c>
      <c r="K679" s="31">
        <v>0</v>
      </c>
      <c r="L679" s="31">
        <v>0</v>
      </c>
      <c r="M679" s="31">
        <v>0</v>
      </c>
      <c r="N679" s="31">
        <v>0</v>
      </c>
      <c r="O679" s="31">
        <v>0</v>
      </c>
      <c r="P679" s="31">
        <v>1</v>
      </c>
      <c r="Q679" s="31">
        <v>0</v>
      </c>
      <c r="R679" s="31">
        <v>0</v>
      </c>
      <c r="S679" s="31">
        <v>0</v>
      </c>
      <c r="T679" s="21" cm="1">
        <f t="array" aca="1" ref="T679" ca="1">+fair_value_gap(OFFSET(S678,0,0,-1*$I$5,-1*$Z$1),OFFSET(E678,0,0,-1*$I$5,1),F679:S679,0)</f>
        <v>14.885426778797328</v>
      </c>
      <c r="U679" s="7" cm="1">
        <f t="array" aca="1" ref="U679" ca="1">z_score_diff(OFFSET(T679,0,0,$I$5*-1,1),OFFSET(E679,0,0,$I$5*-1,1))</f>
        <v>-0.66543627538571171</v>
      </c>
      <c r="V679" s="7">
        <f t="shared" ca="1" si="707"/>
        <v>-0.58812570914181594</v>
      </c>
      <c r="W679" s="14">
        <f t="shared" ca="1" si="702"/>
        <v>7.9756779458954874E-2</v>
      </c>
      <c r="X679" s="10">
        <f t="shared" ref="X679:Y679" ca="1" si="740">+X678</f>
        <v>0</v>
      </c>
      <c r="Y679" s="10">
        <f t="shared" ca="1" si="740"/>
        <v>0</v>
      </c>
      <c r="Z679">
        <f t="shared" ca="1" si="709"/>
        <v>1</v>
      </c>
      <c r="AA679">
        <f t="shared" ca="1" si="710"/>
        <v>0</v>
      </c>
      <c r="AB679" s="19">
        <f t="shared" ca="1" si="711"/>
        <v>7.9756779458954874E-2</v>
      </c>
      <c r="AC679" s="19">
        <f t="shared" ca="1" si="712"/>
        <v>0</v>
      </c>
    </row>
    <row r="680" spans="3:29" x14ac:dyDescent="0.25">
      <c r="C680" s="4">
        <v>673</v>
      </c>
      <c r="D680" s="28">
        <v>42962</v>
      </c>
      <c r="E680" s="30">
        <v>15.577</v>
      </c>
      <c r="F680" s="30">
        <v>43.296684564902407</v>
      </c>
      <c r="G680" s="30">
        <v>5.0029830392908892</v>
      </c>
      <c r="H680" s="30">
        <v>73.084462626779171</v>
      </c>
      <c r="I680" s="8">
        <v>0</v>
      </c>
      <c r="J680" s="31">
        <v>0</v>
      </c>
      <c r="K680" s="31">
        <v>0</v>
      </c>
      <c r="L680" s="31">
        <v>0</v>
      </c>
      <c r="M680" s="31">
        <v>0</v>
      </c>
      <c r="N680" s="31">
        <v>0</v>
      </c>
      <c r="O680" s="31">
        <v>0</v>
      </c>
      <c r="P680" s="31">
        <v>1</v>
      </c>
      <c r="Q680" s="31">
        <v>0</v>
      </c>
      <c r="R680" s="31">
        <v>0</v>
      </c>
      <c r="S680" s="31">
        <v>0</v>
      </c>
      <c r="T680" s="21" cm="1">
        <f t="array" aca="1" ref="T680" ca="1">+fair_value_gap(OFFSET(S679,0,0,-1*$I$5,-1*$Z$1),OFFSET(E679,0,0,-1*$I$5,1),F680:S680,0)</f>
        <v>14.965474394582367</v>
      </c>
      <c r="U680" s="7" cm="1">
        <f t="array" aca="1" ref="U680" ca="1">z_score_diff(OFFSET(T680,0,0,$I$5*-1,1),OFFSET(E680,0,0,$I$5*-1,1))</f>
        <v>-0.48598542386312071</v>
      </c>
      <c r="V680" s="7">
        <f t="shared" ca="1" si="707"/>
        <v>-0.5965973656275001</v>
      </c>
      <c r="W680" s="14">
        <f t="shared" ca="1" si="702"/>
        <v>9.6319317543922783E-2</v>
      </c>
      <c r="X680" s="10">
        <f t="shared" ref="X680:Y680" ca="1" si="741">+X679</f>
        <v>0</v>
      </c>
      <c r="Y680" s="10">
        <f t="shared" ca="1" si="741"/>
        <v>0</v>
      </c>
      <c r="Z680">
        <f t="shared" ca="1" si="709"/>
        <v>1</v>
      </c>
      <c r="AA680">
        <f t="shared" ca="1" si="710"/>
        <v>0</v>
      </c>
      <c r="AB680" s="19">
        <f t="shared" ca="1" si="711"/>
        <v>9.6319317543922783E-2</v>
      </c>
      <c r="AC680" s="19">
        <f t="shared" ca="1" si="712"/>
        <v>0</v>
      </c>
    </row>
    <row r="681" spans="3:29" x14ac:dyDescent="0.25">
      <c r="C681" s="4">
        <v>674</v>
      </c>
      <c r="D681" s="28">
        <v>42963</v>
      </c>
      <c r="E681" s="30">
        <v>16.097999999999999</v>
      </c>
      <c r="F681" s="30">
        <v>42.717539089055066</v>
      </c>
      <c r="G681" s="30">
        <v>5.332256968048946</v>
      </c>
      <c r="H681" s="30">
        <v>73.759347382732827</v>
      </c>
      <c r="I681" s="8">
        <v>0</v>
      </c>
      <c r="J681" s="31">
        <v>0</v>
      </c>
      <c r="K681" s="31">
        <v>0</v>
      </c>
      <c r="L681" s="31">
        <v>0</v>
      </c>
      <c r="M681" s="31">
        <v>0</v>
      </c>
      <c r="N681" s="31">
        <v>0</v>
      </c>
      <c r="O681" s="31">
        <v>0</v>
      </c>
      <c r="P681" s="31">
        <v>1</v>
      </c>
      <c r="Q681" s="31">
        <v>0</v>
      </c>
      <c r="R681" s="31">
        <v>0</v>
      </c>
      <c r="S681" s="31">
        <v>0</v>
      </c>
      <c r="T681" s="21" cm="1">
        <f t="array" aca="1" ref="T681" ca="1">+fair_value_gap(OFFSET(S680,0,0,-1*$I$5,-1*$Z$1),OFFSET(E680,0,0,-1*$I$5,1),F681:S681,0)</f>
        <v>15.426234937247767</v>
      </c>
      <c r="U681" s="7" cm="1">
        <f t="array" aca="1" ref="U681" ca="1">z_score_diff(OFFSET(T681,0,0,$I$5*-1,1),OFFSET(E681,0,0,$I$5*-1,1))</f>
        <v>-0.51592074812193256</v>
      </c>
      <c r="V681" s="7">
        <f t="shared" ca="1" si="707"/>
        <v>-0.60608761221217589</v>
      </c>
      <c r="W681" s="14">
        <f t="shared" ca="1" si="702"/>
        <v>7.1548926133843366E-2</v>
      </c>
      <c r="X681" s="10">
        <f t="shared" ref="X681:Y681" ca="1" si="742">+X680</f>
        <v>0</v>
      </c>
      <c r="Y681" s="10">
        <f t="shared" ca="1" si="742"/>
        <v>0</v>
      </c>
      <c r="Z681">
        <f t="shared" ca="1" si="709"/>
        <v>1</v>
      </c>
      <c r="AA681">
        <f t="shared" ca="1" si="710"/>
        <v>0</v>
      </c>
      <c r="AB681" s="19">
        <f t="shared" ca="1" si="711"/>
        <v>7.1548926133843366E-2</v>
      </c>
      <c r="AC681" s="19">
        <f t="shared" ca="1" si="712"/>
        <v>0</v>
      </c>
    </row>
    <row r="682" spans="3:29" x14ac:dyDescent="0.25">
      <c r="C682" s="4">
        <v>675</v>
      </c>
      <c r="D682" s="28">
        <v>42964</v>
      </c>
      <c r="E682" s="30">
        <v>16.198</v>
      </c>
      <c r="F682" s="30">
        <v>43.529813187750584</v>
      </c>
      <c r="G682" s="30">
        <v>5.3313998123347268</v>
      </c>
      <c r="H682" s="30">
        <v>74.810202166680895</v>
      </c>
      <c r="I682" s="8">
        <v>0</v>
      </c>
      <c r="J682" s="31">
        <v>0</v>
      </c>
      <c r="K682" s="31">
        <v>0</v>
      </c>
      <c r="L682" s="31">
        <v>0</v>
      </c>
      <c r="M682" s="31">
        <v>0</v>
      </c>
      <c r="N682" s="31">
        <v>0</v>
      </c>
      <c r="O682" s="31">
        <v>0</v>
      </c>
      <c r="P682" s="31">
        <v>1</v>
      </c>
      <c r="Q682" s="31">
        <v>0</v>
      </c>
      <c r="R682" s="31">
        <v>0</v>
      </c>
      <c r="S682" s="31">
        <v>0</v>
      </c>
      <c r="T682" s="21" cm="1">
        <f t="array" aca="1" ref="T682" ca="1">+fair_value_gap(OFFSET(S681,0,0,-1*$I$5,-1*$Z$1),OFFSET(E681,0,0,-1*$I$5,1),F682:S682,0)</f>
        <v>15.692527337364236</v>
      </c>
      <c r="U682" s="7" cm="1">
        <f t="array" aca="1" ref="U682" ca="1">z_score_diff(OFFSET(T682,0,0,$I$5*-1,1),OFFSET(E682,0,0,$I$5*-1,1))</f>
        <v>-0.43882975783449574</v>
      </c>
      <c r="V682" s="7">
        <f t="shared" ca="1" si="707"/>
        <v>-0.60433163100099629</v>
      </c>
      <c r="W682" s="14">
        <f t="shared" ca="1" si="702"/>
        <v>8.2158488099147761E-2</v>
      </c>
      <c r="X682" s="10">
        <f t="shared" ref="X682:Y682" ca="1" si="743">+X681</f>
        <v>0</v>
      </c>
      <c r="Y682" s="10">
        <f t="shared" ca="1" si="743"/>
        <v>0</v>
      </c>
      <c r="Z682">
        <f t="shared" ca="1" si="709"/>
        <v>1</v>
      </c>
      <c r="AA682">
        <f t="shared" ca="1" si="710"/>
        <v>0</v>
      </c>
      <c r="AB682" s="19">
        <f t="shared" ca="1" si="711"/>
        <v>8.2158488099147761E-2</v>
      </c>
      <c r="AC682" s="19">
        <f t="shared" ca="1" si="712"/>
        <v>0</v>
      </c>
    </row>
    <row r="683" spans="3:29" x14ac:dyDescent="0.25">
      <c r="C683" s="4">
        <v>676</v>
      </c>
      <c r="D683" s="28">
        <v>42965</v>
      </c>
      <c r="E683" s="30">
        <v>16.097999999999999</v>
      </c>
      <c r="F683" s="30">
        <v>44.829931972789119</v>
      </c>
      <c r="G683" s="30">
        <v>5.3146258503401365</v>
      </c>
      <c r="H683" s="30">
        <v>74.659863945578238</v>
      </c>
      <c r="I683" s="8">
        <v>0</v>
      </c>
      <c r="J683" s="31">
        <v>0</v>
      </c>
      <c r="K683" s="31">
        <v>0</v>
      </c>
      <c r="L683" s="31">
        <v>0</v>
      </c>
      <c r="M683" s="31">
        <v>0</v>
      </c>
      <c r="N683" s="31">
        <v>0</v>
      </c>
      <c r="O683" s="31">
        <v>0</v>
      </c>
      <c r="P683" s="31">
        <v>1</v>
      </c>
      <c r="Q683" s="31">
        <v>0</v>
      </c>
      <c r="R683" s="31">
        <v>0</v>
      </c>
      <c r="S683" s="31">
        <v>0</v>
      </c>
      <c r="T683" s="21" cm="1">
        <f t="array" aca="1" ref="T683" ca="1">+fair_value_gap(OFFSET(S682,0,0,-1*$I$5,-1*$Z$1),OFFSET(E682,0,0,-1*$I$5,1),F683:S683,0)</f>
        <v>15.753095164930286</v>
      </c>
      <c r="U683" s="7" cm="1">
        <f t="array" aca="1" ref="U683" ca="1">z_score_diff(OFFSET(T683,0,0,$I$5*-1,1),OFFSET(E683,0,0,$I$5*-1,1))</f>
        <v>-0.36180153901225864</v>
      </c>
      <c r="V683" s="7">
        <f t="shared" ca="1" si="707"/>
        <v>-0.60086638220613309</v>
      </c>
      <c r="W683" s="14">
        <f t="shared" ca="1" si="702"/>
        <v>6.6098057317162728E-2</v>
      </c>
      <c r="X683" s="10">
        <f t="shared" ref="X683:Y683" ca="1" si="744">+X682</f>
        <v>0</v>
      </c>
      <c r="Y683" s="10">
        <f t="shared" ca="1" si="744"/>
        <v>0</v>
      </c>
      <c r="Z683">
        <f t="shared" ca="1" si="709"/>
        <v>1</v>
      </c>
      <c r="AA683">
        <f t="shared" ca="1" si="710"/>
        <v>0</v>
      </c>
      <c r="AB683" s="19">
        <f t="shared" ca="1" si="711"/>
        <v>6.6098057317162728E-2</v>
      </c>
      <c r="AC683" s="19">
        <f t="shared" ca="1" si="712"/>
        <v>0</v>
      </c>
    </row>
    <row r="684" spans="3:29" x14ac:dyDescent="0.25">
      <c r="C684" s="4">
        <v>677</v>
      </c>
      <c r="D684" s="28">
        <v>42968</v>
      </c>
      <c r="E684" s="30">
        <v>16.181999999999999</v>
      </c>
      <c r="F684" s="30">
        <v>43.727780599288977</v>
      </c>
      <c r="G684" s="30">
        <v>5.2183849669883191</v>
      </c>
      <c r="H684" s="30">
        <v>73.93770103267309</v>
      </c>
      <c r="I684" s="8">
        <v>0</v>
      </c>
      <c r="J684" s="31">
        <v>0</v>
      </c>
      <c r="K684" s="31">
        <v>0</v>
      </c>
      <c r="L684" s="31">
        <v>0</v>
      </c>
      <c r="M684" s="31">
        <v>0</v>
      </c>
      <c r="N684" s="31">
        <v>0</v>
      </c>
      <c r="O684" s="31">
        <v>0</v>
      </c>
      <c r="P684" s="31">
        <v>1</v>
      </c>
      <c r="Q684" s="31">
        <v>0</v>
      </c>
      <c r="R684" s="31">
        <v>0</v>
      </c>
      <c r="S684" s="31">
        <v>0</v>
      </c>
      <c r="T684" s="21" cm="1">
        <f t="array" aca="1" ref="T684" ca="1">+fair_value_gap(OFFSET(S683,0,0,-1*$I$5,-1*$Z$1),OFFSET(E683,0,0,-1*$I$5,1),F684:S684,0)</f>
        <v>15.697247548499453</v>
      </c>
      <c r="U684" s="7" cm="1">
        <f t="array" aca="1" ref="U684" ca="1">z_score_diff(OFFSET(T684,0,0,$I$5*-1,1),OFFSET(E684,0,0,$I$5*-1,1))</f>
        <v>-0.43394302517170436</v>
      </c>
      <c r="V684" s="7">
        <f t="shared" ca="1" si="707"/>
        <v>-0.60463543345854798</v>
      </c>
      <c r="W684" s="14">
        <f t="shared" ca="1" si="702"/>
        <v>5.5354373331906868E-2</v>
      </c>
      <c r="X684" s="10">
        <f t="shared" ref="X684:Y684" ca="1" si="745">+X683</f>
        <v>0</v>
      </c>
      <c r="Y684" s="10">
        <f t="shared" ca="1" si="745"/>
        <v>0</v>
      </c>
      <c r="Z684">
        <f t="shared" ca="1" si="709"/>
        <v>1</v>
      </c>
      <c r="AA684">
        <f t="shared" ca="1" si="710"/>
        <v>0</v>
      </c>
      <c r="AB684" s="19">
        <f t="shared" ca="1" si="711"/>
        <v>5.5354373331906868E-2</v>
      </c>
      <c r="AC684" s="19">
        <f t="shared" ca="1" si="712"/>
        <v>0</v>
      </c>
    </row>
    <row r="685" spans="3:29" x14ac:dyDescent="0.25">
      <c r="C685" s="4">
        <v>678</v>
      </c>
      <c r="D685" s="28">
        <v>42969</v>
      </c>
      <c r="E685" s="30">
        <v>16.152999999999999</v>
      </c>
      <c r="F685" s="30">
        <v>44.107142857142854</v>
      </c>
      <c r="G685" s="30">
        <v>5.225340136054422</v>
      </c>
      <c r="H685" s="30">
        <v>73.767006802721099</v>
      </c>
      <c r="I685" s="8">
        <v>0</v>
      </c>
      <c r="J685" s="31">
        <v>0</v>
      </c>
      <c r="K685" s="31">
        <v>0</v>
      </c>
      <c r="L685" s="31">
        <v>0</v>
      </c>
      <c r="M685" s="31">
        <v>0</v>
      </c>
      <c r="N685" s="31">
        <v>0</v>
      </c>
      <c r="O685" s="31">
        <v>0</v>
      </c>
      <c r="P685" s="31">
        <v>1</v>
      </c>
      <c r="Q685" s="31">
        <v>0</v>
      </c>
      <c r="R685" s="31">
        <v>0</v>
      </c>
      <c r="S685" s="31">
        <v>0</v>
      </c>
      <c r="T685" s="21" cm="1">
        <f t="array" aca="1" ref="T685" ca="1">+fair_value_gap(OFFSET(S684,0,0,-1*$I$5,-1*$Z$1),OFFSET(E684,0,0,-1*$I$5,1),F685:S685,0)</f>
        <v>15.772310749677057</v>
      </c>
      <c r="U685" s="7" cm="1">
        <f t="array" aca="1" ref="U685" ca="1">z_score_diff(OFFSET(T685,0,0,$I$5*-1,1),OFFSET(E685,0,0,$I$5*-1,1))</f>
        <v>-0.36999117741675475</v>
      </c>
      <c r="V685" s="7">
        <f t="shared" ca="1" si="707"/>
        <v>-0.60269485758866881</v>
      </c>
      <c r="W685" s="14">
        <f t="shared" ca="1" si="702"/>
        <v>5.8550374718610895E-2</v>
      </c>
      <c r="X685" s="10">
        <f t="shared" ref="X685:Y685" ca="1" si="746">+X684</f>
        <v>0</v>
      </c>
      <c r="Y685" s="10">
        <f t="shared" ca="1" si="746"/>
        <v>0</v>
      </c>
      <c r="Z685">
        <f t="shared" ca="1" si="709"/>
        <v>1</v>
      </c>
      <c r="AA685">
        <f t="shared" ca="1" si="710"/>
        <v>0</v>
      </c>
      <c r="AB685" s="19">
        <f t="shared" ca="1" si="711"/>
        <v>5.8550374718610895E-2</v>
      </c>
      <c r="AC685" s="19">
        <f t="shared" ca="1" si="712"/>
        <v>0</v>
      </c>
    </row>
    <row r="686" spans="3:29" x14ac:dyDescent="0.25">
      <c r="C686" s="4">
        <v>679</v>
      </c>
      <c r="D686" s="28">
        <v>42970</v>
      </c>
      <c r="E686" s="30">
        <v>16.36</v>
      </c>
      <c r="F686" s="30">
        <v>44.531977975434131</v>
      </c>
      <c r="G686" s="30">
        <v>5.2054214315967799</v>
      </c>
      <c r="H686" s="30">
        <v>73.612875900042354</v>
      </c>
      <c r="I686" s="8">
        <v>0</v>
      </c>
      <c r="J686" s="31">
        <v>0</v>
      </c>
      <c r="K686" s="31">
        <v>0</v>
      </c>
      <c r="L686" s="31">
        <v>0</v>
      </c>
      <c r="M686" s="31">
        <v>0</v>
      </c>
      <c r="N686" s="31">
        <v>0</v>
      </c>
      <c r="O686" s="31">
        <v>0</v>
      </c>
      <c r="P686" s="31">
        <v>1</v>
      </c>
      <c r="Q686" s="31">
        <v>0</v>
      </c>
      <c r="R686" s="31">
        <v>0</v>
      </c>
      <c r="S686" s="31">
        <v>0</v>
      </c>
      <c r="T686" s="21" cm="1">
        <f t="array" aca="1" ref="T686" ca="1">+fair_value_gap(OFFSET(S685,0,0,-1*$I$5,-1*$Z$1),OFFSET(E685,0,0,-1*$I$5,1),F686:S686,0)</f>
        <v>15.766060664639737</v>
      </c>
      <c r="U686" s="7" cm="1">
        <f t="array" aca="1" ref="U686" ca="1">z_score_diff(OFFSET(T686,0,0,$I$5*-1,1),OFFSET(E686,0,0,$I$5*-1,1))</f>
        <v>-0.46688497806143636</v>
      </c>
      <c r="V686" s="7">
        <f t="shared" ca="1" si="707"/>
        <v>-0.59696444448181984</v>
      </c>
      <c r="W686" s="14">
        <f t="shared" ca="1" si="702"/>
        <v>3.3952487623737669E-2</v>
      </c>
      <c r="X686" s="10">
        <f t="shared" ref="X686:Y686" ca="1" si="747">+X685</f>
        <v>0</v>
      </c>
      <c r="Y686" s="10">
        <f t="shared" ca="1" si="747"/>
        <v>0</v>
      </c>
      <c r="Z686">
        <f t="shared" ca="1" si="709"/>
        <v>1</v>
      </c>
      <c r="AA686">
        <f t="shared" ca="1" si="710"/>
        <v>0</v>
      </c>
      <c r="AB686" s="19">
        <f t="shared" ca="1" si="711"/>
        <v>3.3952487623737669E-2</v>
      </c>
      <c r="AC686" s="19">
        <f t="shared" ca="1" si="712"/>
        <v>0</v>
      </c>
    </row>
    <row r="687" spans="3:29" x14ac:dyDescent="0.25">
      <c r="C687" s="4">
        <v>680</v>
      </c>
      <c r="D687" s="28">
        <v>42971</v>
      </c>
      <c r="E687" s="30">
        <v>16.347999999999999</v>
      </c>
      <c r="F687" s="30">
        <v>44.112910061880136</v>
      </c>
      <c r="G687" s="30">
        <v>5.1792828685258971</v>
      </c>
      <c r="H687" s="30">
        <v>73.917097567178104</v>
      </c>
      <c r="I687" s="8">
        <v>0</v>
      </c>
      <c r="J687" s="31">
        <v>0</v>
      </c>
      <c r="K687" s="31">
        <v>0</v>
      </c>
      <c r="L687" s="31">
        <v>0</v>
      </c>
      <c r="M687" s="31">
        <v>0</v>
      </c>
      <c r="N687" s="31">
        <v>0</v>
      </c>
      <c r="O687" s="31">
        <v>0</v>
      </c>
      <c r="P687" s="31">
        <v>1</v>
      </c>
      <c r="Q687" s="31">
        <v>0</v>
      </c>
      <c r="R687" s="31">
        <v>0</v>
      </c>
      <c r="S687" s="31">
        <v>0</v>
      </c>
      <c r="T687" s="21" cm="1">
        <f t="array" aca="1" ref="T687" ca="1">+fair_value_gap(OFFSET(S686,0,0,-1*$I$5,-1*$Z$1),OFFSET(E686,0,0,-1*$I$5,1),F687:S687,0)</f>
        <v>15.811540908286059</v>
      </c>
      <c r="U687" s="7" cm="1">
        <f t="array" aca="1" ref="U687" ca="1">z_score_diff(OFFSET(T687,0,0,$I$5*-1,1),OFFSET(E687,0,0,$I$5*-1,1))</f>
        <v>-0.43199208897066976</v>
      </c>
      <c r="V687" s="7">
        <f t="shared" ca="1" si="707"/>
        <v>-0.59580342497009375</v>
      </c>
      <c r="W687" s="14">
        <f t="shared" ca="1" si="702"/>
        <v>2.4292692569044701E-2</v>
      </c>
      <c r="X687" s="10">
        <f t="shared" ref="X687:Y687" ca="1" si="748">+X686</f>
        <v>0</v>
      </c>
      <c r="Y687" s="10">
        <f t="shared" ca="1" si="748"/>
        <v>0</v>
      </c>
      <c r="Z687">
        <f t="shared" ca="1" si="709"/>
        <v>1</v>
      </c>
      <c r="AA687">
        <f t="shared" ca="1" si="710"/>
        <v>0</v>
      </c>
      <c r="AB687" s="19">
        <f t="shared" ca="1" si="711"/>
        <v>2.4292692569044701E-2</v>
      </c>
      <c r="AC687" s="19">
        <f t="shared" ca="1" si="712"/>
        <v>0</v>
      </c>
    </row>
    <row r="688" spans="3:29" x14ac:dyDescent="0.25">
      <c r="C688" s="4">
        <v>681</v>
      </c>
      <c r="D688" s="28">
        <v>42972</v>
      </c>
      <c r="E688" s="30">
        <v>16.303000000000001</v>
      </c>
      <c r="F688" s="30">
        <v>43.953371351895335</v>
      </c>
      <c r="G688" s="30">
        <v>5.124119423012413</v>
      </c>
      <c r="H688" s="30">
        <v>73.213686682321367</v>
      </c>
      <c r="I688" s="8">
        <v>0</v>
      </c>
      <c r="J688" s="31">
        <v>0</v>
      </c>
      <c r="K688" s="31">
        <v>0</v>
      </c>
      <c r="L688" s="31">
        <v>0</v>
      </c>
      <c r="M688" s="31">
        <v>0</v>
      </c>
      <c r="N688" s="31">
        <v>0</v>
      </c>
      <c r="O688" s="31">
        <v>0</v>
      </c>
      <c r="P688" s="31">
        <v>1</v>
      </c>
      <c r="Q688" s="31">
        <v>0</v>
      </c>
      <c r="R688" s="31">
        <v>0</v>
      </c>
      <c r="S688" s="31">
        <v>0</v>
      </c>
      <c r="T688" s="21" cm="1">
        <f t="array" aca="1" ref="T688" ca="1">+fair_value_gap(OFFSET(S687,0,0,-1*$I$5,-1*$Z$1),OFFSET(E687,0,0,-1*$I$5,1),F688:S688,0)</f>
        <v>15.701554381545726</v>
      </c>
      <c r="U688" s="7" cm="1">
        <f t="array" aca="1" ref="U688" ca="1">z_score_diff(OFFSET(T688,0,0,$I$5*-1,1),OFFSET(E688,0,0,$I$5*-1,1))</f>
        <v>-0.45768977131363037</v>
      </c>
      <c r="V688" s="7">
        <f t="shared" ca="1" si="707"/>
        <v>-0.59756235876423802</v>
      </c>
      <c r="W688" s="14">
        <f t="shared" ca="1" si="702"/>
        <v>2.0880880054356531E-2</v>
      </c>
      <c r="X688" s="10">
        <f t="shared" ref="X688:Y688" ca="1" si="749">+X687</f>
        <v>0</v>
      </c>
      <c r="Y688" s="10">
        <f t="shared" ca="1" si="749"/>
        <v>0</v>
      </c>
      <c r="Z688">
        <f t="shared" ca="1" si="709"/>
        <v>1</v>
      </c>
      <c r="AA688">
        <f t="shared" ca="1" si="710"/>
        <v>0</v>
      </c>
      <c r="AB688" s="19">
        <f t="shared" ca="1" si="711"/>
        <v>2.0880880054356531E-2</v>
      </c>
      <c r="AC688" s="19">
        <f t="shared" ca="1" si="712"/>
        <v>0</v>
      </c>
    </row>
    <row r="689" spans="3:29" x14ac:dyDescent="0.25">
      <c r="C689" s="4">
        <v>682</v>
      </c>
      <c r="D689" s="28">
        <v>42975</v>
      </c>
      <c r="E689" s="30">
        <v>16.305</v>
      </c>
      <c r="F689" s="30">
        <v>43.324705685897975</v>
      </c>
      <c r="G689" s="30">
        <v>5.1014444351674042</v>
      </c>
      <c r="H689" s="30">
        <v>75.352759455623286</v>
      </c>
      <c r="I689" s="8">
        <v>0</v>
      </c>
      <c r="J689" s="31">
        <v>0</v>
      </c>
      <c r="K689" s="31">
        <v>0</v>
      </c>
      <c r="L689" s="31">
        <v>0</v>
      </c>
      <c r="M689" s="31">
        <v>0</v>
      </c>
      <c r="N689" s="31">
        <v>0</v>
      </c>
      <c r="O689" s="31">
        <v>0</v>
      </c>
      <c r="P689" s="31">
        <v>1</v>
      </c>
      <c r="Q689" s="31">
        <v>0</v>
      </c>
      <c r="R689" s="31">
        <v>0</v>
      </c>
      <c r="S689" s="31">
        <v>0</v>
      </c>
      <c r="T689" s="21" cm="1">
        <f t="array" aca="1" ref="T689" ca="1">+fair_value_gap(OFFSET(S688,0,0,-1*$I$5,-1*$Z$1),OFFSET(E688,0,0,-1*$I$5,1),F689:S689,0)</f>
        <v>15.978933135054895</v>
      </c>
      <c r="U689" s="7" cm="1">
        <f t="array" aca="1" ref="U689" ca="1">z_score_diff(OFFSET(T689,0,0,$I$5*-1,1),OFFSET(E689,0,0,$I$5*-1,1))</f>
        <v>-0.3182614544929942</v>
      </c>
      <c r="V689" s="7">
        <f t="shared" ca="1" si="707"/>
        <v>-0.5961752581287485</v>
      </c>
      <c r="W689" s="14">
        <f t="shared" ca="1" si="702"/>
        <v>6.5343165126039424E-2</v>
      </c>
      <c r="X689" s="10">
        <f t="shared" ref="X689:Y689" ca="1" si="750">+X688</f>
        <v>0</v>
      </c>
      <c r="Y689" s="10">
        <f t="shared" ca="1" si="750"/>
        <v>0</v>
      </c>
      <c r="Z689">
        <f t="shared" ca="1" si="709"/>
        <v>1</v>
      </c>
      <c r="AA689">
        <f t="shared" ca="1" si="710"/>
        <v>0</v>
      </c>
      <c r="AB689" s="19">
        <f t="shared" ca="1" si="711"/>
        <v>6.5343165126039424E-2</v>
      </c>
      <c r="AC689" s="19">
        <f t="shared" ca="1" si="712"/>
        <v>0</v>
      </c>
    </row>
    <row r="690" spans="3:29" x14ac:dyDescent="0.25">
      <c r="C690" s="4">
        <v>683</v>
      </c>
      <c r="D690" s="28">
        <v>42976</v>
      </c>
      <c r="E690" s="30">
        <v>16.471</v>
      </c>
      <c r="F690" s="30">
        <v>43.434680922151685</v>
      </c>
      <c r="G690" s="30">
        <v>5.1161042432342132</v>
      </c>
      <c r="H690" s="30">
        <v>75.175409288339452</v>
      </c>
      <c r="I690" s="8">
        <v>0</v>
      </c>
      <c r="J690" s="31">
        <v>0</v>
      </c>
      <c r="K690" s="31">
        <v>0</v>
      </c>
      <c r="L690" s="31">
        <v>0</v>
      </c>
      <c r="M690" s="31">
        <v>0</v>
      </c>
      <c r="N690" s="31">
        <v>0</v>
      </c>
      <c r="O690" s="31">
        <v>0</v>
      </c>
      <c r="P690" s="31">
        <v>1</v>
      </c>
      <c r="Q690" s="31">
        <v>0</v>
      </c>
      <c r="R690" s="31">
        <v>0</v>
      </c>
      <c r="S690" s="31">
        <v>0</v>
      </c>
      <c r="T690" s="21" cm="1">
        <f t="array" aca="1" ref="T690" ca="1">+fair_value_gap(OFFSET(S689,0,0,-1*$I$5,-1*$Z$1),OFFSET(E689,0,0,-1*$I$5,1),F690:S690,0)</f>
        <v>15.986308485675556</v>
      </c>
      <c r="U690" s="7" cm="1">
        <f t="array" aca="1" ref="U690" ca="1">z_score_diff(OFFSET(T690,0,0,$I$5*-1,1),OFFSET(E690,0,0,$I$5*-1,1))</f>
        <v>-0.39437086891056</v>
      </c>
      <c r="V690" s="7">
        <f t="shared" ca="1" si="707"/>
        <v>-0.5704133192164591</v>
      </c>
      <c r="W690" s="14">
        <f t="shared" ca="1" si="702"/>
        <v>5.2567450431665233E-2</v>
      </c>
      <c r="X690" s="10">
        <f t="shared" ref="X690:Y690" ca="1" si="751">+X689</f>
        <v>0</v>
      </c>
      <c r="Y690" s="10">
        <f t="shared" ca="1" si="751"/>
        <v>0</v>
      </c>
      <c r="Z690">
        <f t="shared" ca="1" si="709"/>
        <v>1</v>
      </c>
      <c r="AA690">
        <f t="shared" ca="1" si="710"/>
        <v>0</v>
      </c>
      <c r="AB690" s="19">
        <f t="shared" ca="1" si="711"/>
        <v>5.2567450431665233E-2</v>
      </c>
      <c r="AC690" s="19">
        <f t="shared" ca="1" si="712"/>
        <v>0</v>
      </c>
    </row>
    <row r="691" spans="3:29" x14ac:dyDescent="0.25">
      <c r="C691" s="4">
        <v>684</v>
      </c>
      <c r="D691" s="28">
        <v>42977</v>
      </c>
      <c r="E691" s="30">
        <v>16.518999999999998</v>
      </c>
      <c r="F691" s="30">
        <v>42.807844457537243</v>
      </c>
      <c r="G691" s="30">
        <v>5.1973739584210081</v>
      </c>
      <c r="H691" s="30">
        <v>75.919535392643724</v>
      </c>
      <c r="I691" s="8">
        <v>0</v>
      </c>
      <c r="J691" s="31">
        <v>0</v>
      </c>
      <c r="K691" s="31">
        <v>0</v>
      </c>
      <c r="L691" s="31">
        <v>0</v>
      </c>
      <c r="M691" s="31">
        <v>0</v>
      </c>
      <c r="N691" s="31">
        <v>0</v>
      </c>
      <c r="O691" s="31">
        <v>0</v>
      </c>
      <c r="P691" s="31">
        <v>1</v>
      </c>
      <c r="Q691" s="31">
        <v>0</v>
      </c>
      <c r="R691" s="31">
        <v>0</v>
      </c>
      <c r="S691" s="31">
        <v>0</v>
      </c>
      <c r="T691" s="21" cm="1">
        <f t="array" aca="1" ref="T691" ca="1">+fair_value_gap(OFFSET(S690,0,0,-1*$I$5,-1*$Z$1),OFFSET(E690,0,0,-1*$I$5,1),F691:S691,0)</f>
        <v>16.156682084775145</v>
      </c>
      <c r="U691" s="7" cm="1">
        <f t="array" aca="1" ref="U691" ca="1">z_score_diff(OFFSET(T691,0,0,$I$5*-1,1),OFFSET(E691,0,0,$I$5*-1,1))</f>
        <v>-0.33244199550194103</v>
      </c>
      <c r="V691" s="7">
        <f t="shared" ca="1" si="707"/>
        <v>-0.54410697416882869</v>
      </c>
      <c r="W691" s="14">
        <f t="shared" ca="1" si="702"/>
        <v>5.7461049801463181E-2</v>
      </c>
      <c r="X691" s="10">
        <f t="shared" ref="X691:Y691" ca="1" si="752">+X690</f>
        <v>0</v>
      </c>
      <c r="Y691" s="10">
        <f t="shared" ca="1" si="752"/>
        <v>0</v>
      </c>
      <c r="Z691">
        <f t="shared" ca="1" si="709"/>
        <v>1</v>
      </c>
      <c r="AA691">
        <f t="shared" ca="1" si="710"/>
        <v>0</v>
      </c>
      <c r="AB691" s="19">
        <f t="shared" ca="1" si="711"/>
        <v>5.7461049801463181E-2</v>
      </c>
      <c r="AC691" s="19">
        <f t="shared" ca="1" si="712"/>
        <v>0</v>
      </c>
    </row>
    <row r="692" spans="3:29" x14ac:dyDescent="0.25">
      <c r="C692" s="4">
        <v>685</v>
      </c>
      <c r="D692" s="28">
        <v>42978</v>
      </c>
      <c r="E692" s="30">
        <v>16.451000000000001</v>
      </c>
      <c r="F692" s="30">
        <v>43.987235471951628</v>
      </c>
      <c r="G692" s="30">
        <v>5.1477997984548196</v>
      </c>
      <c r="H692" s="30">
        <v>74.655693651326843</v>
      </c>
      <c r="I692" s="8">
        <v>0</v>
      </c>
      <c r="J692" s="31">
        <v>0</v>
      </c>
      <c r="K692" s="31">
        <v>0</v>
      </c>
      <c r="L692" s="31">
        <v>0</v>
      </c>
      <c r="M692" s="31">
        <v>0</v>
      </c>
      <c r="N692" s="31">
        <v>0</v>
      </c>
      <c r="O692" s="31">
        <v>0</v>
      </c>
      <c r="P692" s="31">
        <v>1</v>
      </c>
      <c r="Q692" s="31">
        <v>0</v>
      </c>
      <c r="R692" s="31">
        <v>0</v>
      </c>
      <c r="S692" s="31">
        <v>0</v>
      </c>
      <c r="T692" s="21" cm="1">
        <f t="array" aca="1" ref="T692" ca="1">+fair_value_gap(OFFSET(S691,0,0,-1*$I$5,-1*$Z$1),OFFSET(E691,0,0,-1*$I$5,1),F692:S692,0)</f>
        <v>15.992279899074536</v>
      </c>
      <c r="U692" s="7" cm="1">
        <f t="array" aca="1" ref="U692" ca="1">z_score_diff(OFFSET(T692,0,0,$I$5*-1,1),OFFSET(E692,0,0,$I$5*-1,1))</f>
        <v>-0.37454518178475366</v>
      </c>
      <c r="V692" s="7">
        <f t="shared" ca="1" si="707"/>
        <v>-0.52407493842906361</v>
      </c>
      <c r="W692" s="14">
        <f t="shared" ca="1" si="702"/>
        <v>6.796707858687713E-2</v>
      </c>
      <c r="X692" s="10">
        <f t="shared" ref="X692:Y692" ca="1" si="753">+X691</f>
        <v>0</v>
      </c>
      <c r="Y692" s="10">
        <f t="shared" ca="1" si="753"/>
        <v>0</v>
      </c>
      <c r="Z692">
        <f t="shared" ca="1" si="709"/>
        <v>1</v>
      </c>
      <c r="AA692">
        <f t="shared" ca="1" si="710"/>
        <v>0</v>
      </c>
      <c r="AB692" s="19">
        <f t="shared" ca="1" si="711"/>
        <v>6.796707858687713E-2</v>
      </c>
      <c r="AC692" s="19">
        <f t="shared" ca="1" si="712"/>
        <v>0</v>
      </c>
    </row>
    <row r="693" spans="3:29" x14ac:dyDescent="0.25">
      <c r="C693" s="4">
        <v>686</v>
      </c>
      <c r="D693" s="28">
        <v>42979</v>
      </c>
      <c r="E693" s="30">
        <v>16.411999999999999</v>
      </c>
      <c r="F693" s="30">
        <v>44.488487813106183</v>
      </c>
      <c r="G693" s="30">
        <v>5.1699418065277891</v>
      </c>
      <c r="H693" s="30">
        <v>74.892468583958845</v>
      </c>
      <c r="I693" s="8">
        <v>0</v>
      </c>
      <c r="J693" s="31">
        <v>0</v>
      </c>
      <c r="K693" s="31">
        <v>0</v>
      </c>
      <c r="L693" s="31">
        <v>0</v>
      </c>
      <c r="M693" s="31">
        <v>0</v>
      </c>
      <c r="N693" s="31">
        <v>0</v>
      </c>
      <c r="O693" s="31">
        <v>0</v>
      </c>
      <c r="P693" s="31">
        <v>0</v>
      </c>
      <c r="Q693" s="31">
        <v>1</v>
      </c>
      <c r="R693" s="31">
        <v>0</v>
      </c>
      <c r="S693" s="31">
        <v>0</v>
      </c>
      <c r="T693" s="21" cm="1">
        <f t="array" aca="1" ref="T693" ca="1">+fair_value_gap(OFFSET(S692,0,0,-1*$I$5,-1*$Z$1),OFFSET(E692,0,0,-1*$I$5,1),F693:S693,0)</f>
        <v>15.43255007231515</v>
      </c>
      <c r="U693" s="7" cm="1">
        <f t="array" aca="1" ref="U693" ca="1">z_score_diff(OFFSET(T693,0,0,$I$5*-1,1),OFFSET(E693,0,0,$I$5*-1,1))</f>
        <v>-0.62919003793569028</v>
      </c>
      <c r="V693" s="7">
        <f t="shared" ca="1" si="707"/>
        <v>-0.52270104674309692</v>
      </c>
      <c r="W693" s="14">
        <f t="shared" ca="1" si="702"/>
        <v>5.7422413435328799E-2</v>
      </c>
      <c r="X693" s="10">
        <f t="shared" ref="X693:Y693" ca="1" si="754">+X692</f>
        <v>0</v>
      </c>
      <c r="Y693" s="10">
        <f t="shared" ca="1" si="754"/>
        <v>0</v>
      </c>
      <c r="Z693">
        <f t="shared" ca="1" si="709"/>
        <v>1</v>
      </c>
      <c r="AA693">
        <f t="shared" ca="1" si="710"/>
        <v>0</v>
      </c>
      <c r="AB693" s="19">
        <f t="shared" ca="1" si="711"/>
        <v>5.7422413435328799E-2</v>
      </c>
      <c r="AC693" s="19">
        <f t="shared" ca="1" si="712"/>
        <v>0</v>
      </c>
    </row>
    <row r="694" spans="3:29" x14ac:dyDescent="0.25">
      <c r="C694" s="4">
        <v>687</v>
      </c>
      <c r="D694" s="28">
        <v>42982</v>
      </c>
      <c r="E694" s="30">
        <v>16.449000000000002</v>
      </c>
      <c r="F694" s="30">
        <v>44.001681378730559</v>
      </c>
      <c r="G694" s="30">
        <v>5.1534258091635143</v>
      </c>
      <c r="H694" s="30">
        <v>75.073560319461961</v>
      </c>
      <c r="I694" s="8">
        <v>0</v>
      </c>
      <c r="J694" s="31">
        <v>0</v>
      </c>
      <c r="K694" s="31">
        <v>0</v>
      </c>
      <c r="L694" s="31">
        <v>0</v>
      </c>
      <c r="M694" s="31">
        <v>0</v>
      </c>
      <c r="N694" s="31">
        <v>0</v>
      </c>
      <c r="O694" s="31">
        <v>0</v>
      </c>
      <c r="P694" s="31">
        <v>0</v>
      </c>
      <c r="Q694" s="31">
        <v>1</v>
      </c>
      <c r="R694" s="31">
        <v>0</v>
      </c>
      <c r="S694" s="31">
        <v>0</v>
      </c>
      <c r="T694" s="21" cm="1">
        <f t="array" aca="1" ref="T694" ca="1">+fair_value_gap(OFFSET(S693,0,0,-1*$I$5,-1*$Z$1),OFFSET(E693,0,0,-1*$I$5,1),F694:S694,0)</f>
        <v>15.655800520677435</v>
      </c>
      <c r="U694" s="7" cm="1">
        <f t="array" aca="1" ref="U694" ca="1">z_score_diff(OFFSET(T694,0,0,$I$5*-1,1),OFFSET(E694,0,0,$I$5*-1,1))</f>
        <v>-0.53834122939272977</v>
      </c>
      <c r="V694" s="7">
        <f t="shared" ca="1" si="707"/>
        <v>-0.50973522188853715</v>
      </c>
      <c r="W694" s="14">
        <f t="shared" ca="1" si="702"/>
        <v>6.9507461335765228E-2</v>
      </c>
      <c r="X694" s="10">
        <f t="shared" ref="X694:Y694" ca="1" si="755">+X693</f>
        <v>0</v>
      </c>
      <c r="Y694" s="10">
        <f t="shared" ca="1" si="755"/>
        <v>0</v>
      </c>
      <c r="Z694">
        <f t="shared" ca="1" si="709"/>
        <v>1</v>
      </c>
      <c r="AA694">
        <f t="shared" ca="1" si="710"/>
        <v>0</v>
      </c>
      <c r="AB694" s="19">
        <f t="shared" ca="1" si="711"/>
        <v>6.9507461335765228E-2</v>
      </c>
      <c r="AC694" s="19">
        <f t="shared" ca="1" si="712"/>
        <v>0</v>
      </c>
    </row>
    <row r="695" spans="3:29" x14ac:dyDescent="0.25">
      <c r="C695" s="4">
        <v>688</v>
      </c>
      <c r="D695" s="28">
        <v>42983</v>
      </c>
      <c r="E695" s="30">
        <v>16.847000000000001</v>
      </c>
      <c r="F695" s="30">
        <v>44.811954331766287</v>
      </c>
      <c r="G695" s="30">
        <v>5.1838482202820684</v>
      </c>
      <c r="H695" s="30">
        <v>75.763935527199465</v>
      </c>
      <c r="I695" s="8">
        <v>0</v>
      </c>
      <c r="J695" s="31">
        <v>0</v>
      </c>
      <c r="K695" s="31">
        <v>0</v>
      </c>
      <c r="L695" s="31">
        <v>0</v>
      </c>
      <c r="M695" s="31">
        <v>0</v>
      </c>
      <c r="N695" s="31">
        <v>0</v>
      </c>
      <c r="O695" s="31">
        <v>0</v>
      </c>
      <c r="P695" s="31">
        <v>0</v>
      </c>
      <c r="Q695" s="31">
        <v>1</v>
      </c>
      <c r="R695" s="31">
        <v>0</v>
      </c>
      <c r="S695" s="31">
        <v>0</v>
      </c>
      <c r="T695" s="21" cm="1">
        <f t="array" aca="1" ref="T695" ca="1">+fair_value_gap(OFFSET(S694,0,0,-1*$I$5,-1*$Z$1),OFFSET(E694,0,0,-1*$I$5,1),F695:S695,0)</f>
        <v>15.983408963061317</v>
      </c>
      <c r="U695" s="7" cm="1">
        <f t="array" aca="1" ref="U695" ca="1">z_score_diff(OFFSET(T695,0,0,$I$5*-1,1),OFFSET(E695,0,0,$I$5*-1,1))</f>
        <v>-0.59271002277372242</v>
      </c>
      <c r="V695" s="7">
        <f t="shared" ca="1" si="707"/>
        <v>-0.50517769711826876</v>
      </c>
      <c r="W695" s="14">
        <f t="shared" ca="1" si="702"/>
        <v>6.2135356868634285E-2</v>
      </c>
      <c r="X695" s="10">
        <f t="shared" ref="X695:Y695" ca="1" si="756">+X694</f>
        <v>0</v>
      </c>
      <c r="Y695" s="10">
        <f t="shared" ca="1" si="756"/>
        <v>0</v>
      </c>
      <c r="Z695">
        <f t="shared" ca="1" si="709"/>
        <v>1</v>
      </c>
      <c r="AA695">
        <f t="shared" ca="1" si="710"/>
        <v>0</v>
      </c>
      <c r="AB695" s="19">
        <f t="shared" ca="1" si="711"/>
        <v>6.2135356868634285E-2</v>
      </c>
      <c r="AC695" s="19">
        <f t="shared" ca="1" si="712"/>
        <v>0</v>
      </c>
    </row>
    <row r="696" spans="3:29" x14ac:dyDescent="0.25">
      <c r="C696" s="4">
        <v>689</v>
      </c>
      <c r="D696" s="28">
        <v>42984</v>
      </c>
      <c r="E696" s="30">
        <v>16.827000000000002</v>
      </c>
      <c r="F696" s="30">
        <v>45.488879563575324</v>
      </c>
      <c r="G696" s="30">
        <v>5.1825430130088126</v>
      </c>
      <c r="H696" s="30">
        <v>75.70289550986152</v>
      </c>
      <c r="I696" s="8">
        <v>0</v>
      </c>
      <c r="J696" s="31">
        <v>0</v>
      </c>
      <c r="K696" s="31">
        <v>0</v>
      </c>
      <c r="L696" s="31">
        <v>0</v>
      </c>
      <c r="M696" s="31">
        <v>0</v>
      </c>
      <c r="N696" s="31">
        <v>0</v>
      </c>
      <c r="O696" s="31">
        <v>0</v>
      </c>
      <c r="P696" s="31">
        <v>0</v>
      </c>
      <c r="Q696" s="31">
        <v>1</v>
      </c>
      <c r="R696" s="31">
        <v>0</v>
      </c>
      <c r="S696" s="31">
        <v>0</v>
      </c>
      <c r="T696" s="21" cm="1">
        <f t="array" aca="1" ref="T696" ca="1">+fair_value_gap(OFFSET(S695,0,0,-1*$I$5,-1*$Z$1),OFFSET(E695,0,0,-1*$I$5,1),F696:S696,0)</f>
        <v>16.151051881843095</v>
      </c>
      <c r="U696" s="7" cm="1">
        <f t="array" aca="1" ref="U696" ca="1">z_score_diff(OFFSET(T696,0,0,$I$5*-1,1),OFFSET(E696,0,0,$I$5*-1,1))</f>
        <v>-0.49888233576832769</v>
      </c>
      <c r="V696" s="7">
        <f t="shared" ca="1" si="707"/>
        <v>-0.49202578120114238</v>
      </c>
      <c r="W696" s="14">
        <f t="shared" ca="1" si="702"/>
        <v>6.5050958904307107E-2</v>
      </c>
      <c r="X696" s="10">
        <f t="shared" ref="X696:Y696" ca="1" si="757">+X695</f>
        <v>0</v>
      </c>
      <c r="Y696" s="10">
        <f t="shared" ca="1" si="757"/>
        <v>0</v>
      </c>
      <c r="Z696">
        <f t="shared" ca="1" si="709"/>
        <v>1</v>
      </c>
      <c r="AA696">
        <f t="shared" ca="1" si="710"/>
        <v>0</v>
      </c>
      <c r="AB696" s="19">
        <f t="shared" ca="1" si="711"/>
        <v>6.5050958904307107E-2</v>
      </c>
      <c r="AC696" s="19">
        <f t="shared" ca="1" si="712"/>
        <v>0</v>
      </c>
    </row>
    <row r="697" spans="3:29" x14ac:dyDescent="0.25">
      <c r="C697" s="4">
        <v>690</v>
      </c>
      <c r="D697" s="28">
        <v>42985</v>
      </c>
      <c r="E697" s="30">
        <v>16.798999999999999</v>
      </c>
      <c r="F697" s="30">
        <v>45.329007570085686</v>
      </c>
      <c r="G697" s="30">
        <v>5.1659595707511858</v>
      </c>
      <c r="H697" s="30">
        <v>75.201730305299066</v>
      </c>
      <c r="I697" s="8">
        <v>0</v>
      </c>
      <c r="J697" s="31">
        <v>0</v>
      </c>
      <c r="K697" s="31">
        <v>0</v>
      </c>
      <c r="L697" s="31">
        <v>0</v>
      </c>
      <c r="M697" s="31">
        <v>0</v>
      </c>
      <c r="N697" s="31">
        <v>0</v>
      </c>
      <c r="O697" s="31">
        <v>0</v>
      </c>
      <c r="P697" s="31">
        <v>0</v>
      </c>
      <c r="Q697" s="31">
        <v>1</v>
      </c>
      <c r="R697" s="31">
        <v>0</v>
      </c>
      <c r="S697" s="31">
        <v>0</v>
      </c>
      <c r="T697" s="21" cm="1">
        <f t="array" aca="1" ref="T697" ca="1">+fair_value_gap(OFFSET(S696,0,0,-1*$I$5,-1*$Z$1),OFFSET(E696,0,0,-1*$I$5,1),F697:S697,0)</f>
        <v>16.19472868851005</v>
      </c>
      <c r="U697" s="7" cm="1">
        <f t="array" aca="1" ref="U697" ca="1">z_score_diff(OFFSET(T697,0,0,$I$5*-1,1),OFFSET(E697,0,0,$I$5*-1,1))</f>
        <v>-0.46431786431798672</v>
      </c>
      <c r="V697" s="7">
        <f t="shared" ca="1" si="707"/>
        <v>-0.47784929394379161</v>
      </c>
      <c r="W697" s="14">
        <f t="shared" ca="1" si="702"/>
        <v>7.3431682871800227E-2</v>
      </c>
      <c r="X697" s="10">
        <f t="shared" ref="X697:Y697" ca="1" si="758">+X696</f>
        <v>0</v>
      </c>
      <c r="Y697" s="10">
        <f t="shared" ca="1" si="758"/>
        <v>0</v>
      </c>
      <c r="Z697">
        <f t="shared" ca="1" si="709"/>
        <v>1</v>
      </c>
      <c r="AA697">
        <f t="shared" ca="1" si="710"/>
        <v>0</v>
      </c>
      <c r="AB697" s="19">
        <f t="shared" ca="1" si="711"/>
        <v>7.3431682871800227E-2</v>
      </c>
      <c r="AC697" s="19">
        <f t="shared" ca="1" si="712"/>
        <v>0</v>
      </c>
    </row>
    <row r="698" spans="3:29" x14ac:dyDescent="0.25">
      <c r="C698" s="4">
        <v>691</v>
      </c>
      <c r="D698" s="28">
        <v>42986</v>
      </c>
      <c r="E698" s="30">
        <v>16.786999999999999</v>
      </c>
      <c r="F698" s="30">
        <v>44.693758829884487</v>
      </c>
      <c r="G698" s="30">
        <v>5.1815839773954959</v>
      </c>
      <c r="H698" s="30">
        <v>75.542258788332092</v>
      </c>
      <c r="I698" s="8">
        <v>0</v>
      </c>
      <c r="J698" s="31">
        <v>0</v>
      </c>
      <c r="K698" s="31">
        <v>0</v>
      </c>
      <c r="L698" s="31">
        <v>0</v>
      </c>
      <c r="M698" s="31">
        <v>0</v>
      </c>
      <c r="N698" s="31">
        <v>0</v>
      </c>
      <c r="O698" s="31">
        <v>0</v>
      </c>
      <c r="P698" s="31">
        <v>0</v>
      </c>
      <c r="Q698" s="31">
        <v>1</v>
      </c>
      <c r="R698" s="31">
        <v>0</v>
      </c>
      <c r="S698" s="31">
        <v>0</v>
      </c>
      <c r="T698" s="21" cm="1">
        <f t="array" aca="1" ref="T698" ca="1">+fair_value_gap(OFFSET(S697,0,0,-1*$I$5,-1*$Z$1),OFFSET(E697,0,0,-1*$I$5,1),F698:S698,0)</f>
        <v>16.333027175045807</v>
      </c>
      <c r="U698" s="7" cm="1">
        <f t="array" aca="1" ref="U698" ca="1">z_score_diff(OFFSET(T698,0,0,$I$5*-1,1),OFFSET(E698,0,0,$I$5*-1,1))</f>
        <v>-0.38896751516742517</v>
      </c>
      <c r="V698" s="7">
        <f t="shared" ca="1" si="707"/>
        <v>-0.45802516455989223</v>
      </c>
      <c r="W698" s="14">
        <f t="shared" ca="1" si="702"/>
        <v>7.248550424183442E-2</v>
      </c>
      <c r="X698" s="10">
        <f t="shared" ref="X698:Y698" ca="1" si="759">+X697</f>
        <v>0</v>
      </c>
      <c r="Y698" s="10">
        <f t="shared" ca="1" si="759"/>
        <v>0</v>
      </c>
      <c r="Z698">
        <f t="shared" ca="1" si="709"/>
        <v>1</v>
      </c>
      <c r="AA698">
        <f t="shared" ca="1" si="710"/>
        <v>0</v>
      </c>
      <c r="AB698" s="19">
        <f t="shared" ca="1" si="711"/>
        <v>7.248550424183442E-2</v>
      </c>
      <c r="AC698" s="19">
        <f t="shared" ca="1" si="712"/>
        <v>0</v>
      </c>
    </row>
    <row r="699" spans="3:29" x14ac:dyDescent="0.25">
      <c r="C699" s="4">
        <v>692</v>
      </c>
      <c r="D699" s="28">
        <v>42989</v>
      </c>
      <c r="E699" s="30">
        <v>17.193000000000001</v>
      </c>
      <c r="F699" s="30">
        <v>45.050623378796757</v>
      </c>
      <c r="G699" s="30">
        <v>5.2464228934817161</v>
      </c>
      <c r="H699" s="30">
        <v>76.68814325161074</v>
      </c>
      <c r="I699" s="8">
        <v>0</v>
      </c>
      <c r="J699" s="31">
        <v>0</v>
      </c>
      <c r="K699" s="31">
        <v>0</v>
      </c>
      <c r="L699" s="31">
        <v>0</v>
      </c>
      <c r="M699" s="31">
        <v>0</v>
      </c>
      <c r="N699" s="31">
        <v>0</v>
      </c>
      <c r="O699" s="31">
        <v>0</v>
      </c>
      <c r="P699" s="31">
        <v>0</v>
      </c>
      <c r="Q699" s="31">
        <v>1</v>
      </c>
      <c r="R699" s="31">
        <v>0</v>
      </c>
      <c r="S699" s="31">
        <v>0</v>
      </c>
      <c r="T699" s="21" cm="1">
        <f t="array" aca="1" ref="T699" ca="1">+fair_value_gap(OFFSET(S698,0,0,-1*$I$5,-1*$Z$1),OFFSET(E698,0,0,-1*$I$5,1),F699:S699,0)</f>
        <v>16.641234086800509</v>
      </c>
      <c r="U699" s="7" cm="1">
        <f t="array" aca="1" ref="U699" ca="1">z_score_diff(OFFSET(T699,0,0,$I$5*-1,1),OFFSET(E699,0,0,$I$5*-1,1))</f>
        <v>-0.46010873469576308</v>
      </c>
      <c r="V699" s="7">
        <f t="shared" ca="1" si="707"/>
        <v>-0.44775878752539489</v>
      </c>
      <c r="W699" s="14">
        <f t="shared" ca="1" si="702"/>
        <v>5.8401687005086203E-2</v>
      </c>
      <c r="X699" s="10">
        <f t="shared" ref="X699:Y699" ca="1" si="760">+X698</f>
        <v>0</v>
      </c>
      <c r="Y699" s="10">
        <f t="shared" ca="1" si="760"/>
        <v>0</v>
      </c>
      <c r="Z699">
        <f t="shared" ca="1" si="709"/>
        <v>1</v>
      </c>
      <c r="AA699">
        <f t="shared" ca="1" si="710"/>
        <v>0</v>
      </c>
      <c r="AB699" s="19">
        <f t="shared" ca="1" si="711"/>
        <v>5.8401687005086203E-2</v>
      </c>
      <c r="AC699" s="19">
        <f t="shared" ca="1" si="712"/>
        <v>0</v>
      </c>
    </row>
    <row r="700" spans="3:29" x14ac:dyDescent="0.25">
      <c r="C700" s="4">
        <v>693</v>
      </c>
      <c r="D700" s="28">
        <v>42990</v>
      </c>
      <c r="E700" s="30">
        <v>17.152000000000001</v>
      </c>
      <c r="F700" s="30">
        <v>45.35729210196407</v>
      </c>
      <c r="G700" s="30">
        <v>5.2402841621395737</v>
      </c>
      <c r="H700" s="30">
        <v>76.849143334726293</v>
      </c>
      <c r="I700" s="8">
        <v>0</v>
      </c>
      <c r="J700" s="31">
        <v>0</v>
      </c>
      <c r="K700" s="31">
        <v>0</v>
      </c>
      <c r="L700" s="31">
        <v>0</v>
      </c>
      <c r="M700" s="31">
        <v>0</v>
      </c>
      <c r="N700" s="31">
        <v>0</v>
      </c>
      <c r="O700" s="31">
        <v>0</v>
      </c>
      <c r="P700" s="31">
        <v>0</v>
      </c>
      <c r="Q700" s="31">
        <v>1</v>
      </c>
      <c r="R700" s="31">
        <v>0</v>
      </c>
      <c r="S700" s="31">
        <v>0</v>
      </c>
      <c r="T700" s="21" cm="1">
        <f t="array" aca="1" ref="T700" ca="1">+fair_value_gap(OFFSET(S699,0,0,-1*$I$5,-1*$Z$1),OFFSET(E699,0,0,-1*$I$5,1),F700:S700,0)</f>
        <v>16.757827405232767</v>
      </c>
      <c r="U700" s="7" cm="1">
        <f t="array" aca="1" ref="U700" ca="1">z_score_diff(OFFSET(T700,0,0,$I$5*-1,1),OFFSET(E700,0,0,$I$5*-1,1))</f>
        <v>-0.37879350313027904</v>
      </c>
      <c r="V700" s="7">
        <f t="shared" ca="1" si="707"/>
        <v>-0.44239919148875273</v>
      </c>
      <c r="W700" s="14">
        <f t="shared" ca="1" si="702"/>
        <v>5.3797153383388509E-2</v>
      </c>
      <c r="X700" s="10">
        <f t="shared" ref="X700:Y700" ca="1" si="761">+X699</f>
        <v>0</v>
      </c>
      <c r="Y700" s="10">
        <f t="shared" ca="1" si="761"/>
        <v>0</v>
      </c>
      <c r="Z700">
        <f t="shared" ca="1" si="709"/>
        <v>1</v>
      </c>
      <c r="AA700">
        <f t="shared" ca="1" si="710"/>
        <v>0</v>
      </c>
      <c r="AB700" s="19">
        <f t="shared" ca="1" si="711"/>
        <v>5.3797153383388509E-2</v>
      </c>
      <c r="AC700" s="19">
        <f t="shared" ca="1" si="712"/>
        <v>0</v>
      </c>
    </row>
    <row r="701" spans="3:29" x14ac:dyDescent="0.25">
      <c r="C701" s="4">
        <v>694</v>
      </c>
      <c r="D701" s="28">
        <v>42991</v>
      </c>
      <c r="E701" s="30">
        <v>17.292000000000002</v>
      </c>
      <c r="F701" s="30">
        <v>46.411442995372319</v>
      </c>
      <c r="G701" s="30">
        <v>5.2839713925115701</v>
      </c>
      <c r="H701" s="30">
        <v>78.838872528397147</v>
      </c>
      <c r="I701" s="8">
        <v>0</v>
      </c>
      <c r="J701" s="31">
        <v>0</v>
      </c>
      <c r="K701" s="31">
        <v>0</v>
      </c>
      <c r="L701" s="31">
        <v>0</v>
      </c>
      <c r="M701" s="31">
        <v>0</v>
      </c>
      <c r="N701" s="31">
        <v>0</v>
      </c>
      <c r="O701" s="31">
        <v>0</v>
      </c>
      <c r="P701" s="31">
        <v>0</v>
      </c>
      <c r="Q701" s="31">
        <v>1</v>
      </c>
      <c r="R701" s="31">
        <v>0</v>
      </c>
      <c r="S701" s="31">
        <v>0</v>
      </c>
      <c r="T701" s="21" cm="1">
        <f t="array" aca="1" ref="T701" ca="1">+fair_value_gap(OFFSET(S700,0,0,-1*$I$5,-1*$Z$1),OFFSET(E700,0,0,-1*$I$5,1),F701:S701,0)</f>
        <v>17.149489570585061</v>
      </c>
      <c r="U701" s="7" cm="1">
        <f t="array" aca="1" ref="U701" ca="1">z_score_diff(OFFSET(T701,0,0,$I$5*-1,1),OFFSET(E701,0,0,$I$5*-1,1))</f>
        <v>-0.25367025985724212</v>
      </c>
      <c r="V701" s="7">
        <f t="shared" ca="1" si="707"/>
        <v>-0.42928666707551832</v>
      </c>
      <c r="W701" s="14">
        <f t="shared" ca="1" si="702"/>
        <v>4.2236676938130928E-2</v>
      </c>
      <c r="X701" s="10">
        <f t="shared" ref="X701:Y701" ca="1" si="762">+X700</f>
        <v>0</v>
      </c>
      <c r="Y701" s="10">
        <f t="shared" ca="1" si="762"/>
        <v>0</v>
      </c>
      <c r="Z701">
        <f t="shared" ca="1" si="709"/>
        <v>1</v>
      </c>
      <c r="AA701">
        <f t="shared" ca="1" si="710"/>
        <v>0</v>
      </c>
      <c r="AB701" s="19">
        <f t="shared" ca="1" si="711"/>
        <v>4.2236676938130928E-2</v>
      </c>
      <c r="AC701" s="19">
        <f t="shared" ca="1" si="712"/>
        <v>0</v>
      </c>
    </row>
    <row r="702" spans="3:29" x14ac:dyDescent="0.25">
      <c r="C702" s="4">
        <v>695</v>
      </c>
      <c r="D702" s="28">
        <v>42992</v>
      </c>
      <c r="E702" s="30">
        <v>17.585000000000001</v>
      </c>
      <c r="F702" s="30">
        <v>46.543044134921963</v>
      </c>
      <c r="G702" s="30">
        <v>5.2903171673099516</v>
      </c>
      <c r="H702" s="30">
        <v>79.41768753146502</v>
      </c>
      <c r="I702" s="8">
        <v>0</v>
      </c>
      <c r="J702" s="31">
        <v>0</v>
      </c>
      <c r="K702" s="31">
        <v>0</v>
      </c>
      <c r="L702" s="31">
        <v>0</v>
      </c>
      <c r="M702" s="31">
        <v>0</v>
      </c>
      <c r="N702" s="31">
        <v>0</v>
      </c>
      <c r="O702" s="31">
        <v>0</v>
      </c>
      <c r="P702" s="31">
        <v>0</v>
      </c>
      <c r="Q702" s="31">
        <v>1</v>
      </c>
      <c r="R702" s="31">
        <v>0</v>
      </c>
      <c r="S702" s="31">
        <v>0</v>
      </c>
      <c r="T702" s="21" cm="1">
        <f t="array" aca="1" ref="T702" ca="1">+fair_value_gap(OFFSET(S701,0,0,-1*$I$5,-1*$Z$1),OFFSET(E701,0,0,-1*$I$5,1),F702:S702,0)</f>
        <v>17.260933079516658</v>
      </c>
      <c r="U702" s="7" cm="1">
        <f t="array" aca="1" ref="U702" ca="1">z_score_diff(OFFSET(T702,0,0,$I$5*-1,1),OFFSET(E702,0,0,$I$5*-1,1))</f>
        <v>-0.36341405671505211</v>
      </c>
      <c r="V702" s="7">
        <f t="shared" ca="1" si="707"/>
        <v>-0.42551588201954604</v>
      </c>
      <c r="W702" s="14">
        <f t="shared" ca="1" si="702"/>
        <v>1.6188976400898995E-2</v>
      </c>
      <c r="X702" s="10">
        <f t="shared" ref="X702:Y702" ca="1" si="763">+X701</f>
        <v>0</v>
      </c>
      <c r="Y702" s="10">
        <f t="shared" ca="1" si="763"/>
        <v>0</v>
      </c>
      <c r="Z702">
        <f t="shared" ca="1" si="709"/>
        <v>1</v>
      </c>
      <c r="AA702">
        <f t="shared" ca="1" si="710"/>
        <v>0</v>
      </c>
      <c r="AB702" s="19">
        <f t="shared" ca="1" si="711"/>
        <v>1.6188976400898995E-2</v>
      </c>
      <c r="AC702" s="19">
        <f t="shared" ca="1" si="712"/>
        <v>0</v>
      </c>
    </row>
    <row r="703" spans="3:29" x14ac:dyDescent="0.25">
      <c r="C703" s="4">
        <v>696</v>
      </c>
      <c r="D703" s="28">
        <v>42993</v>
      </c>
      <c r="E703" s="30">
        <v>17.198</v>
      </c>
      <c r="F703" s="30">
        <v>46.579013482957876</v>
      </c>
      <c r="G703" s="30">
        <v>5.2885018005192199</v>
      </c>
      <c r="H703" s="30">
        <v>77.882924378192783</v>
      </c>
      <c r="I703" s="8">
        <v>0</v>
      </c>
      <c r="J703" s="31">
        <v>0</v>
      </c>
      <c r="K703" s="31">
        <v>0</v>
      </c>
      <c r="L703" s="31">
        <v>0</v>
      </c>
      <c r="M703" s="31">
        <v>0</v>
      </c>
      <c r="N703" s="31">
        <v>0</v>
      </c>
      <c r="O703" s="31">
        <v>0</v>
      </c>
      <c r="P703" s="31">
        <v>0</v>
      </c>
      <c r="Q703" s="31">
        <v>1</v>
      </c>
      <c r="R703" s="31">
        <v>0</v>
      </c>
      <c r="S703" s="31">
        <v>0</v>
      </c>
      <c r="T703" s="21" cm="1">
        <f t="array" aca="1" ref="T703" ca="1">+fair_value_gap(OFFSET(S702,0,0,-1*$I$5,-1*$Z$1),OFFSET(E702,0,0,-1*$I$5,1),F703:S703,0)</f>
        <v>17.089302192876907</v>
      </c>
      <c r="U703" s="7" cm="1">
        <f t="array" aca="1" ref="U703" ca="1">z_score_diff(OFFSET(T703,0,0,$I$5*-1,1),OFFSET(E703,0,0,$I$5*-1,1))</f>
        <v>-0.23570584761071253</v>
      </c>
      <c r="V703" s="7">
        <f t="shared" ca="1" si="707"/>
        <v>-0.41921109744946872</v>
      </c>
      <c r="W703" s="14">
        <f t="shared" ca="1" si="702"/>
        <v>4.2239758641945291E-2</v>
      </c>
      <c r="X703" s="10">
        <f t="shared" ref="X703:Y703" ca="1" si="764">+X702</f>
        <v>0</v>
      </c>
      <c r="Y703" s="10">
        <f t="shared" ca="1" si="764"/>
        <v>0</v>
      </c>
      <c r="Z703">
        <f t="shared" ca="1" si="709"/>
        <v>1</v>
      </c>
      <c r="AA703">
        <f t="shared" ca="1" si="710"/>
        <v>0</v>
      </c>
      <c r="AB703" s="19">
        <f t="shared" ca="1" si="711"/>
        <v>4.2239758641945291E-2</v>
      </c>
      <c r="AC703" s="19">
        <f t="shared" ca="1" si="712"/>
        <v>0</v>
      </c>
    </row>
    <row r="704" spans="3:29" x14ac:dyDescent="0.25">
      <c r="C704" s="4">
        <v>697</v>
      </c>
      <c r="D704" s="28">
        <v>42996</v>
      </c>
      <c r="E704" s="30">
        <v>17.103000000000002</v>
      </c>
      <c r="F704" s="30">
        <v>46.419009370816596</v>
      </c>
      <c r="G704" s="30">
        <v>6.4006024096385543</v>
      </c>
      <c r="H704" s="30">
        <v>77.560240963855421</v>
      </c>
      <c r="I704" s="8">
        <v>0</v>
      </c>
      <c r="J704" s="31">
        <v>0</v>
      </c>
      <c r="K704" s="31">
        <v>0</v>
      </c>
      <c r="L704" s="31">
        <v>0</v>
      </c>
      <c r="M704" s="31">
        <v>0</v>
      </c>
      <c r="N704" s="31">
        <v>0</v>
      </c>
      <c r="O704" s="31">
        <v>0</v>
      </c>
      <c r="P704" s="31">
        <v>0</v>
      </c>
      <c r="Q704" s="31">
        <v>1</v>
      </c>
      <c r="R704" s="31">
        <v>0</v>
      </c>
      <c r="S704" s="31">
        <v>0</v>
      </c>
      <c r="T704" s="21" cm="1">
        <f t="array" aca="1" ref="T704" ca="1">+fair_value_gap(OFFSET(S703,0,0,-1*$I$5,-1*$Z$1),OFFSET(E703,0,0,-1*$I$5,1),F704:S704,0)</f>
        <v>17.96199756366029</v>
      </c>
      <c r="U704" s="7" cm="1">
        <f t="array" aca="1" ref="U704" ca="1">z_score_diff(OFFSET(T704,0,0,$I$5*-1,1),OFFSET(E704,0,0,$I$5*-1,1))</f>
        <v>0.2956074468575054</v>
      </c>
      <c r="V704" s="7">
        <f t="shared" ca="1" si="707"/>
        <v>-0.38273357384800827</v>
      </c>
      <c r="W704" s="14">
        <f t="shared" ca="1" si="702"/>
        <v>5.8369293726117141E-2</v>
      </c>
      <c r="X704" s="10">
        <f t="shared" ref="X704:Y704" ca="1" si="765">+X703</f>
        <v>0</v>
      </c>
      <c r="Y704" s="10">
        <f t="shared" ca="1" si="765"/>
        <v>0</v>
      </c>
      <c r="Z704">
        <f t="shared" ca="1" si="709"/>
        <v>1</v>
      </c>
      <c r="AA704">
        <f t="shared" ca="1" si="710"/>
        <v>0</v>
      </c>
      <c r="AB704" s="19">
        <f t="shared" ca="1" si="711"/>
        <v>5.8369293726117141E-2</v>
      </c>
      <c r="AC704" s="19">
        <f t="shared" ca="1" si="712"/>
        <v>0</v>
      </c>
    </row>
    <row r="705" spans="3:29" x14ac:dyDescent="0.25">
      <c r="C705" s="4">
        <v>698</v>
      </c>
      <c r="D705" s="28">
        <v>42997</v>
      </c>
      <c r="E705" s="30">
        <v>17.126999999999999</v>
      </c>
      <c r="F705" s="30">
        <v>45.980653769179455</v>
      </c>
      <c r="G705" s="30">
        <v>6.3792528352234825</v>
      </c>
      <c r="H705" s="30">
        <v>77.718478985990657</v>
      </c>
      <c r="I705" s="8">
        <v>0</v>
      </c>
      <c r="J705" s="31">
        <v>0</v>
      </c>
      <c r="K705" s="31">
        <v>0</v>
      </c>
      <c r="L705" s="31">
        <v>0</v>
      </c>
      <c r="M705" s="31">
        <v>0</v>
      </c>
      <c r="N705" s="31">
        <v>0</v>
      </c>
      <c r="O705" s="31">
        <v>0</v>
      </c>
      <c r="P705" s="31">
        <v>0</v>
      </c>
      <c r="Q705" s="31">
        <v>1</v>
      </c>
      <c r="R705" s="31">
        <v>0</v>
      </c>
      <c r="S705" s="31">
        <v>0</v>
      </c>
      <c r="T705" s="21" cm="1">
        <f t="array" aca="1" ref="T705" ca="1">+fair_value_gap(OFFSET(S704,0,0,-1*$I$5,-1*$Z$1),OFFSET(E704,0,0,-1*$I$5,1),F705:S705,0)</f>
        <v>17.930195916685584</v>
      </c>
      <c r="U705" s="7" cm="1">
        <f t="array" aca="1" ref="U705" ca="1">z_score_diff(OFFSET(T705,0,0,$I$5*-1,1),OFFSET(E705,0,0,$I$5*-1,1))</f>
        <v>0.26410832546571067</v>
      </c>
      <c r="V705" s="7">
        <f t="shared" ca="1" si="707"/>
        <v>-0.35102859870388498</v>
      </c>
      <c r="W705" s="14">
        <f t="shared" ca="1" si="702"/>
        <v>5.4260802664942938E-2</v>
      </c>
      <c r="X705" s="10">
        <f t="shared" ref="X705:Y705" ca="1" si="766">+X704</f>
        <v>0</v>
      </c>
      <c r="Y705" s="10">
        <f t="shared" ca="1" si="766"/>
        <v>0</v>
      </c>
      <c r="Z705">
        <f t="shared" ca="1" si="709"/>
        <v>1</v>
      </c>
      <c r="AA705">
        <f t="shared" ca="1" si="710"/>
        <v>0</v>
      </c>
      <c r="AB705" s="19">
        <f t="shared" ca="1" si="711"/>
        <v>5.4260802664942938E-2</v>
      </c>
      <c r="AC705" s="19">
        <f t="shared" ca="1" si="712"/>
        <v>0</v>
      </c>
    </row>
    <row r="706" spans="3:29" x14ac:dyDescent="0.25">
      <c r="C706" s="4">
        <v>699</v>
      </c>
      <c r="D706" s="28">
        <v>42998</v>
      </c>
      <c r="E706" s="30">
        <v>16.925000000000001</v>
      </c>
      <c r="F706" s="30">
        <v>47.338323101505338</v>
      </c>
      <c r="G706" s="30">
        <v>6.4712808006055003</v>
      </c>
      <c r="H706" s="30">
        <v>77.916070978050627</v>
      </c>
      <c r="I706" s="8">
        <v>0</v>
      </c>
      <c r="J706" s="31">
        <v>0</v>
      </c>
      <c r="K706" s="31">
        <v>0</v>
      </c>
      <c r="L706" s="31">
        <v>0</v>
      </c>
      <c r="M706" s="31">
        <v>0</v>
      </c>
      <c r="N706" s="31">
        <v>0</v>
      </c>
      <c r="O706" s="31">
        <v>0</v>
      </c>
      <c r="P706" s="31">
        <v>0</v>
      </c>
      <c r="Q706" s="31">
        <v>1</v>
      </c>
      <c r="R706" s="31">
        <v>0</v>
      </c>
      <c r="S706" s="31">
        <v>0</v>
      </c>
      <c r="T706" s="21" cm="1">
        <f t="array" aca="1" ref="T706" ca="1">+fair_value_gap(OFFSET(S705,0,0,-1*$I$5,-1*$Z$1),OFFSET(E705,0,0,-1*$I$5,1),F706:S706,0)</f>
        <v>18.045029657346145</v>
      </c>
      <c r="U706" s="7" cm="1">
        <f t="array" aca="1" ref="U706" ca="1">z_score_diff(OFFSET(T706,0,0,$I$5*-1,1),OFFSET(E706,0,0,$I$5*-1,1))</f>
        <v>0.44336873837745899</v>
      </c>
      <c r="V706" s="7">
        <f t="shared" ca="1" si="707"/>
        <v>-0.30551591288194024</v>
      </c>
      <c r="W706" s="14">
        <f t="shared" ca="1" si="702"/>
        <v>7.8382427773860855E-2</v>
      </c>
      <c r="X706" s="10">
        <f t="shared" ref="X706:Y706" ca="1" si="767">+X705</f>
        <v>0</v>
      </c>
      <c r="Y706" s="10">
        <f t="shared" ca="1" si="767"/>
        <v>0</v>
      </c>
      <c r="Z706">
        <f t="shared" ca="1" si="709"/>
        <v>1</v>
      </c>
      <c r="AA706">
        <f t="shared" ca="1" si="710"/>
        <v>0</v>
      </c>
      <c r="AB706" s="19">
        <f t="shared" ca="1" si="711"/>
        <v>7.8382427773860855E-2</v>
      </c>
      <c r="AC706" s="19">
        <f t="shared" ca="1" si="712"/>
        <v>0</v>
      </c>
    </row>
    <row r="707" spans="3:29" x14ac:dyDescent="0.25">
      <c r="C707" s="4">
        <v>700</v>
      </c>
      <c r="D707" s="28">
        <v>42999</v>
      </c>
      <c r="E707" s="30">
        <v>16.75</v>
      </c>
      <c r="F707" s="30">
        <v>47.265265097579366</v>
      </c>
      <c r="G707" s="30">
        <v>6.4452634223971863</v>
      </c>
      <c r="H707" s="30">
        <v>77.100259653237288</v>
      </c>
      <c r="I707" s="8">
        <v>0</v>
      </c>
      <c r="J707" s="31">
        <v>0</v>
      </c>
      <c r="K707" s="31">
        <v>0</v>
      </c>
      <c r="L707" s="31">
        <v>0</v>
      </c>
      <c r="M707" s="31">
        <v>0</v>
      </c>
      <c r="N707" s="31">
        <v>0</v>
      </c>
      <c r="O707" s="31">
        <v>0</v>
      </c>
      <c r="P707" s="31">
        <v>0</v>
      </c>
      <c r="Q707" s="31">
        <v>1</v>
      </c>
      <c r="R707" s="31">
        <v>0</v>
      </c>
      <c r="S707" s="31">
        <v>0</v>
      </c>
      <c r="T707" s="21" cm="1">
        <f t="array" aca="1" ref="T707" ca="1">+fair_value_gap(OFFSET(S706,0,0,-1*$I$5,-1*$Z$1),OFFSET(E706,0,0,-1*$I$5,1),F707:S707,0)</f>
        <v>17.737397115614382</v>
      </c>
      <c r="U707" s="7" cm="1">
        <f t="array" aca="1" ref="U707" ca="1">z_score_diff(OFFSET(T707,0,0,$I$5*-1,1),OFFSET(E707,0,0,$I$5*-1,1))</f>
        <v>0.38433435409788413</v>
      </c>
      <c r="V707" s="7">
        <f t="shared" ca="1" si="707"/>
        <v>-0.26469959072851246</v>
      </c>
      <c r="W707" s="14">
        <f t="shared" ca="1" si="702"/>
        <v>7.7513680000704674E-2</v>
      </c>
      <c r="X707" s="10">
        <f t="shared" ref="X707:Y707" ca="1" si="768">+X706</f>
        <v>0</v>
      </c>
      <c r="Y707" s="10">
        <f t="shared" ca="1" si="768"/>
        <v>0</v>
      </c>
      <c r="Z707">
        <f t="shared" ca="1" si="709"/>
        <v>1</v>
      </c>
      <c r="AA707">
        <f t="shared" ca="1" si="710"/>
        <v>0</v>
      </c>
      <c r="AB707" s="19">
        <f t="shared" ca="1" si="711"/>
        <v>7.7513680000704674E-2</v>
      </c>
      <c r="AC707" s="19">
        <f t="shared" ca="1" si="712"/>
        <v>0</v>
      </c>
    </row>
    <row r="708" spans="3:29" x14ac:dyDescent="0.25">
      <c r="C708" s="4">
        <v>701</v>
      </c>
      <c r="D708" s="28">
        <v>43000</v>
      </c>
      <c r="E708" s="30">
        <v>16.646999999999998</v>
      </c>
      <c r="F708" s="30">
        <v>47.573627844712178</v>
      </c>
      <c r="G708" s="30">
        <v>6.5051874163319949</v>
      </c>
      <c r="H708" s="30">
        <v>77.058232931726906</v>
      </c>
      <c r="I708" s="8">
        <v>0</v>
      </c>
      <c r="J708" s="31">
        <v>0</v>
      </c>
      <c r="K708" s="31">
        <v>0</v>
      </c>
      <c r="L708" s="31">
        <v>0</v>
      </c>
      <c r="M708" s="31">
        <v>0</v>
      </c>
      <c r="N708" s="31">
        <v>0</v>
      </c>
      <c r="O708" s="31">
        <v>0</v>
      </c>
      <c r="P708" s="31">
        <v>0</v>
      </c>
      <c r="Q708" s="31">
        <v>1</v>
      </c>
      <c r="R708" s="31">
        <v>0</v>
      </c>
      <c r="S708" s="31">
        <v>0</v>
      </c>
      <c r="T708" s="21" cm="1">
        <f t="array" aca="1" ref="T708" ca="1">+fair_value_gap(OFFSET(S707,0,0,-1*$I$5,-1*$Z$1),OFFSET(E707,0,0,-1*$I$5,1),F708:S708,0)</f>
        <v>17.687310089181096</v>
      </c>
      <c r="U708" s="7" cm="1">
        <f t="array" aca="1" ref="U708" ca="1">z_score_diff(OFFSET(T708,0,0,$I$5*-1,1),OFFSET(E708,0,0,$I$5*-1,1))</f>
        <v>0.41776770628689153</v>
      </c>
      <c r="V708" s="7">
        <f t="shared" ca="1" si="707"/>
        <v>-0.22092671684848639</v>
      </c>
      <c r="W708" s="14">
        <f t="shared" ca="1" si="702"/>
        <v>6.5225345951063982E-2</v>
      </c>
      <c r="X708" s="10">
        <f t="shared" ref="X708:Y708" ca="1" si="769">+X707</f>
        <v>0</v>
      </c>
      <c r="Y708" s="10">
        <f t="shared" ca="1" si="769"/>
        <v>0</v>
      </c>
      <c r="Z708">
        <f t="shared" ca="1" si="709"/>
        <v>1</v>
      </c>
      <c r="AA708">
        <f t="shared" ca="1" si="710"/>
        <v>0</v>
      </c>
      <c r="AB708" s="19">
        <f t="shared" ca="1" si="711"/>
        <v>6.5225345951063982E-2</v>
      </c>
      <c r="AC708" s="19">
        <f t="shared" ca="1" si="712"/>
        <v>0</v>
      </c>
    </row>
    <row r="709" spans="3:29" x14ac:dyDescent="0.25">
      <c r="C709" s="4">
        <v>702</v>
      </c>
      <c r="D709" s="28">
        <v>43003</v>
      </c>
      <c r="E709" s="30">
        <v>17.405999999999999</v>
      </c>
      <c r="F709" s="30">
        <v>49.822724970454161</v>
      </c>
      <c r="G709" s="30">
        <v>6.5971635995272662</v>
      </c>
      <c r="H709" s="30">
        <v>78.507513084585511</v>
      </c>
      <c r="I709" s="8">
        <v>0</v>
      </c>
      <c r="J709" s="31">
        <v>0</v>
      </c>
      <c r="K709" s="31">
        <v>0</v>
      </c>
      <c r="L709" s="31">
        <v>0</v>
      </c>
      <c r="M709" s="31">
        <v>0</v>
      </c>
      <c r="N709" s="31">
        <v>0</v>
      </c>
      <c r="O709" s="31">
        <v>0</v>
      </c>
      <c r="P709" s="31">
        <v>0</v>
      </c>
      <c r="Q709" s="31">
        <v>1</v>
      </c>
      <c r="R709" s="31">
        <v>0</v>
      </c>
      <c r="S709" s="31">
        <v>0</v>
      </c>
      <c r="T709" s="21" cm="1">
        <f t="array" aca="1" ref="T709" ca="1">+fair_value_gap(OFFSET(S708,0,0,-1*$I$5,-1*$Z$1),OFFSET(E708,0,0,-1*$I$5,1),F709:S709,0)</f>
        <v>17.913354830419372</v>
      </c>
      <c r="U709" s="7" cm="1">
        <f t="array" aca="1" ref="U709" ca="1">z_score_diff(OFFSET(T709,0,0,$I$5*-1,1),OFFSET(E709,0,0,$I$5*-1,1))</f>
        <v>0.10065060606284565</v>
      </c>
      <c r="V709" s="7">
        <f t="shared" ca="1" si="707"/>
        <v>-0.19998111382069442</v>
      </c>
      <c r="W709" s="14">
        <f t="shared" ca="1" si="702"/>
        <v>1.8048256705680662E-2</v>
      </c>
      <c r="X709" s="10">
        <f t="shared" ref="X709:Y709" ca="1" si="770">+X708</f>
        <v>0</v>
      </c>
      <c r="Y709" s="10">
        <f t="shared" ca="1" si="770"/>
        <v>0</v>
      </c>
      <c r="Z709">
        <f t="shared" ca="1" si="709"/>
        <v>1</v>
      </c>
      <c r="AA709">
        <f t="shared" ca="1" si="710"/>
        <v>0</v>
      </c>
      <c r="AB709" s="19">
        <f t="shared" ca="1" si="711"/>
        <v>1.8048256705680662E-2</v>
      </c>
      <c r="AC709" s="19">
        <f t="shared" ca="1" si="712"/>
        <v>0</v>
      </c>
    </row>
    <row r="710" spans="3:29" x14ac:dyDescent="0.25">
      <c r="C710" s="4">
        <v>703</v>
      </c>
      <c r="D710" s="28">
        <v>43004</v>
      </c>
      <c r="E710" s="30">
        <v>17.36</v>
      </c>
      <c r="F710" s="30">
        <v>49.56322618946654</v>
      </c>
      <c r="G710" s="30">
        <v>6.8060385039436859</v>
      </c>
      <c r="H710" s="30">
        <v>77.771181409549655</v>
      </c>
      <c r="I710" s="8">
        <v>0</v>
      </c>
      <c r="J710" s="31">
        <v>0</v>
      </c>
      <c r="K710" s="31">
        <v>0</v>
      </c>
      <c r="L710" s="31">
        <v>0</v>
      </c>
      <c r="M710" s="31">
        <v>0</v>
      </c>
      <c r="N710" s="31">
        <v>0</v>
      </c>
      <c r="O710" s="31">
        <v>0</v>
      </c>
      <c r="P710" s="31">
        <v>0</v>
      </c>
      <c r="Q710" s="31">
        <v>1</v>
      </c>
      <c r="R710" s="31">
        <v>0</v>
      </c>
      <c r="S710" s="31">
        <v>0</v>
      </c>
      <c r="T710" s="21" cm="1">
        <f t="array" aca="1" ref="T710" ca="1">+fair_value_gap(OFFSET(S709,0,0,-1*$I$5,-1*$Z$1),OFFSET(E709,0,0,-1*$I$5,1),F710:S710,0)</f>
        <v>17.885532403798763</v>
      </c>
      <c r="U710" s="7" cm="1">
        <f t="array" aca="1" ref="U710" ca="1">z_score_diff(OFFSET(T710,0,0,$I$5*-1,1),OFFSET(E710,0,0,$I$5*-1,1))</f>
        <v>0.11187220615269527</v>
      </c>
      <c r="V710" s="7">
        <f t="shared" ca="1" si="707"/>
        <v>-0.17466896006753166</v>
      </c>
      <c r="W710" s="14">
        <f t="shared" ca="1" si="702"/>
        <v>1.2194923980505003E-2</v>
      </c>
      <c r="X710" s="10">
        <f t="shared" ref="X710:Y710" ca="1" si="771">+X709</f>
        <v>0</v>
      </c>
      <c r="Y710" s="10">
        <f t="shared" ca="1" si="771"/>
        <v>0</v>
      </c>
      <c r="Z710">
        <f t="shared" ca="1" si="709"/>
        <v>1</v>
      </c>
      <c r="AA710">
        <f t="shared" ca="1" si="710"/>
        <v>0</v>
      </c>
      <c r="AB710" s="19">
        <f t="shared" ca="1" si="711"/>
        <v>1.2194923980505003E-2</v>
      </c>
      <c r="AC710" s="19">
        <f t="shared" ca="1" si="712"/>
        <v>0</v>
      </c>
    </row>
    <row r="711" spans="3:29" x14ac:dyDescent="0.25">
      <c r="C711" s="4">
        <v>704</v>
      </c>
      <c r="D711" s="28">
        <v>43005</v>
      </c>
      <c r="E711" s="30">
        <v>17.495999999999999</v>
      </c>
      <c r="F711" s="30">
        <v>49.305969513752878</v>
      </c>
      <c r="G711" s="30">
        <v>6.833858468875075</v>
      </c>
      <c r="H711" s="30">
        <v>77.876181554968923</v>
      </c>
      <c r="I711" s="8">
        <v>0</v>
      </c>
      <c r="J711" s="31">
        <v>0</v>
      </c>
      <c r="K711" s="31">
        <v>0</v>
      </c>
      <c r="L711" s="31">
        <v>0</v>
      </c>
      <c r="M711" s="31">
        <v>0</v>
      </c>
      <c r="N711" s="31">
        <v>0</v>
      </c>
      <c r="O711" s="31">
        <v>0</v>
      </c>
      <c r="P711" s="31">
        <v>0</v>
      </c>
      <c r="Q711" s="31">
        <v>1</v>
      </c>
      <c r="R711" s="31">
        <v>0</v>
      </c>
      <c r="S711" s="31">
        <v>0</v>
      </c>
      <c r="T711" s="21" cm="1">
        <f t="array" aca="1" ref="T711" ca="1">+fair_value_gap(OFFSET(S710,0,0,-1*$I$5,-1*$Z$1),OFFSET(E710,0,0,-1*$I$5,1),F711:S711,0)</f>
        <v>17.871073761075785</v>
      </c>
      <c r="U711" s="7" cm="1">
        <f t="array" aca="1" ref="U711" ca="1">z_score_diff(OFFSET(T711,0,0,$I$5*-1,1),OFFSET(E711,0,0,$I$5*-1,1))</f>
        <v>2.4559325272749344E-2</v>
      </c>
      <c r="V711" s="7">
        <f t="shared" ca="1" si="707"/>
        <v>-0.15681889402879717</v>
      </c>
      <c r="W711" s="14">
        <f t="shared" ref="W711:W774" ca="1" si="772">+LN(OFFSET(E711,$W$3,0,1,1)/E711)</f>
        <v>1.3285836711649937E-2</v>
      </c>
      <c r="X711" s="10">
        <f t="shared" ref="X711:Y711" ca="1" si="773">+X710</f>
        <v>0</v>
      </c>
      <c r="Y711" s="10">
        <f t="shared" ca="1" si="773"/>
        <v>0</v>
      </c>
      <c r="Z711">
        <f t="shared" ca="1" si="709"/>
        <v>1</v>
      </c>
      <c r="AA711">
        <f t="shared" ca="1" si="710"/>
        <v>0</v>
      </c>
      <c r="AB711" s="19">
        <f t="shared" ca="1" si="711"/>
        <v>1.3285836711649937E-2</v>
      </c>
      <c r="AC711" s="19">
        <f t="shared" ca="1" si="712"/>
        <v>0</v>
      </c>
    </row>
    <row r="712" spans="3:29" x14ac:dyDescent="0.25">
      <c r="C712" s="4">
        <v>705</v>
      </c>
      <c r="D712" s="28">
        <v>43006</v>
      </c>
      <c r="E712" s="30">
        <v>17.608000000000001</v>
      </c>
      <c r="F712" s="30">
        <v>48.71860149355058</v>
      </c>
      <c r="G712" s="30">
        <v>6.8355397148676174</v>
      </c>
      <c r="H712" s="30">
        <v>77.690088255261372</v>
      </c>
      <c r="I712" s="8">
        <v>0</v>
      </c>
      <c r="J712" s="31">
        <v>0</v>
      </c>
      <c r="K712" s="31">
        <v>0</v>
      </c>
      <c r="L712" s="31">
        <v>0</v>
      </c>
      <c r="M712" s="31">
        <v>0</v>
      </c>
      <c r="N712" s="31">
        <v>0</v>
      </c>
      <c r="O712" s="31">
        <v>0</v>
      </c>
      <c r="P712" s="31">
        <v>0</v>
      </c>
      <c r="Q712" s="31">
        <v>1</v>
      </c>
      <c r="R712" s="31">
        <v>0</v>
      </c>
      <c r="S712" s="31">
        <v>0</v>
      </c>
      <c r="T712" s="21" cm="1">
        <f t="array" aca="1" ref="T712" ca="1">+fair_value_gap(OFFSET(S711,0,0,-1*$I$5,-1*$Z$1),OFFSET(E711,0,0,-1*$I$5,1),F712:S712,0)</f>
        <v>17.807999373334667</v>
      </c>
      <c r="U712" s="7" cm="1">
        <f t="array" aca="1" ref="U712" ca="1">z_score_diff(OFFSET(T712,0,0,$I$5*-1,1),OFFSET(E712,0,0,$I$5*-1,1))</f>
        <v>-7.4792432772993966E-2</v>
      </c>
      <c r="V712" s="7">
        <f t="shared" ca="1" si="707"/>
        <v>-0.14183125657820922</v>
      </c>
      <c r="W712" s="14">
        <f t="shared" ca="1" si="772"/>
        <v>-4.5444218005443441E-4</v>
      </c>
      <c r="X712" s="10">
        <f t="shared" ref="X712:Y712" ca="1" si="774">+X711</f>
        <v>0</v>
      </c>
      <c r="Y712" s="10">
        <f t="shared" ca="1" si="774"/>
        <v>0</v>
      </c>
      <c r="Z712">
        <f t="shared" ca="1" si="709"/>
        <v>1</v>
      </c>
      <c r="AA712">
        <f t="shared" ca="1" si="710"/>
        <v>0</v>
      </c>
      <c r="AB712" s="19">
        <f t="shared" ca="1" si="711"/>
        <v>-4.5444218005443441E-4</v>
      </c>
      <c r="AC712" s="19">
        <f t="shared" ca="1" si="712"/>
        <v>0</v>
      </c>
    </row>
    <row r="713" spans="3:29" x14ac:dyDescent="0.25">
      <c r="C713" s="4">
        <v>706</v>
      </c>
      <c r="D713" s="28">
        <v>43007</v>
      </c>
      <c r="E713" s="30">
        <v>17.382000000000001</v>
      </c>
      <c r="F713" s="30">
        <v>48.713173044361668</v>
      </c>
      <c r="G713" s="30">
        <v>6.9124619031493388</v>
      </c>
      <c r="H713" s="30">
        <v>77.505926176769378</v>
      </c>
      <c r="I713" s="8">
        <v>0</v>
      </c>
      <c r="J713" s="31">
        <v>0</v>
      </c>
      <c r="K713" s="31">
        <v>0</v>
      </c>
      <c r="L713" s="31">
        <v>0</v>
      </c>
      <c r="M713" s="31">
        <v>0</v>
      </c>
      <c r="N713" s="31">
        <v>0</v>
      </c>
      <c r="O713" s="31">
        <v>0</v>
      </c>
      <c r="P713" s="31">
        <v>0</v>
      </c>
      <c r="Q713" s="31">
        <v>1</v>
      </c>
      <c r="R713" s="31">
        <v>0</v>
      </c>
      <c r="S713" s="31">
        <v>0</v>
      </c>
      <c r="T713" s="21" cm="1">
        <f t="array" aca="1" ref="T713" ca="1">+fair_value_gap(OFFSET(S712,0,0,-1*$I$5,-1*$Z$1),OFFSET(E712,0,0,-1*$I$5,1),F713:S713,0)</f>
        <v>17.81333303660017</v>
      </c>
      <c r="U713" s="7" cm="1">
        <f t="array" aca="1" ref="U713" ca="1">z_score_diff(OFFSET(T713,0,0,$I$5*-1,1),OFFSET(E713,0,0,$I$5*-1,1))</f>
        <v>6.2188398530078959E-2</v>
      </c>
      <c r="V713" s="7">
        <f t="shared" ca="1" si="707"/>
        <v>-0.10726233475492072</v>
      </c>
      <c r="W713" s="14">
        <f t="shared" ca="1" si="772"/>
        <v>1.3599432492764981E-2</v>
      </c>
      <c r="X713" s="10">
        <f t="shared" ref="X713:Y713" ca="1" si="775">+X712</f>
        <v>0</v>
      </c>
      <c r="Y713" s="10">
        <f t="shared" ca="1" si="775"/>
        <v>0</v>
      </c>
      <c r="Z713">
        <f t="shared" ca="1" si="709"/>
        <v>1</v>
      </c>
      <c r="AA713">
        <f t="shared" ca="1" si="710"/>
        <v>0</v>
      </c>
      <c r="AB713" s="19">
        <f t="shared" ca="1" si="711"/>
        <v>1.3599432492764981E-2</v>
      </c>
      <c r="AC713" s="19">
        <f t="shared" ca="1" si="712"/>
        <v>0</v>
      </c>
    </row>
    <row r="714" spans="3:29" x14ac:dyDescent="0.25">
      <c r="C714" s="4">
        <v>707</v>
      </c>
      <c r="D714" s="28">
        <v>43010</v>
      </c>
      <c r="E714" s="30">
        <v>17.632999999999999</v>
      </c>
      <c r="F714" s="30">
        <v>47.843137254901954</v>
      </c>
      <c r="G714" s="30">
        <v>6.9650468883205452</v>
      </c>
      <c r="H714" s="30">
        <v>76.17220801364023</v>
      </c>
      <c r="I714" s="8">
        <v>0</v>
      </c>
      <c r="J714" s="31">
        <v>0</v>
      </c>
      <c r="K714" s="31">
        <v>0</v>
      </c>
      <c r="L714" s="31">
        <v>0</v>
      </c>
      <c r="M714" s="31">
        <v>0</v>
      </c>
      <c r="N714" s="31">
        <v>0</v>
      </c>
      <c r="O714" s="31">
        <v>0</v>
      </c>
      <c r="P714" s="31">
        <v>0</v>
      </c>
      <c r="Q714" s="31">
        <v>0</v>
      </c>
      <c r="R714" s="31">
        <v>1</v>
      </c>
      <c r="S714" s="31">
        <v>0</v>
      </c>
      <c r="T714" s="21" cm="1">
        <f t="array" aca="1" ref="T714" ca="1">+fair_value_gap(OFFSET(S713,0,0,-1*$I$5,-1*$Z$1),OFFSET(E713,0,0,-1*$I$5,1),F714:S714,0)</f>
        <v>17.376296442452212</v>
      </c>
      <c r="U714" s="7" cm="1">
        <f t="array" aca="1" ref="U714" ca="1">z_score_diff(OFFSET(T714,0,0,$I$5*-1,1),OFFSET(E714,0,0,$I$5*-1,1))</f>
        <v>-0.32759907353352358</v>
      </c>
      <c r="V714" s="7">
        <f t="shared" ca="1" si="707"/>
        <v>-9.6725226961960425E-2</v>
      </c>
      <c r="W714" s="14">
        <f t="shared" ca="1" si="772"/>
        <v>-1.1916585322791023E-3</v>
      </c>
      <c r="X714" s="10">
        <f t="shared" ref="X714:Y714" ca="1" si="776">+X713</f>
        <v>0</v>
      </c>
      <c r="Y714" s="10">
        <f t="shared" ca="1" si="776"/>
        <v>0</v>
      </c>
      <c r="Z714">
        <f t="shared" ca="1" si="709"/>
        <v>1</v>
      </c>
      <c r="AA714">
        <f t="shared" ca="1" si="710"/>
        <v>0</v>
      </c>
      <c r="AB714" s="19">
        <f t="shared" ca="1" si="711"/>
        <v>-1.1916585322791023E-3</v>
      </c>
      <c r="AC714" s="19">
        <f t="shared" ca="1" si="712"/>
        <v>0</v>
      </c>
    </row>
    <row r="715" spans="3:29" x14ac:dyDescent="0.25">
      <c r="C715" s="4">
        <v>708</v>
      </c>
      <c r="D715" s="28">
        <v>43011</v>
      </c>
      <c r="E715" s="30">
        <v>17.927</v>
      </c>
      <c r="F715" s="30">
        <v>47.692045648100837</v>
      </c>
      <c r="G715" s="30">
        <v>6.9962527678419351</v>
      </c>
      <c r="H715" s="30">
        <v>76.818259240333859</v>
      </c>
      <c r="I715" s="8">
        <v>0</v>
      </c>
      <c r="J715" s="31">
        <v>0</v>
      </c>
      <c r="K715" s="31">
        <v>0</v>
      </c>
      <c r="L715" s="31">
        <v>0</v>
      </c>
      <c r="M715" s="31">
        <v>0</v>
      </c>
      <c r="N715" s="31">
        <v>0</v>
      </c>
      <c r="O715" s="31">
        <v>0</v>
      </c>
      <c r="P715" s="31">
        <v>0</v>
      </c>
      <c r="Q715" s="31">
        <v>0</v>
      </c>
      <c r="R715" s="31">
        <v>1</v>
      </c>
      <c r="S715" s="31">
        <v>0</v>
      </c>
      <c r="T715" s="21" cm="1">
        <f t="array" aca="1" ref="T715" ca="1">+fair_value_gap(OFFSET(S714,0,0,-1*$I$5,-1*$Z$1),OFFSET(E714,0,0,-1*$I$5,1),F715:S715,0)</f>
        <v>17.542903110759415</v>
      </c>
      <c r="U715" s="7" cm="1">
        <f t="array" aca="1" ref="U715" ca="1">z_score_diff(OFFSET(T715,0,0,$I$5*-1,1),OFFSET(E715,0,0,$I$5*-1,1))</f>
        <v>-0.40429752447317474</v>
      </c>
      <c r="V715" s="7">
        <f t="shared" ref="V715:V778" ca="1" si="777">+IF(ISERROR(AVERAGE(OFFSET(U715,0,0,$V$5*-1,1))),"",AVERAGE(OFFSET(U715,0,0,$V$5*-1,1)))</f>
        <v>-8.730460204693305E-2</v>
      </c>
      <c r="W715" s="14">
        <f t="shared" ca="1" si="772"/>
        <v>1.5717850840981078E-2</v>
      </c>
      <c r="X715" s="10">
        <f t="shared" ref="X715:Y715" ca="1" si="778">+X714</f>
        <v>0</v>
      </c>
      <c r="Y715" s="10">
        <f t="shared" ca="1" si="778"/>
        <v>0</v>
      </c>
      <c r="Z715">
        <f t="shared" ref="Z715:Z778" ca="1" si="779">+IF(V715="","",IF(V715&lt;X715,1,0))</f>
        <v>1</v>
      </c>
      <c r="AA715">
        <f t="shared" ref="AA715:AA778" ca="1" si="780">+IF(V715="","",IF(V715&gt;Y715,1,0))</f>
        <v>0</v>
      </c>
      <c r="AB715" s="19">
        <f t="shared" ref="AB715:AB778" ca="1" si="781">+IF(ISERROR(Z715*W715),"",Z715*W715)</f>
        <v>1.5717850840981078E-2</v>
      </c>
      <c r="AC715" s="19">
        <f t="shared" ref="AC715:AC778" ca="1" si="782">+IF(ISERROR(AA715*W715),"",AA715*W715)</f>
        <v>0</v>
      </c>
    </row>
    <row r="716" spans="3:29" x14ac:dyDescent="0.25">
      <c r="C716" s="4">
        <v>709</v>
      </c>
      <c r="D716" s="28">
        <v>43012</v>
      </c>
      <c r="E716" s="30">
        <v>17.957999999999998</v>
      </c>
      <c r="F716" s="30">
        <v>47.453014712135385</v>
      </c>
      <c r="G716" s="30">
        <v>6.9861382770643763</v>
      </c>
      <c r="H716" s="30">
        <v>76.96232672846331</v>
      </c>
      <c r="I716" s="8">
        <v>0</v>
      </c>
      <c r="J716" s="31">
        <v>0</v>
      </c>
      <c r="K716" s="31">
        <v>0</v>
      </c>
      <c r="L716" s="31">
        <v>0</v>
      </c>
      <c r="M716" s="31">
        <v>0</v>
      </c>
      <c r="N716" s="31">
        <v>0</v>
      </c>
      <c r="O716" s="31">
        <v>0</v>
      </c>
      <c r="P716" s="31">
        <v>0</v>
      </c>
      <c r="Q716" s="31">
        <v>0</v>
      </c>
      <c r="R716" s="31">
        <v>1</v>
      </c>
      <c r="S716" s="31">
        <v>0</v>
      </c>
      <c r="T716" s="21" cm="1">
        <f t="array" aca="1" ref="T716" ca="1">+fair_value_gap(OFFSET(S715,0,0,-1*$I$5,-1*$Z$1),OFFSET(E715,0,0,-1*$I$5,1),F716:S716,0)</f>
        <v>17.600297414258474</v>
      </c>
      <c r="U716" s="7" cm="1">
        <f t="array" aca="1" ref="U716" ca="1">z_score_diff(OFFSET(T716,0,0,$I$5*-1,1),OFFSET(E716,0,0,$I$5*-1,1))</f>
        <v>-0.38842602816274602</v>
      </c>
      <c r="V716" s="7">
        <f t="shared" ca="1" si="777"/>
        <v>-8.1781786666653949E-2</v>
      </c>
      <c r="W716" s="14">
        <f t="shared" ca="1" si="772"/>
        <v>2.626957675964503E-2</v>
      </c>
      <c r="X716" s="10">
        <f t="shared" ref="X716:Y716" ca="1" si="783">+X715</f>
        <v>0</v>
      </c>
      <c r="Y716" s="10">
        <f t="shared" ca="1" si="783"/>
        <v>0</v>
      </c>
      <c r="Z716">
        <f t="shared" ca="1" si="779"/>
        <v>1</v>
      </c>
      <c r="AA716">
        <f t="shared" ca="1" si="780"/>
        <v>0</v>
      </c>
      <c r="AB716" s="19">
        <f t="shared" ca="1" si="781"/>
        <v>2.626957675964503E-2</v>
      </c>
      <c r="AC716" s="19">
        <f t="shared" ca="1" si="782"/>
        <v>0</v>
      </c>
    </row>
    <row r="717" spans="3:29" x14ac:dyDescent="0.25">
      <c r="C717" s="4">
        <v>710</v>
      </c>
      <c r="D717" s="28">
        <v>43013</v>
      </c>
      <c r="E717" s="30">
        <v>18.079000000000001</v>
      </c>
      <c r="F717" s="30">
        <v>48.676345004269855</v>
      </c>
      <c r="G717" s="30">
        <v>7.0281810418445776</v>
      </c>
      <c r="H717" s="30">
        <v>77.540563620836892</v>
      </c>
      <c r="I717" s="8">
        <v>0</v>
      </c>
      <c r="J717" s="31">
        <v>0</v>
      </c>
      <c r="K717" s="31">
        <v>0</v>
      </c>
      <c r="L717" s="31">
        <v>0</v>
      </c>
      <c r="M717" s="31">
        <v>0</v>
      </c>
      <c r="N717" s="31">
        <v>0</v>
      </c>
      <c r="O717" s="31">
        <v>0</v>
      </c>
      <c r="P717" s="31">
        <v>0</v>
      </c>
      <c r="Q717" s="31">
        <v>0</v>
      </c>
      <c r="R717" s="31">
        <v>1</v>
      </c>
      <c r="S717" s="31">
        <v>0</v>
      </c>
      <c r="T717" s="21" cm="1">
        <f t="array" aca="1" ref="T717" ca="1">+fair_value_gap(OFFSET(S716,0,0,-1*$I$5,-1*$Z$1),OFFSET(E716,0,0,-1*$I$5,1),F717:S717,0)</f>
        <v>17.765610218809012</v>
      </c>
      <c r="U717" s="7" cm="1">
        <f t="array" aca="1" ref="U717" ca="1">z_score_diff(OFFSET(T717,0,0,$I$5*-1,1),OFFSET(E717,0,0,$I$5*-1,1))</f>
        <v>-0.36316023967410227</v>
      </c>
      <c r="V717" s="7">
        <f t="shared" ca="1" si="777"/>
        <v>-7.6723905434459727E-2</v>
      </c>
      <c r="W717" s="14">
        <f t="shared" ca="1" si="772"/>
        <v>2.0313326786658807E-2</v>
      </c>
      <c r="X717" s="10">
        <f t="shared" ref="X717:Y717" ca="1" si="784">+X716</f>
        <v>0</v>
      </c>
      <c r="Y717" s="10">
        <f t="shared" ca="1" si="784"/>
        <v>0</v>
      </c>
      <c r="Z717">
        <f t="shared" ca="1" si="779"/>
        <v>1</v>
      </c>
      <c r="AA717">
        <f t="shared" ca="1" si="780"/>
        <v>0</v>
      </c>
      <c r="AB717" s="19">
        <f t="shared" ca="1" si="781"/>
        <v>2.0313326786658807E-2</v>
      </c>
      <c r="AC717" s="19">
        <f t="shared" ca="1" si="782"/>
        <v>0</v>
      </c>
    </row>
    <row r="718" spans="3:29" x14ac:dyDescent="0.25">
      <c r="C718" s="4">
        <v>711</v>
      </c>
      <c r="D718" s="28">
        <v>43014</v>
      </c>
      <c r="E718" s="30">
        <v>18.048999999999999</v>
      </c>
      <c r="F718" s="30">
        <v>47.404755816926617</v>
      </c>
      <c r="G718" s="30">
        <v>7.0271882723941017</v>
      </c>
      <c r="H718" s="30">
        <v>76.621494928833215</v>
      </c>
      <c r="I718" s="8">
        <v>0</v>
      </c>
      <c r="J718" s="31">
        <v>0</v>
      </c>
      <c r="K718" s="31">
        <v>0</v>
      </c>
      <c r="L718" s="31">
        <v>0</v>
      </c>
      <c r="M718" s="31">
        <v>0</v>
      </c>
      <c r="N718" s="31">
        <v>0</v>
      </c>
      <c r="O718" s="31">
        <v>0</v>
      </c>
      <c r="P718" s="31">
        <v>0</v>
      </c>
      <c r="Q718" s="31">
        <v>0</v>
      </c>
      <c r="R718" s="31">
        <v>1</v>
      </c>
      <c r="S718" s="31">
        <v>0</v>
      </c>
      <c r="T718" s="21" cm="1">
        <f t="array" aca="1" ref="T718" ca="1">+fair_value_gap(OFFSET(S717,0,0,-1*$I$5,-1*$Z$1),OFFSET(E717,0,0,-1*$I$5,1),F718:S718,0)</f>
        <v>17.666341186003397</v>
      </c>
      <c r="U718" s="7" cm="1">
        <f t="array" aca="1" ref="U718" ca="1">z_score_diff(OFFSET(T718,0,0,$I$5*-1,1),OFFSET(E718,0,0,$I$5*-1,1))</f>
        <v>-0.39864171186860797</v>
      </c>
      <c r="V718" s="7">
        <f t="shared" ca="1" si="777"/>
        <v>-7.7207615269518887E-2</v>
      </c>
      <c r="W718" s="14">
        <f t="shared" ca="1" si="772"/>
        <v>9.1551488784159286E-3</v>
      </c>
      <c r="X718" s="10">
        <f t="shared" ref="X718:Y718" ca="1" si="785">+X717</f>
        <v>0</v>
      </c>
      <c r="Y718" s="10">
        <f t="shared" ca="1" si="785"/>
        <v>0</v>
      </c>
      <c r="Z718">
        <f t="shared" ca="1" si="779"/>
        <v>1</v>
      </c>
      <c r="AA718">
        <f t="shared" ca="1" si="780"/>
        <v>0</v>
      </c>
      <c r="AB718" s="19">
        <f t="shared" ca="1" si="781"/>
        <v>9.1551488784159286E-3</v>
      </c>
      <c r="AC718" s="19">
        <f t="shared" ca="1" si="782"/>
        <v>0</v>
      </c>
    </row>
    <row r="719" spans="3:29" x14ac:dyDescent="0.25">
      <c r="C719" s="4">
        <v>712</v>
      </c>
      <c r="D719" s="28">
        <v>43017</v>
      </c>
      <c r="E719" s="30">
        <v>18.227</v>
      </c>
      <c r="F719" s="30">
        <v>47.525342874180083</v>
      </c>
      <c r="G719" s="30">
        <v>7.0448930914047194</v>
      </c>
      <c r="H719" s="30">
        <v>76.624925462134769</v>
      </c>
      <c r="I719" s="8">
        <v>0</v>
      </c>
      <c r="J719" s="31">
        <v>0</v>
      </c>
      <c r="K719" s="31">
        <v>0</v>
      </c>
      <c r="L719" s="31">
        <v>0</v>
      </c>
      <c r="M719" s="31">
        <v>0</v>
      </c>
      <c r="N719" s="31">
        <v>0</v>
      </c>
      <c r="O719" s="31">
        <v>0</v>
      </c>
      <c r="P719" s="31">
        <v>0</v>
      </c>
      <c r="Q719" s="31">
        <v>0</v>
      </c>
      <c r="R719" s="31">
        <v>1</v>
      </c>
      <c r="S719" s="31">
        <v>0</v>
      </c>
      <c r="T719" s="21" cm="1">
        <f t="array" aca="1" ref="T719" ca="1">+fair_value_gap(OFFSET(S718,0,0,-1*$I$5,-1*$Z$1),OFFSET(E718,0,0,-1*$I$5,1),F719:S719,0)</f>
        <v>17.734206055626263</v>
      </c>
      <c r="U719" s="7" cm="1">
        <f t="array" aca="1" ref="U719" ca="1">z_score_diff(OFFSET(T719,0,0,$I$5*-1,1),OFFSET(E719,0,0,$I$5*-1,1))</f>
        <v>-0.46133109853550608</v>
      </c>
      <c r="V719" s="7">
        <f t="shared" ca="1" si="777"/>
        <v>-7.7268733461506034E-2</v>
      </c>
      <c r="W719" s="14">
        <f t="shared" ca="1" si="772"/>
        <v>3.3927154391033651E-2</v>
      </c>
      <c r="X719" s="10">
        <f t="shared" ref="X719:Y719" ca="1" si="786">+X718</f>
        <v>0</v>
      </c>
      <c r="Y719" s="10">
        <f t="shared" ca="1" si="786"/>
        <v>0</v>
      </c>
      <c r="Z719">
        <f t="shared" ca="1" si="779"/>
        <v>1</v>
      </c>
      <c r="AA719">
        <f t="shared" ca="1" si="780"/>
        <v>0</v>
      </c>
      <c r="AB719" s="19">
        <f t="shared" ca="1" si="781"/>
        <v>3.3927154391033651E-2</v>
      </c>
      <c r="AC719" s="19">
        <f t="shared" ca="1" si="782"/>
        <v>0</v>
      </c>
    </row>
    <row r="720" spans="3:29" x14ac:dyDescent="0.25">
      <c r="C720" s="4">
        <v>713</v>
      </c>
      <c r="D720" s="28">
        <v>43018</v>
      </c>
      <c r="E720" s="30">
        <v>18.100000000000001</v>
      </c>
      <c r="F720" s="30">
        <v>47.95019481619515</v>
      </c>
      <c r="G720" s="30">
        <v>7.0049127562256475</v>
      </c>
      <c r="H720" s="30">
        <v>76.190072844316447</v>
      </c>
      <c r="I720" s="8">
        <v>0</v>
      </c>
      <c r="J720" s="31">
        <v>0</v>
      </c>
      <c r="K720" s="31">
        <v>0</v>
      </c>
      <c r="L720" s="31">
        <v>0</v>
      </c>
      <c r="M720" s="31">
        <v>0</v>
      </c>
      <c r="N720" s="31">
        <v>0</v>
      </c>
      <c r="O720" s="31">
        <v>0</v>
      </c>
      <c r="P720" s="31">
        <v>0</v>
      </c>
      <c r="Q720" s="31">
        <v>0</v>
      </c>
      <c r="R720" s="31">
        <v>1</v>
      </c>
      <c r="S720" s="31">
        <v>0</v>
      </c>
      <c r="T720" s="21" cm="1">
        <f t="array" aca="1" ref="T720" ca="1">+fair_value_gap(OFFSET(S719,0,0,-1*$I$5,-1*$Z$1),OFFSET(E719,0,0,-1*$I$5,1),F720:S720,0)</f>
        <v>17.703605997380677</v>
      </c>
      <c r="U720" s="7" cm="1">
        <f t="array" aca="1" ref="U720" ca="1">z_score_diff(OFFSET(T720,0,0,$I$5*-1,1),OFFSET(E720,0,0,$I$5*-1,1))</f>
        <v>-0.40180281606581686</v>
      </c>
      <c r="V720" s="7">
        <f t="shared" ca="1" si="777"/>
        <v>-7.8419199108282905E-2</v>
      </c>
      <c r="W720" s="14">
        <f t="shared" ca="1" si="772"/>
        <v>6.0039465270366139E-2</v>
      </c>
      <c r="X720" s="10">
        <f t="shared" ref="X720:Y720" ca="1" si="787">+X719</f>
        <v>0</v>
      </c>
      <c r="Y720" s="10">
        <f t="shared" ca="1" si="787"/>
        <v>0</v>
      </c>
      <c r="Z720">
        <f t="shared" ca="1" si="779"/>
        <v>1</v>
      </c>
      <c r="AA720">
        <f t="shared" ca="1" si="780"/>
        <v>0</v>
      </c>
      <c r="AB720" s="19">
        <f t="shared" ca="1" si="781"/>
        <v>6.0039465270366139E-2</v>
      </c>
      <c r="AC720" s="19">
        <f t="shared" ca="1" si="782"/>
        <v>0</v>
      </c>
    </row>
    <row r="721" spans="3:29" x14ac:dyDescent="0.25">
      <c r="C721" s="4">
        <v>714</v>
      </c>
      <c r="D721" s="28">
        <v>43019</v>
      </c>
      <c r="E721" s="30">
        <v>18.038</v>
      </c>
      <c r="F721" s="30">
        <v>48.02226532849793</v>
      </c>
      <c r="G721" s="30">
        <v>6.9747828287087792</v>
      </c>
      <c r="H721" s="30">
        <v>76.410559163363416</v>
      </c>
      <c r="I721" s="8">
        <v>0</v>
      </c>
      <c r="J721" s="31">
        <v>0</v>
      </c>
      <c r="K721" s="31">
        <v>0</v>
      </c>
      <c r="L721" s="31">
        <v>0</v>
      </c>
      <c r="M721" s="31">
        <v>0</v>
      </c>
      <c r="N721" s="31">
        <v>0</v>
      </c>
      <c r="O721" s="31">
        <v>0</v>
      </c>
      <c r="P721" s="31">
        <v>0</v>
      </c>
      <c r="Q721" s="31">
        <v>0</v>
      </c>
      <c r="R721" s="31">
        <v>1</v>
      </c>
      <c r="S721" s="31">
        <v>0</v>
      </c>
      <c r="T721" s="21" cm="1">
        <f t="array" aca="1" ref="T721" ca="1">+fair_value_gap(OFFSET(S720,0,0,-1*$I$5,-1*$Z$1),OFFSET(E720,0,0,-1*$I$5,1),F721:S721,0)</f>
        <v>17.763249651654942</v>
      </c>
      <c r="U721" s="7" cm="1">
        <f t="array" aca="1" ref="U721" ca="1">z_score_diff(OFFSET(T721,0,0,$I$5*-1,1),OFFSET(E721,0,0,$I$5*-1,1))</f>
        <v>-0.32903727917131043</v>
      </c>
      <c r="V721" s="7">
        <f t="shared" ca="1" si="777"/>
        <v>-8.2187550073986329E-2</v>
      </c>
      <c r="W721" s="14">
        <f t="shared" ca="1" si="772"/>
        <v>6.5082363692971684E-2</v>
      </c>
      <c r="X721" s="10">
        <f t="shared" ref="X721:Y721" ca="1" si="788">+X720</f>
        <v>0</v>
      </c>
      <c r="Y721" s="10">
        <f t="shared" ca="1" si="788"/>
        <v>0</v>
      </c>
      <c r="Z721">
        <f t="shared" ca="1" si="779"/>
        <v>1</v>
      </c>
      <c r="AA721">
        <f t="shared" ca="1" si="780"/>
        <v>0</v>
      </c>
      <c r="AB721" s="19">
        <f t="shared" ca="1" si="781"/>
        <v>6.5082363692971684E-2</v>
      </c>
      <c r="AC721" s="19">
        <f t="shared" ca="1" si="782"/>
        <v>0</v>
      </c>
    </row>
    <row r="722" spans="3:29" x14ac:dyDescent="0.25">
      <c r="C722" s="4">
        <v>715</v>
      </c>
      <c r="D722" s="28">
        <v>43020</v>
      </c>
      <c r="E722" s="30">
        <v>17.872</v>
      </c>
      <c r="F722" s="30">
        <v>47.552624904894749</v>
      </c>
      <c r="G722" s="30">
        <v>6.9912925860174138</v>
      </c>
      <c r="H722" s="30">
        <v>76.97184884605629</v>
      </c>
      <c r="I722" s="8">
        <v>0</v>
      </c>
      <c r="J722" s="31">
        <v>0</v>
      </c>
      <c r="K722" s="31">
        <v>0</v>
      </c>
      <c r="L722" s="31">
        <v>0</v>
      </c>
      <c r="M722" s="31">
        <v>0</v>
      </c>
      <c r="N722" s="31">
        <v>0</v>
      </c>
      <c r="O722" s="31">
        <v>0</v>
      </c>
      <c r="P722" s="31">
        <v>0</v>
      </c>
      <c r="Q722" s="31">
        <v>0</v>
      </c>
      <c r="R722" s="31">
        <v>1</v>
      </c>
      <c r="S722" s="31">
        <v>0</v>
      </c>
      <c r="T722" s="21" cm="1">
        <f t="array" aca="1" ref="T722" ca="1">+fair_value_gap(OFFSET(S721,0,0,-1*$I$5,-1*$Z$1),OFFSET(E721,0,0,-1*$I$5,1),F722:S722,0)</f>
        <v>17.920353034929601</v>
      </c>
      <c r="U722" s="7" cm="1">
        <f t="array" aca="1" ref="U722" ca="1">z_score_diff(OFFSET(T722,0,0,$I$5*-1,1),OFFSET(E722,0,0,$I$5*-1,1))</f>
        <v>-0.14375973432696043</v>
      </c>
      <c r="V722" s="7">
        <f t="shared" ca="1" si="777"/>
        <v>-7.1204833954581728E-2</v>
      </c>
      <c r="W722" s="14">
        <f t="shared" ca="1" si="772"/>
        <v>8.2965228621108181E-2</v>
      </c>
      <c r="X722" s="10">
        <f t="shared" ref="X722:Y722" ca="1" si="789">+X721</f>
        <v>0</v>
      </c>
      <c r="Y722" s="10">
        <f t="shared" ca="1" si="789"/>
        <v>0</v>
      </c>
      <c r="Z722">
        <f t="shared" ca="1" si="779"/>
        <v>1</v>
      </c>
      <c r="AA722">
        <f t="shared" ca="1" si="780"/>
        <v>0</v>
      </c>
      <c r="AB722" s="19">
        <f t="shared" ca="1" si="781"/>
        <v>8.2965228621108181E-2</v>
      </c>
      <c r="AC722" s="19">
        <f t="shared" ca="1" si="782"/>
        <v>0</v>
      </c>
    </row>
    <row r="723" spans="3:29" x14ac:dyDescent="0.25">
      <c r="C723" s="4">
        <v>716</v>
      </c>
      <c r="D723" s="28">
        <v>43021</v>
      </c>
      <c r="E723" s="30">
        <v>17.940000000000001</v>
      </c>
      <c r="F723" s="30">
        <v>48.358991710370503</v>
      </c>
      <c r="G723" s="30">
        <v>6.9954322449670112</v>
      </c>
      <c r="H723" s="30">
        <v>77.017425139570292</v>
      </c>
      <c r="I723" s="8">
        <v>0</v>
      </c>
      <c r="J723" s="31">
        <v>0</v>
      </c>
      <c r="K723" s="31">
        <v>0</v>
      </c>
      <c r="L723" s="31">
        <v>0</v>
      </c>
      <c r="M723" s="31">
        <v>0</v>
      </c>
      <c r="N723" s="31">
        <v>0</v>
      </c>
      <c r="O723" s="31">
        <v>0</v>
      </c>
      <c r="P723" s="31">
        <v>0</v>
      </c>
      <c r="Q723" s="31">
        <v>0</v>
      </c>
      <c r="R723" s="31">
        <v>1</v>
      </c>
      <c r="S723" s="31">
        <v>0</v>
      </c>
      <c r="T723" s="21" cm="1">
        <f t="array" aca="1" ref="T723" ca="1">+fair_value_gap(OFFSET(S722,0,0,-1*$I$5,-1*$Z$1),OFFSET(E722,0,0,-1*$I$5,1),F723:S723,0)</f>
        <v>17.947753520234542</v>
      </c>
      <c r="U723" s="7" cm="1">
        <f t="array" aca="1" ref="U723" ca="1">z_score_diff(OFFSET(T723,0,0,$I$5*-1,1),OFFSET(E723,0,0,$I$5*-1,1))</f>
        <v>-0.16867910740486319</v>
      </c>
      <c r="V723" s="7">
        <f t="shared" ca="1" si="777"/>
        <v>-6.7853496944289285E-2</v>
      </c>
      <c r="W723" s="14">
        <f t="shared" ca="1" si="772"/>
        <v>9.0178967285961809E-2</v>
      </c>
      <c r="X723" s="10">
        <f t="shared" ref="X723:Y723" ca="1" si="790">+X722</f>
        <v>0</v>
      </c>
      <c r="Y723" s="10">
        <f t="shared" ca="1" si="790"/>
        <v>0</v>
      </c>
      <c r="Z723">
        <f t="shared" ca="1" si="779"/>
        <v>1</v>
      </c>
      <c r="AA723">
        <f t="shared" ca="1" si="780"/>
        <v>0</v>
      </c>
      <c r="AB723" s="19">
        <f t="shared" ca="1" si="781"/>
        <v>9.0178967285961809E-2</v>
      </c>
      <c r="AC723" s="19">
        <f t="shared" ca="1" si="782"/>
        <v>0</v>
      </c>
    </row>
    <row r="724" spans="3:29" x14ac:dyDescent="0.25">
      <c r="C724" s="4">
        <v>717</v>
      </c>
      <c r="D724" s="28">
        <v>43024</v>
      </c>
      <c r="E724" s="30">
        <v>18.131</v>
      </c>
      <c r="F724" s="30">
        <v>49.020771513353118</v>
      </c>
      <c r="G724" s="30">
        <v>7.587961000423908</v>
      </c>
      <c r="H724" s="30">
        <v>77.829588808817292</v>
      </c>
      <c r="I724" s="8">
        <v>0</v>
      </c>
      <c r="J724" s="31">
        <v>0</v>
      </c>
      <c r="K724" s="31">
        <v>0</v>
      </c>
      <c r="L724" s="31">
        <v>0</v>
      </c>
      <c r="M724" s="31">
        <v>0</v>
      </c>
      <c r="N724" s="31">
        <v>0</v>
      </c>
      <c r="O724" s="31">
        <v>0</v>
      </c>
      <c r="P724" s="31">
        <v>0</v>
      </c>
      <c r="Q724" s="31">
        <v>0</v>
      </c>
      <c r="R724" s="31">
        <v>1</v>
      </c>
      <c r="S724" s="31">
        <v>0</v>
      </c>
      <c r="T724" s="21" cm="1">
        <f t="array" aca="1" ref="T724" ca="1">+fair_value_gap(OFFSET(S723,0,0,-1*$I$5,-1*$Z$1),OFFSET(E723,0,0,-1*$I$5,1),F724:S724,0)</f>
        <v>18.425531238174578</v>
      </c>
      <c r="U724" s="7" cm="1">
        <f t="array" aca="1" ref="U724" ca="1">z_score_diff(OFFSET(T724,0,0,$I$5*-1,1),OFFSET(E724,0,0,$I$5*-1,1))</f>
        <v>-1.260291329475427E-2</v>
      </c>
      <c r="V724" s="7">
        <f t="shared" ca="1" si="777"/>
        <v>-8.3264014951902249E-2</v>
      </c>
      <c r="W724" s="14">
        <f t="shared" ca="1" si="772"/>
        <v>8.9824873522621737E-2</v>
      </c>
      <c r="X724" s="10">
        <f t="shared" ref="X724:Y724" ca="1" si="791">+X723</f>
        <v>0</v>
      </c>
      <c r="Y724" s="10">
        <f t="shared" ca="1" si="791"/>
        <v>0</v>
      </c>
      <c r="Z724">
        <f t="shared" ca="1" si="779"/>
        <v>1</v>
      </c>
      <c r="AA724">
        <f t="shared" ca="1" si="780"/>
        <v>0</v>
      </c>
      <c r="AB724" s="19">
        <f t="shared" ca="1" si="781"/>
        <v>8.9824873522621737E-2</v>
      </c>
      <c r="AC724" s="19">
        <f t="shared" ca="1" si="782"/>
        <v>0</v>
      </c>
    </row>
    <row r="725" spans="3:29" x14ac:dyDescent="0.25">
      <c r="C725" s="4">
        <v>718</v>
      </c>
      <c r="D725" s="28">
        <v>43025</v>
      </c>
      <c r="E725" s="30">
        <v>18.082000000000001</v>
      </c>
      <c r="F725" s="30">
        <v>49.192588815230323</v>
      </c>
      <c r="G725" s="30">
        <v>7.6066632670406245</v>
      </c>
      <c r="H725" s="30">
        <v>78.191398946115925</v>
      </c>
      <c r="I725" s="8">
        <v>0</v>
      </c>
      <c r="J725" s="31">
        <v>0</v>
      </c>
      <c r="K725" s="31">
        <v>0</v>
      </c>
      <c r="L725" s="31">
        <v>0</v>
      </c>
      <c r="M725" s="31">
        <v>0</v>
      </c>
      <c r="N725" s="31">
        <v>0</v>
      </c>
      <c r="O725" s="31">
        <v>0</v>
      </c>
      <c r="P725" s="31">
        <v>0</v>
      </c>
      <c r="Q725" s="31">
        <v>0</v>
      </c>
      <c r="R725" s="31">
        <v>1</v>
      </c>
      <c r="S725" s="31">
        <v>0</v>
      </c>
      <c r="T725" s="21" cm="1">
        <f t="array" aca="1" ref="T725" ca="1">+fair_value_gap(OFFSET(S724,0,0,-1*$I$5,-1*$Z$1),OFFSET(E724,0,0,-1*$I$5,1),F725:S725,0)</f>
        <v>18.482452647973542</v>
      </c>
      <c r="U725" s="7" cm="1">
        <f t="array" aca="1" ref="U725" ca="1">z_score_diff(OFFSET(T725,0,0,$I$5*-1,1),OFFSET(E725,0,0,$I$5*-1,1))</f>
        <v>4.649081109311648E-2</v>
      </c>
      <c r="V725" s="7">
        <f t="shared" ca="1" si="777"/>
        <v>-9.4144890670531958E-2</v>
      </c>
      <c r="W725" s="14">
        <f t="shared" ca="1" si="772"/>
        <v>6.2594092418618449E-2</v>
      </c>
      <c r="X725" s="10">
        <f t="shared" ref="X725:Y725" ca="1" si="792">+X724</f>
        <v>0</v>
      </c>
      <c r="Y725" s="10">
        <f t="shared" ca="1" si="792"/>
        <v>0</v>
      </c>
      <c r="Z725">
        <f t="shared" ca="1" si="779"/>
        <v>1</v>
      </c>
      <c r="AA725">
        <f t="shared" ca="1" si="780"/>
        <v>0</v>
      </c>
      <c r="AB725" s="19">
        <f t="shared" ca="1" si="781"/>
        <v>6.2594092418618449E-2</v>
      </c>
      <c r="AC725" s="19">
        <f t="shared" ca="1" si="782"/>
        <v>0</v>
      </c>
    </row>
    <row r="726" spans="3:29" x14ac:dyDescent="0.25">
      <c r="C726" s="4">
        <v>719</v>
      </c>
      <c r="D726" s="28">
        <v>43026</v>
      </c>
      <c r="E726" s="30">
        <v>18.305</v>
      </c>
      <c r="F726" s="30">
        <v>49.33401204717061</v>
      </c>
      <c r="G726" s="30">
        <v>7.5931110545516232</v>
      </c>
      <c r="H726" s="30">
        <v>77.755153983201836</v>
      </c>
      <c r="I726" s="8">
        <v>0</v>
      </c>
      <c r="J726" s="31">
        <v>0</v>
      </c>
      <c r="K726" s="31">
        <v>0</v>
      </c>
      <c r="L726" s="31">
        <v>0</v>
      </c>
      <c r="M726" s="31">
        <v>0</v>
      </c>
      <c r="N726" s="31">
        <v>0</v>
      </c>
      <c r="O726" s="31">
        <v>0</v>
      </c>
      <c r="P726" s="31">
        <v>0</v>
      </c>
      <c r="Q726" s="31">
        <v>0</v>
      </c>
      <c r="R726" s="31">
        <v>1</v>
      </c>
      <c r="S726" s="31">
        <v>0</v>
      </c>
      <c r="T726" s="21" cm="1">
        <f t="array" aca="1" ref="T726" ca="1">+fair_value_gap(OFFSET(S725,0,0,-1*$I$5,-1*$Z$1),OFFSET(E725,0,0,-1*$I$5,1),F726:S726,0)</f>
        <v>18.374174343769099</v>
      </c>
      <c r="U726" s="7" cm="1">
        <f t="array" aca="1" ref="U726" ca="1">z_score_diff(OFFSET(T726,0,0,$I$5*-1,1),OFFSET(E726,0,0,$I$5*-1,1))</f>
        <v>-0.14343105570327597</v>
      </c>
      <c r="V726" s="7">
        <f t="shared" ca="1" si="777"/>
        <v>-0.1234848803745687</v>
      </c>
      <c r="W726" s="14">
        <f t="shared" ca="1" si="772"/>
        <v>3.1723090229252855E-2</v>
      </c>
      <c r="X726" s="10">
        <f t="shared" ref="X726:Y726" ca="1" si="793">+X725</f>
        <v>0</v>
      </c>
      <c r="Y726" s="10">
        <f t="shared" ca="1" si="793"/>
        <v>0</v>
      </c>
      <c r="Z726">
        <f t="shared" ca="1" si="779"/>
        <v>1</v>
      </c>
      <c r="AA726">
        <f t="shared" ca="1" si="780"/>
        <v>0</v>
      </c>
      <c r="AB726" s="19">
        <f t="shared" ca="1" si="781"/>
        <v>3.1723090229252855E-2</v>
      </c>
      <c r="AC726" s="19">
        <f t="shared" ca="1" si="782"/>
        <v>0</v>
      </c>
    </row>
    <row r="727" spans="3:29" x14ac:dyDescent="0.25">
      <c r="C727" s="4">
        <v>720</v>
      </c>
      <c r="D727" s="28">
        <v>43027</v>
      </c>
      <c r="E727" s="30">
        <v>18.100000000000001</v>
      </c>
      <c r="F727" s="30">
        <v>48.295358649789023</v>
      </c>
      <c r="G727" s="30">
        <v>7.514767932489451</v>
      </c>
      <c r="H727" s="30">
        <v>76.919831223628691</v>
      </c>
      <c r="I727" s="8">
        <v>0</v>
      </c>
      <c r="J727" s="31">
        <v>0</v>
      </c>
      <c r="K727" s="31">
        <v>0</v>
      </c>
      <c r="L727" s="31">
        <v>0</v>
      </c>
      <c r="M727" s="31">
        <v>0</v>
      </c>
      <c r="N727" s="31">
        <v>0</v>
      </c>
      <c r="O727" s="31">
        <v>0</v>
      </c>
      <c r="P727" s="31">
        <v>0</v>
      </c>
      <c r="Q727" s="31">
        <v>0</v>
      </c>
      <c r="R727" s="31">
        <v>1</v>
      </c>
      <c r="S727" s="31">
        <v>0</v>
      </c>
      <c r="T727" s="21" cm="1">
        <f t="array" aca="1" ref="T727" ca="1">+fair_value_gap(OFFSET(S726,0,0,-1*$I$5,-1*$Z$1),OFFSET(E726,0,0,-1*$I$5,1),F727:S727,0)</f>
        <v>18.182485636017795</v>
      </c>
      <c r="U727" s="7" cm="1">
        <f t="array" aca="1" ref="U727" ca="1">z_score_diff(OFFSET(T727,0,0,$I$5*-1,1),OFFSET(E727,0,0,$I$5*-1,1))</f>
        <v>-0.13058094263351261</v>
      </c>
      <c r="V727" s="7">
        <f t="shared" ca="1" si="777"/>
        <v>-0.14923064521113855</v>
      </c>
      <c r="W727" s="14">
        <f t="shared" ca="1" si="772"/>
        <v>5.8216785427135431E-2</v>
      </c>
      <c r="X727" s="10">
        <f t="shared" ref="X727:Y727" ca="1" si="794">+X726</f>
        <v>0</v>
      </c>
      <c r="Y727" s="10">
        <f t="shared" ca="1" si="794"/>
        <v>0</v>
      </c>
      <c r="Z727">
        <f t="shared" ca="1" si="779"/>
        <v>1</v>
      </c>
      <c r="AA727">
        <f t="shared" ca="1" si="780"/>
        <v>0</v>
      </c>
      <c r="AB727" s="19">
        <f t="shared" ca="1" si="781"/>
        <v>5.8216785427135431E-2</v>
      </c>
      <c r="AC727" s="19">
        <f t="shared" ca="1" si="782"/>
        <v>0</v>
      </c>
    </row>
    <row r="728" spans="3:29" x14ac:dyDescent="0.25">
      <c r="C728" s="4">
        <v>721</v>
      </c>
      <c r="D728" s="28">
        <v>43028</v>
      </c>
      <c r="E728" s="30">
        <v>17.768999999999998</v>
      </c>
      <c r="F728" s="30">
        <v>49.011287448018336</v>
      </c>
      <c r="G728" s="30">
        <v>7.519307476873462</v>
      </c>
      <c r="H728" s="30">
        <v>77.357209539166604</v>
      </c>
      <c r="I728" s="8">
        <v>0</v>
      </c>
      <c r="J728" s="31">
        <v>0</v>
      </c>
      <c r="K728" s="31">
        <v>0</v>
      </c>
      <c r="L728" s="31">
        <v>0</v>
      </c>
      <c r="M728" s="31">
        <v>0</v>
      </c>
      <c r="N728" s="31">
        <v>0</v>
      </c>
      <c r="O728" s="31">
        <v>0</v>
      </c>
      <c r="P728" s="31">
        <v>0</v>
      </c>
      <c r="Q728" s="31">
        <v>0</v>
      </c>
      <c r="R728" s="31">
        <v>1</v>
      </c>
      <c r="S728" s="31">
        <v>0</v>
      </c>
      <c r="T728" s="21" cm="1">
        <f t="array" aca="1" ref="T728" ca="1">+fair_value_gap(OFFSET(S727,0,0,-1*$I$5,-1*$Z$1),OFFSET(E727,0,0,-1*$I$5,1),F728:S728,0)</f>
        <v>18.300767430539437</v>
      </c>
      <c r="U728" s="7" cm="1">
        <f t="array" aca="1" ref="U728" ca="1">z_score_diff(OFFSET(T728,0,0,$I$5*-1,1),OFFSET(E728,0,0,$I$5*-1,1))</f>
        <v>0.13530117265894048</v>
      </c>
      <c r="V728" s="7">
        <f t="shared" ca="1" si="777"/>
        <v>-0.16335397189253609</v>
      </c>
      <c r="W728" s="14">
        <f t="shared" ca="1" si="772"/>
        <v>5.9057547931082185E-2</v>
      </c>
      <c r="X728" s="10">
        <f t="shared" ref="X728:Y728" ca="1" si="795">+X727</f>
        <v>0</v>
      </c>
      <c r="Y728" s="10">
        <f t="shared" ca="1" si="795"/>
        <v>0</v>
      </c>
      <c r="Z728">
        <f t="shared" ca="1" si="779"/>
        <v>1</v>
      </c>
      <c r="AA728">
        <f t="shared" ca="1" si="780"/>
        <v>0</v>
      </c>
      <c r="AB728" s="19">
        <f t="shared" ca="1" si="781"/>
        <v>5.9057547931082185E-2</v>
      </c>
      <c r="AC728" s="19">
        <f t="shared" ca="1" si="782"/>
        <v>0</v>
      </c>
    </row>
    <row r="729" spans="3:29" x14ac:dyDescent="0.25">
      <c r="C729" s="4">
        <v>722</v>
      </c>
      <c r="D729" s="28">
        <v>43031</v>
      </c>
      <c r="E729" s="30">
        <v>17.722999999999999</v>
      </c>
      <c r="F729" s="30">
        <v>48.838001191793644</v>
      </c>
      <c r="G729" s="30">
        <v>7.5082999914871884</v>
      </c>
      <c r="H729" s="30">
        <v>77.381459095939391</v>
      </c>
      <c r="I729" s="8">
        <v>0</v>
      </c>
      <c r="J729" s="31">
        <v>0</v>
      </c>
      <c r="K729" s="31">
        <v>0</v>
      </c>
      <c r="L729" s="31">
        <v>0</v>
      </c>
      <c r="M729" s="31">
        <v>0</v>
      </c>
      <c r="N729" s="31">
        <v>0</v>
      </c>
      <c r="O729" s="31">
        <v>0</v>
      </c>
      <c r="P729" s="31">
        <v>0</v>
      </c>
      <c r="Q729" s="31">
        <v>0</v>
      </c>
      <c r="R729" s="31">
        <v>1</v>
      </c>
      <c r="S729" s="31">
        <v>0</v>
      </c>
      <c r="T729" s="21" cm="1">
        <f t="array" aca="1" ref="T729" ca="1">+fair_value_gap(OFFSET(S728,0,0,-1*$I$5,-1*$Z$1),OFFSET(E728,0,0,-1*$I$5,1),F729:S729,0)</f>
        <v>18.261386863703333</v>
      </c>
      <c r="U729" s="7" cm="1">
        <f t="array" aca="1" ref="U729" ca="1">z_score_diff(OFFSET(T729,0,0,$I$5*-1,1),OFFSET(E729,0,0,$I$5*-1,1))</f>
        <v>0.13777137579002008</v>
      </c>
      <c r="V729" s="7">
        <f t="shared" ca="1" si="777"/>
        <v>-0.16149793340617738</v>
      </c>
      <c r="W729" s="14">
        <f t="shared" ca="1" si="772"/>
        <v>8.9842663875865411E-2</v>
      </c>
      <c r="X729" s="10">
        <f t="shared" ref="X729:Y729" ca="1" si="796">+X728</f>
        <v>0</v>
      </c>
      <c r="Y729" s="10">
        <f t="shared" ca="1" si="796"/>
        <v>0</v>
      </c>
      <c r="Z729">
        <f t="shared" ca="1" si="779"/>
        <v>1</v>
      </c>
      <c r="AA729">
        <f t="shared" ca="1" si="780"/>
        <v>0</v>
      </c>
      <c r="AB729" s="19">
        <f t="shared" ca="1" si="781"/>
        <v>8.9842663875865411E-2</v>
      </c>
      <c r="AC729" s="19">
        <f t="shared" ca="1" si="782"/>
        <v>0</v>
      </c>
    </row>
    <row r="730" spans="3:29" x14ac:dyDescent="0.25">
      <c r="C730" s="4">
        <v>723</v>
      </c>
      <c r="D730" s="28">
        <v>43032</v>
      </c>
      <c r="E730" s="30">
        <v>17.573</v>
      </c>
      <c r="F730" s="30">
        <v>49.604558210732208</v>
      </c>
      <c r="G730" s="30">
        <v>7.5006378093375297</v>
      </c>
      <c r="H730" s="30">
        <v>77.600136065992004</v>
      </c>
      <c r="I730" s="8">
        <v>0</v>
      </c>
      <c r="J730" s="31">
        <v>0</v>
      </c>
      <c r="K730" s="31">
        <v>0</v>
      </c>
      <c r="L730" s="31">
        <v>0</v>
      </c>
      <c r="M730" s="31">
        <v>0</v>
      </c>
      <c r="N730" s="31">
        <v>0</v>
      </c>
      <c r="O730" s="31">
        <v>0</v>
      </c>
      <c r="P730" s="31">
        <v>0</v>
      </c>
      <c r="Q730" s="31">
        <v>0</v>
      </c>
      <c r="R730" s="31">
        <v>1</v>
      </c>
      <c r="S730" s="31">
        <v>0</v>
      </c>
      <c r="T730" s="21" cm="1">
        <f t="array" aca="1" ref="T730" ca="1">+fair_value_gap(OFFSET(S729,0,0,-1*$I$5,-1*$Z$1),OFFSET(E729,0,0,-1*$I$5,1),F730:S730,0)</f>
        <v>18.265164488172466</v>
      </c>
      <c r="U730" s="7" cm="1">
        <f t="array" aca="1" ref="U730" ca="1">z_score_diff(OFFSET(T730,0,0,$I$5*-1,1),OFFSET(E730,0,0,$I$5*-1,1))</f>
        <v>0.2255199949118164</v>
      </c>
      <c r="V730" s="7">
        <f t="shared" ca="1" si="777"/>
        <v>-0.15581554396822131</v>
      </c>
      <c r="W730" s="14">
        <f t="shared" ca="1" si="772"/>
        <v>0.11658730597654872</v>
      </c>
      <c r="X730" s="10">
        <f t="shared" ref="X730:Y730" ca="1" si="797">+X729</f>
        <v>0</v>
      </c>
      <c r="Y730" s="10">
        <f t="shared" ca="1" si="797"/>
        <v>0</v>
      </c>
      <c r="Z730">
        <f t="shared" ca="1" si="779"/>
        <v>1</v>
      </c>
      <c r="AA730">
        <f t="shared" ca="1" si="780"/>
        <v>0</v>
      </c>
      <c r="AB730" s="19">
        <f t="shared" ca="1" si="781"/>
        <v>0.11658730597654872</v>
      </c>
      <c r="AC730" s="19">
        <f t="shared" ca="1" si="782"/>
        <v>0</v>
      </c>
    </row>
    <row r="731" spans="3:29" x14ac:dyDescent="0.25">
      <c r="C731" s="4">
        <v>724</v>
      </c>
      <c r="D731" s="28">
        <v>43033</v>
      </c>
      <c r="E731" s="30">
        <v>17.73</v>
      </c>
      <c r="F731" s="30">
        <v>49.475110057568571</v>
      </c>
      <c r="G731" s="30">
        <v>7.437351845580765</v>
      </c>
      <c r="H731" s="30">
        <v>77.167287504232988</v>
      </c>
      <c r="I731" s="8">
        <v>0</v>
      </c>
      <c r="J731" s="31">
        <v>0</v>
      </c>
      <c r="K731" s="31">
        <v>0</v>
      </c>
      <c r="L731" s="31">
        <v>0</v>
      </c>
      <c r="M731" s="31">
        <v>0</v>
      </c>
      <c r="N731" s="31">
        <v>0</v>
      </c>
      <c r="O731" s="31">
        <v>0</v>
      </c>
      <c r="P731" s="31">
        <v>0</v>
      </c>
      <c r="Q731" s="31">
        <v>0</v>
      </c>
      <c r="R731" s="31">
        <v>1</v>
      </c>
      <c r="S731" s="31">
        <v>0</v>
      </c>
      <c r="T731" s="21" cm="1">
        <f t="array" aca="1" ref="T731" ca="1">+fair_value_gap(OFFSET(S730,0,0,-1*$I$5,-1*$Z$1),OFFSET(E730,0,0,-1*$I$5,1),F731:S731,0)</f>
        <v>18.119793686376823</v>
      </c>
      <c r="U731" s="7" cm="1">
        <f t="array" aca="1" ref="U731" ca="1">z_score_diff(OFFSET(T731,0,0,$I$5*-1,1),OFFSET(E731,0,0,$I$5*-1,1))</f>
        <v>5.2758834905670571E-2</v>
      </c>
      <c r="V731" s="7">
        <f t="shared" ca="1" si="777"/>
        <v>-0.15440556848657522</v>
      </c>
      <c r="W731" s="14">
        <f t="shared" ca="1" si="772"/>
        <v>9.965901375395439E-2</v>
      </c>
      <c r="X731" s="10">
        <f t="shared" ref="X731:Y731" ca="1" si="798">+X730</f>
        <v>0</v>
      </c>
      <c r="Y731" s="10">
        <f t="shared" ca="1" si="798"/>
        <v>0</v>
      </c>
      <c r="Z731">
        <f t="shared" ca="1" si="779"/>
        <v>1</v>
      </c>
      <c r="AA731">
        <f t="shared" ca="1" si="780"/>
        <v>0</v>
      </c>
      <c r="AB731" s="19">
        <f t="shared" ca="1" si="781"/>
        <v>9.965901375395439E-2</v>
      </c>
      <c r="AC731" s="19">
        <f t="shared" ca="1" si="782"/>
        <v>0</v>
      </c>
    </row>
    <row r="732" spans="3:29" x14ac:dyDescent="0.25">
      <c r="C732" s="4">
        <v>725</v>
      </c>
      <c r="D732" s="28">
        <v>43034</v>
      </c>
      <c r="E732" s="30">
        <v>17.600000000000001</v>
      </c>
      <c r="F732" s="30">
        <v>50.901287553648068</v>
      </c>
      <c r="G732" s="30">
        <v>7.5965665236051496</v>
      </c>
      <c r="H732" s="30">
        <v>78.283261802575112</v>
      </c>
      <c r="I732" s="8">
        <v>0</v>
      </c>
      <c r="J732" s="31">
        <v>0</v>
      </c>
      <c r="K732" s="31">
        <v>0</v>
      </c>
      <c r="L732" s="31">
        <v>0</v>
      </c>
      <c r="M732" s="31">
        <v>0</v>
      </c>
      <c r="N732" s="31">
        <v>0</v>
      </c>
      <c r="O732" s="31">
        <v>0</v>
      </c>
      <c r="P732" s="31">
        <v>0</v>
      </c>
      <c r="Q732" s="31">
        <v>0</v>
      </c>
      <c r="R732" s="31">
        <v>1</v>
      </c>
      <c r="S732" s="31">
        <v>0</v>
      </c>
      <c r="T732" s="21" cm="1">
        <f t="array" aca="1" ref="T732" ca="1">+fair_value_gap(OFFSET(S731,0,0,-1*$I$5,-1*$Z$1),OFFSET(E731,0,0,-1*$I$5,1),F732:S732,0)</f>
        <v>18.386412640873743</v>
      </c>
      <c r="U732" s="7" cm="1">
        <f t="array" aca="1" ref="U732" ca="1">z_score_diff(OFFSET(T732,0,0,$I$5*-1,1),OFFSET(E732,0,0,$I$5*-1,1))</f>
        <v>0.28133850942398669</v>
      </c>
      <c r="V732" s="7">
        <f t="shared" ca="1" si="777"/>
        <v>-0.13659902137672619</v>
      </c>
      <c r="W732" s="14">
        <f t="shared" ca="1" si="772"/>
        <v>0.12497930252697839</v>
      </c>
      <c r="X732" s="10">
        <f t="shared" ref="X732:Y732" ca="1" si="799">+X731</f>
        <v>0</v>
      </c>
      <c r="Y732" s="10">
        <f t="shared" ca="1" si="799"/>
        <v>0</v>
      </c>
      <c r="Z732">
        <f t="shared" ca="1" si="779"/>
        <v>1</v>
      </c>
      <c r="AA732">
        <f t="shared" ca="1" si="780"/>
        <v>0</v>
      </c>
      <c r="AB732" s="19">
        <f t="shared" ca="1" si="781"/>
        <v>0.12497930252697839</v>
      </c>
      <c r="AC732" s="19">
        <f t="shared" ca="1" si="782"/>
        <v>0</v>
      </c>
    </row>
    <row r="733" spans="3:29" x14ac:dyDescent="0.25">
      <c r="C733" s="4">
        <v>726</v>
      </c>
      <c r="D733" s="28">
        <v>43035</v>
      </c>
      <c r="E733" s="30">
        <v>17.62</v>
      </c>
      <c r="F733" s="30">
        <v>52.067539627842862</v>
      </c>
      <c r="G733" s="30">
        <v>7.7489662301860776</v>
      </c>
      <c r="H733" s="30">
        <v>78.954169538249488</v>
      </c>
      <c r="I733" s="8">
        <v>0</v>
      </c>
      <c r="J733" s="31">
        <v>0</v>
      </c>
      <c r="K733" s="31">
        <v>0</v>
      </c>
      <c r="L733" s="31">
        <v>0</v>
      </c>
      <c r="M733" s="31">
        <v>0</v>
      </c>
      <c r="N733" s="31">
        <v>0</v>
      </c>
      <c r="O733" s="31">
        <v>0</v>
      </c>
      <c r="P733" s="31">
        <v>0</v>
      </c>
      <c r="Q733" s="31">
        <v>0</v>
      </c>
      <c r="R733" s="31">
        <v>1</v>
      </c>
      <c r="S733" s="31">
        <v>0</v>
      </c>
      <c r="T733" s="21" cm="1">
        <f t="array" aca="1" ref="T733" ca="1">+fair_value_gap(OFFSET(S732,0,0,-1*$I$5,-1*$Z$1),OFFSET(E732,0,0,-1*$I$5,1),F733:S733,0)</f>
        <v>18.542861992294412</v>
      </c>
      <c r="U733" s="7" cm="1">
        <f t="array" aca="1" ref="U733" ca="1">z_score_diff(OFFSET(T733,0,0,$I$5*-1,1),OFFSET(E733,0,0,$I$5*-1,1))</f>
        <v>0.35961647601584446</v>
      </c>
      <c r="V733" s="7">
        <f t="shared" ca="1" si="777"/>
        <v>-0.12172761750243792</v>
      </c>
      <c r="W733" s="14">
        <f t="shared" ca="1" si="772"/>
        <v>0.14850806730980662</v>
      </c>
      <c r="X733" s="10">
        <f t="shared" ref="X733:Y733" ca="1" si="800">+X732</f>
        <v>0</v>
      </c>
      <c r="Y733" s="10">
        <f t="shared" ca="1" si="800"/>
        <v>0</v>
      </c>
      <c r="Z733">
        <f t="shared" ca="1" si="779"/>
        <v>1</v>
      </c>
      <c r="AA733">
        <f t="shared" ca="1" si="780"/>
        <v>0</v>
      </c>
      <c r="AB733" s="19">
        <f t="shared" ca="1" si="781"/>
        <v>0.14850806730980662</v>
      </c>
      <c r="AC733" s="19">
        <f t="shared" ca="1" si="782"/>
        <v>0</v>
      </c>
    </row>
    <row r="734" spans="3:29" x14ac:dyDescent="0.25">
      <c r="C734" s="4">
        <v>727</v>
      </c>
      <c r="D734" s="28">
        <v>43038</v>
      </c>
      <c r="E734" s="30">
        <v>17.611999999999998</v>
      </c>
      <c r="F734" s="30">
        <v>52.279165593613179</v>
      </c>
      <c r="G734" s="30">
        <v>7.7216928491716015</v>
      </c>
      <c r="H734" s="30">
        <v>79.921023263799455</v>
      </c>
      <c r="I734" s="8">
        <v>0</v>
      </c>
      <c r="J734" s="31">
        <v>0</v>
      </c>
      <c r="K734" s="31">
        <v>0</v>
      </c>
      <c r="L734" s="31">
        <v>0</v>
      </c>
      <c r="M734" s="31">
        <v>0</v>
      </c>
      <c r="N734" s="31">
        <v>0</v>
      </c>
      <c r="O734" s="31">
        <v>0</v>
      </c>
      <c r="P734" s="31">
        <v>0</v>
      </c>
      <c r="Q734" s="31">
        <v>0</v>
      </c>
      <c r="R734" s="31">
        <v>1</v>
      </c>
      <c r="S734" s="31">
        <v>0</v>
      </c>
      <c r="T734" s="21" cm="1">
        <f t="array" aca="1" ref="T734" ca="1">+fair_value_gap(OFFSET(S733,0,0,-1*$I$5,-1*$Z$1),OFFSET(E733,0,0,-1*$I$5,1),F734:S734,0)</f>
        <v>18.621486518576884</v>
      </c>
      <c r="U734" s="7" cm="1">
        <f t="array" aca="1" ref="U734" ca="1">z_score_diff(OFFSET(T734,0,0,$I$5*-1,1),OFFSET(E734,0,0,$I$5*-1,1))</f>
        <v>0.40915053406856711</v>
      </c>
      <c r="V734" s="7">
        <f t="shared" ca="1" si="777"/>
        <v>-8.4890137122333398E-2</v>
      </c>
      <c r="W734" s="14">
        <f t="shared" ca="1" si="772"/>
        <v>0.15709886202843593</v>
      </c>
      <c r="X734" s="10">
        <f t="shared" ref="X734:Y734" ca="1" si="801">+X733</f>
        <v>0</v>
      </c>
      <c r="Y734" s="10">
        <f t="shared" ca="1" si="801"/>
        <v>0</v>
      </c>
      <c r="Z734">
        <f t="shared" ca="1" si="779"/>
        <v>1</v>
      </c>
      <c r="AA734">
        <f t="shared" ca="1" si="780"/>
        <v>0</v>
      </c>
      <c r="AB734" s="19">
        <f t="shared" ca="1" si="781"/>
        <v>0.15709886202843593</v>
      </c>
      <c r="AC734" s="19">
        <f t="shared" ca="1" si="782"/>
        <v>0</v>
      </c>
    </row>
    <row r="735" spans="3:29" x14ac:dyDescent="0.25">
      <c r="C735" s="4">
        <v>728</v>
      </c>
      <c r="D735" s="28">
        <v>43039</v>
      </c>
      <c r="E735" s="30">
        <v>18.210999999999999</v>
      </c>
      <c r="F735" s="30">
        <v>52.705255925798689</v>
      </c>
      <c r="G735" s="30">
        <v>7.7507729302645139</v>
      </c>
      <c r="H735" s="30">
        <v>81.286499484713161</v>
      </c>
      <c r="I735" s="8">
        <v>0</v>
      </c>
      <c r="J735" s="31">
        <v>0</v>
      </c>
      <c r="K735" s="31">
        <v>0</v>
      </c>
      <c r="L735" s="31">
        <v>0</v>
      </c>
      <c r="M735" s="31">
        <v>0</v>
      </c>
      <c r="N735" s="31">
        <v>0</v>
      </c>
      <c r="O735" s="31">
        <v>0</v>
      </c>
      <c r="P735" s="31">
        <v>0</v>
      </c>
      <c r="Q735" s="31">
        <v>0</v>
      </c>
      <c r="R735" s="31">
        <v>1</v>
      </c>
      <c r="S735" s="31">
        <v>0</v>
      </c>
      <c r="T735" s="21" cm="1">
        <f t="array" aca="1" ref="T735" ca="1">+fair_value_gap(OFFSET(S734,0,0,-1*$I$5,-1*$Z$1),OFFSET(E734,0,0,-1*$I$5,1),F735:S735,0)</f>
        <v>18.807270280502031</v>
      </c>
      <c r="U735" s="7" cm="1">
        <f t="array" aca="1" ref="U735" ca="1">z_score_diff(OFFSET(T735,0,0,$I$5*-1,1),OFFSET(E735,0,0,$I$5*-1,1))</f>
        <v>0.16362725741626793</v>
      </c>
      <c r="V735" s="7">
        <f t="shared" ca="1" si="777"/>
        <v>-5.6493898027861311E-2</v>
      </c>
      <c r="W735" s="14">
        <f t="shared" ca="1" si="772"/>
        <v>0.10543738931600703</v>
      </c>
      <c r="X735" s="10">
        <f t="shared" ref="X735:Y735" ca="1" si="802">+X734</f>
        <v>0</v>
      </c>
      <c r="Y735" s="10">
        <f t="shared" ca="1" si="802"/>
        <v>0</v>
      </c>
      <c r="Z735">
        <f t="shared" ca="1" si="779"/>
        <v>1</v>
      </c>
      <c r="AA735">
        <f t="shared" ca="1" si="780"/>
        <v>0</v>
      </c>
      <c r="AB735" s="19">
        <f t="shared" ca="1" si="781"/>
        <v>0.10543738931600703</v>
      </c>
      <c r="AC735" s="19">
        <f t="shared" ca="1" si="782"/>
        <v>0</v>
      </c>
    </row>
    <row r="736" spans="3:29" x14ac:dyDescent="0.25">
      <c r="C736" s="4">
        <v>729</v>
      </c>
      <c r="D736" s="28">
        <v>43040</v>
      </c>
      <c r="E736" s="30">
        <v>18.436</v>
      </c>
      <c r="F736" s="30">
        <v>52.070241886889903</v>
      </c>
      <c r="G736" s="30">
        <v>7.7687871223207372</v>
      </c>
      <c r="H736" s="30">
        <v>82.034948781957482</v>
      </c>
      <c r="I736" s="8">
        <v>0</v>
      </c>
      <c r="J736" s="31">
        <v>0</v>
      </c>
      <c r="K736" s="31">
        <v>0</v>
      </c>
      <c r="L736" s="31">
        <v>0</v>
      </c>
      <c r="M736" s="31">
        <v>0</v>
      </c>
      <c r="N736" s="31">
        <v>0</v>
      </c>
      <c r="O736" s="31">
        <v>0</v>
      </c>
      <c r="P736" s="31">
        <v>0</v>
      </c>
      <c r="Q736" s="31">
        <v>0</v>
      </c>
      <c r="R736" s="31">
        <v>0</v>
      </c>
      <c r="S736" s="31">
        <v>1</v>
      </c>
      <c r="T736" s="21" cm="1">
        <f t="array" aca="1" ref="T736" ca="1">+fair_value_gap(OFFSET(S735,0,0,-1*$I$5,-1*$Z$1),OFFSET(E735,0,0,-1*$I$5,1),F736:S736,0)</f>
        <v>17.884083719766473</v>
      </c>
      <c r="U736" s="7" cm="1">
        <f t="array" aca="1" ref="U736" ca="1">z_score_diff(OFFSET(T736,0,0,$I$5*-1,1),OFFSET(E736,0,0,$I$5*-1,1))</f>
        <v>-0.48746720187238757</v>
      </c>
      <c r="V736" s="7">
        <f t="shared" ca="1" si="777"/>
        <v>-6.1445956713343367E-2</v>
      </c>
      <c r="W736" s="14">
        <f t="shared" ca="1" si="772"/>
        <v>9.8234950345096508E-2</v>
      </c>
      <c r="X736" s="10">
        <f t="shared" ref="X736:Y736" ca="1" si="803">+X735</f>
        <v>0</v>
      </c>
      <c r="Y736" s="10">
        <f t="shared" ca="1" si="803"/>
        <v>0</v>
      </c>
      <c r="Z736">
        <f t="shared" ca="1" si="779"/>
        <v>1</v>
      </c>
      <c r="AA736">
        <f t="shared" ca="1" si="780"/>
        <v>0</v>
      </c>
      <c r="AB736" s="19">
        <f t="shared" ca="1" si="781"/>
        <v>9.8234950345096508E-2</v>
      </c>
      <c r="AC736" s="19">
        <f t="shared" ca="1" si="782"/>
        <v>0</v>
      </c>
    </row>
    <row r="737" spans="3:29" x14ac:dyDescent="0.25">
      <c r="C737" s="4">
        <v>730</v>
      </c>
      <c r="D737" s="28">
        <v>43041</v>
      </c>
      <c r="E737" s="30">
        <v>18.45</v>
      </c>
      <c r="F737" s="30">
        <v>52.007549759780368</v>
      </c>
      <c r="G737" s="30">
        <v>7.8285861358956765</v>
      </c>
      <c r="H737" s="30">
        <v>81.417295813315036</v>
      </c>
      <c r="I737" s="8">
        <v>0</v>
      </c>
      <c r="J737" s="31">
        <v>0</v>
      </c>
      <c r="K737" s="31">
        <v>0</v>
      </c>
      <c r="L737" s="31">
        <v>0</v>
      </c>
      <c r="M737" s="31">
        <v>0</v>
      </c>
      <c r="N737" s="31">
        <v>0</v>
      </c>
      <c r="O737" s="31">
        <v>0</v>
      </c>
      <c r="P737" s="31">
        <v>0</v>
      </c>
      <c r="Q737" s="31">
        <v>0</v>
      </c>
      <c r="R737" s="31">
        <v>0</v>
      </c>
      <c r="S737" s="31">
        <v>1</v>
      </c>
      <c r="T737" s="21" cm="1">
        <f t="array" aca="1" ref="T737" ca="1">+fair_value_gap(OFFSET(S736,0,0,-1*$I$5,-1*$Z$1),OFFSET(E736,0,0,-1*$I$5,1),F737:S737,0)</f>
        <v>17.889105616156606</v>
      </c>
      <c r="U737" s="7" cm="1">
        <f t="array" aca="1" ref="U737" ca="1">z_score_diff(OFFSET(T737,0,0,$I$5*-1,1),OFFSET(E737,0,0,$I$5*-1,1))</f>
        <v>-0.48789839061187301</v>
      </c>
      <c r="V737" s="7">
        <f t="shared" ca="1" si="777"/>
        <v>-6.7682864260231887E-2</v>
      </c>
      <c r="W737" s="14">
        <f t="shared" ca="1" si="772"/>
        <v>9.5753540485495531E-2</v>
      </c>
      <c r="X737" s="10">
        <f t="shared" ref="X737:Y737" ca="1" si="804">+X736</f>
        <v>0</v>
      </c>
      <c r="Y737" s="10">
        <f t="shared" ca="1" si="804"/>
        <v>0</v>
      </c>
      <c r="Z737">
        <f t="shared" ca="1" si="779"/>
        <v>1</v>
      </c>
      <c r="AA737">
        <f t="shared" ca="1" si="780"/>
        <v>0</v>
      </c>
      <c r="AB737" s="19">
        <f t="shared" ca="1" si="781"/>
        <v>9.5753540485495531E-2</v>
      </c>
      <c r="AC737" s="19">
        <f t="shared" ca="1" si="782"/>
        <v>0</v>
      </c>
    </row>
    <row r="738" spans="3:29" x14ac:dyDescent="0.25">
      <c r="C738" s="4">
        <v>731</v>
      </c>
      <c r="D738" s="28">
        <v>43042</v>
      </c>
      <c r="E738" s="30">
        <v>18.215</v>
      </c>
      <c r="F738" s="30">
        <v>53.476350478159731</v>
      </c>
      <c r="G738" s="30">
        <v>7.8616352201257858</v>
      </c>
      <c r="H738" s="30">
        <v>80.899457224088906</v>
      </c>
      <c r="I738" s="8">
        <v>0</v>
      </c>
      <c r="J738" s="31">
        <v>0</v>
      </c>
      <c r="K738" s="31">
        <v>0</v>
      </c>
      <c r="L738" s="31">
        <v>0</v>
      </c>
      <c r="M738" s="31">
        <v>0</v>
      </c>
      <c r="N738" s="31">
        <v>0</v>
      </c>
      <c r="O738" s="31">
        <v>0</v>
      </c>
      <c r="P738" s="31">
        <v>0</v>
      </c>
      <c r="Q738" s="31">
        <v>0</v>
      </c>
      <c r="R738" s="31">
        <v>0</v>
      </c>
      <c r="S738" s="31">
        <v>1</v>
      </c>
      <c r="T738" s="21" cm="1">
        <f t="array" aca="1" ref="T738" ca="1">+fair_value_gap(OFFSET(S737,0,0,-1*$I$5,-1*$Z$1),OFFSET(E737,0,0,-1*$I$5,1),F738:S738,0)</f>
        <v>17.88359797203606</v>
      </c>
      <c r="U738" s="7" cm="1">
        <f t="array" aca="1" ref="U738" ca="1">z_score_diff(OFFSET(T738,0,0,$I$5*-1,1),OFFSET(E738,0,0,$I$5*-1,1))</f>
        <v>-0.34992010072853202</v>
      </c>
      <c r="V738" s="7">
        <f t="shared" ca="1" si="777"/>
        <v>-6.524678370322809E-2</v>
      </c>
      <c r="W738" s="14">
        <f t="shared" ca="1" si="772"/>
        <v>0.13520443644533245</v>
      </c>
      <c r="X738" s="10">
        <f t="shared" ref="X738:Y738" ca="1" si="805">+X737</f>
        <v>0</v>
      </c>
      <c r="Y738" s="10">
        <f t="shared" ca="1" si="805"/>
        <v>0</v>
      </c>
      <c r="Z738">
        <f t="shared" ca="1" si="779"/>
        <v>1</v>
      </c>
      <c r="AA738">
        <f t="shared" ca="1" si="780"/>
        <v>0</v>
      </c>
      <c r="AB738" s="19">
        <f t="shared" ca="1" si="781"/>
        <v>0.13520443644533245</v>
      </c>
      <c r="AC738" s="19">
        <f t="shared" ca="1" si="782"/>
        <v>0</v>
      </c>
    </row>
    <row r="739" spans="3:29" x14ac:dyDescent="0.25">
      <c r="C739" s="4">
        <v>732</v>
      </c>
      <c r="D739" s="28">
        <v>43045</v>
      </c>
      <c r="E739" s="30">
        <v>18.856000000000002</v>
      </c>
      <c r="F739" s="30">
        <v>55.362218968042029</v>
      </c>
      <c r="G739" s="30">
        <v>7.860280816607804</v>
      </c>
      <c r="H739" s="30">
        <v>80.928589887156519</v>
      </c>
      <c r="I739" s="8">
        <v>0</v>
      </c>
      <c r="J739" s="31">
        <v>0</v>
      </c>
      <c r="K739" s="31">
        <v>0</v>
      </c>
      <c r="L739" s="31">
        <v>0</v>
      </c>
      <c r="M739" s="31">
        <v>0</v>
      </c>
      <c r="N739" s="31">
        <v>0</v>
      </c>
      <c r="O739" s="31">
        <v>0</v>
      </c>
      <c r="P739" s="31">
        <v>0</v>
      </c>
      <c r="Q739" s="31">
        <v>0</v>
      </c>
      <c r="R739" s="31">
        <v>0</v>
      </c>
      <c r="S739" s="31">
        <v>1</v>
      </c>
      <c r="T739" s="21" cm="1">
        <f t="array" aca="1" ref="T739" ca="1">+fair_value_gap(OFFSET(S738,0,0,-1*$I$5,-1*$Z$1),OFFSET(E738,0,0,-1*$I$5,1),F739:S739,0)</f>
        <v>17.916794530960672</v>
      </c>
      <c r="U739" s="7" cm="1">
        <f t="array" aca="1" ref="U739" ca="1">z_score_diff(OFFSET(T739,0,0,$I$5*-1,1),OFFSET(E739,0,0,$I$5*-1,1))</f>
        <v>-0.69665632665356658</v>
      </c>
      <c r="V739" s="7">
        <f t="shared" ca="1" si="777"/>
        <v>-7.7013045109131123E-2</v>
      </c>
      <c r="W739" s="14">
        <f t="shared" ca="1" si="772"/>
        <v>0.12201674223423616</v>
      </c>
      <c r="X739" s="10">
        <f t="shared" ref="X739:Y739" ca="1" si="806">+X738</f>
        <v>0</v>
      </c>
      <c r="Y739" s="10">
        <f t="shared" ca="1" si="806"/>
        <v>0</v>
      </c>
      <c r="Z739">
        <f t="shared" ca="1" si="779"/>
        <v>1</v>
      </c>
      <c r="AA739">
        <f t="shared" ca="1" si="780"/>
        <v>0</v>
      </c>
      <c r="AB739" s="19">
        <f t="shared" ca="1" si="781"/>
        <v>0.12201674223423616</v>
      </c>
      <c r="AC739" s="19">
        <f t="shared" ca="1" si="782"/>
        <v>0</v>
      </c>
    </row>
    <row r="740" spans="3:29" x14ac:dyDescent="0.25">
      <c r="C740" s="4">
        <v>733</v>
      </c>
      <c r="D740" s="28">
        <v>43046</v>
      </c>
      <c r="E740" s="30">
        <v>19.22</v>
      </c>
      <c r="F740" s="30">
        <v>54.976262408286573</v>
      </c>
      <c r="G740" s="30">
        <v>7.8765645230902024</v>
      </c>
      <c r="H740" s="30">
        <v>81.182563659905043</v>
      </c>
      <c r="I740" s="8">
        <v>0</v>
      </c>
      <c r="J740" s="31">
        <v>0</v>
      </c>
      <c r="K740" s="31">
        <v>0</v>
      </c>
      <c r="L740" s="31">
        <v>0</v>
      </c>
      <c r="M740" s="31">
        <v>0</v>
      </c>
      <c r="N740" s="31">
        <v>0</v>
      </c>
      <c r="O740" s="31">
        <v>0</v>
      </c>
      <c r="P740" s="31">
        <v>0</v>
      </c>
      <c r="Q740" s="31">
        <v>0</v>
      </c>
      <c r="R740" s="31">
        <v>0</v>
      </c>
      <c r="S740" s="31">
        <v>1</v>
      </c>
      <c r="T740" s="21" cm="1">
        <f t="array" aca="1" ref="T740" ca="1">+fair_value_gap(OFFSET(S739,0,0,-1*$I$5,-1*$Z$1),OFFSET(E739,0,0,-1*$I$5,1),F740:S740,0)</f>
        <v>18.144204016195175</v>
      </c>
      <c r="U740" s="7" cm="1">
        <f t="array" aca="1" ref="U740" ca="1">z_score_diff(OFFSET(T740,0,0,$I$5*-1,1),OFFSET(E740,0,0,$I$5*-1,1))</f>
        <v>-0.76896984616194308</v>
      </c>
      <c r="V740" s="7">
        <f t="shared" ca="1" si="777"/>
        <v>-9.5371396613937454E-2</v>
      </c>
      <c r="W740" s="14">
        <f t="shared" ca="1" si="772"/>
        <v>0.10533450075128355</v>
      </c>
      <c r="X740" s="10">
        <f t="shared" ref="X740:Y740" ca="1" si="807">+X739</f>
        <v>0</v>
      </c>
      <c r="Y740" s="10">
        <f t="shared" ca="1" si="807"/>
        <v>0</v>
      </c>
      <c r="Z740">
        <f t="shared" ca="1" si="779"/>
        <v>1</v>
      </c>
      <c r="AA740">
        <f t="shared" ca="1" si="780"/>
        <v>0</v>
      </c>
      <c r="AB740" s="19">
        <f t="shared" ca="1" si="781"/>
        <v>0.10533450075128355</v>
      </c>
      <c r="AC740" s="19">
        <f t="shared" ca="1" si="782"/>
        <v>0</v>
      </c>
    </row>
    <row r="741" spans="3:29" x14ac:dyDescent="0.25">
      <c r="C741" s="4">
        <v>734</v>
      </c>
      <c r="D741" s="28">
        <v>43047</v>
      </c>
      <c r="E741" s="30">
        <v>19.251000000000001</v>
      </c>
      <c r="F741" s="30">
        <v>54.765806952471323</v>
      </c>
      <c r="G741" s="30">
        <v>7.8754420771155011</v>
      </c>
      <c r="H741" s="30">
        <v>80.910894505304924</v>
      </c>
      <c r="I741" s="8">
        <v>0</v>
      </c>
      <c r="J741" s="31">
        <v>0</v>
      </c>
      <c r="K741" s="31">
        <v>0</v>
      </c>
      <c r="L741" s="31">
        <v>0</v>
      </c>
      <c r="M741" s="31">
        <v>0</v>
      </c>
      <c r="N741" s="31">
        <v>0</v>
      </c>
      <c r="O741" s="31">
        <v>0</v>
      </c>
      <c r="P741" s="31">
        <v>0</v>
      </c>
      <c r="Q741" s="31">
        <v>0</v>
      </c>
      <c r="R741" s="31">
        <v>0</v>
      </c>
      <c r="S741" s="31">
        <v>1</v>
      </c>
      <c r="T741" s="21" cm="1">
        <f t="array" aca="1" ref="T741" ca="1">+fair_value_gap(OFFSET(S740,0,0,-1*$I$5,-1*$Z$1),OFFSET(E740,0,0,-1*$I$5,1),F741:S741,0)</f>
        <v>18.254793475365656</v>
      </c>
      <c r="U741" s="7" cm="1">
        <f t="array" aca="1" ref="U741" ca="1">z_score_diff(OFFSET(T741,0,0,$I$5*-1,1),OFFSET(E741,0,0,$I$5*-1,1))</f>
        <v>-0.7154387855447405</v>
      </c>
      <c r="V741" s="7">
        <f t="shared" ca="1" si="777"/>
        <v>-0.11469147193260895</v>
      </c>
      <c r="W741" s="14">
        <f t="shared" ca="1" si="772"/>
        <v>9.5258233101630022E-2</v>
      </c>
      <c r="X741" s="10">
        <f t="shared" ref="X741:Y741" ca="1" si="808">+X740</f>
        <v>0</v>
      </c>
      <c r="Y741" s="10">
        <f t="shared" ca="1" si="808"/>
        <v>0</v>
      </c>
      <c r="Z741">
        <f t="shared" ca="1" si="779"/>
        <v>1</v>
      </c>
      <c r="AA741">
        <f t="shared" ca="1" si="780"/>
        <v>0</v>
      </c>
      <c r="AB741" s="19">
        <f t="shared" ca="1" si="781"/>
        <v>9.5258233101630022E-2</v>
      </c>
      <c r="AC741" s="19">
        <f t="shared" ca="1" si="782"/>
        <v>0</v>
      </c>
    </row>
    <row r="742" spans="3:29" x14ac:dyDescent="0.25">
      <c r="C742" s="4">
        <v>735</v>
      </c>
      <c r="D742" s="28">
        <v>43048</v>
      </c>
      <c r="E742" s="30">
        <v>19.417999999999999</v>
      </c>
      <c r="F742" s="30">
        <v>54.922680412371136</v>
      </c>
      <c r="G742" s="30">
        <v>7.8436426116838502</v>
      </c>
      <c r="H742" s="30">
        <v>80.369415807560145</v>
      </c>
      <c r="I742" s="8">
        <v>0</v>
      </c>
      <c r="J742" s="31">
        <v>0</v>
      </c>
      <c r="K742" s="31">
        <v>0</v>
      </c>
      <c r="L742" s="31">
        <v>0</v>
      </c>
      <c r="M742" s="31">
        <v>0</v>
      </c>
      <c r="N742" s="31">
        <v>0</v>
      </c>
      <c r="O742" s="31">
        <v>0</v>
      </c>
      <c r="P742" s="31">
        <v>0</v>
      </c>
      <c r="Q742" s="31">
        <v>0</v>
      </c>
      <c r="R742" s="31">
        <v>0</v>
      </c>
      <c r="S742" s="31">
        <v>1</v>
      </c>
      <c r="T742" s="21" cm="1">
        <f t="array" aca="1" ref="T742" ca="1">+fair_value_gap(OFFSET(S741,0,0,-1*$I$5,-1*$Z$1),OFFSET(E741,0,0,-1*$I$5,1),F742:S742,0)</f>
        <v>18.276494105329625</v>
      </c>
      <c r="U742" s="7" cm="1">
        <f t="array" aca="1" ref="U742" ca="1">z_score_diff(OFFSET(T742,0,0,$I$5*-1,1),OFFSET(E742,0,0,$I$5*-1,1))</f>
        <v>-0.78833770902181</v>
      </c>
      <c r="V742" s="7">
        <f t="shared" ca="1" si="777"/>
        <v>-0.14692037066735145</v>
      </c>
      <c r="W742" s="14">
        <f t="shared" ca="1" si="772"/>
        <v>9.6021543874870788E-2</v>
      </c>
      <c r="X742" s="10">
        <f t="shared" ref="X742:Y742" ca="1" si="809">+X741</f>
        <v>0</v>
      </c>
      <c r="Y742" s="10">
        <f t="shared" ca="1" si="809"/>
        <v>0</v>
      </c>
      <c r="Z742">
        <f t="shared" ca="1" si="779"/>
        <v>1</v>
      </c>
      <c r="AA742">
        <f t="shared" ca="1" si="780"/>
        <v>0</v>
      </c>
      <c r="AB742" s="19">
        <f t="shared" ca="1" si="781"/>
        <v>9.6021543874870788E-2</v>
      </c>
      <c r="AC742" s="19">
        <f t="shared" ca="1" si="782"/>
        <v>0</v>
      </c>
    </row>
    <row r="743" spans="3:29" x14ac:dyDescent="0.25">
      <c r="C743" s="4">
        <v>736</v>
      </c>
      <c r="D743" s="28">
        <v>43049</v>
      </c>
      <c r="E743" s="30">
        <v>19.632999999999999</v>
      </c>
      <c r="F743" s="30">
        <v>54.462831175512314</v>
      </c>
      <c r="G743" s="30">
        <v>7.8710451856297698</v>
      </c>
      <c r="H743" s="30">
        <v>79.996570350681651</v>
      </c>
      <c r="I743" s="8">
        <v>0</v>
      </c>
      <c r="J743" s="31">
        <v>0</v>
      </c>
      <c r="K743" s="31">
        <v>0</v>
      </c>
      <c r="L743" s="31">
        <v>0</v>
      </c>
      <c r="M743" s="31">
        <v>0</v>
      </c>
      <c r="N743" s="31">
        <v>0</v>
      </c>
      <c r="O743" s="31">
        <v>0</v>
      </c>
      <c r="P743" s="31">
        <v>0</v>
      </c>
      <c r="Q743" s="31">
        <v>0</v>
      </c>
      <c r="R743" s="31">
        <v>0</v>
      </c>
      <c r="S743" s="31">
        <v>1</v>
      </c>
      <c r="T743" s="21" cm="1">
        <f t="array" aca="1" ref="T743" ca="1">+fair_value_gap(OFFSET(S742,0,0,-1*$I$5,-1*$Z$1),OFFSET(E742,0,0,-1*$I$5,1),F743:S743,0)</f>
        <v>18.392964052631491</v>
      </c>
      <c r="U743" s="7" cm="1">
        <f t="array" aca="1" ref="U743" ca="1">z_score_diff(OFFSET(T743,0,0,$I$5*-1,1),OFFSET(E743,0,0,$I$5*-1,1))</f>
        <v>-0.83406508037818983</v>
      </c>
      <c r="V743" s="7">
        <f t="shared" ca="1" si="777"/>
        <v>-0.18018966931601776</v>
      </c>
      <c r="W743" s="14">
        <f t="shared" ca="1" si="772"/>
        <v>6.4926822451534819E-2</v>
      </c>
      <c r="X743" s="10">
        <f t="shared" ref="X743:Y743" ca="1" si="810">+X742</f>
        <v>0</v>
      </c>
      <c r="Y743" s="10">
        <f t="shared" ca="1" si="810"/>
        <v>0</v>
      </c>
      <c r="Z743">
        <f t="shared" ca="1" si="779"/>
        <v>1</v>
      </c>
      <c r="AA743">
        <f t="shared" ca="1" si="780"/>
        <v>0</v>
      </c>
      <c r="AB743" s="19">
        <f t="shared" ca="1" si="781"/>
        <v>6.4926822451534819E-2</v>
      </c>
      <c r="AC743" s="19">
        <f t="shared" ca="1" si="782"/>
        <v>0</v>
      </c>
    </row>
    <row r="744" spans="3:29" x14ac:dyDescent="0.25">
      <c r="C744" s="4">
        <v>737</v>
      </c>
      <c r="D744" s="28">
        <v>43052</v>
      </c>
      <c r="E744" s="30">
        <v>19.835000000000001</v>
      </c>
      <c r="F744" s="30">
        <v>54.144877839691375</v>
      </c>
      <c r="G744" s="30">
        <v>7.8782683240462914</v>
      </c>
      <c r="H744" s="30">
        <v>79.639948564080584</v>
      </c>
      <c r="I744" s="8">
        <v>0</v>
      </c>
      <c r="J744" s="31">
        <v>0</v>
      </c>
      <c r="K744" s="31">
        <v>0</v>
      </c>
      <c r="L744" s="31">
        <v>0</v>
      </c>
      <c r="M744" s="31">
        <v>0</v>
      </c>
      <c r="N744" s="31">
        <v>0</v>
      </c>
      <c r="O744" s="31">
        <v>0</v>
      </c>
      <c r="P744" s="31">
        <v>0</v>
      </c>
      <c r="Q744" s="31">
        <v>0</v>
      </c>
      <c r="R744" s="31">
        <v>0</v>
      </c>
      <c r="S744" s="31">
        <v>1</v>
      </c>
      <c r="T744" s="21" cm="1">
        <f t="array" aca="1" ref="T744" ca="1">+fair_value_gap(OFFSET(S743,0,0,-1*$I$5,-1*$Z$1),OFFSET(E743,0,0,-1*$I$5,1),F744:S744,0)</f>
        <v>18.493449393315192</v>
      </c>
      <c r="U744" s="7" cm="1">
        <f t="array" aca="1" ref="U744" ca="1">z_score_diff(OFFSET(T744,0,0,$I$5*-1,1),OFFSET(E744,0,0,$I$5*-1,1))</f>
        <v>-0.88039198833929955</v>
      </c>
      <c r="V744" s="7">
        <f t="shared" ca="1" si="777"/>
        <v>-0.22357912306824504</v>
      </c>
      <c r="W744" s="14">
        <f t="shared" ca="1" si="772"/>
        <v>5.635984281926059E-2</v>
      </c>
      <c r="X744" s="10">
        <f t="shared" ref="X744:Y744" ca="1" si="811">+X743</f>
        <v>0</v>
      </c>
      <c r="Y744" s="10">
        <f t="shared" ca="1" si="811"/>
        <v>0</v>
      </c>
      <c r="Z744">
        <f t="shared" ca="1" si="779"/>
        <v>1</v>
      </c>
      <c r="AA744">
        <f t="shared" ca="1" si="780"/>
        <v>0</v>
      </c>
      <c r="AB744" s="19">
        <f t="shared" ca="1" si="781"/>
        <v>5.635984281926059E-2</v>
      </c>
      <c r="AC744" s="19">
        <f t="shared" ca="1" si="782"/>
        <v>0</v>
      </c>
    </row>
    <row r="745" spans="3:29" x14ac:dyDescent="0.25">
      <c r="C745" s="4">
        <v>738</v>
      </c>
      <c r="D745" s="28">
        <v>43053</v>
      </c>
      <c r="E745" s="30">
        <v>19.25</v>
      </c>
      <c r="F745" s="30">
        <v>52.738216344523572</v>
      </c>
      <c r="G745" s="30">
        <v>7.7907765344184465</v>
      </c>
      <c r="H745" s="30">
        <v>78.204476093591055</v>
      </c>
      <c r="I745" s="8">
        <v>0</v>
      </c>
      <c r="J745" s="31">
        <v>0</v>
      </c>
      <c r="K745" s="31">
        <v>0</v>
      </c>
      <c r="L745" s="31">
        <v>0</v>
      </c>
      <c r="M745" s="31">
        <v>0</v>
      </c>
      <c r="N745" s="31">
        <v>0</v>
      </c>
      <c r="O745" s="31">
        <v>0</v>
      </c>
      <c r="P745" s="31">
        <v>0</v>
      </c>
      <c r="Q745" s="31">
        <v>0</v>
      </c>
      <c r="R745" s="31">
        <v>0</v>
      </c>
      <c r="S745" s="31">
        <v>1</v>
      </c>
      <c r="T745" s="21" cm="1">
        <f t="array" aca="1" ref="T745" ca="1">+fair_value_gap(OFFSET(S744,0,0,-1*$I$5,-1*$Z$1),OFFSET(E744,0,0,-1*$I$5,1),F745:S745,0)</f>
        <v>18.356309488124865</v>
      </c>
      <c r="U745" s="7" cm="1">
        <f t="array" aca="1" ref="U745" ca="1">z_score_diff(OFFSET(T745,0,0,$I$5*-1,1),OFFSET(E745,0,0,$I$5*-1,1))</f>
        <v>-0.61716056950804576</v>
      </c>
      <c r="V745" s="7">
        <f t="shared" ca="1" si="777"/>
        <v>-0.25676169209830313</v>
      </c>
      <c r="W745" s="14">
        <f t="shared" ca="1" si="772"/>
        <v>0.12274616788988568</v>
      </c>
      <c r="X745" s="10">
        <f t="shared" ref="X745:Y745" ca="1" si="812">+X744</f>
        <v>0</v>
      </c>
      <c r="Y745" s="10">
        <f t="shared" ca="1" si="812"/>
        <v>0</v>
      </c>
      <c r="Z745">
        <f t="shared" ca="1" si="779"/>
        <v>1</v>
      </c>
      <c r="AA745">
        <f t="shared" ca="1" si="780"/>
        <v>0</v>
      </c>
      <c r="AB745" s="19">
        <f t="shared" ca="1" si="781"/>
        <v>0.12274616788988568</v>
      </c>
      <c r="AC745" s="19">
        <f t="shared" ca="1" si="782"/>
        <v>0</v>
      </c>
    </row>
    <row r="746" spans="3:29" x14ac:dyDescent="0.25">
      <c r="C746" s="4">
        <v>739</v>
      </c>
      <c r="D746" s="28">
        <v>43054</v>
      </c>
      <c r="E746" s="30">
        <v>18.895</v>
      </c>
      <c r="F746" s="30">
        <v>52.472224578068015</v>
      </c>
      <c r="G746" s="30">
        <v>7.7898397082520567</v>
      </c>
      <c r="H746" s="30">
        <v>78.110423204138741</v>
      </c>
      <c r="I746" s="8">
        <v>0</v>
      </c>
      <c r="J746" s="31">
        <v>0</v>
      </c>
      <c r="K746" s="31">
        <v>0</v>
      </c>
      <c r="L746" s="31">
        <v>0</v>
      </c>
      <c r="M746" s="31">
        <v>0</v>
      </c>
      <c r="N746" s="31">
        <v>0</v>
      </c>
      <c r="O746" s="31">
        <v>0</v>
      </c>
      <c r="P746" s="31">
        <v>0</v>
      </c>
      <c r="Q746" s="31">
        <v>0</v>
      </c>
      <c r="R746" s="31">
        <v>0</v>
      </c>
      <c r="S746" s="31">
        <v>1</v>
      </c>
      <c r="T746" s="21" cm="1">
        <f t="array" aca="1" ref="T746" ca="1">+fair_value_gap(OFFSET(S745,0,0,-1*$I$5,-1*$Z$1),OFFSET(E745,0,0,-1*$I$5,1),F746:S746,0)</f>
        <v>18.45526268681947</v>
      </c>
      <c r="U746" s="7" cm="1">
        <f t="array" aca="1" ref="U746" ca="1">z_score_diff(OFFSET(T746,0,0,$I$5*-1,1),OFFSET(E746,0,0,$I$5*-1,1))</f>
        <v>-0.35472156767463536</v>
      </c>
      <c r="V746" s="7">
        <f t="shared" ca="1" si="777"/>
        <v>-0.26732621769687109</v>
      </c>
      <c r="W746" s="14">
        <f t="shared" ca="1" si="772"/>
        <v>8.8721125614860522E-2</v>
      </c>
      <c r="X746" s="10">
        <f t="shared" ref="X746:Y746" ca="1" si="813">+X745</f>
        <v>0</v>
      </c>
      <c r="Y746" s="10">
        <f t="shared" ca="1" si="813"/>
        <v>0</v>
      </c>
      <c r="Z746">
        <f t="shared" ca="1" si="779"/>
        <v>1</v>
      </c>
      <c r="AA746">
        <f t="shared" ca="1" si="780"/>
        <v>0</v>
      </c>
      <c r="AB746" s="19">
        <f t="shared" ca="1" si="781"/>
        <v>8.8721125614860522E-2</v>
      </c>
      <c r="AC746" s="19">
        <f t="shared" ca="1" si="782"/>
        <v>0</v>
      </c>
    </row>
    <row r="747" spans="3:29" x14ac:dyDescent="0.25">
      <c r="C747" s="4">
        <v>740</v>
      </c>
      <c r="D747" s="28">
        <v>43055</v>
      </c>
      <c r="E747" s="30">
        <v>19.184999999999999</v>
      </c>
      <c r="F747" s="30">
        <v>52.136970005947823</v>
      </c>
      <c r="G747" s="30">
        <v>8.2207494264593421</v>
      </c>
      <c r="H747" s="30">
        <v>77.959044948593757</v>
      </c>
      <c r="I747" s="8">
        <v>0</v>
      </c>
      <c r="J747" s="31">
        <v>0</v>
      </c>
      <c r="K747" s="31">
        <v>0</v>
      </c>
      <c r="L747" s="31">
        <v>0</v>
      </c>
      <c r="M747" s="31">
        <v>0</v>
      </c>
      <c r="N747" s="31">
        <v>0</v>
      </c>
      <c r="O747" s="31">
        <v>0</v>
      </c>
      <c r="P747" s="31">
        <v>0</v>
      </c>
      <c r="Q747" s="31">
        <v>0</v>
      </c>
      <c r="R747" s="31">
        <v>0</v>
      </c>
      <c r="S747" s="31">
        <v>1</v>
      </c>
      <c r="T747" s="21" cm="1">
        <f t="array" aca="1" ref="T747" ca="1">+fair_value_gap(OFFSET(S746,0,0,-1*$I$5,-1*$Z$1),OFFSET(E746,0,0,-1*$I$5,1),F747:S747,0)</f>
        <v>18.764756584745498</v>
      </c>
      <c r="U747" s="7" cm="1">
        <f t="array" aca="1" ref="U747" ca="1">z_score_diff(OFFSET(T747,0,0,$I$5*-1,1),OFFSET(E747,0,0,$I$5*-1,1))</f>
        <v>-0.34144469777457509</v>
      </c>
      <c r="V747" s="7">
        <f t="shared" ca="1" si="777"/>
        <v>-0.27786940545392425</v>
      </c>
      <c r="W747" s="14">
        <f t="shared" ca="1" si="772"/>
        <v>0.10471918416915069</v>
      </c>
      <c r="X747" s="10">
        <f t="shared" ref="X747:Y747" ca="1" si="814">+X746</f>
        <v>0</v>
      </c>
      <c r="Y747" s="10">
        <f t="shared" ca="1" si="814"/>
        <v>0</v>
      </c>
      <c r="Z747">
        <f t="shared" ca="1" si="779"/>
        <v>1</v>
      </c>
      <c r="AA747">
        <f t="shared" ca="1" si="780"/>
        <v>0</v>
      </c>
      <c r="AB747" s="19">
        <f t="shared" ca="1" si="781"/>
        <v>0.10471918416915069</v>
      </c>
      <c r="AC747" s="19">
        <f t="shared" ca="1" si="782"/>
        <v>0</v>
      </c>
    </row>
    <row r="748" spans="3:29" x14ac:dyDescent="0.25">
      <c r="C748" s="4">
        <v>741</v>
      </c>
      <c r="D748" s="28">
        <v>43056</v>
      </c>
      <c r="E748" s="30">
        <v>18.850000000000001</v>
      </c>
      <c r="F748" s="30">
        <v>53.184092258119222</v>
      </c>
      <c r="G748" s="30">
        <v>8.2040193335029254</v>
      </c>
      <c r="H748" s="30">
        <v>77.757992029169841</v>
      </c>
      <c r="I748" s="8">
        <v>0</v>
      </c>
      <c r="J748" s="31">
        <v>0</v>
      </c>
      <c r="K748" s="31">
        <v>0</v>
      </c>
      <c r="L748" s="31">
        <v>0</v>
      </c>
      <c r="M748" s="31">
        <v>0</v>
      </c>
      <c r="N748" s="31">
        <v>0</v>
      </c>
      <c r="O748" s="31">
        <v>0</v>
      </c>
      <c r="P748" s="31">
        <v>0</v>
      </c>
      <c r="Q748" s="31">
        <v>0</v>
      </c>
      <c r="R748" s="31">
        <v>0</v>
      </c>
      <c r="S748" s="31">
        <v>1</v>
      </c>
      <c r="T748" s="21" cm="1">
        <f t="array" aca="1" ref="T748" ca="1">+fair_value_gap(OFFSET(S747,0,0,-1*$I$5,-1*$Z$1),OFFSET(E747,0,0,-1*$I$5,1),F748:S748,0)</f>
        <v>18.744531758881394</v>
      </c>
      <c r="U748" s="7" cm="1">
        <f t="array" aca="1" ref="U748" ca="1">z_score_diff(OFFSET(T748,0,0,$I$5*-1,1),OFFSET(E748,0,0,$I$5*-1,1))</f>
        <v>-0.16465932212334822</v>
      </c>
      <c r="V748" s="7">
        <f t="shared" ca="1" si="777"/>
        <v>-0.29286743019303868</v>
      </c>
      <c r="W748" s="14">
        <f t="shared" ca="1" si="772"/>
        <v>0.1097223418330779</v>
      </c>
      <c r="X748" s="10">
        <f t="shared" ref="X748:Y748" ca="1" si="815">+X747</f>
        <v>0</v>
      </c>
      <c r="Y748" s="10">
        <f t="shared" ca="1" si="815"/>
        <v>0</v>
      </c>
      <c r="Z748">
        <f t="shared" ca="1" si="779"/>
        <v>1</v>
      </c>
      <c r="AA748">
        <f t="shared" ca="1" si="780"/>
        <v>0</v>
      </c>
      <c r="AB748" s="19">
        <f t="shared" ca="1" si="781"/>
        <v>0.1097223418330779</v>
      </c>
      <c r="AC748" s="19">
        <f t="shared" ca="1" si="782"/>
        <v>0</v>
      </c>
    </row>
    <row r="749" spans="3:29" x14ac:dyDescent="0.25">
      <c r="C749" s="4">
        <v>742</v>
      </c>
      <c r="D749" s="28">
        <v>43059</v>
      </c>
      <c r="E749" s="30">
        <v>19.388999999999999</v>
      </c>
      <c r="F749" s="30">
        <v>53.034435731333105</v>
      </c>
      <c r="G749" s="30">
        <v>8.2466757586089336</v>
      </c>
      <c r="H749" s="30">
        <v>77.949198772587792</v>
      </c>
      <c r="I749" s="8">
        <v>0</v>
      </c>
      <c r="J749" s="31">
        <v>0</v>
      </c>
      <c r="K749" s="31">
        <v>0</v>
      </c>
      <c r="L749" s="31">
        <v>0</v>
      </c>
      <c r="M749" s="31">
        <v>0</v>
      </c>
      <c r="N749" s="31">
        <v>0</v>
      </c>
      <c r="O749" s="31">
        <v>0</v>
      </c>
      <c r="P749" s="31">
        <v>0</v>
      </c>
      <c r="Q749" s="31">
        <v>0</v>
      </c>
      <c r="R749" s="31">
        <v>0</v>
      </c>
      <c r="S749" s="31">
        <v>1</v>
      </c>
      <c r="T749" s="21" cm="1">
        <f t="array" aca="1" ref="T749" ca="1">+fair_value_gap(OFFSET(S748,0,0,-1*$I$5,-1*$Z$1),OFFSET(E748,0,0,-1*$I$5,1),F749:S749,0)</f>
        <v>18.837313707108983</v>
      </c>
      <c r="U749" s="7" cm="1">
        <f t="array" aca="1" ref="U749" ca="1">z_score_diff(OFFSET(T749,0,0,$I$5*-1,1),OFFSET(E749,0,0,$I$5*-1,1))</f>
        <v>-0.41408016331663799</v>
      </c>
      <c r="V749" s="7">
        <f t="shared" ca="1" si="777"/>
        <v>-0.32046000714837158</v>
      </c>
      <c r="W749" s="14">
        <f t="shared" ca="1" si="772"/>
        <v>5.4498734790265069E-2</v>
      </c>
      <c r="X749" s="10">
        <f t="shared" ref="X749:Y749" ca="1" si="816">+X748</f>
        <v>0</v>
      </c>
      <c r="Y749" s="10">
        <f t="shared" ca="1" si="816"/>
        <v>0</v>
      </c>
      <c r="Z749">
        <f t="shared" ca="1" si="779"/>
        <v>1</v>
      </c>
      <c r="AA749">
        <f t="shared" ca="1" si="780"/>
        <v>0</v>
      </c>
      <c r="AB749" s="19">
        <f t="shared" ca="1" si="781"/>
        <v>5.4498734790265069E-2</v>
      </c>
      <c r="AC749" s="19">
        <f t="shared" ca="1" si="782"/>
        <v>0</v>
      </c>
    </row>
    <row r="750" spans="3:29" x14ac:dyDescent="0.25">
      <c r="C750" s="4">
        <v>743</v>
      </c>
      <c r="D750" s="28">
        <v>43060</v>
      </c>
      <c r="E750" s="30">
        <v>19.745999999999999</v>
      </c>
      <c r="F750" s="30">
        <v>53.310045156343193</v>
      </c>
      <c r="G750" s="30">
        <v>8.2602027775411102</v>
      </c>
      <c r="H750" s="30">
        <v>77.788191190253045</v>
      </c>
      <c r="I750" s="8">
        <v>0</v>
      </c>
      <c r="J750" s="31">
        <v>0</v>
      </c>
      <c r="K750" s="31">
        <v>0</v>
      </c>
      <c r="L750" s="31">
        <v>0</v>
      </c>
      <c r="M750" s="31">
        <v>0</v>
      </c>
      <c r="N750" s="31">
        <v>0</v>
      </c>
      <c r="O750" s="31">
        <v>0</v>
      </c>
      <c r="P750" s="31">
        <v>0</v>
      </c>
      <c r="Q750" s="31">
        <v>0</v>
      </c>
      <c r="R750" s="31">
        <v>0</v>
      </c>
      <c r="S750" s="31">
        <v>1</v>
      </c>
      <c r="T750" s="21" cm="1">
        <f t="array" aca="1" ref="T750" ca="1">+fair_value_gap(OFFSET(S749,0,0,-1*$I$5,-1*$Z$1),OFFSET(E749,0,0,-1*$I$5,1),F750:S750,0)</f>
        <v>18.862824665757728</v>
      </c>
      <c r="U750" s="7" cm="1">
        <f t="array" aca="1" ref="U750" ca="1">z_score_diff(OFFSET(T750,0,0,$I$5*-1,1),OFFSET(E750,0,0,$I$5*-1,1))</f>
        <v>-0.58040645498771815</v>
      </c>
      <c r="V750" s="7">
        <f t="shared" ca="1" si="777"/>
        <v>-0.36075632964334831</v>
      </c>
      <c r="W750" s="14">
        <f t="shared" ca="1" si="772"/>
        <v>1.8862804680601197E-2</v>
      </c>
      <c r="X750" s="10">
        <f t="shared" ref="X750:Y750" ca="1" si="817">+X749</f>
        <v>0</v>
      </c>
      <c r="Y750" s="10">
        <f t="shared" ca="1" si="817"/>
        <v>0</v>
      </c>
      <c r="Z750">
        <f t="shared" ca="1" si="779"/>
        <v>1</v>
      </c>
      <c r="AA750">
        <f t="shared" ca="1" si="780"/>
        <v>0</v>
      </c>
      <c r="AB750" s="19">
        <f t="shared" ca="1" si="781"/>
        <v>1.8862804680601197E-2</v>
      </c>
      <c r="AC750" s="19">
        <f t="shared" ca="1" si="782"/>
        <v>0</v>
      </c>
    </row>
    <row r="751" spans="3:29" x14ac:dyDescent="0.25">
      <c r="C751" s="4">
        <v>744</v>
      </c>
      <c r="D751" s="28">
        <v>43061</v>
      </c>
      <c r="E751" s="30">
        <v>19.588000000000001</v>
      </c>
      <c r="F751" s="30">
        <v>53.570219966159058</v>
      </c>
      <c r="G751" s="30">
        <v>8.2021996615905248</v>
      </c>
      <c r="H751" s="30">
        <v>77.199661590524542</v>
      </c>
      <c r="I751" s="8">
        <v>0</v>
      </c>
      <c r="J751" s="31">
        <v>0</v>
      </c>
      <c r="K751" s="31">
        <v>0</v>
      </c>
      <c r="L751" s="31">
        <v>0</v>
      </c>
      <c r="M751" s="31">
        <v>0</v>
      </c>
      <c r="N751" s="31">
        <v>0</v>
      </c>
      <c r="O751" s="31">
        <v>0</v>
      </c>
      <c r="P751" s="31">
        <v>0</v>
      </c>
      <c r="Q751" s="31">
        <v>0</v>
      </c>
      <c r="R751" s="31">
        <v>0</v>
      </c>
      <c r="S751" s="31">
        <v>1</v>
      </c>
      <c r="T751" s="21" cm="1">
        <f t="array" aca="1" ref="T751" ca="1">+fair_value_gap(OFFSET(S750,0,0,-1*$I$5,-1*$Z$1),OFFSET(E750,0,0,-1*$I$5,1),F751:S751,0)</f>
        <v>18.783729401877551</v>
      </c>
      <c r="U751" s="7" cm="1">
        <f t="array" aca="1" ref="U751" ca="1">z_score_diff(OFFSET(T751,0,0,$I$5*-1,1),OFFSET(E751,0,0,$I$5*-1,1))</f>
        <v>-0.52240456284259362</v>
      </c>
      <c r="V751" s="7">
        <f t="shared" ca="1" si="777"/>
        <v>-0.3895144995307615</v>
      </c>
      <c r="W751" s="14">
        <f t="shared" ca="1" si="772"/>
        <v>3.7475580607027152E-2</v>
      </c>
      <c r="X751" s="10">
        <f t="shared" ref="X751:Y751" ca="1" si="818">+X750</f>
        <v>0</v>
      </c>
      <c r="Y751" s="10">
        <f t="shared" ca="1" si="818"/>
        <v>0</v>
      </c>
      <c r="Z751">
        <f t="shared" ca="1" si="779"/>
        <v>1</v>
      </c>
      <c r="AA751">
        <f t="shared" ca="1" si="780"/>
        <v>0</v>
      </c>
      <c r="AB751" s="19">
        <f t="shared" ca="1" si="781"/>
        <v>3.7475580607027152E-2</v>
      </c>
      <c r="AC751" s="19">
        <f t="shared" ca="1" si="782"/>
        <v>0</v>
      </c>
    </row>
    <row r="752" spans="3:29" x14ac:dyDescent="0.25">
      <c r="C752" s="4">
        <v>745</v>
      </c>
      <c r="D752" s="28">
        <v>43062</v>
      </c>
      <c r="E752" s="30">
        <v>19.943000000000001</v>
      </c>
      <c r="F752" s="30">
        <v>53.628691983122359</v>
      </c>
      <c r="G752" s="30">
        <v>8.1814345991561179</v>
      </c>
      <c r="H752" s="30">
        <v>77.130801687763721</v>
      </c>
      <c r="I752" s="8">
        <v>0</v>
      </c>
      <c r="J752" s="31">
        <v>0</v>
      </c>
      <c r="K752" s="31">
        <v>0</v>
      </c>
      <c r="L752" s="31">
        <v>0</v>
      </c>
      <c r="M752" s="31">
        <v>0</v>
      </c>
      <c r="N752" s="31">
        <v>0</v>
      </c>
      <c r="O752" s="31">
        <v>0</v>
      </c>
      <c r="P752" s="31">
        <v>0</v>
      </c>
      <c r="Q752" s="31">
        <v>0</v>
      </c>
      <c r="R752" s="31">
        <v>0</v>
      </c>
      <c r="S752" s="31">
        <v>1</v>
      </c>
      <c r="T752" s="21" cm="1">
        <f t="array" aca="1" ref="T752" ca="1">+fair_value_gap(OFFSET(S751,0,0,-1*$I$5,-1*$Z$1),OFFSET(E751,0,0,-1*$I$5,1),F752:S752,0)</f>
        <v>18.819776355395195</v>
      </c>
      <c r="U752" s="7" cm="1">
        <f t="array" aca="1" ref="U752" ca="1">z_score_diff(OFFSET(T752,0,0,$I$5*-1,1),OFFSET(E752,0,0,$I$5*-1,1))</f>
        <v>-0.68393677574583189</v>
      </c>
      <c r="V752" s="7">
        <f t="shared" ca="1" si="777"/>
        <v>-0.43777826378925244</v>
      </c>
      <c r="W752" s="14">
        <f t="shared" ca="1" si="772"/>
        <v>3.65374915347072E-3</v>
      </c>
      <c r="X752" s="10">
        <f t="shared" ref="X752:Y752" ca="1" si="819">+X751</f>
        <v>0</v>
      </c>
      <c r="Y752" s="10">
        <f t="shared" ca="1" si="819"/>
        <v>0</v>
      </c>
      <c r="Z752">
        <f t="shared" ca="1" si="779"/>
        <v>1</v>
      </c>
      <c r="AA752">
        <f t="shared" ca="1" si="780"/>
        <v>0</v>
      </c>
      <c r="AB752" s="19">
        <f t="shared" ca="1" si="781"/>
        <v>3.65374915347072E-3</v>
      </c>
      <c r="AC752" s="19">
        <f t="shared" ca="1" si="782"/>
        <v>0</v>
      </c>
    </row>
    <row r="753" spans="3:29" x14ac:dyDescent="0.25">
      <c r="C753" s="4">
        <v>746</v>
      </c>
      <c r="D753" s="28">
        <v>43063</v>
      </c>
      <c r="E753" s="30">
        <v>20.440999999999999</v>
      </c>
      <c r="F753" s="30">
        <v>53.528918692372166</v>
      </c>
      <c r="G753" s="30">
        <v>8.1894383906119028</v>
      </c>
      <c r="H753" s="30">
        <v>76.487845766974004</v>
      </c>
      <c r="I753" s="8">
        <v>0</v>
      </c>
      <c r="J753" s="31">
        <v>0</v>
      </c>
      <c r="K753" s="31">
        <v>0</v>
      </c>
      <c r="L753" s="31">
        <v>0</v>
      </c>
      <c r="M753" s="31">
        <v>0</v>
      </c>
      <c r="N753" s="31">
        <v>0</v>
      </c>
      <c r="O753" s="31">
        <v>0</v>
      </c>
      <c r="P753" s="31">
        <v>0</v>
      </c>
      <c r="Q753" s="31">
        <v>0</v>
      </c>
      <c r="R753" s="31">
        <v>0</v>
      </c>
      <c r="S753" s="31">
        <v>1</v>
      </c>
      <c r="T753" s="21" cm="1">
        <f t="array" aca="1" ref="T753" ca="1">+fair_value_gap(OFFSET(S752,0,0,-1*$I$5,-1*$Z$1),OFFSET(E752,0,0,-1*$I$5,1),F753:S753,0)</f>
        <v>18.787563988430097</v>
      </c>
      <c r="U753" s="7" cm="1">
        <f t="array" aca="1" ref="U753" ca="1">z_score_diff(OFFSET(T753,0,0,$I$5*-1,1),OFFSET(E753,0,0,$I$5*-1,1))</f>
        <v>-0.95758305266150578</v>
      </c>
      <c r="V753" s="7">
        <f t="shared" ca="1" si="777"/>
        <v>-0.50363824022311987</v>
      </c>
      <c r="W753" s="14">
        <f t="shared" ca="1" si="772"/>
        <v>-3.8193893514373169E-2</v>
      </c>
      <c r="X753" s="10">
        <f t="shared" ref="X753:Y753" ca="1" si="820">+X752</f>
        <v>0</v>
      </c>
      <c r="Y753" s="10">
        <f t="shared" ca="1" si="820"/>
        <v>0</v>
      </c>
      <c r="Z753">
        <f t="shared" ca="1" si="779"/>
        <v>1</v>
      </c>
      <c r="AA753">
        <f t="shared" ca="1" si="780"/>
        <v>0</v>
      </c>
      <c r="AB753" s="19">
        <f t="shared" ca="1" si="781"/>
        <v>-3.8193893514373169E-2</v>
      </c>
      <c r="AC753" s="19">
        <f t="shared" ca="1" si="782"/>
        <v>0</v>
      </c>
    </row>
    <row r="754" spans="3:29" x14ac:dyDescent="0.25">
      <c r="C754" s="4">
        <v>747</v>
      </c>
      <c r="D754" s="28">
        <v>43066</v>
      </c>
      <c r="E754" s="30">
        <v>20.608000000000001</v>
      </c>
      <c r="F754" s="30">
        <v>53.665097511768664</v>
      </c>
      <c r="G754" s="30">
        <v>8.242266308002689</v>
      </c>
      <c r="H754" s="30">
        <v>77.631136516476118</v>
      </c>
      <c r="I754" s="8">
        <v>0</v>
      </c>
      <c r="J754" s="31">
        <v>0</v>
      </c>
      <c r="K754" s="31">
        <v>0</v>
      </c>
      <c r="L754" s="31">
        <v>0</v>
      </c>
      <c r="M754" s="31">
        <v>0</v>
      </c>
      <c r="N754" s="31">
        <v>0</v>
      </c>
      <c r="O754" s="31">
        <v>0</v>
      </c>
      <c r="P754" s="31">
        <v>0</v>
      </c>
      <c r="Q754" s="31">
        <v>0</v>
      </c>
      <c r="R754" s="31">
        <v>0</v>
      </c>
      <c r="S754" s="31">
        <v>1</v>
      </c>
      <c r="T754" s="21" cm="1">
        <f t="array" aca="1" ref="T754" ca="1">+fair_value_gap(OFFSET(S753,0,0,-1*$I$5,-1*$Z$1),OFFSET(E753,0,0,-1*$I$5,1),F754:S754,0)</f>
        <v>19.133923497507205</v>
      </c>
      <c r="U754" s="7" cm="1">
        <f t="array" aca="1" ref="U754" ca="1">z_score_diff(OFFSET(T754,0,0,$I$5*-1,1),OFFSET(E754,0,0,$I$5*-1,1))</f>
        <v>-0.8322601181379452</v>
      </c>
      <c r="V754" s="7">
        <f t="shared" ca="1" si="777"/>
        <v>-0.56570877283344556</v>
      </c>
      <c r="W754" s="14">
        <f t="shared" ca="1" si="772"/>
        <v>-7.2489299633627088E-2</v>
      </c>
      <c r="X754" s="10">
        <f t="shared" ref="X754:Y754" ca="1" si="821">+X753</f>
        <v>0</v>
      </c>
      <c r="Y754" s="10">
        <f t="shared" ca="1" si="821"/>
        <v>0</v>
      </c>
      <c r="Z754">
        <f t="shared" ca="1" si="779"/>
        <v>1</v>
      </c>
      <c r="AA754">
        <f t="shared" ca="1" si="780"/>
        <v>0</v>
      </c>
      <c r="AB754" s="19">
        <f t="shared" ca="1" si="781"/>
        <v>-7.2489299633627088E-2</v>
      </c>
      <c r="AC754" s="19">
        <f t="shared" ca="1" si="782"/>
        <v>0</v>
      </c>
    </row>
    <row r="755" spans="3:29" x14ac:dyDescent="0.25">
      <c r="C755" s="4">
        <v>748</v>
      </c>
      <c r="D755" s="28">
        <v>43067</v>
      </c>
      <c r="E755" s="30">
        <v>20.236000000000001</v>
      </c>
      <c r="F755" s="30">
        <v>53.729200101359915</v>
      </c>
      <c r="G755" s="30">
        <v>8.2819494889771104</v>
      </c>
      <c r="H755" s="30">
        <v>79.440831151279667</v>
      </c>
      <c r="I755" s="8">
        <v>0</v>
      </c>
      <c r="J755" s="31">
        <v>0</v>
      </c>
      <c r="K755" s="31">
        <v>0</v>
      </c>
      <c r="L755" s="31">
        <v>0</v>
      </c>
      <c r="M755" s="31">
        <v>0</v>
      </c>
      <c r="N755" s="31">
        <v>0</v>
      </c>
      <c r="O755" s="31">
        <v>0</v>
      </c>
      <c r="P755" s="31">
        <v>0</v>
      </c>
      <c r="Q755" s="31">
        <v>0</v>
      </c>
      <c r="R755" s="31">
        <v>0</v>
      </c>
      <c r="S755" s="31">
        <v>1</v>
      </c>
      <c r="T755" s="21" cm="1">
        <f t="array" aca="1" ref="T755" ca="1">+fair_value_gap(OFFSET(S754,0,0,-1*$I$5,-1*$Z$1),OFFSET(E754,0,0,-1*$I$5,1),F755:S755,0)</f>
        <v>19.566570904337045</v>
      </c>
      <c r="U755" s="7" cm="1">
        <f t="array" aca="1" ref="U755" ca="1">z_score_diff(OFFSET(T755,0,0,$I$5*-1,1),OFFSET(E755,0,0,$I$5*-1,1))</f>
        <v>-0.37015512449854393</v>
      </c>
      <c r="V755" s="7">
        <f t="shared" ca="1" si="777"/>
        <v>-0.59239789192918613</v>
      </c>
      <c r="W755" s="14">
        <f t="shared" ca="1" si="772"/>
        <v>-2.6286340884897362E-2</v>
      </c>
      <c r="X755" s="10">
        <f t="shared" ref="X755:Y755" ca="1" si="822">+X754</f>
        <v>0</v>
      </c>
      <c r="Y755" s="10">
        <f t="shared" ca="1" si="822"/>
        <v>0</v>
      </c>
      <c r="Z755">
        <f t="shared" ca="1" si="779"/>
        <v>1</v>
      </c>
      <c r="AA755">
        <f t="shared" ca="1" si="780"/>
        <v>0</v>
      </c>
      <c r="AB755" s="19">
        <f t="shared" ca="1" si="781"/>
        <v>-2.6286340884897362E-2</v>
      </c>
      <c r="AC755" s="19">
        <f t="shared" ca="1" si="782"/>
        <v>0</v>
      </c>
    </row>
    <row r="756" spans="3:29" x14ac:dyDescent="0.25">
      <c r="C756" s="4">
        <v>749</v>
      </c>
      <c r="D756" s="28">
        <v>43068</v>
      </c>
      <c r="E756" s="30">
        <v>20.338999999999999</v>
      </c>
      <c r="F756" s="30">
        <v>53.270870262513711</v>
      </c>
      <c r="G756" s="30">
        <v>8.3016797501477164</v>
      </c>
      <c r="H756" s="30">
        <v>79.344981851945633</v>
      </c>
      <c r="I756" s="8">
        <v>0</v>
      </c>
      <c r="J756" s="31">
        <v>0</v>
      </c>
      <c r="K756" s="31">
        <v>0</v>
      </c>
      <c r="L756" s="31">
        <v>0</v>
      </c>
      <c r="M756" s="31">
        <v>0</v>
      </c>
      <c r="N756" s="31">
        <v>0</v>
      </c>
      <c r="O756" s="31">
        <v>0</v>
      </c>
      <c r="P756" s="31">
        <v>0</v>
      </c>
      <c r="Q756" s="31">
        <v>0</v>
      </c>
      <c r="R756" s="31">
        <v>0</v>
      </c>
      <c r="S756" s="31">
        <v>1</v>
      </c>
      <c r="T756" s="21" cm="1">
        <f t="array" aca="1" ref="T756" ca="1">+fair_value_gap(OFFSET(S755,0,0,-1*$I$5,-1*$Z$1),OFFSET(E755,0,0,-1*$I$5,1),F756:S756,0)</f>
        <v>19.612440182071339</v>
      </c>
      <c r="U756" s="7" cm="1">
        <f t="array" aca="1" ref="U756" ca="1">z_score_diff(OFFSET(T756,0,0,$I$5*-1,1),OFFSET(E756,0,0,$I$5*-1,1))</f>
        <v>-0.38799044668164173</v>
      </c>
      <c r="V756" s="7">
        <f t="shared" ca="1" si="777"/>
        <v>-0.58742405416964882</v>
      </c>
      <c r="W756" s="14">
        <f t="shared" ca="1" si="772"/>
        <v>-3.5735961534886104E-2</v>
      </c>
      <c r="X756" s="10">
        <f t="shared" ref="X756:Y756" ca="1" si="823">+X755</f>
        <v>0</v>
      </c>
      <c r="Y756" s="10">
        <f t="shared" ca="1" si="823"/>
        <v>0</v>
      </c>
      <c r="Z756">
        <f t="shared" ca="1" si="779"/>
        <v>1</v>
      </c>
      <c r="AA756">
        <f t="shared" ca="1" si="780"/>
        <v>0</v>
      </c>
      <c r="AB756" s="19">
        <f t="shared" ca="1" si="781"/>
        <v>-3.5735961534886104E-2</v>
      </c>
      <c r="AC756" s="19">
        <f t="shared" ca="1" si="782"/>
        <v>0</v>
      </c>
    </row>
    <row r="757" spans="3:29" x14ac:dyDescent="0.25">
      <c r="C757" s="4">
        <v>750</v>
      </c>
      <c r="D757" s="28">
        <v>43069</v>
      </c>
      <c r="E757" s="30">
        <v>20.303999999999998</v>
      </c>
      <c r="F757" s="30">
        <v>53.411191396403972</v>
      </c>
      <c r="G757" s="30">
        <v>8.2423122164342129</v>
      </c>
      <c r="H757" s="30">
        <v>79.062342463451515</v>
      </c>
      <c r="I757" s="8">
        <v>0</v>
      </c>
      <c r="J757" s="31">
        <v>0</v>
      </c>
      <c r="K757" s="31">
        <v>0</v>
      </c>
      <c r="L757" s="31">
        <v>0</v>
      </c>
      <c r="M757" s="31">
        <v>0</v>
      </c>
      <c r="N757" s="31">
        <v>0</v>
      </c>
      <c r="O757" s="31">
        <v>0</v>
      </c>
      <c r="P757" s="31">
        <v>0</v>
      </c>
      <c r="Q757" s="31">
        <v>0</v>
      </c>
      <c r="R757" s="31">
        <v>0</v>
      </c>
      <c r="S757" s="31">
        <v>1</v>
      </c>
      <c r="T757" s="21" cm="1">
        <f t="array" aca="1" ref="T757" ca="1">+fair_value_gap(OFFSET(S756,0,0,-1*$I$5,-1*$Z$1),OFFSET(E756,0,0,-1*$I$5,1),F757:S757,0)</f>
        <v>19.551356270151334</v>
      </c>
      <c r="U757" s="7" cm="1">
        <f t="array" aca="1" ref="U757" ca="1">z_score_diff(OFFSET(T757,0,0,$I$5*-1,1),OFFSET(E757,0,0,$I$5*-1,1))</f>
        <v>-0.39331218696719517</v>
      </c>
      <c r="V757" s="7">
        <f t="shared" ca="1" si="777"/>
        <v>-0.58269474398741494</v>
      </c>
      <c r="W757" s="14">
        <f t="shared" ca="1" si="772"/>
        <v>-4.4102586488533317E-2</v>
      </c>
      <c r="X757" s="10">
        <f t="shared" ref="X757:Y757" ca="1" si="824">+X756</f>
        <v>0</v>
      </c>
      <c r="Y757" s="10">
        <f t="shared" ca="1" si="824"/>
        <v>0</v>
      </c>
      <c r="Z757">
        <f t="shared" ca="1" si="779"/>
        <v>1</v>
      </c>
      <c r="AA757">
        <f t="shared" ca="1" si="780"/>
        <v>0</v>
      </c>
      <c r="AB757" s="19">
        <f t="shared" ca="1" si="781"/>
        <v>-4.4102586488533317E-2</v>
      </c>
      <c r="AC757" s="19">
        <f t="shared" ca="1" si="782"/>
        <v>0</v>
      </c>
    </row>
    <row r="758" spans="3:29" x14ac:dyDescent="0.25">
      <c r="C758" s="4">
        <v>751</v>
      </c>
      <c r="D758" s="28">
        <v>43070</v>
      </c>
      <c r="E758" s="30">
        <v>20.852</v>
      </c>
      <c r="F758" s="30">
        <v>53.604171923626879</v>
      </c>
      <c r="G758" s="30">
        <v>8.2555303221465213</v>
      </c>
      <c r="H758" s="30">
        <v>79.44318277399276</v>
      </c>
      <c r="I758" s="8">
        <v>0</v>
      </c>
      <c r="J758" s="31">
        <v>0</v>
      </c>
      <c r="K758" s="31">
        <v>0</v>
      </c>
      <c r="L758" s="31">
        <v>0</v>
      </c>
      <c r="M758" s="31">
        <v>0</v>
      </c>
      <c r="N758" s="31">
        <v>0</v>
      </c>
      <c r="O758" s="31">
        <v>0</v>
      </c>
      <c r="P758" s="31">
        <v>0</v>
      </c>
      <c r="Q758" s="31">
        <v>0</v>
      </c>
      <c r="R758" s="31">
        <v>0</v>
      </c>
      <c r="S758" s="31">
        <v>0</v>
      </c>
      <c r="T758" s="21" cm="1">
        <f t="array" aca="1" ref="T758" ca="1">+fair_value_gap(OFFSET(S757,0,0,-1*$I$5,-1*$Z$1),OFFSET(E757,0,0,-1*$I$5,1),F758:S758,0)</f>
        <v>17.887720403973876</v>
      </c>
      <c r="U758" s="7" cm="1">
        <f t="array" aca="1" ref="U758" ca="1">z_score_diff(OFFSET(T758,0,0,$I$5*-1,1),OFFSET(E758,0,0,$I$5*-1,1))</f>
        <v>-1.6010445405957865</v>
      </c>
      <c r="V758" s="7">
        <f t="shared" ca="1" si="777"/>
        <v>-0.64525096598077769</v>
      </c>
      <c r="W758" s="14">
        <f t="shared" ca="1" si="772"/>
        <v>-7.6826770465436456E-2</v>
      </c>
      <c r="X758" s="10">
        <f t="shared" ref="X758:Y758" ca="1" si="825">+X757</f>
        <v>0</v>
      </c>
      <c r="Y758" s="10">
        <f t="shared" ca="1" si="825"/>
        <v>0</v>
      </c>
      <c r="Z758">
        <f t="shared" ca="1" si="779"/>
        <v>1</v>
      </c>
      <c r="AA758">
        <f t="shared" ca="1" si="780"/>
        <v>0</v>
      </c>
      <c r="AB758" s="19">
        <f t="shared" ca="1" si="781"/>
        <v>-7.6826770465436456E-2</v>
      </c>
      <c r="AC758" s="19">
        <f t="shared" ca="1" si="782"/>
        <v>0</v>
      </c>
    </row>
    <row r="759" spans="3:29" x14ac:dyDescent="0.25">
      <c r="C759" s="4">
        <v>752</v>
      </c>
      <c r="D759" s="28">
        <v>43073</v>
      </c>
      <c r="E759" s="30">
        <v>21.303000000000001</v>
      </c>
      <c r="F759" s="30">
        <v>52.638233310856378</v>
      </c>
      <c r="G759" s="30">
        <v>8.2897842211732993</v>
      </c>
      <c r="H759" s="30">
        <v>80.158462575859744</v>
      </c>
      <c r="I759" s="8">
        <v>0</v>
      </c>
      <c r="J759" s="31">
        <v>0</v>
      </c>
      <c r="K759" s="31">
        <v>0</v>
      </c>
      <c r="L759" s="31">
        <v>0</v>
      </c>
      <c r="M759" s="31">
        <v>0</v>
      </c>
      <c r="N759" s="31">
        <v>0</v>
      </c>
      <c r="O759" s="31">
        <v>0</v>
      </c>
      <c r="P759" s="31">
        <v>0</v>
      </c>
      <c r="Q759" s="31">
        <v>0</v>
      </c>
      <c r="R759" s="31">
        <v>0</v>
      </c>
      <c r="S759" s="31">
        <v>0</v>
      </c>
      <c r="T759" s="21" cm="1">
        <f t="array" aca="1" ref="T759" ca="1">+fair_value_gap(OFFSET(S758,0,0,-1*$I$5,-1*$Z$1),OFFSET(E758,0,0,-1*$I$5,1),F759:S759,0)</f>
        <v>18.28667280860358</v>
      </c>
      <c r="U759" s="7" cm="1">
        <f t="array" aca="1" ref="U759" ca="1">z_score_diff(OFFSET(T759,0,0,$I$5*-1,1),OFFSET(E759,0,0,$I$5*-1,1))</f>
        <v>-1.5855320395111339</v>
      </c>
      <c r="V759" s="7">
        <f t="shared" ca="1" si="777"/>
        <v>-0.68969475162365612</v>
      </c>
      <c r="W759" s="14">
        <f t="shared" ca="1" si="772"/>
        <v>-0.10393762883433041</v>
      </c>
      <c r="X759" s="10">
        <f t="shared" ref="X759:Y759" ca="1" si="826">+X758</f>
        <v>0</v>
      </c>
      <c r="Y759" s="10">
        <f t="shared" ca="1" si="826"/>
        <v>0</v>
      </c>
      <c r="Z759">
        <f t="shared" ca="1" si="779"/>
        <v>1</v>
      </c>
      <c r="AA759">
        <f t="shared" ca="1" si="780"/>
        <v>0</v>
      </c>
      <c r="AB759" s="19">
        <f t="shared" ca="1" si="781"/>
        <v>-0.10393762883433041</v>
      </c>
      <c r="AC759" s="19">
        <f t="shared" ca="1" si="782"/>
        <v>0</v>
      </c>
    </row>
    <row r="760" spans="3:29" x14ac:dyDescent="0.25">
      <c r="C760" s="4">
        <v>753</v>
      </c>
      <c r="D760" s="28">
        <v>43074</v>
      </c>
      <c r="E760" s="30">
        <v>21.355</v>
      </c>
      <c r="F760" s="30">
        <v>53.163058186738837</v>
      </c>
      <c r="G760" s="30">
        <v>8.3220568335588645</v>
      </c>
      <c r="H760" s="30">
        <v>80.514208389715847</v>
      </c>
      <c r="I760" s="8">
        <v>0</v>
      </c>
      <c r="J760" s="31">
        <v>0</v>
      </c>
      <c r="K760" s="31">
        <v>0</v>
      </c>
      <c r="L760" s="31">
        <v>0</v>
      </c>
      <c r="M760" s="31">
        <v>0</v>
      </c>
      <c r="N760" s="31">
        <v>0</v>
      </c>
      <c r="O760" s="31">
        <v>0</v>
      </c>
      <c r="P760" s="31">
        <v>0</v>
      </c>
      <c r="Q760" s="31">
        <v>0</v>
      </c>
      <c r="R760" s="31">
        <v>0</v>
      </c>
      <c r="S760" s="31">
        <v>0</v>
      </c>
      <c r="T760" s="21" cm="1">
        <f t="array" aca="1" ref="T760" ca="1">+fair_value_gap(OFFSET(S759,0,0,-1*$I$5,-1*$Z$1),OFFSET(E759,0,0,-1*$I$5,1),F760:S760,0)</f>
        <v>18.634288749119772</v>
      </c>
      <c r="U760" s="7" cm="1">
        <f t="array" aca="1" ref="U760" ca="1">z_score_diff(OFFSET(T760,0,0,$I$5*-1,1),OFFSET(E760,0,0,$I$5*-1,1))</f>
        <v>-1.3872844457772422</v>
      </c>
      <c r="V760" s="7">
        <f t="shared" ca="1" si="777"/>
        <v>-0.72061048160442109</v>
      </c>
      <c r="W760" s="14">
        <f t="shared" ca="1" si="772"/>
        <v>-0.12069643023664774</v>
      </c>
      <c r="X760" s="10">
        <f t="shared" ref="X760:Y760" ca="1" si="827">+X759</f>
        <v>0</v>
      </c>
      <c r="Y760" s="10">
        <f t="shared" ca="1" si="827"/>
        <v>0</v>
      </c>
      <c r="Z760">
        <f t="shared" ca="1" si="779"/>
        <v>1</v>
      </c>
      <c r="AA760">
        <f t="shared" ca="1" si="780"/>
        <v>0</v>
      </c>
      <c r="AB760" s="19">
        <f t="shared" ca="1" si="781"/>
        <v>-0.12069643023664774</v>
      </c>
      <c r="AC760" s="19">
        <f t="shared" ca="1" si="782"/>
        <v>0</v>
      </c>
    </row>
    <row r="761" spans="3:29" x14ac:dyDescent="0.25">
      <c r="C761" s="4">
        <v>754</v>
      </c>
      <c r="D761" s="28">
        <v>43075</v>
      </c>
      <c r="E761" s="30">
        <v>21.175000000000001</v>
      </c>
      <c r="F761" s="30">
        <v>51.903348876642646</v>
      </c>
      <c r="G761" s="30">
        <v>8.3552352691818577</v>
      </c>
      <c r="H761" s="30">
        <v>80.712166172106834</v>
      </c>
      <c r="I761" s="8">
        <v>0</v>
      </c>
      <c r="J761" s="31">
        <v>0</v>
      </c>
      <c r="K761" s="31">
        <v>0</v>
      </c>
      <c r="L761" s="31">
        <v>0</v>
      </c>
      <c r="M761" s="31">
        <v>0</v>
      </c>
      <c r="N761" s="31">
        <v>0</v>
      </c>
      <c r="O761" s="31">
        <v>0</v>
      </c>
      <c r="P761" s="31">
        <v>0</v>
      </c>
      <c r="Q761" s="31">
        <v>0</v>
      </c>
      <c r="R761" s="31">
        <v>0</v>
      </c>
      <c r="S761" s="31">
        <v>0</v>
      </c>
      <c r="T761" s="21" cm="1">
        <f t="array" aca="1" ref="T761" ca="1">+fair_value_gap(OFFSET(S760,0,0,-1*$I$5,-1*$Z$1),OFFSET(E760,0,0,-1*$I$5,1),F761:S761,0)</f>
        <v>19.055203862229934</v>
      </c>
      <c r="U761" s="7" cm="1">
        <f t="array" aca="1" ref="U761" ca="1">z_score_diff(OFFSET(T761,0,0,$I$5*-1,1),OFFSET(E761,0,0,$I$5*-1,1))</f>
        <v>-1.0286859649251954</v>
      </c>
      <c r="V761" s="7">
        <f t="shared" ca="1" si="777"/>
        <v>-0.73627284057344378</v>
      </c>
      <c r="W761" s="14">
        <f t="shared" ca="1" si="772"/>
        <v>-0.1052818095856122</v>
      </c>
      <c r="X761" s="10">
        <f t="shared" ref="X761:Y761" ca="1" si="828">+X760</f>
        <v>0</v>
      </c>
      <c r="Y761" s="10">
        <f t="shared" ca="1" si="828"/>
        <v>0</v>
      </c>
      <c r="Z761">
        <f t="shared" ca="1" si="779"/>
        <v>1</v>
      </c>
      <c r="AA761">
        <f t="shared" ca="1" si="780"/>
        <v>0</v>
      </c>
      <c r="AB761" s="19">
        <f t="shared" ca="1" si="781"/>
        <v>-0.1052818095856122</v>
      </c>
      <c r="AC761" s="19">
        <f t="shared" ca="1" si="782"/>
        <v>0</v>
      </c>
    </row>
    <row r="762" spans="3:29" x14ac:dyDescent="0.25">
      <c r="C762" s="4">
        <v>755</v>
      </c>
      <c r="D762" s="28">
        <v>43076</v>
      </c>
      <c r="E762" s="30">
        <v>21.375</v>
      </c>
      <c r="F762" s="30">
        <v>52.841729674624077</v>
      </c>
      <c r="G762" s="30">
        <v>8.4020049273638602</v>
      </c>
      <c r="H762" s="30">
        <v>81.131594596890665</v>
      </c>
      <c r="I762" s="8">
        <v>0</v>
      </c>
      <c r="J762" s="31">
        <v>0</v>
      </c>
      <c r="K762" s="31">
        <v>0</v>
      </c>
      <c r="L762" s="31">
        <v>0</v>
      </c>
      <c r="M762" s="31">
        <v>0</v>
      </c>
      <c r="N762" s="31">
        <v>0</v>
      </c>
      <c r="O762" s="31">
        <v>0</v>
      </c>
      <c r="P762" s="31">
        <v>0</v>
      </c>
      <c r="Q762" s="31">
        <v>0</v>
      </c>
      <c r="R762" s="31">
        <v>0</v>
      </c>
      <c r="S762" s="31">
        <v>0</v>
      </c>
      <c r="T762" s="21" cm="1">
        <f t="array" aca="1" ref="T762" ca="1">+fair_value_gap(OFFSET(S761,0,0,-1*$I$5,-1*$Z$1),OFFSET(E761,0,0,-1*$I$5,1),F762:S762,0)</f>
        <v>19.426806667204517</v>
      </c>
      <c r="U762" s="7" cm="1">
        <f t="array" aca="1" ref="U762" ca="1">z_score_diff(OFFSET(T762,0,0,$I$5*-1,1),OFFSET(E762,0,0,$I$5*-1,1))</f>
        <v>-0.89672767896065508</v>
      </c>
      <c r="V762" s="7">
        <f t="shared" ca="1" si="777"/>
        <v>-0.74169233907038601</v>
      </c>
      <c r="W762" s="14">
        <f t="shared" ca="1" si="772"/>
        <v>-9.4580621435358544E-2</v>
      </c>
      <c r="X762" s="10">
        <f t="shared" ref="X762:Y762" ca="1" si="829">+X761</f>
        <v>0</v>
      </c>
      <c r="Y762" s="10">
        <f t="shared" ca="1" si="829"/>
        <v>0</v>
      </c>
      <c r="Z762">
        <f t="shared" ca="1" si="779"/>
        <v>1</v>
      </c>
      <c r="AA762">
        <f t="shared" ca="1" si="780"/>
        <v>0</v>
      </c>
      <c r="AB762" s="19">
        <f t="shared" ca="1" si="781"/>
        <v>-9.4580621435358544E-2</v>
      </c>
      <c r="AC762" s="19">
        <f t="shared" ca="1" si="782"/>
        <v>0</v>
      </c>
    </row>
    <row r="763" spans="3:29" x14ac:dyDescent="0.25">
      <c r="C763" s="4">
        <v>756</v>
      </c>
      <c r="D763" s="28">
        <v>43077</v>
      </c>
      <c r="E763" s="30">
        <v>20.95</v>
      </c>
      <c r="F763" s="30">
        <v>53.893233594015648</v>
      </c>
      <c r="G763" s="30">
        <v>8.407004420265217</v>
      </c>
      <c r="H763" s="30">
        <v>81.392383543012585</v>
      </c>
      <c r="I763" s="8">
        <v>0</v>
      </c>
      <c r="J763" s="31">
        <v>0</v>
      </c>
      <c r="K763" s="31">
        <v>0</v>
      </c>
      <c r="L763" s="31">
        <v>0</v>
      </c>
      <c r="M763" s="31">
        <v>0</v>
      </c>
      <c r="N763" s="31">
        <v>0</v>
      </c>
      <c r="O763" s="31">
        <v>0</v>
      </c>
      <c r="P763" s="31">
        <v>0</v>
      </c>
      <c r="Q763" s="31">
        <v>0</v>
      </c>
      <c r="R763" s="31">
        <v>0</v>
      </c>
      <c r="S763" s="31">
        <v>0</v>
      </c>
      <c r="T763" s="21" cm="1">
        <f t="array" aca="1" ref="T763" ca="1">+fair_value_gap(OFFSET(S762,0,0,-1*$I$5,-1*$Z$1),OFFSET(E762,0,0,-1*$I$5,1),F763:S763,0)</f>
        <v>19.704282033588804</v>
      </c>
      <c r="U763" s="7" cm="1">
        <f t="array" aca="1" ref="U763" ca="1">z_score_diff(OFFSET(T763,0,0,$I$5*-1,1),OFFSET(E763,0,0,$I$5*-1,1))</f>
        <v>-0.50772967068508645</v>
      </c>
      <c r="V763" s="7">
        <f t="shared" ca="1" si="777"/>
        <v>-0.72537556858573082</v>
      </c>
      <c r="W763" s="14">
        <f t="shared" ca="1" si="772"/>
        <v>-7.110898545452754E-2</v>
      </c>
      <c r="X763" s="10">
        <f t="shared" ref="X763:Y763" ca="1" si="830">+X762</f>
        <v>0</v>
      </c>
      <c r="Y763" s="10">
        <f t="shared" ca="1" si="830"/>
        <v>0</v>
      </c>
      <c r="Z763">
        <f t="shared" ca="1" si="779"/>
        <v>1</v>
      </c>
      <c r="AA763">
        <f t="shared" ca="1" si="780"/>
        <v>0</v>
      </c>
      <c r="AB763" s="19">
        <f t="shared" ca="1" si="781"/>
        <v>-7.110898545452754E-2</v>
      </c>
      <c r="AC763" s="19">
        <f t="shared" ca="1" si="782"/>
        <v>0</v>
      </c>
    </row>
    <row r="764" spans="3:29" x14ac:dyDescent="0.25">
      <c r="C764" s="4">
        <v>757</v>
      </c>
      <c r="D764" s="28">
        <v>43080</v>
      </c>
      <c r="E764" s="30">
        <v>20.984999999999999</v>
      </c>
      <c r="F764" s="30">
        <v>54.971108089734869</v>
      </c>
      <c r="G764" s="30">
        <v>8.4126444595513252</v>
      </c>
      <c r="H764" s="30">
        <v>81.492182188987087</v>
      </c>
      <c r="I764" s="8">
        <v>0</v>
      </c>
      <c r="J764" s="31">
        <v>0</v>
      </c>
      <c r="K764" s="31">
        <v>0</v>
      </c>
      <c r="L764" s="31">
        <v>0</v>
      </c>
      <c r="M764" s="31">
        <v>0</v>
      </c>
      <c r="N764" s="31">
        <v>0</v>
      </c>
      <c r="O764" s="31">
        <v>0</v>
      </c>
      <c r="P764" s="31">
        <v>0</v>
      </c>
      <c r="Q764" s="31">
        <v>0</v>
      </c>
      <c r="R764" s="31">
        <v>0</v>
      </c>
      <c r="S764" s="31">
        <v>0</v>
      </c>
      <c r="T764" s="21" cm="1">
        <f t="array" aca="1" ref="T764" ca="1">+fair_value_gap(OFFSET(S763,0,0,-1*$I$5,-1*$Z$1),OFFSET(E763,0,0,-1*$I$5,1),F764:S764,0)</f>
        <v>19.924194452495449</v>
      </c>
      <c r="U764" s="7" cm="1">
        <f t="array" aca="1" ref="U764" ca="1">z_score_diff(OFFSET(T764,0,0,$I$5*-1,1),OFFSET(E764,0,0,$I$5*-1,1))</f>
        <v>-0.39122192752306573</v>
      </c>
      <c r="V764" s="7">
        <f t="shared" ca="1" si="777"/>
        <v>-0.70091706554491928</v>
      </c>
      <c r="W764" s="14">
        <f t="shared" ca="1" si="772"/>
        <v>-8.2046142802716437E-2</v>
      </c>
      <c r="X764" s="10">
        <f t="shared" ref="X764:Y764" ca="1" si="831">+X763</f>
        <v>0</v>
      </c>
      <c r="Y764" s="10">
        <f t="shared" ca="1" si="831"/>
        <v>0</v>
      </c>
      <c r="Z764">
        <f t="shared" ca="1" si="779"/>
        <v>1</v>
      </c>
      <c r="AA764">
        <f t="shared" ca="1" si="780"/>
        <v>0</v>
      </c>
      <c r="AB764" s="19">
        <f t="shared" ca="1" si="781"/>
        <v>-8.2046142802716437E-2</v>
      </c>
      <c r="AC764" s="19">
        <f t="shared" ca="1" si="782"/>
        <v>0</v>
      </c>
    </row>
    <row r="765" spans="3:29" x14ac:dyDescent="0.25">
      <c r="C765" s="4">
        <v>758</v>
      </c>
      <c r="D765" s="28">
        <v>43081</v>
      </c>
      <c r="E765" s="30">
        <v>21.763999999999999</v>
      </c>
      <c r="F765" s="30">
        <v>53.952299829642257</v>
      </c>
      <c r="G765" s="30">
        <v>8.4454855195911414</v>
      </c>
      <c r="H765" s="30">
        <v>82.240204429301542</v>
      </c>
      <c r="I765" s="8">
        <v>0</v>
      </c>
      <c r="J765" s="31">
        <v>0</v>
      </c>
      <c r="K765" s="31">
        <v>0</v>
      </c>
      <c r="L765" s="31">
        <v>0</v>
      </c>
      <c r="M765" s="31">
        <v>0</v>
      </c>
      <c r="N765" s="31">
        <v>0</v>
      </c>
      <c r="O765" s="31">
        <v>0</v>
      </c>
      <c r="P765" s="31">
        <v>0</v>
      </c>
      <c r="Q765" s="31">
        <v>0</v>
      </c>
      <c r="R765" s="31">
        <v>0</v>
      </c>
      <c r="S765" s="31">
        <v>0</v>
      </c>
      <c r="T765" s="21" cm="1">
        <f t="array" aca="1" ref="T765" ca="1">+fair_value_gap(OFFSET(S764,0,0,-1*$I$5,-1*$Z$1),OFFSET(E764,0,0,-1*$I$5,1),F765:S765,0)</f>
        <v>20.412329055547833</v>
      </c>
      <c r="U765" s="7" cm="1">
        <f t="array" aca="1" ref="U765" ca="1">z_score_diff(OFFSET(T765,0,0,$I$5*-1,1),OFFSET(E765,0,0,$I$5*-1,1))</f>
        <v>-0.49657284467285367</v>
      </c>
      <c r="V765" s="7">
        <f t="shared" ca="1" si="777"/>
        <v>-0.69488767930315953</v>
      </c>
      <c r="W765" s="14">
        <f t="shared" ca="1" si="772"/>
        <v>-9.1851730456148861E-2</v>
      </c>
      <c r="X765" s="10">
        <f t="shared" ref="X765:Y765" ca="1" si="832">+X764</f>
        <v>0</v>
      </c>
      <c r="Y765" s="10">
        <f t="shared" ca="1" si="832"/>
        <v>0</v>
      </c>
      <c r="Z765">
        <f t="shared" ca="1" si="779"/>
        <v>1</v>
      </c>
      <c r="AA765">
        <f t="shared" ca="1" si="780"/>
        <v>0</v>
      </c>
      <c r="AB765" s="19">
        <f t="shared" ca="1" si="781"/>
        <v>-9.1851730456148861E-2</v>
      </c>
      <c r="AC765" s="19">
        <f t="shared" ca="1" si="782"/>
        <v>0</v>
      </c>
    </row>
    <row r="766" spans="3:29" x14ac:dyDescent="0.25">
      <c r="C766" s="4">
        <v>759</v>
      </c>
      <c r="D766" s="28">
        <v>43082</v>
      </c>
      <c r="E766" s="30">
        <v>20.648</v>
      </c>
      <c r="F766" s="30">
        <v>52.803382663847771</v>
      </c>
      <c r="G766" s="30">
        <v>8.3974630021141632</v>
      </c>
      <c r="H766" s="30">
        <v>80.338266384778009</v>
      </c>
      <c r="I766" s="8">
        <v>0</v>
      </c>
      <c r="J766" s="31">
        <v>0</v>
      </c>
      <c r="K766" s="31">
        <v>0</v>
      </c>
      <c r="L766" s="31">
        <v>0</v>
      </c>
      <c r="M766" s="31">
        <v>0</v>
      </c>
      <c r="N766" s="31">
        <v>0</v>
      </c>
      <c r="O766" s="31">
        <v>0</v>
      </c>
      <c r="P766" s="31">
        <v>0</v>
      </c>
      <c r="Q766" s="31">
        <v>0</v>
      </c>
      <c r="R766" s="31">
        <v>0</v>
      </c>
      <c r="S766" s="31">
        <v>0</v>
      </c>
      <c r="T766" s="21" cm="1">
        <f t="array" aca="1" ref="T766" ca="1">+fair_value_gap(OFFSET(S765,0,0,-1*$I$5,-1*$Z$1),OFFSET(E765,0,0,-1*$I$5,1),F766:S766,0)</f>
        <v>20.275299451759743</v>
      </c>
      <c r="U766" s="7" cm="1">
        <f t="array" aca="1" ref="U766" ca="1">z_score_diff(OFFSET(T766,0,0,$I$5*-1,1),OFFSET(E766,0,0,$I$5*-1,1))</f>
        <v>-1.4770870331009656E-2</v>
      </c>
      <c r="V766" s="7">
        <f t="shared" ca="1" si="777"/>
        <v>-0.67789014443597828</v>
      </c>
      <c r="W766" s="14">
        <f t="shared" ca="1" si="772"/>
        <v>-7.4011115162992788E-2</v>
      </c>
      <c r="X766" s="10">
        <f t="shared" ref="X766:Y766" ca="1" si="833">+X765</f>
        <v>0</v>
      </c>
      <c r="Y766" s="10">
        <f t="shared" ca="1" si="833"/>
        <v>0</v>
      </c>
      <c r="Z766">
        <f t="shared" ca="1" si="779"/>
        <v>1</v>
      </c>
      <c r="AA766">
        <f t="shared" ca="1" si="780"/>
        <v>0</v>
      </c>
      <c r="AB766" s="19">
        <f t="shared" ca="1" si="781"/>
        <v>-7.4011115162992788E-2</v>
      </c>
      <c r="AC766" s="19">
        <f t="shared" ca="1" si="782"/>
        <v>0</v>
      </c>
    </row>
    <row r="767" spans="3:29" x14ac:dyDescent="0.25">
      <c r="C767" s="4">
        <v>760</v>
      </c>
      <c r="D767" s="28">
        <v>43083</v>
      </c>
      <c r="E767" s="30">
        <v>21.303000000000001</v>
      </c>
      <c r="F767" s="30">
        <v>53.757323596841303</v>
      </c>
      <c r="G767" s="30">
        <v>8.4571622654326237</v>
      </c>
      <c r="H767" s="30">
        <v>80.877982508278848</v>
      </c>
      <c r="I767" s="8">
        <v>0</v>
      </c>
      <c r="J767" s="31">
        <v>0</v>
      </c>
      <c r="K767" s="31">
        <v>0</v>
      </c>
      <c r="L767" s="31">
        <v>0</v>
      </c>
      <c r="M767" s="31">
        <v>0</v>
      </c>
      <c r="N767" s="31">
        <v>0</v>
      </c>
      <c r="O767" s="31">
        <v>0</v>
      </c>
      <c r="P767" s="31">
        <v>0</v>
      </c>
      <c r="Q767" s="31">
        <v>0</v>
      </c>
      <c r="R767" s="31">
        <v>0</v>
      </c>
      <c r="S767" s="31">
        <v>0</v>
      </c>
      <c r="T767" s="21" cm="1">
        <f t="array" aca="1" ref="T767" ca="1">+fair_value_gap(OFFSET(S766,0,0,-1*$I$5,-1*$Z$1),OFFSET(E766,0,0,-1*$I$5,1),F767:S767,0)</f>
        <v>20.562402871803517</v>
      </c>
      <c r="U767" s="7" cm="1">
        <f t="array" aca="1" ref="U767" ca="1">z_score_diff(OFFSET(T767,0,0,$I$5*-1,1),OFFSET(E767,0,0,$I$5*-1,1))</f>
        <v>-0.17750357341458667</v>
      </c>
      <c r="V767" s="7">
        <f t="shared" ca="1" si="777"/>
        <v>-0.66969308821797879</v>
      </c>
      <c r="W767" s="14">
        <f t="shared" ca="1" si="772"/>
        <v>-0.11446156166566346</v>
      </c>
      <c r="X767" s="10">
        <f t="shared" ref="X767:Y767" ca="1" si="834">+X766</f>
        <v>0</v>
      </c>
      <c r="Y767" s="10">
        <f t="shared" ca="1" si="834"/>
        <v>0</v>
      </c>
      <c r="Z767">
        <f t="shared" ca="1" si="779"/>
        <v>1</v>
      </c>
      <c r="AA767">
        <f t="shared" ca="1" si="780"/>
        <v>0</v>
      </c>
      <c r="AB767" s="19">
        <f t="shared" ca="1" si="781"/>
        <v>-0.11446156166566346</v>
      </c>
      <c r="AC767" s="19">
        <f t="shared" ca="1" si="782"/>
        <v>0</v>
      </c>
    </row>
    <row r="768" spans="3:29" x14ac:dyDescent="0.25">
      <c r="C768" s="4">
        <v>761</v>
      </c>
      <c r="D768" s="28">
        <v>43084</v>
      </c>
      <c r="E768" s="30">
        <v>21.036000000000001</v>
      </c>
      <c r="F768" s="30">
        <v>53.803607896528248</v>
      </c>
      <c r="G768" s="30">
        <v>8.4794077603812106</v>
      </c>
      <c r="H768" s="30">
        <v>80.752212389380531</v>
      </c>
      <c r="I768" s="8">
        <v>0</v>
      </c>
      <c r="J768" s="31">
        <v>0</v>
      </c>
      <c r="K768" s="31">
        <v>0</v>
      </c>
      <c r="L768" s="31">
        <v>0</v>
      </c>
      <c r="M768" s="31">
        <v>0</v>
      </c>
      <c r="N768" s="31">
        <v>0</v>
      </c>
      <c r="O768" s="31">
        <v>0</v>
      </c>
      <c r="P768" s="31">
        <v>0</v>
      </c>
      <c r="Q768" s="31">
        <v>0</v>
      </c>
      <c r="R768" s="31">
        <v>0</v>
      </c>
      <c r="S768" s="31">
        <v>0</v>
      </c>
      <c r="T768" s="21" cm="1">
        <f t="array" aca="1" ref="T768" ca="1">+fair_value_gap(OFFSET(S767,0,0,-1*$I$5,-1*$Z$1),OFFSET(E767,0,0,-1*$I$5,1),F768:S768,0)</f>
        <v>20.748903973832</v>
      </c>
      <c r="U768" s="7" cm="1">
        <f t="array" aca="1" ref="U768" ca="1">z_score_diff(OFFSET(T768,0,0,$I$5*-1,1),OFFSET(E768,0,0,$I$5*-1,1))</f>
        <v>5.2698494553931496E-2</v>
      </c>
      <c r="V768" s="7">
        <f t="shared" ca="1" si="777"/>
        <v>-0.65882519738411482</v>
      </c>
      <c r="W768" s="14">
        <f t="shared" ca="1" si="772"/>
        <v>-0.13035820742257129</v>
      </c>
      <c r="X768" s="10">
        <f t="shared" ref="X768:Y768" ca="1" si="835">+X767</f>
        <v>0</v>
      </c>
      <c r="Y768" s="10">
        <f t="shared" ca="1" si="835"/>
        <v>0</v>
      </c>
      <c r="Z768">
        <f t="shared" ca="1" si="779"/>
        <v>1</v>
      </c>
      <c r="AA768">
        <f t="shared" ca="1" si="780"/>
        <v>0</v>
      </c>
      <c r="AB768" s="19">
        <f t="shared" ca="1" si="781"/>
        <v>-0.13035820742257129</v>
      </c>
      <c r="AC768" s="19">
        <f t="shared" ca="1" si="782"/>
        <v>0</v>
      </c>
    </row>
    <row r="769" spans="3:29" x14ac:dyDescent="0.25">
      <c r="C769" s="4">
        <v>762</v>
      </c>
      <c r="D769" s="28">
        <v>43087</v>
      </c>
      <c r="E769" s="30">
        <v>20.475000000000001</v>
      </c>
      <c r="F769" s="30">
        <v>53.823953823953822</v>
      </c>
      <c r="G769" s="30">
        <v>9.1673032849503446</v>
      </c>
      <c r="H769" s="30">
        <v>80.808080808080817</v>
      </c>
      <c r="I769" s="8">
        <v>0</v>
      </c>
      <c r="J769" s="31">
        <v>0</v>
      </c>
      <c r="K769" s="31">
        <v>0</v>
      </c>
      <c r="L769" s="31">
        <v>0</v>
      </c>
      <c r="M769" s="31">
        <v>0</v>
      </c>
      <c r="N769" s="31">
        <v>0</v>
      </c>
      <c r="O769" s="31">
        <v>0</v>
      </c>
      <c r="P769" s="31">
        <v>0</v>
      </c>
      <c r="Q769" s="31">
        <v>0</v>
      </c>
      <c r="R769" s="31">
        <v>0</v>
      </c>
      <c r="S769" s="31">
        <v>0</v>
      </c>
      <c r="T769" s="21" cm="1">
        <f t="array" aca="1" ref="T769" ca="1">+fair_value_gap(OFFSET(S768,0,0,-1*$I$5,-1*$Z$1),OFFSET(E768,0,0,-1*$I$5,1),F769:S769,0)</f>
        <v>21.383823407380124</v>
      </c>
      <c r="U769" s="7" cm="1">
        <f t="array" aca="1" ref="U769" ca="1">z_score_diff(OFFSET(T769,0,0,$I$5*-1,1),OFFSET(E769,0,0,$I$5*-1,1))</f>
        <v>0.65194456938940504</v>
      </c>
      <c r="V769" s="7">
        <f t="shared" ca="1" si="777"/>
        <v>-0.60552396074881265</v>
      </c>
      <c r="W769" s="14">
        <f t="shared" ca="1" si="772"/>
        <v>-0.11230356989175794</v>
      </c>
      <c r="X769" s="10">
        <f t="shared" ref="X769:Y769" ca="1" si="836">+X768</f>
        <v>0</v>
      </c>
      <c r="Y769" s="10">
        <f t="shared" ca="1" si="836"/>
        <v>0</v>
      </c>
      <c r="Z769">
        <f t="shared" ca="1" si="779"/>
        <v>1</v>
      </c>
      <c r="AA769">
        <f t="shared" ca="1" si="780"/>
        <v>0</v>
      </c>
      <c r="AB769" s="19">
        <f t="shared" ca="1" si="781"/>
        <v>-0.11230356989175794</v>
      </c>
      <c r="AC769" s="19">
        <f t="shared" ca="1" si="782"/>
        <v>0</v>
      </c>
    </row>
    <row r="770" spans="3:29" x14ac:dyDescent="0.25">
      <c r="C770" s="4">
        <v>763</v>
      </c>
      <c r="D770" s="28">
        <v>43088</v>
      </c>
      <c r="E770" s="30">
        <v>20.122</v>
      </c>
      <c r="F770" s="30">
        <v>53.894238891704681</v>
      </c>
      <c r="G770" s="30">
        <v>9.1611758743030922</v>
      </c>
      <c r="H770" s="30">
        <v>80.756884608886637</v>
      </c>
      <c r="I770" s="8">
        <v>0</v>
      </c>
      <c r="J770" s="31">
        <v>0</v>
      </c>
      <c r="K770" s="31">
        <v>0</v>
      </c>
      <c r="L770" s="31">
        <v>0</v>
      </c>
      <c r="M770" s="31">
        <v>0</v>
      </c>
      <c r="N770" s="31">
        <v>0</v>
      </c>
      <c r="O770" s="31">
        <v>0</v>
      </c>
      <c r="P770" s="31">
        <v>0</v>
      </c>
      <c r="Q770" s="31">
        <v>0</v>
      </c>
      <c r="R770" s="31">
        <v>0</v>
      </c>
      <c r="S770" s="31">
        <v>0</v>
      </c>
      <c r="T770" s="21" cm="1">
        <f t="array" aca="1" ref="T770" ca="1">+fair_value_gap(OFFSET(S769,0,0,-1*$I$5,-1*$Z$1),OFFSET(E769,0,0,-1*$I$5,1),F770:S770,0)</f>
        <v>21.391413830909297</v>
      </c>
      <c r="U770" s="7" cm="1">
        <f t="array" aca="1" ref="U770" ca="1">z_score_diff(OFFSET(T770,0,0,$I$5*-1,1),OFFSET(E770,0,0,$I$5*-1,1))</f>
        <v>0.80247948189173002</v>
      </c>
      <c r="V770" s="7">
        <f t="shared" ca="1" si="777"/>
        <v>-0.53637966390484038</v>
      </c>
      <c r="W770" s="14">
        <f t="shared" ca="1" si="772"/>
        <v>-0.10165668523889723</v>
      </c>
      <c r="X770" s="10">
        <f t="shared" ref="X770:Y770" ca="1" si="837">+X769</f>
        <v>0</v>
      </c>
      <c r="Y770" s="10">
        <f t="shared" ca="1" si="837"/>
        <v>0</v>
      </c>
      <c r="Z770">
        <f t="shared" ca="1" si="779"/>
        <v>1</v>
      </c>
      <c r="AA770">
        <f t="shared" ca="1" si="780"/>
        <v>0</v>
      </c>
      <c r="AB770" s="19">
        <f t="shared" ca="1" si="781"/>
        <v>-0.10165668523889723</v>
      </c>
      <c r="AC770" s="19">
        <f t="shared" ca="1" si="782"/>
        <v>0</v>
      </c>
    </row>
    <row r="771" spans="3:29" x14ac:dyDescent="0.25">
      <c r="C771" s="4">
        <v>764</v>
      </c>
      <c r="D771" s="28">
        <v>43089</v>
      </c>
      <c r="E771" s="30">
        <v>20.335999999999999</v>
      </c>
      <c r="F771" s="30">
        <v>54.393798972112222</v>
      </c>
      <c r="G771" s="30">
        <v>9.2341393546212824</v>
      </c>
      <c r="H771" s="30">
        <v>80.503833515881695</v>
      </c>
      <c r="I771" s="8">
        <v>0</v>
      </c>
      <c r="J771" s="31">
        <v>0</v>
      </c>
      <c r="K771" s="31">
        <v>0</v>
      </c>
      <c r="L771" s="31">
        <v>0</v>
      </c>
      <c r="M771" s="31">
        <v>0</v>
      </c>
      <c r="N771" s="31">
        <v>0</v>
      </c>
      <c r="O771" s="31">
        <v>0</v>
      </c>
      <c r="P771" s="31">
        <v>0</v>
      </c>
      <c r="Q771" s="31">
        <v>0</v>
      </c>
      <c r="R771" s="31">
        <v>0</v>
      </c>
      <c r="S771" s="31">
        <v>0</v>
      </c>
      <c r="T771" s="21" cm="1">
        <f t="array" aca="1" ref="T771" ca="1">+fair_value_gap(OFFSET(S770,0,0,-1*$I$5,-1*$Z$1),OFFSET(E770,0,0,-1*$I$5,1),F771:S771,0)</f>
        <v>21.310756920482877</v>
      </c>
      <c r="U771" s="7" cm="1">
        <f t="array" aca="1" ref="U771" ca="1">z_score_diff(OFFSET(T771,0,0,$I$5*-1,1),OFFSET(E771,0,0,$I$5*-1,1))</f>
        <v>0.65587327249587934</v>
      </c>
      <c r="V771" s="7">
        <f t="shared" ca="1" si="777"/>
        <v>-0.47746577213791658</v>
      </c>
      <c r="W771" s="14">
        <f t="shared" ca="1" si="772"/>
        <v>-9.2516093196642862E-2</v>
      </c>
      <c r="X771" s="10">
        <f t="shared" ref="X771:Y771" ca="1" si="838">+X770</f>
        <v>0</v>
      </c>
      <c r="Y771" s="10">
        <f t="shared" ca="1" si="838"/>
        <v>0</v>
      </c>
      <c r="Z771">
        <f t="shared" ca="1" si="779"/>
        <v>1</v>
      </c>
      <c r="AA771">
        <f t="shared" ca="1" si="780"/>
        <v>0</v>
      </c>
      <c r="AB771" s="19">
        <f t="shared" ca="1" si="781"/>
        <v>-9.2516093196642862E-2</v>
      </c>
      <c r="AC771" s="19">
        <f t="shared" ca="1" si="782"/>
        <v>0</v>
      </c>
    </row>
    <row r="772" spans="3:29" x14ac:dyDescent="0.25">
      <c r="C772" s="4">
        <v>765</v>
      </c>
      <c r="D772" s="28">
        <v>43090</v>
      </c>
      <c r="E772" s="30">
        <v>20.015999999999998</v>
      </c>
      <c r="F772" s="30">
        <v>54.661837783205598</v>
      </c>
      <c r="G772" s="30">
        <v>9.3026193885285942</v>
      </c>
      <c r="H772" s="30">
        <v>80.308262444201119</v>
      </c>
      <c r="I772" s="8">
        <v>0</v>
      </c>
      <c r="J772" s="31">
        <v>0</v>
      </c>
      <c r="K772" s="31">
        <v>0</v>
      </c>
      <c r="L772" s="31">
        <v>0</v>
      </c>
      <c r="M772" s="31">
        <v>0</v>
      </c>
      <c r="N772" s="31">
        <v>0</v>
      </c>
      <c r="O772" s="31">
        <v>0</v>
      </c>
      <c r="P772" s="31">
        <v>0</v>
      </c>
      <c r="Q772" s="31">
        <v>0</v>
      </c>
      <c r="R772" s="31">
        <v>0</v>
      </c>
      <c r="S772" s="31">
        <v>0</v>
      </c>
      <c r="T772" s="21" cm="1">
        <f t="array" aca="1" ref="T772" ca="1">+fair_value_gap(OFFSET(S771,0,0,-1*$I$5,-1*$Z$1),OFFSET(E771,0,0,-1*$I$5,1),F772:S772,0)</f>
        <v>21.22151938964441</v>
      </c>
      <c r="U772" s="7" cm="1">
        <f t="array" aca="1" ref="U772" ca="1">z_score_diff(OFFSET(T772,0,0,$I$5*-1,1),OFFSET(E772,0,0,$I$5*-1,1))</f>
        <v>0.76686810437390984</v>
      </c>
      <c r="V772" s="7">
        <f t="shared" ca="1" si="777"/>
        <v>-0.40492552813192956</v>
      </c>
      <c r="W772" s="14">
        <f t="shared" ca="1" si="772"/>
        <v>-9.3243970561844067E-2</v>
      </c>
      <c r="X772" s="10">
        <f t="shared" ref="X772:Y772" ca="1" si="839">+X771</f>
        <v>0</v>
      </c>
      <c r="Y772" s="10">
        <f t="shared" ca="1" si="839"/>
        <v>0</v>
      </c>
      <c r="Z772">
        <f t="shared" ca="1" si="779"/>
        <v>1</v>
      </c>
      <c r="AA772">
        <f t="shared" ca="1" si="780"/>
        <v>0</v>
      </c>
      <c r="AB772" s="19">
        <f t="shared" ca="1" si="781"/>
        <v>-9.3243970561844067E-2</v>
      </c>
      <c r="AC772" s="19">
        <f t="shared" ca="1" si="782"/>
        <v>0</v>
      </c>
    </row>
    <row r="773" spans="3:29" x14ac:dyDescent="0.25">
      <c r="C773" s="4">
        <v>766</v>
      </c>
      <c r="D773" s="28">
        <v>43091</v>
      </c>
      <c r="E773" s="30">
        <v>19.675000000000001</v>
      </c>
      <c r="F773" s="30">
        <v>55.030783503415705</v>
      </c>
      <c r="G773" s="30">
        <v>9.315172471957494</v>
      </c>
      <c r="H773" s="30">
        <v>80.416631525681026</v>
      </c>
      <c r="I773" s="8">
        <v>0</v>
      </c>
      <c r="J773" s="31">
        <v>0</v>
      </c>
      <c r="K773" s="31">
        <v>0</v>
      </c>
      <c r="L773" s="31">
        <v>0</v>
      </c>
      <c r="M773" s="31">
        <v>0</v>
      </c>
      <c r="N773" s="31">
        <v>0</v>
      </c>
      <c r="O773" s="31">
        <v>0</v>
      </c>
      <c r="P773" s="31">
        <v>0</v>
      </c>
      <c r="Q773" s="31">
        <v>0</v>
      </c>
      <c r="R773" s="31">
        <v>0</v>
      </c>
      <c r="S773" s="31">
        <v>0</v>
      </c>
      <c r="T773" s="21" cm="1">
        <f t="array" aca="1" ref="T773" ca="1">+fair_value_gap(OFFSET(S772,0,0,-1*$I$5,-1*$Z$1),OFFSET(E772,0,0,-1*$I$5,1),F773:S773,0)</f>
        <v>21.162059539316616</v>
      </c>
      <c r="U773" s="7" cm="1">
        <f t="array" aca="1" ref="U773" ca="1">z_score_diff(OFFSET(T773,0,0,$I$5*-1,1),OFFSET(E773,0,0,$I$5*-1,1))</f>
        <v>0.89651575497329694</v>
      </c>
      <c r="V773" s="7">
        <f t="shared" ca="1" si="777"/>
        <v>-0.3122205877501894</v>
      </c>
      <c r="W773" s="14">
        <f t="shared" ca="1" si="772"/>
        <v>-9.6673243041772702E-2</v>
      </c>
      <c r="X773" s="10">
        <f t="shared" ref="X773:Y773" ca="1" si="840">+X772</f>
        <v>0</v>
      </c>
      <c r="Y773" s="10">
        <f t="shared" ca="1" si="840"/>
        <v>0</v>
      </c>
      <c r="Z773">
        <f t="shared" ca="1" si="779"/>
        <v>1</v>
      </c>
      <c r="AA773">
        <f t="shared" ca="1" si="780"/>
        <v>0</v>
      </c>
      <c r="AB773" s="19">
        <f t="shared" ca="1" si="781"/>
        <v>-9.6673243041772702E-2</v>
      </c>
      <c r="AC773" s="19">
        <f t="shared" ca="1" si="782"/>
        <v>0</v>
      </c>
    </row>
    <row r="774" spans="3:29" x14ac:dyDescent="0.25">
      <c r="C774" s="4">
        <v>767</v>
      </c>
      <c r="D774" s="28">
        <v>43096</v>
      </c>
      <c r="E774" s="30">
        <v>19.167000000000002</v>
      </c>
      <c r="F774" s="30">
        <v>55.897694766952711</v>
      </c>
      <c r="G774" s="30">
        <v>9.3681642268214702</v>
      </c>
      <c r="H774" s="30">
        <v>80.220427393572265</v>
      </c>
      <c r="I774" s="8">
        <v>0</v>
      </c>
      <c r="J774" s="31">
        <v>0</v>
      </c>
      <c r="K774" s="31">
        <v>0</v>
      </c>
      <c r="L774" s="31">
        <v>0</v>
      </c>
      <c r="M774" s="31">
        <v>0</v>
      </c>
      <c r="N774" s="31">
        <v>0</v>
      </c>
      <c r="O774" s="31">
        <v>0</v>
      </c>
      <c r="P774" s="31">
        <v>0</v>
      </c>
      <c r="Q774" s="31">
        <v>0</v>
      </c>
      <c r="R774" s="31">
        <v>0</v>
      </c>
      <c r="S774" s="31">
        <v>0</v>
      </c>
      <c r="T774" s="21" cm="1">
        <f t="array" aca="1" ref="T774" ca="1">+fair_value_gap(OFFSET(S773,0,0,-1*$I$5,-1*$Z$1),OFFSET(E773,0,0,-1*$I$5,1),F774:S774,0)</f>
        <v>21.019855704075063</v>
      </c>
      <c r="U774" s="7" cm="1">
        <f t="array" aca="1" ref="U774" ca="1">z_score_diff(OFFSET(T774,0,0,$I$5*-1,1),OFFSET(E774,0,0,$I$5*-1,1))</f>
        <v>1.059785526115222</v>
      </c>
      <c r="V774" s="7">
        <f t="shared" ca="1" si="777"/>
        <v>-0.217618305537531</v>
      </c>
      <c r="W774" s="14">
        <f t="shared" ca="1" si="772"/>
        <v>-7.5059578814505298E-2</v>
      </c>
      <c r="X774" s="10">
        <f t="shared" ref="X774:Y774" ca="1" si="841">+X773</f>
        <v>0</v>
      </c>
      <c r="Y774" s="10">
        <f t="shared" ca="1" si="841"/>
        <v>0</v>
      </c>
      <c r="Z774">
        <f t="shared" ca="1" si="779"/>
        <v>1</v>
      </c>
      <c r="AA774">
        <f t="shared" ca="1" si="780"/>
        <v>0</v>
      </c>
      <c r="AB774" s="19">
        <f t="shared" ca="1" si="781"/>
        <v>-7.5059578814505298E-2</v>
      </c>
      <c r="AC774" s="19">
        <f t="shared" ca="1" si="782"/>
        <v>0</v>
      </c>
    </row>
    <row r="775" spans="3:29" x14ac:dyDescent="0.25">
      <c r="C775" s="4">
        <v>768</v>
      </c>
      <c r="D775" s="28">
        <v>43097</v>
      </c>
      <c r="E775" s="30">
        <v>19.710999999999999</v>
      </c>
      <c r="F775" s="30">
        <v>55.874717360355078</v>
      </c>
      <c r="G775" s="30">
        <v>9.3250146553889959</v>
      </c>
      <c r="H775" s="30">
        <v>79.850933757641741</v>
      </c>
      <c r="I775" s="8">
        <v>0</v>
      </c>
      <c r="J775" s="31">
        <v>0</v>
      </c>
      <c r="K775" s="31">
        <v>0</v>
      </c>
      <c r="L775" s="31">
        <v>0</v>
      </c>
      <c r="M775" s="31">
        <v>0</v>
      </c>
      <c r="N775" s="31">
        <v>0</v>
      </c>
      <c r="O775" s="31">
        <v>0</v>
      </c>
      <c r="P775" s="31">
        <v>0</v>
      </c>
      <c r="Q775" s="31">
        <v>0</v>
      </c>
      <c r="R775" s="31">
        <v>0</v>
      </c>
      <c r="S775" s="31">
        <v>0</v>
      </c>
      <c r="T775" s="21" cm="1">
        <f t="array" aca="1" ref="T775" ca="1">+fair_value_gap(OFFSET(S774,0,0,-1*$I$5,-1*$Z$1),OFFSET(E774,0,0,-1*$I$5,1),F775:S775,0)</f>
        <v>20.784038849274609</v>
      </c>
      <c r="U775" s="7" cm="1">
        <f t="array" aca="1" ref="U775" ca="1">z_score_diff(OFFSET(T775,0,0,$I$5*-1,1),OFFSET(E775,0,0,$I$5*-1,1))</f>
        <v>0.671069216424516</v>
      </c>
      <c r="V775" s="7">
        <f t="shared" ca="1" si="777"/>
        <v>-0.16555708849137796</v>
      </c>
      <c r="W775" s="14">
        <f t="shared" ref="W775:W838" ca="1" si="842">+LN(OFFSET(E775,$W$3,0,1,1)/E775)</f>
        <v>-9.9005294213967532E-2</v>
      </c>
      <c r="X775" s="10">
        <f t="shared" ref="X775:Y775" ca="1" si="843">+X774</f>
        <v>0</v>
      </c>
      <c r="Y775" s="10">
        <f t="shared" ca="1" si="843"/>
        <v>0</v>
      </c>
      <c r="Z775">
        <f t="shared" ca="1" si="779"/>
        <v>1</v>
      </c>
      <c r="AA775">
        <f t="shared" ca="1" si="780"/>
        <v>0</v>
      </c>
      <c r="AB775" s="19">
        <f t="shared" ca="1" si="781"/>
        <v>-9.9005294213967532E-2</v>
      </c>
      <c r="AC775" s="19">
        <f t="shared" ca="1" si="782"/>
        <v>0</v>
      </c>
    </row>
    <row r="776" spans="3:29" x14ac:dyDescent="0.25">
      <c r="C776" s="4">
        <v>769</v>
      </c>
      <c r="D776" s="28">
        <v>43098</v>
      </c>
      <c r="E776" s="30">
        <v>19.625</v>
      </c>
      <c r="F776" s="30">
        <v>55.743581193731245</v>
      </c>
      <c r="G776" s="30">
        <v>9.3114371457152387</v>
      </c>
      <c r="H776" s="30">
        <v>79.359786595531844</v>
      </c>
      <c r="I776" s="8">
        <v>0</v>
      </c>
      <c r="J776" s="31">
        <v>0</v>
      </c>
      <c r="K776" s="31">
        <v>0</v>
      </c>
      <c r="L776" s="31">
        <v>0</v>
      </c>
      <c r="M776" s="31">
        <v>0</v>
      </c>
      <c r="N776" s="31">
        <v>0</v>
      </c>
      <c r="O776" s="31">
        <v>0</v>
      </c>
      <c r="P776" s="31">
        <v>0</v>
      </c>
      <c r="Q776" s="31">
        <v>0</v>
      </c>
      <c r="R776" s="31">
        <v>0</v>
      </c>
      <c r="S776" s="31">
        <v>0</v>
      </c>
      <c r="T776" s="21" cm="1">
        <f t="array" aca="1" ref="T776" ca="1">+fair_value_gap(OFFSET(S775,0,0,-1*$I$5,-1*$Z$1),OFFSET(E775,0,0,-1*$I$5,1),F776:S776,0)</f>
        <v>20.626746867604258</v>
      </c>
      <c r="U776" s="7" cm="1">
        <f t="array" aca="1" ref="U776" ca="1">z_score_diff(OFFSET(T776,0,0,$I$5*-1,1),OFFSET(E776,0,0,$I$5*-1,1))</f>
        <v>0.62510102351986863</v>
      </c>
      <c r="V776" s="7">
        <f t="shared" ca="1" si="777"/>
        <v>-0.11490251498130247</v>
      </c>
      <c r="W776" s="14">
        <f t="shared" ca="1" si="842"/>
        <v>-0.11540370290977288</v>
      </c>
      <c r="X776" s="10">
        <f t="shared" ref="X776:Y776" ca="1" si="844">+X775</f>
        <v>0</v>
      </c>
      <c r="Y776" s="10">
        <f t="shared" ca="1" si="844"/>
        <v>0</v>
      </c>
      <c r="Z776">
        <f t="shared" ca="1" si="779"/>
        <v>1</v>
      </c>
      <c r="AA776">
        <f t="shared" ca="1" si="780"/>
        <v>0</v>
      </c>
      <c r="AB776" s="19">
        <f t="shared" ca="1" si="781"/>
        <v>-0.11540370290977288</v>
      </c>
      <c r="AC776" s="19">
        <f t="shared" ca="1" si="782"/>
        <v>0</v>
      </c>
    </row>
    <row r="777" spans="3:29" x14ac:dyDescent="0.25">
      <c r="C777" s="4">
        <v>770</v>
      </c>
      <c r="D777" s="28">
        <v>43102</v>
      </c>
      <c r="E777" s="30">
        <v>19.428000000000001</v>
      </c>
      <c r="F777" s="30">
        <v>55.212739487434682</v>
      </c>
      <c r="G777" s="30">
        <v>9.2518868706975201</v>
      </c>
      <c r="H777" s="30">
        <v>79.621796466782783</v>
      </c>
      <c r="I777" s="8">
        <v>1</v>
      </c>
      <c r="J777" s="31">
        <v>0</v>
      </c>
      <c r="K777" s="31">
        <v>0</v>
      </c>
      <c r="L777" s="31">
        <v>0</v>
      </c>
      <c r="M777" s="31">
        <v>0</v>
      </c>
      <c r="N777" s="31">
        <v>0</v>
      </c>
      <c r="O777" s="31">
        <v>0</v>
      </c>
      <c r="P777" s="31">
        <v>0</v>
      </c>
      <c r="Q777" s="31">
        <v>0</v>
      </c>
      <c r="R777" s="31">
        <v>0</v>
      </c>
      <c r="S777" s="31">
        <v>0</v>
      </c>
      <c r="T777" s="21" cm="1">
        <f t="array" aca="1" ref="T777" ca="1">+fair_value_gap(OFFSET(S776,0,0,-1*$I$5,-1*$Z$1),OFFSET(E776,0,0,-1*$I$5,1),F777:S777,0)</f>
        <v>20.600827674867034</v>
      </c>
      <c r="U777" s="7" cm="1">
        <f t="array" aca="1" ref="U777" ca="1">z_score_diff(OFFSET(T777,0,0,$I$5*-1,1),OFFSET(E777,0,0,$I$5*-1,1))</f>
        <v>0.69927403141654088</v>
      </c>
      <c r="V777" s="7">
        <f t="shared" ca="1" si="777"/>
        <v>-6.027320406211565E-2</v>
      </c>
      <c r="W777" s="14">
        <f t="shared" ca="1" si="842"/>
        <v>-0.11306518286396375</v>
      </c>
      <c r="X777" s="10">
        <f t="shared" ref="X777:Y777" ca="1" si="845">+X776</f>
        <v>0</v>
      </c>
      <c r="Y777" s="10">
        <f t="shared" ca="1" si="845"/>
        <v>0</v>
      </c>
      <c r="Z777">
        <f t="shared" ca="1" si="779"/>
        <v>1</v>
      </c>
      <c r="AA777">
        <f t="shared" ca="1" si="780"/>
        <v>0</v>
      </c>
      <c r="AB777" s="19">
        <f t="shared" ca="1" si="781"/>
        <v>-0.11306518286396375</v>
      </c>
      <c r="AC777" s="19">
        <f t="shared" ca="1" si="782"/>
        <v>0</v>
      </c>
    </row>
    <row r="778" spans="3:29" x14ac:dyDescent="0.25">
      <c r="C778" s="4">
        <v>771</v>
      </c>
      <c r="D778" s="28">
        <v>43103</v>
      </c>
      <c r="E778" s="30">
        <v>19.309999999999999</v>
      </c>
      <c r="F778" s="30">
        <v>56.476856476856476</v>
      </c>
      <c r="G778" s="30">
        <v>9.3031968031968031</v>
      </c>
      <c r="H778" s="30">
        <v>80.086580086580085</v>
      </c>
      <c r="I778" s="8">
        <v>1</v>
      </c>
      <c r="J778" s="31">
        <v>0</v>
      </c>
      <c r="K778" s="31">
        <v>0</v>
      </c>
      <c r="L778" s="31">
        <v>0</v>
      </c>
      <c r="M778" s="31">
        <v>0</v>
      </c>
      <c r="N778" s="31">
        <v>0</v>
      </c>
      <c r="O778" s="31">
        <v>0</v>
      </c>
      <c r="P778" s="31">
        <v>0</v>
      </c>
      <c r="Q778" s="31">
        <v>0</v>
      </c>
      <c r="R778" s="31">
        <v>0</v>
      </c>
      <c r="S778" s="31">
        <v>0</v>
      </c>
      <c r="T778" s="21" cm="1">
        <f t="array" aca="1" ref="T778" ca="1">+fair_value_gap(OFFSET(S777,0,0,-1*$I$5,-1*$Z$1),OFFSET(E777,0,0,-1*$I$5,1),F778:S778,0)</f>
        <v>20.557312573945957</v>
      </c>
      <c r="U778" s="7" cm="1">
        <f t="array" aca="1" ref="U778" ca="1">z_score_diff(OFFSET(T778,0,0,$I$5*-1,1),OFFSET(E778,0,0,$I$5*-1,1))</f>
        <v>0.72318430454080396</v>
      </c>
      <c r="V778" s="7">
        <f t="shared" ca="1" si="777"/>
        <v>5.5938238194713795E-2</v>
      </c>
      <c r="W778" s="14">
        <f t="shared" ca="1" si="842"/>
        <v>-7.3032981506135172E-2</v>
      </c>
      <c r="X778" s="10">
        <f t="shared" ref="X778:Y778" ca="1" si="846">+X777</f>
        <v>0</v>
      </c>
      <c r="Y778" s="10">
        <f t="shared" ca="1" si="846"/>
        <v>0</v>
      </c>
      <c r="Z778">
        <f t="shared" ca="1" si="779"/>
        <v>0</v>
      </c>
      <c r="AA778">
        <f t="shared" ca="1" si="780"/>
        <v>1</v>
      </c>
      <c r="AB778" s="19">
        <f t="shared" ca="1" si="781"/>
        <v>0</v>
      </c>
      <c r="AC778" s="19">
        <f t="shared" ca="1" si="782"/>
        <v>-7.3032981506135172E-2</v>
      </c>
    </row>
    <row r="779" spans="3:29" x14ac:dyDescent="0.25">
      <c r="C779" s="4">
        <v>772</v>
      </c>
      <c r="D779" s="28">
        <v>43104</v>
      </c>
      <c r="E779" s="30">
        <v>19.2</v>
      </c>
      <c r="F779" s="30">
        <v>56.410043921438621</v>
      </c>
      <c r="G779" s="30">
        <v>9.2566503687743431</v>
      </c>
      <c r="H779" s="30">
        <v>80.177343167315811</v>
      </c>
      <c r="I779" s="8">
        <v>1</v>
      </c>
      <c r="J779" s="31">
        <v>0</v>
      </c>
      <c r="K779" s="31">
        <v>0</v>
      </c>
      <c r="L779" s="31">
        <v>0</v>
      </c>
      <c r="M779" s="31">
        <v>0</v>
      </c>
      <c r="N779" s="31">
        <v>0</v>
      </c>
      <c r="O779" s="31">
        <v>0</v>
      </c>
      <c r="P779" s="31">
        <v>0</v>
      </c>
      <c r="Q779" s="31">
        <v>0</v>
      </c>
      <c r="R779" s="31">
        <v>0</v>
      </c>
      <c r="S779" s="31">
        <v>0</v>
      </c>
      <c r="T779" s="21" cm="1">
        <f t="array" aca="1" ref="T779" ca="1">+fair_value_gap(OFFSET(S778,0,0,-1*$I$5,-1*$Z$1),OFFSET(E778,0,0,-1*$I$5,1),F779:S779,0)</f>
        <v>20.379017535741884</v>
      </c>
      <c r="U779" s="7" cm="1">
        <f t="array" aca="1" ref="U779" ca="1">z_score_diff(OFFSET(T779,0,0,$I$5*-1,1),OFFSET(E779,0,0,$I$5*-1,1))</f>
        <v>0.67448711226953673</v>
      </c>
      <c r="V779" s="7">
        <f t="shared" ref="V779:V842" ca="1" si="847">+IF(ISERROR(AVERAGE(OFFSET(U779,0,0,$V$5*-1,1))),"",AVERAGE(OFFSET(U779,0,0,$V$5*-1,1)))</f>
        <v>0.16893919578374733</v>
      </c>
      <c r="W779" s="14">
        <f t="shared" ca="1" si="842"/>
        <v>-5.0745199005235317E-2</v>
      </c>
      <c r="X779" s="10">
        <f t="shared" ref="X779:Y779" ca="1" si="848">+X778</f>
        <v>0</v>
      </c>
      <c r="Y779" s="10">
        <f t="shared" ca="1" si="848"/>
        <v>0</v>
      </c>
      <c r="Z779">
        <f t="shared" ref="Z779:Z842" ca="1" si="849">+IF(V779="","",IF(V779&lt;X779,1,0))</f>
        <v>0</v>
      </c>
      <c r="AA779">
        <f t="shared" ref="AA779:AA842" ca="1" si="850">+IF(V779="","",IF(V779&gt;Y779,1,0))</f>
        <v>1</v>
      </c>
      <c r="AB779" s="19">
        <f t="shared" ref="AB779:AB842" ca="1" si="851">+IF(ISERROR(Z779*W779),"",Z779*W779)</f>
        <v>0</v>
      </c>
      <c r="AC779" s="19">
        <f t="shared" ref="AC779:AC842" ca="1" si="852">+IF(ISERROR(AA779*W779),"",AA779*W779)</f>
        <v>-5.0745199005235317E-2</v>
      </c>
    </row>
    <row r="780" spans="3:29" x14ac:dyDescent="0.25">
      <c r="C780" s="4">
        <v>773</v>
      </c>
      <c r="D780" s="28">
        <v>43105</v>
      </c>
      <c r="E780" s="30">
        <v>18.927</v>
      </c>
      <c r="F780" s="30">
        <v>56.218822746923841</v>
      </c>
      <c r="G780" s="30">
        <v>9.2866644496175574</v>
      </c>
      <c r="H780" s="30">
        <v>80.645161290322577</v>
      </c>
      <c r="I780" s="8">
        <v>1</v>
      </c>
      <c r="J780" s="31">
        <v>0</v>
      </c>
      <c r="K780" s="31">
        <v>0</v>
      </c>
      <c r="L780" s="31">
        <v>0</v>
      </c>
      <c r="M780" s="31">
        <v>0</v>
      </c>
      <c r="N780" s="31">
        <v>0</v>
      </c>
      <c r="O780" s="31">
        <v>0</v>
      </c>
      <c r="P780" s="31">
        <v>0</v>
      </c>
      <c r="Q780" s="31">
        <v>0</v>
      </c>
      <c r="R780" s="31">
        <v>0</v>
      </c>
      <c r="S780" s="31">
        <v>0</v>
      </c>
      <c r="T780" s="21" cm="1">
        <f t="array" aca="1" ref="T780" ca="1">+fair_value_gap(OFFSET(S779,0,0,-1*$I$5,-1*$Z$1),OFFSET(E779,0,0,-1*$I$5,1),F780:S780,0)</f>
        <v>20.361900517919899</v>
      </c>
      <c r="U780" s="7" cm="1">
        <f t="array" aca="1" ref="U780" ca="1">z_score_diff(OFFSET(T780,0,0,$I$5*-1,1),OFFSET(E780,0,0,$I$5*-1,1))</f>
        <v>0.78981811381609424</v>
      </c>
      <c r="V780" s="7">
        <f t="shared" ca="1" si="847"/>
        <v>0.27779432376341423</v>
      </c>
      <c r="W780" s="14">
        <f t="shared" ca="1" si="842"/>
        <v>-3.9992395617829753E-2</v>
      </c>
      <c r="X780" s="10">
        <f t="shared" ref="X780:Y780" ca="1" si="853">+X779</f>
        <v>0</v>
      </c>
      <c r="Y780" s="10">
        <f t="shared" ca="1" si="853"/>
        <v>0</v>
      </c>
      <c r="Z780">
        <f t="shared" ca="1" si="849"/>
        <v>0</v>
      </c>
      <c r="AA780">
        <f t="shared" ca="1" si="850"/>
        <v>1</v>
      </c>
      <c r="AB780" s="19">
        <f t="shared" ca="1" si="851"/>
        <v>0</v>
      </c>
      <c r="AC780" s="19">
        <f t="shared" ca="1" si="852"/>
        <v>-3.9992395617829753E-2</v>
      </c>
    </row>
    <row r="781" spans="3:29" x14ac:dyDescent="0.25">
      <c r="C781" s="4">
        <v>774</v>
      </c>
      <c r="D781" s="28">
        <v>43108</v>
      </c>
      <c r="E781" s="30">
        <v>19.059000000000001</v>
      </c>
      <c r="F781" s="30">
        <v>56.648558295027165</v>
      </c>
      <c r="G781" s="30">
        <v>9.3355620559966574</v>
      </c>
      <c r="H781" s="30">
        <v>81.320518178019228</v>
      </c>
      <c r="I781" s="8">
        <v>1</v>
      </c>
      <c r="J781" s="31">
        <v>0</v>
      </c>
      <c r="K781" s="31">
        <v>0</v>
      </c>
      <c r="L781" s="31">
        <v>0</v>
      </c>
      <c r="M781" s="31">
        <v>0</v>
      </c>
      <c r="N781" s="31">
        <v>0</v>
      </c>
      <c r="O781" s="31">
        <v>0</v>
      </c>
      <c r="P781" s="31">
        <v>0</v>
      </c>
      <c r="Q781" s="31">
        <v>0</v>
      </c>
      <c r="R781" s="31">
        <v>0</v>
      </c>
      <c r="S781" s="31">
        <v>0</v>
      </c>
      <c r="T781" s="21" cm="1">
        <f t="array" aca="1" ref="T781" ca="1">+fair_value_gap(OFFSET(S780,0,0,-1*$I$5,-1*$Z$1),OFFSET(E780,0,0,-1*$I$5,1),F781:S781,0)</f>
        <v>20.372249357317241</v>
      </c>
      <c r="U781" s="7" cm="1">
        <f t="array" aca="1" ref="U781" ca="1">z_score_diff(OFFSET(T781,0,0,$I$5*-1,1),OFFSET(E781,0,0,$I$5*-1,1))</f>
        <v>0.72701695282263235</v>
      </c>
      <c r="V781" s="7">
        <f t="shared" ca="1" si="847"/>
        <v>0.36557946965080551</v>
      </c>
      <c r="W781" s="14">
        <f t="shared" ca="1" si="842"/>
        <v>-7.8277821452464064E-2</v>
      </c>
      <c r="X781" s="10">
        <f t="shared" ref="X781:Y781" ca="1" si="854">+X780</f>
        <v>0</v>
      </c>
      <c r="Y781" s="10">
        <f t="shared" ca="1" si="854"/>
        <v>0</v>
      </c>
      <c r="Z781">
        <f t="shared" ca="1" si="849"/>
        <v>0</v>
      </c>
      <c r="AA781">
        <f t="shared" ca="1" si="850"/>
        <v>1</v>
      </c>
      <c r="AB781" s="19">
        <f t="shared" ca="1" si="851"/>
        <v>0</v>
      </c>
      <c r="AC781" s="19">
        <f t="shared" ca="1" si="852"/>
        <v>-7.8277821452464064E-2</v>
      </c>
    </row>
    <row r="782" spans="3:29" x14ac:dyDescent="0.25">
      <c r="C782" s="4">
        <v>775</v>
      </c>
      <c r="D782" s="28">
        <v>43109</v>
      </c>
      <c r="E782" s="30">
        <v>19.446000000000002</v>
      </c>
      <c r="F782" s="30">
        <v>57.662337662337656</v>
      </c>
      <c r="G782" s="30">
        <v>9.3674067867616255</v>
      </c>
      <c r="H782" s="30">
        <v>81.650607457059067</v>
      </c>
      <c r="I782" s="8">
        <v>1</v>
      </c>
      <c r="J782" s="31">
        <v>0</v>
      </c>
      <c r="K782" s="31">
        <v>0</v>
      </c>
      <c r="L782" s="31">
        <v>0</v>
      </c>
      <c r="M782" s="31">
        <v>0</v>
      </c>
      <c r="N782" s="31">
        <v>0</v>
      </c>
      <c r="O782" s="31">
        <v>0</v>
      </c>
      <c r="P782" s="31">
        <v>0</v>
      </c>
      <c r="Q782" s="31">
        <v>0</v>
      </c>
      <c r="R782" s="31">
        <v>0</v>
      </c>
      <c r="S782" s="31">
        <v>0</v>
      </c>
      <c r="T782" s="21" cm="1">
        <f t="array" aca="1" ref="T782" ca="1">+fair_value_gap(OFFSET(S781,0,0,-1*$I$5,-1*$Z$1),OFFSET(E781,0,0,-1*$I$5,1),F782:S782,0)</f>
        <v>20.332011773821414</v>
      </c>
      <c r="U782" s="7" cm="1">
        <f t="array" aca="1" ref="U782" ca="1">z_score_diff(OFFSET(T782,0,0,$I$5*-1,1),OFFSET(E782,0,0,$I$5*-1,1))</f>
        <v>0.50928534850625629</v>
      </c>
      <c r="V782" s="7">
        <f t="shared" ca="1" si="847"/>
        <v>0.43588012102415108</v>
      </c>
      <c r="W782" s="14">
        <f t="shared" ca="1" si="842"/>
        <v>-8.5245805172477734E-2</v>
      </c>
      <c r="X782" s="10">
        <f t="shared" ref="X782:Y782" ca="1" si="855">+X781</f>
        <v>0</v>
      </c>
      <c r="Y782" s="10">
        <f t="shared" ca="1" si="855"/>
        <v>0</v>
      </c>
      <c r="Z782">
        <f t="shared" ca="1" si="849"/>
        <v>0</v>
      </c>
      <c r="AA782">
        <f t="shared" ca="1" si="850"/>
        <v>1</v>
      </c>
      <c r="AB782" s="19">
        <f t="shared" ca="1" si="851"/>
        <v>0</v>
      </c>
      <c r="AC782" s="19">
        <f t="shared" ca="1" si="852"/>
        <v>-8.5245805172477734E-2</v>
      </c>
    </row>
    <row r="783" spans="3:29" x14ac:dyDescent="0.25">
      <c r="C783" s="4">
        <v>776</v>
      </c>
      <c r="D783" s="28">
        <v>43110</v>
      </c>
      <c r="E783" s="30">
        <v>19.512</v>
      </c>
      <c r="F783" s="30">
        <v>57.932189200502307</v>
      </c>
      <c r="G783" s="30">
        <v>9.3637505232314791</v>
      </c>
      <c r="H783" s="30">
        <v>81.247383842611981</v>
      </c>
      <c r="I783" s="8">
        <v>1</v>
      </c>
      <c r="J783" s="31">
        <v>0</v>
      </c>
      <c r="K783" s="31">
        <v>0</v>
      </c>
      <c r="L783" s="31">
        <v>0</v>
      </c>
      <c r="M783" s="31">
        <v>0</v>
      </c>
      <c r="N783" s="31">
        <v>0</v>
      </c>
      <c r="O783" s="31">
        <v>0</v>
      </c>
      <c r="P783" s="31">
        <v>0</v>
      </c>
      <c r="Q783" s="31">
        <v>0</v>
      </c>
      <c r="R783" s="31">
        <v>0</v>
      </c>
      <c r="S783" s="31">
        <v>0</v>
      </c>
      <c r="T783" s="21" cm="1">
        <f t="array" aca="1" ref="T783" ca="1">+fair_value_gap(OFFSET(S782,0,0,-1*$I$5,-1*$Z$1),OFFSET(E782,0,0,-1*$I$5,1),F783:S783,0)</f>
        <v>20.13829236684963</v>
      </c>
      <c r="U783" s="7" cm="1">
        <f t="array" aca="1" ref="U783" ca="1">z_score_diff(OFFSET(T783,0,0,$I$5*-1,1),OFFSET(E783,0,0,$I$5*-1,1))</f>
        <v>0.36896411115096583</v>
      </c>
      <c r="V783" s="7">
        <f t="shared" ca="1" si="847"/>
        <v>0.47971481011595368</v>
      </c>
      <c r="W783" s="14">
        <f t="shared" ca="1" si="842"/>
        <v>-6.6207262719470764E-2</v>
      </c>
      <c r="X783" s="10">
        <f t="shared" ref="X783:Y783" ca="1" si="856">+X782</f>
        <v>0</v>
      </c>
      <c r="Y783" s="10">
        <f t="shared" ca="1" si="856"/>
        <v>0</v>
      </c>
      <c r="Z783">
        <f t="shared" ca="1" si="849"/>
        <v>0</v>
      </c>
      <c r="AA783">
        <f t="shared" ca="1" si="850"/>
        <v>1</v>
      </c>
      <c r="AB783" s="19">
        <f t="shared" ca="1" si="851"/>
        <v>0</v>
      </c>
      <c r="AC783" s="19">
        <f t="shared" ca="1" si="852"/>
        <v>-6.6207262719470764E-2</v>
      </c>
    </row>
    <row r="784" spans="3:29" x14ac:dyDescent="0.25">
      <c r="C784" s="4">
        <v>777</v>
      </c>
      <c r="D784" s="28">
        <v>43111</v>
      </c>
      <c r="E784" s="30">
        <v>19.332000000000001</v>
      </c>
      <c r="F784" s="30">
        <v>57.567949463884965</v>
      </c>
      <c r="G784" s="30">
        <v>9.3217521403042127</v>
      </c>
      <c r="H784" s="30">
        <v>80.625051949131404</v>
      </c>
      <c r="I784" s="8">
        <v>1</v>
      </c>
      <c r="J784" s="31">
        <v>0</v>
      </c>
      <c r="K784" s="31">
        <v>0</v>
      </c>
      <c r="L784" s="31">
        <v>0</v>
      </c>
      <c r="M784" s="31">
        <v>0</v>
      </c>
      <c r="N784" s="31">
        <v>0</v>
      </c>
      <c r="O784" s="31">
        <v>0</v>
      </c>
      <c r="P784" s="31">
        <v>0</v>
      </c>
      <c r="Q784" s="31">
        <v>0</v>
      </c>
      <c r="R784" s="31">
        <v>0</v>
      </c>
      <c r="S784" s="31">
        <v>0</v>
      </c>
      <c r="T784" s="21" cm="1">
        <f t="array" aca="1" ref="T784" ca="1">+fair_value_gap(OFFSET(S783,0,0,-1*$I$5,-1*$Z$1),OFFSET(E783,0,0,-1*$I$5,1),F784:S784,0)</f>
        <v>19.939558060124121</v>
      </c>
      <c r="U784" s="7" cm="1">
        <f t="array" aca="1" ref="U784" ca="1">z_score_diff(OFFSET(T784,0,0,$I$5*-1,1),OFFSET(E784,0,0,$I$5*-1,1))</f>
        <v>0.34474997960375053</v>
      </c>
      <c r="V784" s="7">
        <f t="shared" ca="1" si="847"/>
        <v>0.51651340547229452</v>
      </c>
      <c r="W784" s="14">
        <f t="shared" ca="1" si="842"/>
        <v>-7.7072779222171178E-2</v>
      </c>
      <c r="X784" s="10">
        <f t="shared" ref="X784:Y784" ca="1" si="857">+X783</f>
        <v>0</v>
      </c>
      <c r="Y784" s="10">
        <f t="shared" ca="1" si="857"/>
        <v>0</v>
      </c>
      <c r="Z784">
        <f t="shared" ca="1" si="849"/>
        <v>0</v>
      </c>
      <c r="AA784">
        <f t="shared" ca="1" si="850"/>
        <v>1</v>
      </c>
      <c r="AB784" s="19">
        <f t="shared" ca="1" si="851"/>
        <v>0</v>
      </c>
      <c r="AC784" s="19">
        <f t="shared" ca="1" si="852"/>
        <v>-7.7072779222171178E-2</v>
      </c>
    </row>
    <row r="785" spans="3:29" x14ac:dyDescent="0.25">
      <c r="C785" s="4">
        <v>778</v>
      </c>
      <c r="D785" s="28">
        <v>43112</v>
      </c>
      <c r="E785" s="30">
        <v>19.853999999999999</v>
      </c>
      <c r="F785" s="30">
        <v>57.3409930242101</v>
      </c>
      <c r="G785" s="30">
        <v>9.2162494870742719</v>
      </c>
      <c r="H785" s="30">
        <v>79.72917521542881</v>
      </c>
      <c r="I785" s="8">
        <v>1</v>
      </c>
      <c r="J785" s="31">
        <v>0</v>
      </c>
      <c r="K785" s="31">
        <v>0</v>
      </c>
      <c r="L785" s="31">
        <v>0</v>
      </c>
      <c r="M785" s="31">
        <v>0</v>
      </c>
      <c r="N785" s="31">
        <v>0</v>
      </c>
      <c r="O785" s="31">
        <v>0</v>
      </c>
      <c r="P785" s="31">
        <v>0</v>
      </c>
      <c r="Q785" s="31">
        <v>0</v>
      </c>
      <c r="R785" s="31">
        <v>0</v>
      </c>
      <c r="S785" s="31">
        <v>0</v>
      </c>
      <c r="T785" s="21" cm="1">
        <f t="array" aca="1" ref="T785" ca="1">+fair_value_gap(OFFSET(S784,0,0,-1*$I$5,-1*$Z$1),OFFSET(E784,0,0,-1*$I$5,1),F785:S785,0)</f>
        <v>19.622448606458118</v>
      </c>
      <c r="U785" s="7" cm="1">
        <f t="array" aca="1" ref="U785" ca="1">z_score_diff(OFFSET(T785,0,0,$I$5*-1,1),OFFSET(E785,0,0,$I$5*-1,1))</f>
        <v>-8.0316161979351985E-2</v>
      </c>
      <c r="V785" s="7">
        <f t="shared" ca="1" si="847"/>
        <v>0.53732623960696968</v>
      </c>
      <c r="W785" s="14">
        <f t="shared" ca="1" si="842"/>
        <v>-0.1035489209594755</v>
      </c>
      <c r="X785" s="10">
        <f t="shared" ref="X785:Y785" ca="1" si="858">+X784</f>
        <v>0</v>
      </c>
      <c r="Y785" s="10">
        <f t="shared" ca="1" si="858"/>
        <v>0</v>
      </c>
      <c r="Z785">
        <f t="shared" ca="1" si="849"/>
        <v>0</v>
      </c>
      <c r="AA785">
        <f t="shared" ca="1" si="850"/>
        <v>1</v>
      </c>
      <c r="AB785" s="19">
        <f t="shared" ca="1" si="851"/>
        <v>0</v>
      </c>
      <c r="AC785" s="19">
        <f t="shared" ca="1" si="852"/>
        <v>-0.1035489209594755</v>
      </c>
    </row>
    <row r="786" spans="3:29" x14ac:dyDescent="0.25">
      <c r="C786" s="4">
        <v>779</v>
      </c>
      <c r="D786" s="28">
        <v>43115</v>
      </c>
      <c r="E786" s="30">
        <v>19.175000000000001</v>
      </c>
      <c r="F786" s="30">
        <v>57.303645705896749</v>
      </c>
      <c r="G786" s="30">
        <v>9.1591224206834685</v>
      </c>
      <c r="H786" s="30">
        <v>79.357311801647498</v>
      </c>
      <c r="I786" s="8">
        <v>1</v>
      </c>
      <c r="J786" s="31">
        <v>0</v>
      </c>
      <c r="K786" s="31">
        <v>0</v>
      </c>
      <c r="L786" s="31">
        <v>0</v>
      </c>
      <c r="M786" s="31">
        <v>0</v>
      </c>
      <c r="N786" s="31">
        <v>0</v>
      </c>
      <c r="O786" s="31">
        <v>0</v>
      </c>
      <c r="P786" s="31">
        <v>0</v>
      </c>
      <c r="Q786" s="31">
        <v>0</v>
      </c>
      <c r="R786" s="31">
        <v>0</v>
      </c>
      <c r="S786" s="31">
        <v>0</v>
      </c>
      <c r="T786" s="21" cm="1">
        <f t="array" aca="1" ref="T786" ca="1">+fair_value_gap(OFFSET(S785,0,0,-1*$I$5,-1*$Z$1),OFFSET(E785,0,0,-1*$I$5,1),F786:S786,0)</f>
        <v>19.500624264152489</v>
      </c>
      <c r="U786" s="7" cm="1">
        <f t="array" aca="1" ref="U786" ca="1">z_score_diff(OFFSET(T786,0,0,$I$5*-1,1),OFFSET(E786,0,0,$I$5*-1,1))</f>
        <v>0.17608443643792226</v>
      </c>
      <c r="V786" s="7">
        <f t="shared" ca="1" si="847"/>
        <v>0.54686900494541624</v>
      </c>
      <c r="W786" s="14">
        <f t="shared" ca="1" si="842"/>
        <v>-6.5738719575273816E-2</v>
      </c>
      <c r="X786" s="10">
        <f t="shared" ref="X786:Y786" ca="1" si="859">+X785</f>
        <v>0</v>
      </c>
      <c r="Y786" s="10">
        <f t="shared" ca="1" si="859"/>
        <v>0</v>
      </c>
      <c r="Z786">
        <f t="shared" ca="1" si="849"/>
        <v>0</v>
      </c>
      <c r="AA786">
        <f t="shared" ca="1" si="850"/>
        <v>1</v>
      </c>
      <c r="AB786" s="19">
        <f t="shared" ca="1" si="851"/>
        <v>0</v>
      </c>
      <c r="AC786" s="19">
        <f t="shared" ca="1" si="852"/>
        <v>-6.5738719575273816E-2</v>
      </c>
    </row>
    <row r="787" spans="3:29" x14ac:dyDescent="0.25">
      <c r="C787" s="4">
        <v>780</v>
      </c>
      <c r="D787" s="28">
        <v>43116</v>
      </c>
      <c r="E787" s="30">
        <v>18.998999999999999</v>
      </c>
      <c r="F787" s="30">
        <v>56.407537319520358</v>
      </c>
      <c r="G787" s="30">
        <v>8.5243494575413976</v>
      </c>
      <c r="H787" s="30">
        <v>79.329472224488129</v>
      </c>
      <c r="I787" s="8">
        <v>1</v>
      </c>
      <c r="J787" s="31">
        <v>0</v>
      </c>
      <c r="K787" s="31">
        <v>0</v>
      </c>
      <c r="L787" s="31">
        <v>0</v>
      </c>
      <c r="M787" s="31">
        <v>0</v>
      </c>
      <c r="N787" s="31">
        <v>0</v>
      </c>
      <c r="O787" s="31">
        <v>0</v>
      </c>
      <c r="P787" s="31">
        <v>0</v>
      </c>
      <c r="Q787" s="31">
        <v>0</v>
      </c>
      <c r="R787" s="31">
        <v>0</v>
      </c>
      <c r="S787" s="31">
        <v>0</v>
      </c>
      <c r="T787" s="21" cm="1">
        <f t="array" aca="1" ref="T787" ca="1">+fair_value_gap(OFFSET(S786,0,0,-1*$I$5,-1*$Z$1),OFFSET(E786,0,0,-1*$I$5,1),F787:S787,0)</f>
        <v>19.229983719953619</v>
      </c>
      <c r="U787" s="7" cm="1">
        <f t="array" aca="1" ref="U787" ca="1">z_score_diff(OFFSET(T787,0,0,$I$5*-1,1),OFFSET(E787,0,0,$I$5*-1,1))</f>
        <v>0.11514896602975044</v>
      </c>
      <c r="V787" s="7">
        <f t="shared" ca="1" si="847"/>
        <v>0.56150163191763303</v>
      </c>
      <c r="W787" s="14">
        <f t="shared" ca="1" si="842"/>
        <v>-3.6938987515983658E-2</v>
      </c>
      <c r="X787" s="10">
        <f t="shared" ref="X787:Y787" ca="1" si="860">+X786</f>
        <v>0</v>
      </c>
      <c r="Y787" s="10">
        <f t="shared" ca="1" si="860"/>
        <v>0</v>
      </c>
      <c r="Z787">
        <f t="shared" ca="1" si="849"/>
        <v>0</v>
      </c>
      <c r="AA787">
        <f t="shared" ca="1" si="850"/>
        <v>1</v>
      </c>
      <c r="AB787" s="19">
        <f t="shared" ca="1" si="851"/>
        <v>0</v>
      </c>
      <c r="AC787" s="19">
        <f t="shared" ca="1" si="852"/>
        <v>-3.6938987515983658E-2</v>
      </c>
    </row>
    <row r="788" spans="3:29" x14ac:dyDescent="0.25">
      <c r="C788" s="4">
        <v>781</v>
      </c>
      <c r="D788" s="28">
        <v>43117</v>
      </c>
      <c r="E788" s="30">
        <v>18.465</v>
      </c>
      <c r="F788" s="30">
        <v>56.943532501641499</v>
      </c>
      <c r="G788" s="30">
        <v>8.6178594878529218</v>
      </c>
      <c r="H788" s="30">
        <v>79.776756401838483</v>
      </c>
      <c r="I788" s="8">
        <v>1</v>
      </c>
      <c r="J788" s="31">
        <v>0</v>
      </c>
      <c r="K788" s="31">
        <v>0</v>
      </c>
      <c r="L788" s="31">
        <v>0</v>
      </c>
      <c r="M788" s="31">
        <v>0</v>
      </c>
      <c r="N788" s="31">
        <v>0</v>
      </c>
      <c r="O788" s="31">
        <v>0</v>
      </c>
      <c r="P788" s="31">
        <v>0</v>
      </c>
      <c r="Q788" s="31">
        <v>0</v>
      </c>
      <c r="R788" s="31">
        <v>0</v>
      </c>
      <c r="S788" s="31">
        <v>0</v>
      </c>
      <c r="T788" s="21" cm="1">
        <f t="array" aca="1" ref="T788" ca="1">+fair_value_gap(OFFSET(S787,0,0,-1*$I$5,-1*$Z$1),OFFSET(E787,0,0,-1*$I$5,1),F788:S788,0)</f>
        <v>19.254246166631596</v>
      </c>
      <c r="U788" s="7" cm="1">
        <f t="array" aca="1" ref="U788" ca="1">z_score_diff(OFFSET(T788,0,0,$I$5*-1,1),OFFSET(E788,0,0,$I$5*-1,1))</f>
        <v>0.38536925112064579</v>
      </c>
      <c r="V788" s="7">
        <f t="shared" ca="1" si="847"/>
        <v>0.57813516974596868</v>
      </c>
      <c r="W788" s="14">
        <f t="shared" ca="1" si="842"/>
        <v>-1.7041211996232528E-2</v>
      </c>
      <c r="X788" s="10">
        <f t="shared" ref="X788:Y788" ca="1" si="861">+X787</f>
        <v>0</v>
      </c>
      <c r="Y788" s="10">
        <f t="shared" ca="1" si="861"/>
        <v>0</v>
      </c>
      <c r="Z788">
        <f t="shared" ca="1" si="849"/>
        <v>0</v>
      </c>
      <c r="AA788">
        <f t="shared" ca="1" si="850"/>
        <v>1</v>
      </c>
      <c r="AB788" s="19">
        <f t="shared" ca="1" si="851"/>
        <v>0</v>
      </c>
      <c r="AC788" s="19">
        <f t="shared" ca="1" si="852"/>
        <v>-1.7041211996232528E-2</v>
      </c>
    </row>
    <row r="789" spans="3:29" x14ac:dyDescent="0.25">
      <c r="C789" s="4">
        <v>782</v>
      </c>
      <c r="D789" s="28">
        <v>43118</v>
      </c>
      <c r="E789" s="30">
        <v>18.3</v>
      </c>
      <c r="F789" s="30">
        <v>56.639699272697555</v>
      </c>
      <c r="G789" s="30">
        <v>8.6173081637656281</v>
      </c>
      <c r="H789" s="30">
        <v>79.553812208874717</v>
      </c>
      <c r="I789" s="8">
        <v>1</v>
      </c>
      <c r="J789" s="31">
        <v>0</v>
      </c>
      <c r="K789" s="31">
        <v>0</v>
      </c>
      <c r="L789" s="31">
        <v>0</v>
      </c>
      <c r="M789" s="31">
        <v>0</v>
      </c>
      <c r="N789" s="31">
        <v>0</v>
      </c>
      <c r="O789" s="31">
        <v>0</v>
      </c>
      <c r="P789" s="31">
        <v>0</v>
      </c>
      <c r="Q789" s="31">
        <v>0</v>
      </c>
      <c r="R789" s="31">
        <v>0</v>
      </c>
      <c r="S789" s="31">
        <v>0</v>
      </c>
      <c r="T789" s="21" cm="1">
        <f t="array" aca="1" ref="T789" ca="1">+fair_value_gap(OFFSET(S788,0,0,-1*$I$5,-1*$Z$1),OFFSET(E788,0,0,-1*$I$5,1),F789:S789,0)</f>
        <v>19.12114092997518</v>
      </c>
      <c r="U789" s="7" cm="1">
        <f t="array" aca="1" ref="U789" ca="1">z_score_diff(OFFSET(T789,0,0,$I$5*-1,1),OFFSET(E789,0,0,$I$5*-1,1))</f>
        <v>0.39461951300877729</v>
      </c>
      <c r="V789" s="7">
        <f t="shared" ca="1" si="847"/>
        <v>0.56526891692693737</v>
      </c>
      <c r="W789" s="14">
        <f t="shared" ca="1" si="842"/>
        <v>-2.9108084158070771E-2</v>
      </c>
      <c r="X789" s="10">
        <f t="shared" ref="X789:Y789" ca="1" si="862">+X788</f>
        <v>0</v>
      </c>
      <c r="Y789" s="10">
        <f t="shared" ca="1" si="862"/>
        <v>0</v>
      </c>
      <c r="Z789">
        <f t="shared" ca="1" si="849"/>
        <v>0</v>
      </c>
      <c r="AA789">
        <f t="shared" ca="1" si="850"/>
        <v>1</v>
      </c>
      <c r="AB789" s="19">
        <f t="shared" ca="1" si="851"/>
        <v>0</v>
      </c>
      <c r="AC789" s="19">
        <f t="shared" ca="1" si="852"/>
        <v>-2.9108084158070771E-2</v>
      </c>
    </row>
    <row r="790" spans="3:29" x14ac:dyDescent="0.25">
      <c r="C790" s="4">
        <v>783</v>
      </c>
      <c r="D790" s="28">
        <v>43119</v>
      </c>
      <c r="E790" s="30">
        <v>18.177</v>
      </c>
      <c r="F790" s="30">
        <v>56.145662847790511</v>
      </c>
      <c r="G790" s="30">
        <v>8.6292962356792149</v>
      </c>
      <c r="H790" s="30">
        <v>79.828150572831419</v>
      </c>
      <c r="I790" s="8">
        <v>1</v>
      </c>
      <c r="J790" s="31">
        <v>0</v>
      </c>
      <c r="K790" s="31">
        <v>0</v>
      </c>
      <c r="L790" s="31">
        <v>0</v>
      </c>
      <c r="M790" s="31">
        <v>0</v>
      </c>
      <c r="N790" s="31">
        <v>0</v>
      </c>
      <c r="O790" s="31">
        <v>0</v>
      </c>
      <c r="P790" s="31">
        <v>0</v>
      </c>
      <c r="Q790" s="31">
        <v>0</v>
      </c>
      <c r="R790" s="31">
        <v>0</v>
      </c>
      <c r="S790" s="31">
        <v>0</v>
      </c>
      <c r="T790" s="21" cm="1">
        <f t="array" aca="1" ref="T790" ca="1">+fair_value_gap(OFFSET(S789,0,0,-1*$I$5,-1*$Z$1),OFFSET(E789,0,0,-1*$I$5,1),F790:S790,0)</f>
        <v>19.127619050563364</v>
      </c>
      <c r="U790" s="7" cm="1">
        <f t="array" aca="1" ref="U790" ca="1">z_score_diff(OFFSET(T790,0,0,$I$5*-1,1),OFFSET(E790,0,0,$I$5*-1,1))</f>
        <v>0.45603844681283168</v>
      </c>
      <c r="V790" s="7">
        <f t="shared" ca="1" si="847"/>
        <v>0.5479468651729924</v>
      </c>
      <c r="W790" s="14">
        <f t="shared" ca="1" si="842"/>
        <v>1.4842915234338178E-3</v>
      </c>
      <c r="X790" s="10">
        <f t="shared" ref="X790:Y790" ca="1" si="863">+X789</f>
        <v>0</v>
      </c>
      <c r="Y790" s="10">
        <f t="shared" ca="1" si="863"/>
        <v>0</v>
      </c>
      <c r="Z790">
        <f t="shared" ca="1" si="849"/>
        <v>0</v>
      </c>
      <c r="AA790">
        <f t="shared" ca="1" si="850"/>
        <v>1</v>
      </c>
      <c r="AB790" s="19">
        <f t="shared" ca="1" si="851"/>
        <v>0</v>
      </c>
      <c r="AC790" s="19">
        <f t="shared" ca="1" si="852"/>
        <v>1.4842915234338178E-3</v>
      </c>
    </row>
    <row r="791" spans="3:29" x14ac:dyDescent="0.25">
      <c r="C791" s="4">
        <v>784</v>
      </c>
      <c r="D791" s="28">
        <v>43122</v>
      </c>
      <c r="E791" s="30">
        <v>18.539000000000001</v>
      </c>
      <c r="F791" s="30">
        <v>56.305057096247964</v>
      </c>
      <c r="G791" s="30">
        <v>8.584828711256117</v>
      </c>
      <c r="H791" s="30">
        <v>79.56769983686786</v>
      </c>
      <c r="I791" s="8">
        <v>1</v>
      </c>
      <c r="J791" s="31">
        <v>0</v>
      </c>
      <c r="K791" s="31">
        <v>0</v>
      </c>
      <c r="L791" s="31">
        <v>0</v>
      </c>
      <c r="M791" s="31">
        <v>0</v>
      </c>
      <c r="N791" s="31">
        <v>0</v>
      </c>
      <c r="O791" s="31">
        <v>0</v>
      </c>
      <c r="P791" s="31">
        <v>0</v>
      </c>
      <c r="Q791" s="31">
        <v>0</v>
      </c>
      <c r="R791" s="31">
        <v>0</v>
      </c>
      <c r="S791" s="31">
        <v>0</v>
      </c>
      <c r="T791" s="21" cm="1">
        <f t="array" aca="1" ref="T791" ca="1">+fair_value_gap(OFFSET(S790,0,0,-1*$I$5,-1*$Z$1),OFFSET(E790,0,0,-1*$I$5,1),F791:S791,0)</f>
        <v>18.934545247380317</v>
      </c>
      <c r="U791" s="7" cm="1">
        <f t="array" aca="1" ref="U791" ca="1">z_score_diff(OFFSET(T791,0,0,$I$5*-1,1),OFFSET(E791,0,0,$I$5*-1,1))</f>
        <v>0.17168423485384132</v>
      </c>
      <c r="V791" s="7">
        <f t="shared" ca="1" si="847"/>
        <v>0.52373741329089052</v>
      </c>
      <c r="W791" s="14">
        <f t="shared" ca="1" si="842"/>
        <v>3.4043584489095793E-2</v>
      </c>
      <c r="X791" s="10">
        <f t="shared" ref="X791:Y791" ca="1" si="864">+X790</f>
        <v>0</v>
      </c>
      <c r="Y791" s="10">
        <f t="shared" ca="1" si="864"/>
        <v>0</v>
      </c>
      <c r="Z791">
        <f t="shared" ca="1" si="849"/>
        <v>0</v>
      </c>
      <c r="AA791">
        <f t="shared" ca="1" si="850"/>
        <v>1</v>
      </c>
      <c r="AB791" s="19">
        <f t="shared" ca="1" si="851"/>
        <v>0</v>
      </c>
      <c r="AC791" s="19">
        <f t="shared" ca="1" si="852"/>
        <v>3.4043584489095793E-2</v>
      </c>
    </row>
    <row r="792" spans="3:29" x14ac:dyDescent="0.25">
      <c r="C792" s="4">
        <v>785</v>
      </c>
      <c r="D792" s="28">
        <v>43123</v>
      </c>
      <c r="E792" s="30">
        <v>18.234000000000002</v>
      </c>
      <c r="F792" s="30">
        <v>56.891924859721875</v>
      </c>
      <c r="G792" s="30">
        <v>8.1279986988696429</v>
      </c>
      <c r="H792" s="30">
        <v>79.328291453199967</v>
      </c>
      <c r="I792" s="8">
        <v>1</v>
      </c>
      <c r="J792" s="31">
        <v>0</v>
      </c>
      <c r="K792" s="31">
        <v>0</v>
      </c>
      <c r="L792" s="31">
        <v>0</v>
      </c>
      <c r="M792" s="31">
        <v>0</v>
      </c>
      <c r="N792" s="31">
        <v>0</v>
      </c>
      <c r="O792" s="31">
        <v>0</v>
      </c>
      <c r="P792" s="31">
        <v>0</v>
      </c>
      <c r="Q792" s="31">
        <v>0</v>
      </c>
      <c r="R792" s="31">
        <v>0</v>
      </c>
      <c r="S792" s="31">
        <v>0</v>
      </c>
      <c r="T792" s="21" cm="1">
        <f t="array" aca="1" ref="T792" ca="1">+fair_value_gap(OFFSET(S791,0,0,-1*$I$5,-1*$Z$1),OFFSET(E791,0,0,-1*$I$5,1),F792:S792,0)</f>
        <v>18.453219647546767</v>
      </c>
      <c r="U792" s="7" cm="1">
        <f t="array" aca="1" ref="U792" ca="1">z_score_diff(OFFSET(T792,0,0,$I$5*-1,1),OFFSET(E792,0,0,$I$5*-1,1))</f>
        <v>7.057037438121383E-2</v>
      </c>
      <c r="V792" s="7">
        <f t="shared" ca="1" si="847"/>
        <v>0.4889225267912557</v>
      </c>
      <c r="W792" s="14">
        <f t="shared" ca="1" si="842"/>
        <v>8.6828551605644191E-2</v>
      </c>
      <c r="X792" s="10">
        <f t="shared" ref="X792:Y792" ca="1" si="865">+X791</f>
        <v>0</v>
      </c>
      <c r="Y792" s="10">
        <f t="shared" ca="1" si="865"/>
        <v>0</v>
      </c>
      <c r="Z792">
        <f t="shared" ca="1" si="849"/>
        <v>0</v>
      </c>
      <c r="AA792">
        <f t="shared" ca="1" si="850"/>
        <v>1</v>
      </c>
      <c r="AB792" s="19">
        <f t="shared" ca="1" si="851"/>
        <v>0</v>
      </c>
      <c r="AC792" s="19">
        <f t="shared" ca="1" si="852"/>
        <v>8.6828551605644191E-2</v>
      </c>
    </row>
    <row r="793" spans="3:29" x14ac:dyDescent="0.25">
      <c r="C793" s="4">
        <v>786</v>
      </c>
      <c r="D793" s="28">
        <v>43124</v>
      </c>
      <c r="E793" s="30">
        <v>17.861999999999998</v>
      </c>
      <c r="F793" s="30">
        <v>56.851523456392073</v>
      </c>
      <c r="G793" s="30">
        <v>7.971949056907949</v>
      </c>
      <c r="H793" s="30">
        <v>78.631307431887805</v>
      </c>
      <c r="I793" s="8">
        <v>1</v>
      </c>
      <c r="J793" s="31">
        <v>0</v>
      </c>
      <c r="K793" s="31">
        <v>0</v>
      </c>
      <c r="L793" s="31">
        <v>0</v>
      </c>
      <c r="M793" s="31">
        <v>0</v>
      </c>
      <c r="N793" s="31">
        <v>0</v>
      </c>
      <c r="O793" s="31">
        <v>0</v>
      </c>
      <c r="P793" s="31">
        <v>0</v>
      </c>
      <c r="Q793" s="31">
        <v>0</v>
      </c>
      <c r="R793" s="31">
        <v>0</v>
      </c>
      <c r="S793" s="31">
        <v>0</v>
      </c>
      <c r="T793" s="21" cm="1">
        <f t="array" aca="1" ref="T793" ca="1">+fair_value_gap(OFFSET(S792,0,0,-1*$I$5,-1*$Z$1),OFFSET(E792,0,0,-1*$I$5,1),F793:S793,0)</f>
        <v>17.996836648738292</v>
      </c>
      <c r="U793" s="7" cm="1">
        <f t="array" aca="1" ref="U793" ca="1">z_score_diff(OFFSET(T793,0,0,$I$5*-1,1),OFFSET(E793,0,0,$I$5*-1,1))</f>
        <v>1.4814704175771631E-2</v>
      </c>
      <c r="V793" s="7">
        <f t="shared" ca="1" si="847"/>
        <v>0.44483747425137948</v>
      </c>
      <c r="W793" s="14">
        <f t="shared" ca="1" si="842"/>
        <v>0.1033093708374168</v>
      </c>
      <c r="X793" s="10">
        <f t="shared" ref="X793:Y793" ca="1" si="866">+X792</f>
        <v>0</v>
      </c>
      <c r="Y793" s="10">
        <f t="shared" ca="1" si="866"/>
        <v>0</v>
      </c>
      <c r="Z793">
        <f t="shared" ca="1" si="849"/>
        <v>0</v>
      </c>
      <c r="AA793">
        <f t="shared" ca="1" si="850"/>
        <v>1</v>
      </c>
      <c r="AB793" s="19">
        <f t="shared" ca="1" si="851"/>
        <v>0</v>
      </c>
      <c r="AC793" s="19">
        <f t="shared" ca="1" si="852"/>
        <v>0.1033093708374168</v>
      </c>
    </row>
    <row r="794" spans="3:29" x14ac:dyDescent="0.25">
      <c r="C794" s="4">
        <v>787</v>
      </c>
      <c r="D794" s="28">
        <v>43125</v>
      </c>
      <c r="E794" s="30">
        <v>17.780999999999999</v>
      </c>
      <c r="F794" s="30">
        <v>56.813231141589348</v>
      </c>
      <c r="G794" s="30">
        <v>8.0193626462283163</v>
      </c>
      <c r="H794" s="30">
        <v>78.78176684146834</v>
      </c>
      <c r="I794" s="8">
        <v>1</v>
      </c>
      <c r="J794" s="31">
        <v>0</v>
      </c>
      <c r="K794" s="31">
        <v>0</v>
      </c>
      <c r="L794" s="31">
        <v>0</v>
      </c>
      <c r="M794" s="31">
        <v>0</v>
      </c>
      <c r="N794" s="31">
        <v>0</v>
      </c>
      <c r="O794" s="31">
        <v>0</v>
      </c>
      <c r="P794" s="31">
        <v>0</v>
      </c>
      <c r="Q794" s="31">
        <v>0</v>
      </c>
      <c r="R794" s="31">
        <v>0</v>
      </c>
      <c r="S794" s="31">
        <v>0</v>
      </c>
      <c r="T794" s="21" cm="1">
        <f t="array" aca="1" ref="T794" ca="1">+fair_value_gap(OFFSET(S793,0,0,-1*$I$5,-1*$Z$1),OFFSET(E793,0,0,-1*$I$5,1),F794:S794,0)</f>
        <v>18.071871567871643</v>
      </c>
      <c r="U794" s="7" cm="1">
        <f t="array" aca="1" ref="U794" ca="1">z_score_diff(OFFSET(T794,0,0,$I$5*-1,1),OFFSET(E794,0,0,$I$5*-1,1))</f>
        <v>8.7583327144804046E-2</v>
      </c>
      <c r="V794" s="7">
        <f t="shared" ca="1" si="847"/>
        <v>0.39622736430285854</v>
      </c>
      <c r="W794" s="14">
        <f t="shared" ca="1" si="842"/>
        <v>0.11399530648606868</v>
      </c>
      <c r="X794" s="10">
        <f t="shared" ref="X794:Y794" ca="1" si="867">+X793</f>
        <v>0</v>
      </c>
      <c r="Y794" s="10">
        <f t="shared" ca="1" si="867"/>
        <v>0</v>
      </c>
      <c r="Z794">
        <f t="shared" ca="1" si="849"/>
        <v>0</v>
      </c>
      <c r="AA794">
        <f t="shared" ca="1" si="850"/>
        <v>1</v>
      </c>
      <c r="AB794" s="19">
        <f t="shared" ca="1" si="851"/>
        <v>0</v>
      </c>
      <c r="AC794" s="19">
        <f t="shared" ca="1" si="852"/>
        <v>0.11399530648606868</v>
      </c>
    </row>
    <row r="795" spans="3:29" x14ac:dyDescent="0.25">
      <c r="C795" s="4">
        <v>788</v>
      </c>
      <c r="D795" s="28">
        <v>43126</v>
      </c>
      <c r="E795" s="30">
        <v>17.853000000000002</v>
      </c>
      <c r="F795" s="30">
        <v>56.783960061196552</v>
      </c>
      <c r="G795" s="30">
        <v>8.0843868266366048</v>
      </c>
      <c r="H795" s="30">
        <v>78.629519284966591</v>
      </c>
      <c r="I795" s="8">
        <v>1</v>
      </c>
      <c r="J795" s="31">
        <v>0</v>
      </c>
      <c r="K795" s="31">
        <v>0</v>
      </c>
      <c r="L795" s="31">
        <v>0</v>
      </c>
      <c r="M795" s="31">
        <v>0</v>
      </c>
      <c r="N795" s="31">
        <v>0</v>
      </c>
      <c r="O795" s="31">
        <v>0</v>
      </c>
      <c r="P795" s="31">
        <v>0</v>
      </c>
      <c r="Q795" s="31">
        <v>0</v>
      </c>
      <c r="R795" s="31">
        <v>0</v>
      </c>
      <c r="S795" s="31">
        <v>0</v>
      </c>
      <c r="T795" s="21" cm="1">
        <f t="array" aca="1" ref="T795" ca="1">+fair_value_gap(OFFSET(S794,0,0,-1*$I$5,-1*$Z$1),OFFSET(E794,0,0,-1*$I$5,1),F795:S795,0)</f>
        <v>18.085249996603395</v>
      </c>
      <c r="U795" s="7" cm="1">
        <f t="array" aca="1" ref="U795" ca="1">z_score_diff(OFFSET(T795,0,0,$I$5*-1,1),OFFSET(E795,0,0,$I$5*-1,1))</f>
        <v>4.8391278817249084E-2</v>
      </c>
      <c r="V795" s="7">
        <f t="shared" ca="1" si="847"/>
        <v>0.36509346742249527</v>
      </c>
      <c r="W795" s="14">
        <f t="shared" ca="1" si="842"/>
        <v>0.14844511407666802</v>
      </c>
      <c r="X795" s="10">
        <f t="shared" ref="X795:Y795" ca="1" si="868">+X794</f>
        <v>0</v>
      </c>
      <c r="Y795" s="10">
        <f t="shared" ca="1" si="868"/>
        <v>0</v>
      </c>
      <c r="Z795">
        <f t="shared" ca="1" si="849"/>
        <v>0</v>
      </c>
      <c r="AA795">
        <f t="shared" ca="1" si="850"/>
        <v>1</v>
      </c>
      <c r="AB795" s="19">
        <f t="shared" ca="1" si="851"/>
        <v>0</v>
      </c>
      <c r="AC795" s="19">
        <f t="shared" ca="1" si="852"/>
        <v>0.14844511407666802</v>
      </c>
    </row>
    <row r="796" spans="3:29" x14ac:dyDescent="0.25">
      <c r="C796" s="4">
        <v>789</v>
      </c>
      <c r="D796" s="28">
        <v>43129</v>
      </c>
      <c r="E796" s="30">
        <v>17.486000000000001</v>
      </c>
      <c r="F796" s="30">
        <v>56.102091915031089</v>
      </c>
      <c r="G796" s="30">
        <v>8.2263145141749465</v>
      </c>
      <c r="H796" s="30">
        <v>79.032388336967927</v>
      </c>
      <c r="I796" s="8">
        <v>1</v>
      </c>
      <c r="J796" s="31">
        <v>0</v>
      </c>
      <c r="K796" s="31">
        <v>0</v>
      </c>
      <c r="L796" s="31">
        <v>0</v>
      </c>
      <c r="M796" s="31">
        <v>0</v>
      </c>
      <c r="N796" s="31">
        <v>0</v>
      </c>
      <c r="O796" s="31">
        <v>0</v>
      </c>
      <c r="P796" s="31">
        <v>0</v>
      </c>
      <c r="Q796" s="31">
        <v>0</v>
      </c>
      <c r="R796" s="31">
        <v>0</v>
      </c>
      <c r="S796" s="31">
        <v>0</v>
      </c>
      <c r="T796" s="21" cm="1">
        <f t="array" aca="1" ref="T796" ca="1">+fair_value_gap(OFFSET(S795,0,0,-1*$I$5,-1*$Z$1),OFFSET(E795,0,0,-1*$I$5,1),F796:S796,0)</f>
        <v>18.283400145468946</v>
      </c>
      <c r="U796" s="7" cm="1">
        <f t="array" aca="1" ref="U796" ca="1">z_score_diff(OFFSET(T796,0,0,$I$5*-1,1),OFFSET(E796,0,0,$I$5*-1,1))</f>
        <v>0.3352703087454767</v>
      </c>
      <c r="V796" s="7">
        <f t="shared" ca="1" si="847"/>
        <v>0.35060193168377563</v>
      </c>
      <c r="W796" s="14">
        <f t="shared" ca="1" si="842"/>
        <v>6.1868541061576E-2</v>
      </c>
      <c r="X796" s="10">
        <f t="shared" ref="X796:Y796" ca="1" si="869">+X795</f>
        <v>0</v>
      </c>
      <c r="Y796" s="10">
        <f t="shared" ca="1" si="869"/>
        <v>0</v>
      </c>
      <c r="Z796">
        <f t="shared" ca="1" si="849"/>
        <v>0</v>
      </c>
      <c r="AA796">
        <f t="shared" ca="1" si="850"/>
        <v>1</v>
      </c>
      <c r="AB796" s="19">
        <f t="shared" ca="1" si="851"/>
        <v>0</v>
      </c>
      <c r="AC796" s="19">
        <f t="shared" ca="1" si="852"/>
        <v>6.1868541061576E-2</v>
      </c>
    </row>
    <row r="797" spans="3:29" x14ac:dyDescent="0.25">
      <c r="C797" s="4">
        <v>790</v>
      </c>
      <c r="D797" s="28">
        <v>43130</v>
      </c>
      <c r="E797" s="30">
        <v>17.350999999999999</v>
      </c>
      <c r="F797" s="30">
        <v>55.661290322580641</v>
      </c>
      <c r="G797" s="30">
        <v>8.310483870967742</v>
      </c>
      <c r="H797" s="30">
        <v>78.185483870967744</v>
      </c>
      <c r="I797" s="8">
        <v>1</v>
      </c>
      <c r="J797" s="31">
        <v>0</v>
      </c>
      <c r="K797" s="31">
        <v>0</v>
      </c>
      <c r="L797" s="31">
        <v>0</v>
      </c>
      <c r="M797" s="31">
        <v>0</v>
      </c>
      <c r="N797" s="31">
        <v>0</v>
      </c>
      <c r="O797" s="31">
        <v>0</v>
      </c>
      <c r="P797" s="31">
        <v>0</v>
      </c>
      <c r="Q797" s="31">
        <v>0</v>
      </c>
      <c r="R797" s="31">
        <v>0</v>
      </c>
      <c r="S797" s="31">
        <v>0</v>
      </c>
      <c r="T797" s="21" cm="1">
        <f t="array" aca="1" ref="T797" ca="1">+fair_value_gap(OFFSET(S796,0,0,-1*$I$5,-1*$Z$1),OFFSET(E796,0,0,-1*$I$5,1),F797:S797,0)</f>
        <v>18.146219777158883</v>
      </c>
      <c r="U797" s="7" cm="1">
        <f t="array" aca="1" ref="U797" ca="1">z_score_diff(OFFSET(T797,0,0,$I$5*-1,1),OFFSET(E797,0,0,$I$5*-1,1))</f>
        <v>0.33129407404728378</v>
      </c>
      <c r="V797" s="7">
        <f t="shared" ca="1" si="847"/>
        <v>0.33220293381531285</v>
      </c>
      <c r="W797" s="14">
        <f t="shared" ca="1" si="842"/>
        <v>0.1004785820793811</v>
      </c>
      <c r="X797" s="10">
        <f t="shared" ref="X797:Y797" ca="1" si="870">+X796</f>
        <v>0</v>
      </c>
      <c r="Y797" s="10">
        <f t="shared" ca="1" si="870"/>
        <v>0</v>
      </c>
      <c r="Z797">
        <f t="shared" ca="1" si="849"/>
        <v>0</v>
      </c>
      <c r="AA797">
        <f t="shared" ca="1" si="850"/>
        <v>1</v>
      </c>
      <c r="AB797" s="19">
        <f t="shared" ca="1" si="851"/>
        <v>0</v>
      </c>
      <c r="AC797" s="19">
        <f t="shared" ca="1" si="852"/>
        <v>0.1004785820793811</v>
      </c>
    </row>
    <row r="798" spans="3:29" x14ac:dyDescent="0.25">
      <c r="C798" s="4">
        <v>791</v>
      </c>
      <c r="D798" s="28">
        <v>43131</v>
      </c>
      <c r="E798" s="30">
        <v>17.95</v>
      </c>
      <c r="F798" s="30">
        <v>55.595813204508858</v>
      </c>
      <c r="G798" s="30">
        <v>8.3293075684380042</v>
      </c>
      <c r="H798" s="30">
        <v>77.214170692431566</v>
      </c>
      <c r="I798" s="8">
        <v>1</v>
      </c>
      <c r="J798" s="31">
        <v>0</v>
      </c>
      <c r="K798" s="31">
        <v>0</v>
      </c>
      <c r="L798" s="31">
        <v>0</v>
      </c>
      <c r="M798" s="31">
        <v>0</v>
      </c>
      <c r="N798" s="31">
        <v>0</v>
      </c>
      <c r="O798" s="31">
        <v>0</v>
      </c>
      <c r="P798" s="31">
        <v>0</v>
      </c>
      <c r="Q798" s="31">
        <v>0</v>
      </c>
      <c r="R798" s="31">
        <v>0</v>
      </c>
      <c r="S798" s="31">
        <v>0</v>
      </c>
      <c r="T798" s="21" cm="1">
        <f t="array" aca="1" ref="T798" ca="1">+fair_value_gap(OFFSET(S797,0,0,-1*$I$5,-1*$Z$1),OFFSET(E797,0,0,-1*$I$5,1),F798:S798,0)</f>
        <v>17.939433098530902</v>
      </c>
      <c r="U798" s="7" cm="1">
        <f t="array" aca="1" ref="U798" ca="1">z_score_diff(OFFSET(T798,0,0,$I$5*-1,1),OFFSET(E798,0,0,$I$5*-1,1))</f>
        <v>-9.6589904121084535E-2</v>
      </c>
      <c r="V798" s="7">
        <f t="shared" ca="1" si="847"/>
        <v>0.29121422338221831</v>
      </c>
      <c r="W798" s="14">
        <f t="shared" ca="1" si="842"/>
        <v>-3.3997608541419505E-2</v>
      </c>
      <c r="X798" s="10">
        <f t="shared" ref="X798:Y798" ca="1" si="871">+X797</f>
        <v>0</v>
      </c>
      <c r="Y798" s="10">
        <f t="shared" ca="1" si="871"/>
        <v>0</v>
      </c>
      <c r="Z798">
        <f t="shared" ca="1" si="849"/>
        <v>0</v>
      </c>
      <c r="AA798">
        <f t="shared" ca="1" si="850"/>
        <v>1</v>
      </c>
      <c r="AB798" s="19">
        <f t="shared" ca="1" si="851"/>
        <v>0</v>
      </c>
      <c r="AC798" s="19">
        <f t="shared" ca="1" si="852"/>
        <v>-3.3997608541419505E-2</v>
      </c>
    </row>
    <row r="799" spans="3:29" x14ac:dyDescent="0.25">
      <c r="C799" s="4">
        <v>792</v>
      </c>
      <c r="D799" s="28">
        <v>43132</v>
      </c>
      <c r="E799" s="30">
        <v>18.25</v>
      </c>
      <c r="F799" s="30">
        <v>55.684362008314686</v>
      </c>
      <c r="G799" s="30">
        <v>8.2707067476814853</v>
      </c>
      <c r="H799" s="30">
        <v>75.831467860569234</v>
      </c>
      <c r="I799" s="8">
        <v>0</v>
      </c>
      <c r="J799" s="31">
        <v>1</v>
      </c>
      <c r="K799" s="31">
        <v>0</v>
      </c>
      <c r="L799" s="31">
        <v>0</v>
      </c>
      <c r="M799" s="31">
        <v>0</v>
      </c>
      <c r="N799" s="31">
        <v>0</v>
      </c>
      <c r="O799" s="31">
        <v>0</v>
      </c>
      <c r="P799" s="31">
        <v>0</v>
      </c>
      <c r="Q799" s="31">
        <v>0</v>
      </c>
      <c r="R799" s="31">
        <v>0</v>
      </c>
      <c r="S799" s="31">
        <v>0</v>
      </c>
      <c r="T799" s="21" cm="1">
        <f t="array" aca="1" ref="T799" ca="1">+fair_value_gap(OFFSET(S798,0,0,-1*$I$5,-1*$Z$1),OFFSET(E798,0,0,-1*$I$5,1),F799:S799,0)</f>
        <v>18.639391407110143</v>
      </c>
      <c r="U799" s="7" cm="1">
        <f t="array" aca="1" ref="U799" ca="1">z_score_diff(OFFSET(T799,0,0,$I$5*-1,1),OFFSET(E799,0,0,$I$5*-1,1))</f>
        <v>0.11230208785534057</v>
      </c>
      <c r="V799" s="7">
        <f t="shared" ca="1" si="847"/>
        <v>0.26310497216150852</v>
      </c>
      <c r="W799" s="14">
        <f t="shared" ca="1" si="842"/>
        <v>-3.956707449931051E-2</v>
      </c>
      <c r="X799" s="10">
        <f t="shared" ref="X799:Y799" ca="1" si="872">+X798</f>
        <v>0</v>
      </c>
      <c r="Y799" s="10">
        <f t="shared" ca="1" si="872"/>
        <v>0</v>
      </c>
      <c r="Z799">
        <f t="shared" ca="1" si="849"/>
        <v>0</v>
      </c>
      <c r="AA799">
        <f t="shared" ca="1" si="850"/>
        <v>1</v>
      </c>
      <c r="AB799" s="19">
        <f t="shared" ca="1" si="851"/>
        <v>0</v>
      </c>
      <c r="AC799" s="19">
        <f t="shared" ca="1" si="852"/>
        <v>-3.956707449931051E-2</v>
      </c>
    </row>
    <row r="800" spans="3:29" x14ac:dyDescent="0.25">
      <c r="C800" s="4">
        <v>793</v>
      </c>
      <c r="D800" s="28">
        <v>43133</v>
      </c>
      <c r="E800" s="30">
        <v>18.184999999999999</v>
      </c>
      <c r="F800" s="30">
        <v>55.040128410914924</v>
      </c>
      <c r="G800" s="30">
        <v>8.3025682182985552</v>
      </c>
      <c r="H800" s="30">
        <v>76.163723916532916</v>
      </c>
      <c r="I800" s="8">
        <v>0</v>
      </c>
      <c r="J800" s="31">
        <v>1</v>
      </c>
      <c r="K800" s="31">
        <v>0</v>
      </c>
      <c r="L800" s="31">
        <v>0</v>
      </c>
      <c r="M800" s="31">
        <v>0</v>
      </c>
      <c r="N800" s="31">
        <v>0</v>
      </c>
      <c r="O800" s="31">
        <v>0</v>
      </c>
      <c r="P800" s="31">
        <v>0</v>
      </c>
      <c r="Q800" s="31">
        <v>0</v>
      </c>
      <c r="R800" s="31">
        <v>0</v>
      </c>
      <c r="S800" s="31">
        <v>0</v>
      </c>
      <c r="T800" s="21" cm="1">
        <f t="array" aca="1" ref="T800" ca="1">+fair_value_gap(OFFSET(S799,0,0,-1*$I$5,-1*$Z$1),OFFSET(E799,0,0,-1*$I$5,1),F800:S800,0)</f>
        <v>18.519947922350152</v>
      </c>
      <c r="U800" s="7" cm="1">
        <f t="array" aca="1" ref="U800" ca="1">z_score_diff(OFFSET(T800,0,0,$I$5*-1,1),OFFSET(E800,0,0,$I$5*-1,1))</f>
        <v>8.6123608485459413E-2</v>
      </c>
      <c r="V800" s="7">
        <f t="shared" ca="1" si="847"/>
        <v>0.22792024689497675</v>
      </c>
      <c r="W800" s="14">
        <f t="shared" ca="1" si="842"/>
        <v>-1.440069195326815E-2</v>
      </c>
      <c r="X800" s="10">
        <f t="shared" ref="X800:Y800" ca="1" si="873">+X799</f>
        <v>0</v>
      </c>
      <c r="Y800" s="10">
        <f t="shared" ca="1" si="873"/>
        <v>0</v>
      </c>
      <c r="Z800">
        <f t="shared" ca="1" si="849"/>
        <v>0</v>
      </c>
      <c r="AA800">
        <f t="shared" ca="1" si="850"/>
        <v>1</v>
      </c>
      <c r="AB800" s="19">
        <f t="shared" ca="1" si="851"/>
        <v>0</v>
      </c>
      <c r="AC800" s="19">
        <f t="shared" ca="1" si="852"/>
        <v>-1.440069195326815E-2</v>
      </c>
    </row>
    <row r="801" spans="3:29" x14ac:dyDescent="0.25">
      <c r="C801" s="4">
        <v>794</v>
      </c>
      <c r="D801" s="28">
        <v>43136</v>
      </c>
      <c r="E801" s="30">
        <v>17.623999999999999</v>
      </c>
      <c r="F801" s="30">
        <v>54.677771488639131</v>
      </c>
      <c r="G801" s="30">
        <v>8.4216058866337828</v>
      </c>
      <c r="H801" s="30">
        <v>76.372604512007769</v>
      </c>
      <c r="I801" s="8">
        <v>0</v>
      </c>
      <c r="J801" s="31">
        <v>1</v>
      </c>
      <c r="K801" s="31">
        <v>0</v>
      </c>
      <c r="L801" s="31">
        <v>0</v>
      </c>
      <c r="M801" s="31">
        <v>0</v>
      </c>
      <c r="N801" s="31">
        <v>0</v>
      </c>
      <c r="O801" s="31">
        <v>0</v>
      </c>
      <c r="P801" s="31">
        <v>0</v>
      </c>
      <c r="Q801" s="31">
        <v>0</v>
      </c>
      <c r="R801" s="31">
        <v>0</v>
      </c>
      <c r="S801" s="31">
        <v>0</v>
      </c>
      <c r="T801" s="21" cm="1">
        <f t="array" aca="1" ref="T801" ca="1">+fair_value_gap(OFFSET(S800,0,0,-1*$I$5,-1*$Z$1),OFFSET(E800,0,0,-1*$I$5,1),F801:S801,0)</f>
        <v>18.44857828346267</v>
      </c>
      <c r="U801" s="7" cm="1">
        <f t="array" aca="1" ref="U801" ca="1">z_score_diff(OFFSET(T801,0,0,$I$5*-1,1),OFFSET(E801,0,0,$I$5*-1,1))</f>
        <v>0.35454520298691455</v>
      </c>
      <c r="V801" s="7">
        <f t="shared" ca="1" si="847"/>
        <v>0.20929665940319092</v>
      </c>
      <c r="W801" s="14">
        <f t="shared" ca="1" si="842"/>
        <v>-4.7776225560049604E-3</v>
      </c>
      <c r="X801" s="10">
        <f t="shared" ref="X801:Y801" ca="1" si="874">+X800</f>
        <v>0</v>
      </c>
      <c r="Y801" s="10">
        <f t="shared" ca="1" si="874"/>
        <v>0</v>
      </c>
      <c r="Z801">
        <f t="shared" ca="1" si="849"/>
        <v>0</v>
      </c>
      <c r="AA801">
        <f t="shared" ca="1" si="850"/>
        <v>1</v>
      </c>
      <c r="AB801" s="19">
        <f t="shared" ca="1" si="851"/>
        <v>0</v>
      </c>
      <c r="AC801" s="19">
        <f t="shared" ca="1" si="852"/>
        <v>-4.7776225560049604E-3</v>
      </c>
    </row>
    <row r="802" spans="3:29" x14ac:dyDescent="0.25">
      <c r="C802" s="4">
        <v>795</v>
      </c>
      <c r="D802" s="28">
        <v>43137</v>
      </c>
      <c r="E802" s="30">
        <v>17.856999999999999</v>
      </c>
      <c r="F802" s="30">
        <v>54.023917259211373</v>
      </c>
      <c r="G802" s="30">
        <v>8.4639625080801544</v>
      </c>
      <c r="H802" s="30">
        <v>74.297026502908849</v>
      </c>
      <c r="I802" s="8">
        <v>0</v>
      </c>
      <c r="J802" s="31">
        <v>1</v>
      </c>
      <c r="K802" s="31">
        <v>0</v>
      </c>
      <c r="L802" s="31">
        <v>0</v>
      </c>
      <c r="M802" s="31">
        <v>0</v>
      </c>
      <c r="N802" s="31">
        <v>0</v>
      </c>
      <c r="O802" s="31">
        <v>0</v>
      </c>
      <c r="P802" s="31">
        <v>0</v>
      </c>
      <c r="Q802" s="31">
        <v>0</v>
      </c>
      <c r="R802" s="31">
        <v>0</v>
      </c>
      <c r="S802" s="31">
        <v>0</v>
      </c>
      <c r="T802" s="21" cm="1">
        <f t="array" aca="1" ref="T802" ca="1">+fair_value_gap(OFFSET(S801,0,0,-1*$I$5,-1*$Z$1),OFFSET(E801,0,0,-1*$I$5,1),F802:S802,0)</f>
        <v>17.849796358971119</v>
      </c>
      <c r="U802" s="7" cm="1">
        <f t="array" aca="1" ref="U802" ca="1">z_score_diff(OFFSET(T802,0,0,$I$5*-1,1),OFFSET(E802,0,0,$I$5*-1,1))</f>
        <v>-8.7240980594101125E-2</v>
      </c>
      <c r="V802" s="7">
        <f t="shared" ca="1" si="847"/>
        <v>0.17947034294817307</v>
      </c>
      <c r="W802" s="14">
        <f t="shared" ca="1" si="842"/>
        <v>-2.5793442583395888E-3</v>
      </c>
      <c r="X802" s="10">
        <f t="shared" ref="X802:Y802" ca="1" si="875">+X801</f>
        <v>0</v>
      </c>
      <c r="Y802" s="10">
        <f t="shared" ca="1" si="875"/>
        <v>0</v>
      </c>
      <c r="Z802">
        <f t="shared" ca="1" si="849"/>
        <v>0</v>
      </c>
      <c r="AA802">
        <f t="shared" ca="1" si="850"/>
        <v>1</v>
      </c>
      <c r="AB802" s="19">
        <f t="shared" ca="1" si="851"/>
        <v>0</v>
      </c>
      <c r="AC802" s="19">
        <f t="shared" ca="1" si="852"/>
        <v>-2.5793442583395888E-3</v>
      </c>
    </row>
    <row r="803" spans="3:29" x14ac:dyDescent="0.25">
      <c r="C803" s="4">
        <v>796</v>
      </c>
      <c r="D803" s="28">
        <v>43138</v>
      </c>
      <c r="E803" s="30">
        <v>18.262</v>
      </c>
      <c r="F803" s="30">
        <v>53.425216114826299</v>
      </c>
      <c r="G803" s="30">
        <v>8.5426520959060515</v>
      </c>
      <c r="H803" s="30">
        <v>75.110096232262265</v>
      </c>
      <c r="I803" s="8">
        <v>0</v>
      </c>
      <c r="J803" s="31">
        <v>1</v>
      </c>
      <c r="K803" s="31">
        <v>0</v>
      </c>
      <c r="L803" s="31">
        <v>0</v>
      </c>
      <c r="M803" s="31">
        <v>0</v>
      </c>
      <c r="N803" s="31">
        <v>0</v>
      </c>
      <c r="O803" s="31">
        <v>0</v>
      </c>
      <c r="P803" s="31">
        <v>0</v>
      </c>
      <c r="Q803" s="31">
        <v>0</v>
      </c>
      <c r="R803" s="31">
        <v>0</v>
      </c>
      <c r="S803" s="31">
        <v>0</v>
      </c>
      <c r="T803" s="21" cm="1">
        <f t="array" aca="1" ref="T803" ca="1">+fair_value_gap(OFFSET(S802,0,0,-1*$I$5,-1*$Z$1),OFFSET(E802,0,0,-1*$I$5,1),F803:S803,0)</f>
        <v>17.977235827489309</v>
      </c>
      <c r="U803" s="7" cm="1">
        <f t="array" aca="1" ref="U803" ca="1">z_score_diff(OFFSET(T803,0,0,$I$5*-1,1),OFFSET(E803,0,0,$I$5*-1,1))</f>
        <v>-0.23225923050156988</v>
      </c>
      <c r="V803" s="7">
        <f t="shared" ca="1" si="847"/>
        <v>0.14940917586554631</v>
      </c>
      <c r="W803" s="14">
        <f t="shared" ca="1" si="842"/>
        <v>-2.5455415771422782E-2</v>
      </c>
      <c r="X803" s="10">
        <f t="shared" ref="X803:Y803" ca="1" si="876">+X802</f>
        <v>0</v>
      </c>
      <c r="Y803" s="10">
        <f t="shared" ca="1" si="876"/>
        <v>0</v>
      </c>
      <c r="Z803">
        <f t="shared" ca="1" si="849"/>
        <v>0</v>
      </c>
      <c r="AA803">
        <f t="shared" ca="1" si="850"/>
        <v>1</v>
      </c>
      <c r="AB803" s="19">
        <f t="shared" ca="1" si="851"/>
        <v>0</v>
      </c>
      <c r="AC803" s="19">
        <f t="shared" ca="1" si="852"/>
        <v>-2.5455415771422782E-2</v>
      </c>
    </row>
    <row r="804" spans="3:29" x14ac:dyDescent="0.25">
      <c r="C804" s="4">
        <v>797</v>
      </c>
      <c r="D804" s="28">
        <v>43139</v>
      </c>
      <c r="E804" s="30">
        <v>17.898</v>
      </c>
      <c r="F804" s="30">
        <v>52.92772560228665</v>
      </c>
      <c r="G804" s="30">
        <v>8.5545120457329524</v>
      </c>
      <c r="H804" s="30">
        <v>74.316047366271945</v>
      </c>
      <c r="I804" s="8">
        <v>0</v>
      </c>
      <c r="J804" s="31">
        <v>1</v>
      </c>
      <c r="K804" s="31">
        <v>0</v>
      </c>
      <c r="L804" s="31">
        <v>0</v>
      </c>
      <c r="M804" s="31">
        <v>0</v>
      </c>
      <c r="N804" s="31">
        <v>0</v>
      </c>
      <c r="O804" s="31">
        <v>0</v>
      </c>
      <c r="P804" s="31">
        <v>0</v>
      </c>
      <c r="Q804" s="31">
        <v>0</v>
      </c>
      <c r="R804" s="31">
        <v>0</v>
      </c>
      <c r="S804" s="31">
        <v>0</v>
      </c>
      <c r="T804" s="21" cm="1">
        <f t="array" aca="1" ref="T804" ca="1">+fair_value_gap(OFFSET(S803,0,0,-1*$I$5,-1*$Z$1),OFFSET(E803,0,0,-1*$I$5,1),F804:S804,0)</f>
        <v>17.795732426044147</v>
      </c>
      <c r="U804" s="7" cm="1">
        <f t="array" aca="1" ref="U804" ca="1">z_score_diff(OFFSET(T804,0,0,$I$5*-1,1),OFFSET(E804,0,0,$I$5*-1,1))</f>
        <v>-0.13208534780846098</v>
      </c>
      <c r="V804" s="7">
        <f t="shared" ca="1" si="847"/>
        <v>0.12556740949493569</v>
      </c>
      <c r="W804" s="14">
        <f t="shared" ca="1" si="842"/>
        <v>2.1118591265337491E-2</v>
      </c>
      <c r="X804" s="10">
        <f t="shared" ref="X804:Y804" ca="1" si="877">+X803</f>
        <v>0</v>
      </c>
      <c r="Y804" s="10">
        <f t="shared" ca="1" si="877"/>
        <v>0</v>
      </c>
      <c r="Z804">
        <f t="shared" ca="1" si="849"/>
        <v>0</v>
      </c>
      <c r="AA804">
        <f t="shared" ca="1" si="850"/>
        <v>1</v>
      </c>
      <c r="AB804" s="19">
        <f t="shared" ca="1" si="851"/>
        <v>0</v>
      </c>
      <c r="AC804" s="19">
        <f t="shared" ca="1" si="852"/>
        <v>2.1118591265337491E-2</v>
      </c>
    </row>
    <row r="805" spans="3:29" x14ac:dyDescent="0.25">
      <c r="C805" s="4">
        <v>798</v>
      </c>
      <c r="D805" s="28">
        <v>43140</v>
      </c>
      <c r="E805" s="30">
        <v>17.901</v>
      </c>
      <c r="F805" s="30">
        <v>51.328374070138146</v>
      </c>
      <c r="G805" s="30">
        <v>8.5629036213520795</v>
      </c>
      <c r="H805" s="30">
        <v>74.102836589552851</v>
      </c>
      <c r="I805" s="8">
        <v>0</v>
      </c>
      <c r="J805" s="31">
        <v>1</v>
      </c>
      <c r="K805" s="31">
        <v>0</v>
      </c>
      <c r="L805" s="31">
        <v>0</v>
      </c>
      <c r="M805" s="31">
        <v>0</v>
      </c>
      <c r="N805" s="31">
        <v>0</v>
      </c>
      <c r="O805" s="31">
        <v>0</v>
      </c>
      <c r="P805" s="31">
        <v>0</v>
      </c>
      <c r="Q805" s="31">
        <v>0</v>
      </c>
      <c r="R805" s="31">
        <v>0</v>
      </c>
      <c r="S805" s="31">
        <v>0</v>
      </c>
      <c r="T805" s="21" cm="1">
        <f t="array" aca="1" ref="T805" ca="1">+fair_value_gap(OFFSET(S804,0,0,-1*$I$5,-1*$Z$1),OFFSET(E804,0,0,-1*$I$5,1),F805:S805,0)</f>
        <v>17.683669530425185</v>
      </c>
      <c r="U805" s="7" cm="1">
        <f t="array" aca="1" ref="U805" ca="1">z_score_diff(OFFSET(T805,0,0,$I$5*-1,1),OFFSET(E805,0,0,$I$5*-1,1))</f>
        <v>-0.19100217226857069</v>
      </c>
      <c r="V805" s="7">
        <f t="shared" ca="1" si="847"/>
        <v>0.12003310898047474</v>
      </c>
      <c r="W805" s="14">
        <f t="shared" ca="1" si="842"/>
        <v>5.6261103072713502E-2</v>
      </c>
      <c r="X805" s="10">
        <f t="shared" ref="X805:Y805" ca="1" si="878">+X804</f>
        <v>0</v>
      </c>
      <c r="Y805" s="10">
        <f t="shared" ca="1" si="878"/>
        <v>0</v>
      </c>
      <c r="Z805">
        <f t="shared" ca="1" si="849"/>
        <v>0</v>
      </c>
      <c r="AA805">
        <f t="shared" ca="1" si="850"/>
        <v>1</v>
      </c>
      <c r="AB805" s="19">
        <f t="shared" ca="1" si="851"/>
        <v>0</v>
      </c>
      <c r="AC805" s="19">
        <f t="shared" ca="1" si="852"/>
        <v>5.6261103072713502E-2</v>
      </c>
    </row>
    <row r="806" spans="3:29" x14ac:dyDescent="0.25">
      <c r="C806" s="4">
        <v>799</v>
      </c>
      <c r="D806" s="28">
        <v>43143</v>
      </c>
      <c r="E806" s="30">
        <v>17.954999999999998</v>
      </c>
      <c r="F806" s="30">
        <v>50.923439915385238</v>
      </c>
      <c r="G806" s="30">
        <v>8.5062240663900415</v>
      </c>
      <c r="H806" s="30">
        <v>74.200634610690742</v>
      </c>
      <c r="I806" s="8">
        <v>0</v>
      </c>
      <c r="J806" s="31">
        <v>1</v>
      </c>
      <c r="K806" s="31">
        <v>0</v>
      </c>
      <c r="L806" s="31">
        <v>0</v>
      </c>
      <c r="M806" s="31">
        <v>0</v>
      </c>
      <c r="N806" s="31">
        <v>0</v>
      </c>
      <c r="O806" s="31">
        <v>0</v>
      </c>
      <c r="P806" s="31">
        <v>0</v>
      </c>
      <c r="Q806" s="31">
        <v>0</v>
      </c>
      <c r="R806" s="31">
        <v>0</v>
      </c>
      <c r="S806" s="31">
        <v>0</v>
      </c>
      <c r="T806" s="21" cm="1">
        <f t="array" aca="1" ref="T806" ca="1">+fair_value_gap(OFFSET(S805,0,0,-1*$I$5,-1*$Z$1),OFFSET(E805,0,0,-1*$I$5,1),F806:S806,0)</f>
        <v>17.68199026967611</v>
      </c>
      <c r="U806" s="7" cm="1">
        <f t="array" aca="1" ref="U806" ca="1">z_score_diff(OFFSET(T806,0,0,$I$5*-1,1),OFFSET(E806,0,0,$I$5*-1,1))</f>
        <v>-0.21808911242359563</v>
      </c>
      <c r="V806" s="7">
        <f t="shared" ca="1" si="847"/>
        <v>0.10032443153739887</v>
      </c>
      <c r="W806" s="14">
        <f t="shared" ca="1" si="842"/>
        <v>9.9075139842865617E-2</v>
      </c>
      <c r="X806" s="10">
        <f t="shared" ref="X806:Y806" ca="1" si="879">+X805</f>
        <v>0</v>
      </c>
      <c r="Y806" s="10">
        <f t="shared" ca="1" si="879"/>
        <v>0</v>
      </c>
      <c r="Z806">
        <f t="shared" ca="1" si="849"/>
        <v>0</v>
      </c>
      <c r="AA806">
        <f t="shared" ca="1" si="850"/>
        <v>1</v>
      </c>
      <c r="AB806" s="19">
        <f t="shared" ca="1" si="851"/>
        <v>0</v>
      </c>
      <c r="AC806" s="19">
        <f t="shared" ca="1" si="852"/>
        <v>9.9075139842865617E-2</v>
      </c>
    </row>
    <row r="807" spans="3:29" x14ac:dyDescent="0.25">
      <c r="C807" s="4">
        <v>800</v>
      </c>
      <c r="D807" s="28">
        <v>43144</v>
      </c>
      <c r="E807" s="30">
        <v>18.309999999999999</v>
      </c>
      <c r="F807" s="30">
        <v>50.785425101214571</v>
      </c>
      <c r="G807" s="30">
        <v>8.4615384615384599</v>
      </c>
      <c r="H807" s="30">
        <v>74.372469635627525</v>
      </c>
      <c r="I807" s="8">
        <v>0</v>
      </c>
      <c r="J807" s="31">
        <v>1</v>
      </c>
      <c r="K807" s="31">
        <v>0</v>
      </c>
      <c r="L807" s="31">
        <v>0</v>
      </c>
      <c r="M807" s="31">
        <v>0</v>
      </c>
      <c r="N807" s="31">
        <v>0</v>
      </c>
      <c r="O807" s="31">
        <v>0</v>
      </c>
      <c r="P807" s="31">
        <v>0</v>
      </c>
      <c r="Q807" s="31">
        <v>0</v>
      </c>
      <c r="R807" s="31">
        <v>0</v>
      </c>
      <c r="S807" s="31">
        <v>0</v>
      </c>
      <c r="T807" s="21" cm="1">
        <f t="array" aca="1" ref="T807" ca="1">+fair_value_gap(OFFSET(S806,0,0,-1*$I$5,-1*$Z$1),OFFSET(E806,0,0,-1*$I$5,1),F807:S807,0)</f>
        <v>17.706976833673053</v>
      </c>
      <c r="U807" s="7" cm="1">
        <f t="array" aca="1" ref="U807" ca="1">z_score_diff(OFFSET(T807,0,0,$I$5*-1,1),OFFSET(E807,0,0,$I$5*-1,1))</f>
        <v>-0.39170783015928057</v>
      </c>
      <c r="V807" s="7">
        <f t="shared" ca="1" si="847"/>
        <v>7.4981591727947314E-2</v>
      </c>
      <c r="W807" s="14">
        <f t="shared" ca="1" si="842"/>
        <v>6.7827072965175386E-2</v>
      </c>
      <c r="X807" s="10">
        <f t="shared" ref="X807:Y807" ca="1" si="880">+X806</f>
        <v>0</v>
      </c>
      <c r="Y807" s="10">
        <f t="shared" ca="1" si="880"/>
        <v>0</v>
      </c>
      <c r="Z807">
        <f t="shared" ca="1" si="849"/>
        <v>0</v>
      </c>
      <c r="AA807">
        <f t="shared" ca="1" si="850"/>
        <v>1</v>
      </c>
      <c r="AB807" s="19">
        <f t="shared" ca="1" si="851"/>
        <v>0</v>
      </c>
      <c r="AC807" s="19">
        <f t="shared" ca="1" si="852"/>
        <v>6.7827072965175386E-2</v>
      </c>
    </row>
    <row r="808" spans="3:29" x14ac:dyDescent="0.25">
      <c r="C808" s="4">
        <v>801</v>
      </c>
      <c r="D808" s="28">
        <v>43145</v>
      </c>
      <c r="E808" s="30">
        <v>18.152999999999999</v>
      </c>
      <c r="F808" s="30">
        <v>51.703084832904885</v>
      </c>
      <c r="G808" s="30">
        <v>8.3949228791773773</v>
      </c>
      <c r="H808" s="30">
        <v>74.750964010282786</v>
      </c>
      <c r="I808" s="8">
        <v>0</v>
      </c>
      <c r="J808" s="31">
        <v>1</v>
      </c>
      <c r="K808" s="31">
        <v>0</v>
      </c>
      <c r="L808" s="31">
        <v>0</v>
      </c>
      <c r="M808" s="31">
        <v>0</v>
      </c>
      <c r="N808" s="31">
        <v>0</v>
      </c>
      <c r="O808" s="31">
        <v>0</v>
      </c>
      <c r="P808" s="31">
        <v>0</v>
      </c>
      <c r="Q808" s="31">
        <v>0</v>
      </c>
      <c r="R808" s="31">
        <v>0</v>
      </c>
      <c r="S808" s="31">
        <v>0</v>
      </c>
      <c r="T808" s="21" cm="1">
        <f t="array" aca="1" ref="T808" ca="1">+fair_value_gap(OFFSET(S807,0,0,-1*$I$5,-1*$Z$1),OFFSET(E807,0,0,-1*$I$5,1),F808:S808,0)</f>
        <v>17.833303687442847</v>
      </c>
      <c r="U808" s="7" cm="1">
        <f t="array" aca="1" ref="U808" ca="1">z_score_diff(OFFSET(T808,0,0,$I$5*-1,1),OFFSET(E808,0,0,$I$5*-1,1))</f>
        <v>-0.23252135609417063</v>
      </c>
      <c r="V808" s="7">
        <f t="shared" ca="1" si="847"/>
        <v>4.408706136720654E-2</v>
      </c>
      <c r="W808" s="14">
        <f t="shared" ca="1" si="842"/>
        <v>1.4112475766775722E-2</v>
      </c>
      <c r="X808" s="10">
        <f t="shared" ref="X808:Y808" ca="1" si="881">+X807</f>
        <v>0</v>
      </c>
      <c r="Y808" s="10">
        <f t="shared" ca="1" si="881"/>
        <v>0</v>
      </c>
      <c r="Z808">
        <f t="shared" ca="1" si="849"/>
        <v>0</v>
      </c>
      <c r="AA808">
        <f t="shared" ca="1" si="850"/>
        <v>1</v>
      </c>
      <c r="AB808" s="19">
        <f t="shared" ca="1" si="851"/>
        <v>0</v>
      </c>
      <c r="AC808" s="19">
        <f t="shared" ca="1" si="852"/>
        <v>1.4112475766775722E-2</v>
      </c>
    </row>
    <row r="809" spans="3:29" x14ac:dyDescent="0.25">
      <c r="C809" s="4">
        <v>802</v>
      </c>
      <c r="D809" s="28">
        <v>43146</v>
      </c>
      <c r="E809" s="30">
        <v>17.774999999999999</v>
      </c>
      <c r="F809" s="30">
        <v>51.443422630947623</v>
      </c>
      <c r="G809" s="30">
        <v>8.3566573370651742</v>
      </c>
      <c r="H809" s="30">
        <v>74.530187924830074</v>
      </c>
      <c r="I809" s="8">
        <v>0</v>
      </c>
      <c r="J809" s="31">
        <v>1</v>
      </c>
      <c r="K809" s="31">
        <v>0</v>
      </c>
      <c r="L809" s="31">
        <v>0</v>
      </c>
      <c r="M809" s="31">
        <v>0</v>
      </c>
      <c r="N809" s="31">
        <v>0</v>
      </c>
      <c r="O809" s="31">
        <v>0</v>
      </c>
      <c r="P809" s="31">
        <v>0</v>
      </c>
      <c r="Q809" s="31">
        <v>0</v>
      </c>
      <c r="R809" s="31">
        <v>0</v>
      </c>
      <c r="S809" s="31">
        <v>0</v>
      </c>
      <c r="T809" s="21" cm="1">
        <f t="array" aca="1" ref="T809" ca="1">+fair_value_gap(OFFSET(S808,0,0,-1*$I$5,-1*$Z$1),OFFSET(E808,0,0,-1*$I$5,1),F809:S809,0)</f>
        <v>17.789724686575447</v>
      </c>
      <c r="U809" s="7" cm="1">
        <f t="array" aca="1" ref="U809" ca="1">z_score_diff(OFFSET(T809,0,0,$I$5*-1,1),OFFSET(E809,0,0,$I$5*-1,1))</f>
        <v>-4.863165833270261E-2</v>
      </c>
      <c r="V809" s="7">
        <f t="shared" ca="1" si="847"/>
        <v>2.1924502800132521E-2</v>
      </c>
      <c r="W809" s="14">
        <f t="shared" ca="1" si="842"/>
        <v>6.2426587934427714E-2</v>
      </c>
      <c r="X809" s="10">
        <f t="shared" ref="X809:Y809" ca="1" si="882">+X808</f>
        <v>0</v>
      </c>
      <c r="Y809" s="10">
        <f t="shared" ca="1" si="882"/>
        <v>0</v>
      </c>
      <c r="Z809">
        <f t="shared" ca="1" si="849"/>
        <v>0</v>
      </c>
      <c r="AA809">
        <f t="shared" ca="1" si="850"/>
        <v>1</v>
      </c>
      <c r="AB809" s="19">
        <f t="shared" ca="1" si="851"/>
        <v>0</v>
      </c>
      <c r="AC809" s="19">
        <f t="shared" ca="1" si="852"/>
        <v>6.2426587934427714E-2</v>
      </c>
    </row>
    <row r="810" spans="3:29" x14ac:dyDescent="0.25">
      <c r="C810" s="4">
        <v>803</v>
      </c>
      <c r="D810" s="28">
        <v>43147</v>
      </c>
      <c r="E810" s="30">
        <v>18.204000000000001</v>
      </c>
      <c r="F810" s="30">
        <v>52.273460174137377</v>
      </c>
      <c r="G810" s="30">
        <v>6.449532408900355</v>
      </c>
      <c r="H810" s="30">
        <v>75.902934537246054</v>
      </c>
      <c r="I810" s="8">
        <v>0</v>
      </c>
      <c r="J810" s="31">
        <v>1</v>
      </c>
      <c r="K810" s="31">
        <v>0</v>
      </c>
      <c r="L810" s="31">
        <v>0</v>
      </c>
      <c r="M810" s="31">
        <v>0</v>
      </c>
      <c r="N810" s="31">
        <v>0</v>
      </c>
      <c r="O810" s="31">
        <v>0</v>
      </c>
      <c r="P810" s="31">
        <v>0</v>
      </c>
      <c r="Q810" s="31">
        <v>0</v>
      </c>
      <c r="R810" s="31">
        <v>0</v>
      </c>
      <c r="S810" s="31">
        <v>0</v>
      </c>
      <c r="T810" s="21" cm="1">
        <f t="array" aca="1" ref="T810" ca="1">+fair_value_gap(OFFSET(S809,0,0,-1*$I$5,-1*$Z$1),OFFSET(E809,0,0,-1*$I$5,1),F810:S810,0)</f>
        <v>17.1849328790206</v>
      </c>
      <c r="U810" s="7" cm="1">
        <f t="array" aca="1" ref="U810" ca="1">z_score_diff(OFFSET(T810,0,0,$I$5*-1,1),OFFSET(E810,0,0,$I$5*-1,1))</f>
        <v>-0.6094319624250778</v>
      </c>
      <c r="V810" s="7">
        <f t="shared" ca="1" si="847"/>
        <v>-3.1349017661762971E-2</v>
      </c>
      <c r="W810" s="14">
        <f t="shared" ca="1" si="842"/>
        <v>2.5758548022770444E-2</v>
      </c>
      <c r="X810" s="10">
        <f t="shared" ref="X810:Y810" ca="1" si="883">+X809</f>
        <v>0</v>
      </c>
      <c r="Y810" s="10">
        <f t="shared" ca="1" si="883"/>
        <v>0</v>
      </c>
      <c r="Z810">
        <f t="shared" ca="1" si="849"/>
        <v>1</v>
      </c>
      <c r="AA810">
        <f t="shared" ca="1" si="850"/>
        <v>0</v>
      </c>
      <c r="AB810" s="19">
        <f t="shared" ca="1" si="851"/>
        <v>2.5758548022770444E-2</v>
      </c>
      <c r="AC810" s="19">
        <f t="shared" ca="1" si="852"/>
        <v>0</v>
      </c>
    </row>
    <row r="811" spans="3:29" x14ac:dyDescent="0.25">
      <c r="C811" s="4">
        <v>804</v>
      </c>
      <c r="D811" s="28">
        <v>43150</v>
      </c>
      <c r="E811" s="30">
        <v>19.181000000000001</v>
      </c>
      <c r="F811" s="30">
        <v>52.92979769484969</v>
      </c>
      <c r="G811" s="30">
        <v>6.4479729185137424</v>
      </c>
      <c r="H811" s="30">
        <v>75.924881115499318</v>
      </c>
      <c r="I811" s="8">
        <v>0</v>
      </c>
      <c r="J811" s="31">
        <v>1</v>
      </c>
      <c r="K811" s="31">
        <v>0</v>
      </c>
      <c r="L811" s="31">
        <v>0</v>
      </c>
      <c r="M811" s="31">
        <v>0</v>
      </c>
      <c r="N811" s="31">
        <v>0</v>
      </c>
      <c r="O811" s="31">
        <v>0</v>
      </c>
      <c r="P811" s="31">
        <v>0</v>
      </c>
      <c r="Q811" s="31">
        <v>0</v>
      </c>
      <c r="R811" s="31">
        <v>0</v>
      </c>
      <c r="S811" s="31">
        <v>0</v>
      </c>
      <c r="T811" s="21" cm="1">
        <f t="array" aca="1" ref="T811" ca="1">+fair_value_gap(OFFSET(S810,0,0,-1*$I$5,-1*$Z$1),OFFSET(E810,0,0,-1*$I$5,1),F811:S811,0)</f>
        <v>17.338823159609024</v>
      </c>
      <c r="U811" s="7" cm="1">
        <f t="array" aca="1" ref="U811" ca="1">z_score_diff(OFFSET(T811,0,0,$I$5*-1,1),OFFSET(E811,0,0,$I$5*-1,1))</f>
        <v>-1.0439889179173505</v>
      </c>
      <c r="V811" s="7">
        <f t="shared" ca="1" si="847"/>
        <v>-9.213267530032257E-2</v>
      </c>
      <c r="W811" s="14">
        <f t="shared" ca="1" si="842"/>
        <v>-2.3420027123175691E-2</v>
      </c>
      <c r="X811" s="10">
        <f t="shared" ref="X811:Y811" ca="1" si="884">+X810</f>
        <v>0</v>
      </c>
      <c r="Y811" s="10">
        <f t="shared" ca="1" si="884"/>
        <v>0</v>
      </c>
      <c r="Z811">
        <f t="shared" ca="1" si="849"/>
        <v>1</v>
      </c>
      <c r="AA811">
        <f t="shared" ca="1" si="850"/>
        <v>0</v>
      </c>
      <c r="AB811" s="19">
        <f t="shared" ca="1" si="851"/>
        <v>-2.3420027123175691E-2</v>
      </c>
      <c r="AC811" s="19">
        <f t="shared" ca="1" si="852"/>
        <v>0</v>
      </c>
    </row>
    <row r="812" spans="3:29" x14ac:dyDescent="0.25">
      <c r="C812" s="4">
        <v>805</v>
      </c>
      <c r="D812" s="28">
        <v>43151</v>
      </c>
      <c r="E812" s="30">
        <v>19.888000000000002</v>
      </c>
      <c r="F812" s="30">
        <v>52.893968871595327</v>
      </c>
      <c r="G812" s="30">
        <v>6.6755836575875485</v>
      </c>
      <c r="H812" s="30">
        <v>76.848249027237344</v>
      </c>
      <c r="I812" s="8">
        <v>0</v>
      </c>
      <c r="J812" s="31">
        <v>1</v>
      </c>
      <c r="K812" s="31">
        <v>0</v>
      </c>
      <c r="L812" s="31">
        <v>0</v>
      </c>
      <c r="M812" s="31">
        <v>0</v>
      </c>
      <c r="N812" s="31">
        <v>0</v>
      </c>
      <c r="O812" s="31">
        <v>0</v>
      </c>
      <c r="P812" s="31">
        <v>0</v>
      </c>
      <c r="Q812" s="31">
        <v>0</v>
      </c>
      <c r="R812" s="31">
        <v>0</v>
      </c>
      <c r="S812" s="31">
        <v>0</v>
      </c>
      <c r="T812" s="21" cm="1">
        <f t="array" aca="1" ref="T812" ca="1">+fair_value_gap(OFFSET(S811,0,0,-1*$I$5,-1*$Z$1),OFFSET(E811,0,0,-1*$I$5,1),F812:S812,0)</f>
        <v>17.967254056817843</v>
      </c>
      <c r="U812" s="7" cm="1">
        <f t="array" aca="1" ref="U812" ca="1">z_score_diff(OFFSET(T812,0,0,$I$5*-1,1),OFFSET(E812,0,0,$I$5*-1,1))</f>
        <v>-1.0626564637116016</v>
      </c>
      <c r="V812" s="7">
        <f t="shared" ca="1" si="847"/>
        <v>-0.14879401720496335</v>
      </c>
      <c r="W812" s="14">
        <f t="shared" ca="1" si="842"/>
        <v>-3.7135198281997191E-2</v>
      </c>
      <c r="X812" s="10">
        <f t="shared" ref="X812:Y812" ca="1" si="885">+X811</f>
        <v>0</v>
      </c>
      <c r="Y812" s="10">
        <f t="shared" ca="1" si="885"/>
        <v>0</v>
      </c>
      <c r="Z812">
        <f t="shared" ca="1" si="849"/>
        <v>1</v>
      </c>
      <c r="AA812">
        <f t="shared" ca="1" si="850"/>
        <v>0</v>
      </c>
      <c r="AB812" s="19">
        <f t="shared" ca="1" si="851"/>
        <v>-3.7135198281997191E-2</v>
      </c>
      <c r="AC812" s="19">
        <f t="shared" ca="1" si="852"/>
        <v>0</v>
      </c>
    </row>
    <row r="813" spans="3:29" x14ac:dyDescent="0.25">
      <c r="C813" s="4">
        <v>806</v>
      </c>
      <c r="D813" s="28">
        <v>43152</v>
      </c>
      <c r="E813" s="30">
        <v>19.806000000000001</v>
      </c>
      <c r="F813" s="30">
        <v>53.264940563426158</v>
      </c>
      <c r="G813" s="30">
        <v>6.7578570265429088</v>
      </c>
      <c r="H813" s="30">
        <v>77.104706073929336</v>
      </c>
      <c r="I813" s="8">
        <v>0</v>
      </c>
      <c r="J813" s="31">
        <v>1</v>
      </c>
      <c r="K813" s="31">
        <v>0</v>
      </c>
      <c r="L813" s="31">
        <v>0</v>
      </c>
      <c r="M813" s="31">
        <v>0</v>
      </c>
      <c r="N813" s="31">
        <v>0</v>
      </c>
      <c r="O813" s="31">
        <v>0</v>
      </c>
      <c r="P813" s="31">
        <v>0</v>
      </c>
      <c r="Q813" s="31">
        <v>0</v>
      </c>
      <c r="R813" s="31">
        <v>0</v>
      </c>
      <c r="S813" s="31">
        <v>0</v>
      </c>
      <c r="T813" s="21" cm="1">
        <f t="array" aca="1" ref="T813" ca="1">+fair_value_gap(OFFSET(S812,0,0,-1*$I$5,-1*$Z$1),OFFSET(E812,0,0,-1*$I$5,1),F813:S813,0)</f>
        <v>18.542399871642598</v>
      </c>
      <c r="U813" s="7" cm="1">
        <f t="array" aca="1" ref="U813" ca="1">z_score_diff(OFFSET(T813,0,0,$I$5*-1,1),OFFSET(E813,0,0,$I$5*-1,1))</f>
        <v>-0.68789153792482538</v>
      </c>
      <c r="V813" s="7">
        <f t="shared" ca="1" si="847"/>
        <v>-0.1839293293099932</v>
      </c>
      <c r="W813" s="14">
        <f t="shared" ca="1" si="842"/>
        <v>-2.2001346859700371E-2</v>
      </c>
      <c r="X813" s="10">
        <f t="shared" ref="X813:Y813" ca="1" si="886">+X812</f>
        <v>0</v>
      </c>
      <c r="Y813" s="10">
        <f t="shared" ca="1" si="886"/>
        <v>0</v>
      </c>
      <c r="Z813">
        <f t="shared" ca="1" si="849"/>
        <v>1</v>
      </c>
      <c r="AA813">
        <f t="shared" ca="1" si="850"/>
        <v>0</v>
      </c>
      <c r="AB813" s="19">
        <f t="shared" ca="1" si="851"/>
        <v>-2.2001346859700371E-2</v>
      </c>
      <c r="AC813" s="19">
        <f t="shared" ca="1" si="852"/>
        <v>0</v>
      </c>
    </row>
    <row r="814" spans="3:29" x14ac:dyDescent="0.25">
      <c r="C814" s="4">
        <v>807</v>
      </c>
      <c r="D814" s="28">
        <v>43153</v>
      </c>
      <c r="E814" s="30">
        <v>19.928000000000001</v>
      </c>
      <c r="F814" s="30">
        <v>53.848649525508961</v>
      </c>
      <c r="G814" s="30">
        <v>6.7280395814745715</v>
      </c>
      <c r="H814" s="30">
        <v>77.013545299699885</v>
      </c>
      <c r="I814" s="8">
        <v>0</v>
      </c>
      <c r="J814" s="31">
        <v>1</v>
      </c>
      <c r="K814" s="31">
        <v>0</v>
      </c>
      <c r="L814" s="31">
        <v>0</v>
      </c>
      <c r="M814" s="31">
        <v>0</v>
      </c>
      <c r="N814" s="31">
        <v>0</v>
      </c>
      <c r="O814" s="31">
        <v>0</v>
      </c>
      <c r="P814" s="31">
        <v>0</v>
      </c>
      <c r="Q814" s="31">
        <v>0</v>
      </c>
      <c r="R814" s="31">
        <v>0</v>
      </c>
      <c r="S814" s="31">
        <v>0</v>
      </c>
      <c r="T814" s="21" cm="1">
        <f t="array" aca="1" ref="T814" ca="1">+fair_value_gap(OFFSET(S813,0,0,-1*$I$5,-1*$Z$1),OFFSET(E813,0,0,-1*$I$5,1),F814:S814,0)</f>
        <v>18.69455611987355</v>
      </c>
      <c r="U814" s="7" cm="1">
        <f t="array" aca="1" ref="U814" ca="1">z_score_diff(OFFSET(T814,0,0,$I$5*-1,1),OFFSET(E814,0,0,$I$5*-1,1))</f>
        <v>-0.6563822336426095</v>
      </c>
      <c r="V814" s="7">
        <f t="shared" ca="1" si="847"/>
        <v>-0.22112760734936385</v>
      </c>
      <c r="W814" s="14">
        <f t="shared" ca="1" si="842"/>
        <v>-4.6687298460355395E-2</v>
      </c>
      <c r="X814" s="10">
        <f t="shared" ref="X814:Y814" ca="1" si="887">+X813</f>
        <v>0</v>
      </c>
      <c r="Y814" s="10">
        <f t="shared" ca="1" si="887"/>
        <v>0</v>
      </c>
      <c r="Z814">
        <f t="shared" ca="1" si="849"/>
        <v>1</v>
      </c>
      <c r="AA814">
        <f t="shared" ca="1" si="850"/>
        <v>0</v>
      </c>
      <c r="AB814" s="19">
        <f t="shared" ca="1" si="851"/>
        <v>-4.6687298460355395E-2</v>
      </c>
      <c r="AC814" s="19">
        <f t="shared" ca="1" si="852"/>
        <v>0</v>
      </c>
    </row>
    <row r="815" spans="3:29" x14ac:dyDescent="0.25">
      <c r="C815" s="4">
        <v>808</v>
      </c>
      <c r="D815" s="28">
        <v>43154</v>
      </c>
      <c r="E815" s="30">
        <v>20.71</v>
      </c>
      <c r="F815" s="30">
        <v>54.754738469047425</v>
      </c>
      <c r="G815" s="30">
        <v>6.7477426177499389</v>
      </c>
      <c r="H815" s="30">
        <v>76.954364272350105</v>
      </c>
      <c r="I815" s="8">
        <v>0</v>
      </c>
      <c r="J815" s="31">
        <v>1</v>
      </c>
      <c r="K815" s="31">
        <v>0</v>
      </c>
      <c r="L815" s="31">
        <v>0</v>
      </c>
      <c r="M815" s="31">
        <v>0</v>
      </c>
      <c r="N815" s="31">
        <v>0</v>
      </c>
      <c r="O815" s="31">
        <v>0</v>
      </c>
      <c r="P815" s="31">
        <v>0</v>
      </c>
      <c r="Q815" s="31">
        <v>0</v>
      </c>
      <c r="R815" s="31">
        <v>0</v>
      </c>
      <c r="S815" s="31">
        <v>0</v>
      </c>
      <c r="T815" s="21" cm="1">
        <f t="array" aca="1" ref="T815" ca="1">+fair_value_gap(OFFSET(S814,0,0,-1*$I$5,-1*$Z$1),OFFSET(E814,0,0,-1*$I$5,1),F815:S815,0)</f>
        <v>18.862350779331063</v>
      </c>
      <c r="U815" s="7" cm="1">
        <f t="array" aca="1" ref="U815" ca="1">z_score_diff(OFFSET(T815,0,0,$I$5*-1,1),OFFSET(E815,0,0,$I$5*-1,1))</f>
        <v>-0.96184432837888789</v>
      </c>
      <c r="V815" s="7">
        <f t="shared" ca="1" si="847"/>
        <v>-0.27163938770917068</v>
      </c>
      <c r="W815" s="14">
        <f t="shared" ca="1" si="842"/>
        <v>-0.11538971651315195</v>
      </c>
      <c r="X815" s="10">
        <f t="shared" ref="X815:Y815" ca="1" si="888">+X814</f>
        <v>0</v>
      </c>
      <c r="Y815" s="10">
        <f t="shared" ca="1" si="888"/>
        <v>0</v>
      </c>
      <c r="Z815">
        <f t="shared" ca="1" si="849"/>
        <v>1</v>
      </c>
      <c r="AA815">
        <f t="shared" ca="1" si="850"/>
        <v>0</v>
      </c>
      <c r="AB815" s="19">
        <f t="shared" ca="1" si="851"/>
        <v>-0.11538971651315195</v>
      </c>
      <c r="AC815" s="19">
        <f t="shared" ca="1" si="852"/>
        <v>0</v>
      </c>
    </row>
    <row r="816" spans="3:29" x14ac:dyDescent="0.25">
      <c r="C816" s="4">
        <v>809</v>
      </c>
      <c r="D816" s="28">
        <v>43157</v>
      </c>
      <c r="E816" s="30">
        <v>18.602</v>
      </c>
      <c r="F816" s="30">
        <v>54.806755440077943</v>
      </c>
      <c r="G816" s="30">
        <v>6.7148424813251051</v>
      </c>
      <c r="H816" s="30">
        <v>76.364079246508609</v>
      </c>
      <c r="I816" s="8">
        <v>0</v>
      </c>
      <c r="J816" s="31">
        <v>1</v>
      </c>
      <c r="K816" s="31">
        <v>0</v>
      </c>
      <c r="L816" s="31">
        <v>0</v>
      </c>
      <c r="M816" s="31">
        <v>0</v>
      </c>
      <c r="N816" s="31">
        <v>0</v>
      </c>
      <c r="O816" s="31">
        <v>0</v>
      </c>
      <c r="P816" s="31">
        <v>0</v>
      </c>
      <c r="Q816" s="31">
        <v>0</v>
      </c>
      <c r="R816" s="31">
        <v>0</v>
      </c>
      <c r="S816" s="31">
        <v>0</v>
      </c>
      <c r="T816" s="21" cm="1">
        <f t="array" aca="1" ref="T816" ca="1">+fair_value_gap(OFFSET(S815,0,0,-1*$I$5,-1*$Z$1),OFFSET(E815,0,0,-1*$I$5,1),F816:S816,0)</f>
        <v>18.931669784508767</v>
      </c>
      <c r="U816" s="7" cm="1">
        <f t="array" aca="1" ref="U816" ca="1">z_score_diff(OFFSET(T816,0,0,$I$5*-1,1),OFFSET(E816,0,0,$I$5*-1,1))</f>
        <v>0.19541951729671725</v>
      </c>
      <c r="V816" s="7">
        <f t="shared" ca="1" si="847"/>
        <v>-0.27863192728160868</v>
      </c>
      <c r="W816" s="14">
        <f t="shared" ca="1" si="842"/>
        <v>-3.4064691676117378E-2</v>
      </c>
      <c r="X816" s="10">
        <f t="shared" ref="X816:Y816" ca="1" si="889">+X815</f>
        <v>0</v>
      </c>
      <c r="Y816" s="10">
        <f t="shared" ca="1" si="889"/>
        <v>0</v>
      </c>
      <c r="Z816">
        <f t="shared" ca="1" si="849"/>
        <v>1</v>
      </c>
      <c r="AA816">
        <f t="shared" ca="1" si="850"/>
        <v>0</v>
      </c>
      <c r="AB816" s="19">
        <f t="shared" ca="1" si="851"/>
        <v>-3.4064691676117378E-2</v>
      </c>
      <c r="AC816" s="19">
        <f t="shared" ca="1" si="852"/>
        <v>0</v>
      </c>
    </row>
    <row r="817" spans="3:29" x14ac:dyDescent="0.25">
      <c r="C817" s="4">
        <v>810</v>
      </c>
      <c r="D817" s="28">
        <v>43158</v>
      </c>
      <c r="E817" s="30">
        <v>19.184999999999999</v>
      </c>
      <c r="F817" s="30">
        <v>54.476330635271026</v>
      </c>
      <c r="G817" s="30">
        <v>6.8882348131796256</v>
      </c>
      <c r="H817" s="30">
        <v>77.875889134167281</v>
      </c>
      <c r="I817" s="8">
        <v>0</v>
      </c>
      <c r="J817" s="31">
        <v>1</v>
      </c>
      <c r="K817" s="31">
        <v>0</v>
      </c>
      <c r="L817" s="31">
        <v>0</v>
      </c>
      <c r="M817" s="31">
        <v>0</v>
      </c>
      <c r="N817" s="31">
        <v>0</v>
      </c>
      <c r="O817" s="31">
        <v>0</v>
      </c>
      <c r="P817" s="31">
        <v>0</v>
      </c>
      <c r="Q817" s="31">
        <v>0</v>
      </c>
      <c r="R817" s="31">
        <v>0</v>
      </c>
      <c r="S817" s="31">
        <v>0</v>
      </c>
      <c r="T817" s="21" cm="1">
        <f t="array" aca="1" ref="T817" ca="1">+fair_value_gap(OFFSET(S816,0,0,-1*$I$5,-1*$Z$1),OFFSET(E816,0,0,-1*$I$5,1),F817:S817,0)</f>
        <v>19.217624872623645</v>
      </c>
      <c r="U817" s="7" cm="1">
        <f t="array" aca="1" ref="U817" ca="1">z_score_diff(OFFSET(T817,0,0,$I$5*-1,1),OFFSET(E817,0,0,$I$5*-1,1))</f>
        <v>4.6328851021369744E-2</v>
      </c>
      <c r="V817" s="7">
        <f t="shared" ca="1" si="847"/>
        <v>-0.29288018843290436</v>
      </c>
      <c r="W817" s="14">
        <f t="shared" ca="1" si="842"/>
        <v>-3.6736441596176152E-2</v>
      </c>
      <c r="X817" s="10">
        <f t="shared" ref="X817:Y817" ca="1" si="890">+X816</f>
        <v>0</v>
      </c>
      <c r="Y817" s="10">
        <f t="shared" ca="1" si="890"/>
        <v>0</v>
      </c>
      <c r="Z817">
        <f t="shared" ca="1" si="849"/>
        <v>1</v>
      </c>
      <c r="AA817">
        <f t="shared" ca="1" si="850"/>
        <v>0</v>
      </c>
      <c r="AB817" s="19">
        <f t="shared" ca="1" si="851"/>
        <v>-3.6736441596176152E-2</v>
      </c>
      <c r="AC817" s="19">
        <f t="shared" ca="1" si="852"/>
        <v>0</v>
      </c>
    </row>
    <row r="818" spans="3:29" x14ac:dyDescent="0.25">
      <c r="C818" s="4">
        <v>811</v>
      </c>
      <c r="D818" s="28">
        <v>43159</v>
      </c>
      <c r="E818" s="30">
        <v>17.350000000000001</v>
      </c>
      <c r="F818" s="30">
        <v>53.94898712375953</v>
      </c>
      <c r="G818" s="30">
        <v>6.8481915853358482</v>
      </c>
      <c r="H818" s="30">
        <v>78.405642581809232</v>
      </c>
      <c r="I818" s="8">
        <v>0</v>
      </c>
      <c r="J818" s="31">
        <v>1</v>
      </c>
      <c r="K818" s="31">
        <v>0</v>
      </c>
      <c r="L818" s="31">
        <v>0</v>
      </c>
      <c r="M818" s="31">
        <v>0</v>
      </c>
      <c r="N818" s="31">
        <v>0</v>
      </c>
      <c r="O818" s="31">
        <v>0</v>
      </c>
      <c r="P818" s="31">
        <v>0</v>
      </c>
      <c r="Q818" s="31">
        <v>0</v>
      </c>
      <c r="R818" s="31">
        <v>0</v>
      </c>
      <c r="S818" s="31">
        <v>0</v>
      </c>
      <c r="T818" s="21" cm="1">
        <f t="array" aca="1" ref="T818" ca="1">+fair_value_gap(OFFSET(S817,0,0,-1*$I$5,-1*$Z$1),OFFSET(E817,0,0,-1*$I$5,1),F818:S818,0)</f>
        <v>19.308845875498136</v>
      </c>
      <c r="U818" s="7" cm="1">
        <f t="array" aca="1" ref="U818" ca="1">z_score_diff(OFFSET(T818,0,0,$I$5*-1,1),OFFSET(E818,0,0,$I$5*-1,1))</f>
        <v>1.0609231269154149</v>
      </c>
      <c r="V818" s="7">
        <f t="shared" ca="1" si="847"/>
        <v>-0.23500453688107945</v>
      </c>
      <c r="W818" s="14">
        <f t="shared" ca="1" si="842"/>
        <v>5.8377651055792422E-2</v>
      </c>
      <c r="X818" s="10">
        <f t="shared" ref="X818:Y818" ca="1" si="891">+X817</f>
        <v>0</v>
      </c>
      <c r="Y818" s="10">
        <f t="shared" ca="1" si="891"/>
        <v>0</v>
      </c>
      <c r="Z818">
        <f t="shared" ca="1" si="849"/>
        <v>1</v>
      </c>
      <c r="AA818">
        <f t="shared" ca="1" si="850"/>
        <v>0</v>
      </c>
      <c r="AB818" s="19">
        <f t="shared" ca="1" si="851"/>
        <v>5.8377651055792422E-2</v>
      </c>
      <c r="AC818" s="19">
        <f t="shared" ca="1" si="852"/>
        <v>0</v>
      </c>
    </row>
    <row r="819" spans="3:29" x14ac:dyDescent="0.25">
      <c r="C819" s="4">
        <v>812</v>
      </c>
      <c r="D819" s="28">
        <v>43160</v>
      </c>
      <c r="E819" s="30">
        <v>17.542000000000002</v>
      </c>
      <c r="F819" s="30">
        <v>52.033912121953207</v>
      </c>
      <c r="G819" s="30">
        <v>6.8068802478193531</v>
      </c>
      <c r="H819" s="30">
        <v>76.424553680606508</v>
      </c>
      <c r="I819" s="8">
        <v>0</v>
      </c>
      <c r="J819" s="31">
        <v>0</v>
      </c>
      <c r="K819" s="31">
        <v>1</v>
      </c>
      <c r="L819" s="31">
        <v>0</v>
      </c>
      <c r="M819" s="31">
        <v>0</v>
      </c>
      <c r="N819" s="31">
        <v>0</v>
      </c>
      <c r="O819" s="31">
        <v>0</v>
      </c>
      <c r="P819" s="31">
        <v>0</v>
      </c>
      <c r="Q819" s="31">
        <v>0</v>
      </c>
      <c r="R819" s="31">
        <v>0</v>
      </c>
      <c r="S819" s="31">
        <v>0</v>
      </c>
      <c r="T819" s="21" cm="1">
        <f t="array" aca="1" ref="T819" ca="1">+fair_value_gap(OFFSET(S818,0,0,-1*$I$5,-1*$Z$1),OFFSET(E818,0,0,-1*$I$5,1),F819:S819,0)</f>
        <v>16.490057066756489</v>
      </c>
      <c r="U819" s="7" cm="1">
        <f t="array" aca="1" ref="U819" ca="1">z_score_diff(OFFSET(T819,0,0,$I$5*-1,1),OFFSET(E819,0,0,$I$5*-1,1))</f>
        <v>-0.5834988978313651</v>
      </c>
      <c r="V819" s="7">
        <f t="shared" ca="1" si="847"/>
        <v>-0.26979458616541474</v>
      </c>
      <c r="W819" s="14">
        <f t="shared" ca="1" si="842"/>
        <v>3.715320455390702E-2</v>
      </c>
      <c r="X819" s="10">
        <f t="shared" ref="X819:Y819" ca="1" si="892">+X818</f>
        <v>0</v>
      </c>
      <c r="Y819" s="10">
        <f t="shared" ca="1" si="892"/>
        <v>0</v>
      </c>
      <c r="Z819">
        <f t="shared" ca="1" si="849"/>
        <v>1</v>
      </c>
      <c r="AA819">
        <f t="shared" ca="1" si="850"/>
        <v>0</v>
      </c>
      <c r="AB819" s="19">
        <f t="shared" ca="1" si="851"/>
        <v>3.715320455390702E-2</v>
      </c>
      <c r="AC819" s="19">
        <f t="shared" ca="1" si="852"/>
        <v>0</v>
      </c>
    </row>
    <row r="820" spans="3:29" x14ac:dyDescent="0.25">
      <c r="C820" s="4">
        <v>813</v>
      </c>
      <c r="D820" s="28">
        <v>43161</v>
      </c>
      <c r="E820" s="30">
        <v>17.925000000000001</v>
      </c>
      <c r="F820" s="30">
        <v>52.261102541203215</v>
      </c>
      <c r="G820" s="30">
        <v>6.7954859137777053</v>
      </c>
      <c r="H820" s="30">
        <v>76.682633758220348</v>
      </c>
      <c r="I820" s="8">
        <v>0</v>
      </c>
      <c r="J820" s="31">
        <v>0</v>
      </c>
      <c r="K820" s="31">
        <v>1</v>
      </c>
      <c r="L820" s="31">
        <v>0</v>
      </c>
      <c r="M820" s="31">
        <v>0</v>
      </c>
      <c r="N820" s="31">
        <v>0</v>
      </c>
      <c r="O820" s="31">
        <v>0</v>
      </c>
      <c r="P820" s="31">
        <v>0</v>
      </c>
      <c r="Q820" s="31">
        <v>0</v>
      </c>
      <c r="R820" s="31">
        <v>0</v>
      </c>
      <c r="S820" s="31">
        <v>0</v>
      </c>
      <c r="T820" s="21" cm="1">
        <f t="array" aca="1" ref="T820" ca="1">+fair_value_gap(OFFSET(S819,0,0,-1*$I$5,-1*$Z$1),OFFSET(E819,0,0,-1*$I$5,1),F820:S820,0)</f>
        <v>16.641706034677263</v>
      </c>
      <c r="U820" s="7" cm="1">
        <f t="array" aca="1" ref="U820" ca="1">z_score_diff(OFFSET(T820,0,0,$I$5*-1,1),OFFSET(E820,0,0,$I$5*-1,1))</f>
        <v>-0.69855940351794121</v>
      </c>
      <c r="V820" s="7">
        <f t="shared" ca="1" si="847"/>
        <v>-0.30902873676558479</v>
      </c>
      <c r="W820" s="14">
        <f t="shared" ca="1" si="842"/>
        <v>6.9492982932059444E-3</v>
      </c>
      <c r="X820" s="10">
        <f t="shared" ref="X820:Y820" ca="1" si="893">+X819</f>
        <v>0</v>
      </c>
      <c r="Y820" s="10">
        <f t="shared" ca="1" si="893"/>
        <v>0</v>
      </c>
      <c r="Z820">
        <f t="shared" ca="1" si="849"/>
        <v>1</v>
      </c>
      <c r="AA820">
        <f t="shared" ca="1" si="850"/>
        <v>0</v>
      </c>
      <c r="AB820" s="19">
        <f t="shared" ca="1" si="851"/>
        <v>6.9492982932059444E-3</v>
      </c>
      <c r="AC820" s="19">
        <f t="shared" ca="1" si="852"/>
        <v>0</v>
      </c>
    </row>
    <row r="821" spans="3:29" x14ac:dyDescent="0.25">
      <c r="C821" s="4">
        <v>814</v>
      </c>
      <c r="D821" s="28">
        <v>43164</v>
      </c>
      <c r="E821" s="30">
        <v>17.54</v>
      </c>
      <c r="F821" s="30">
        <v>53.133360356708558</v>
      </c>
      <c r="G821" s="30">
        <v>6.8950141872719906</v>
      </c>
      <c r="H821" s="30">
        <v>76.327523307661124</v>
      </c>
      <c r="I821" s="8">
        <v>0</v>
      </c>
      <c r="J821" s="31">
        <v>0</v>
      </c>
      <c r="K821" s="31">
        <v>1</v>
      </c>
      <c r="L821" s="31">
        <v>0</v>
      </c>
      <c r="M821" s="31">
        <v>0</v>
      </c>
      <c r="N821" s="31">
        <v>0</v>
      </c>
      <c r="O821" s="31">
        <v>0</v>
      </c>
      <c r="P821" s="31">
        <v>0</v>
      </c>
      <c r="Q821" s="31">
        <v>0</v>
      </c>
      <c r="R821" s="31">
        <v>0</v>
      </c>
      <c r="S821" s="31">
        <v>0</v>
      </c>
      <c r="T821" s="21" cm="1">
        <f t="array" aca="1" ref="T821" ca="1">+fair_value_gap(OFFSET(S820,0,0,-1*$I$5,-1*$Z$1),OFFSET(E820,0,0,-1*$I$5,1),F821:S821,0)</f>
        <v>16.711608776947838</v>
      </c>
      <c r="U821" s="7" cm="1">
        <f t="array" aca="1" ref="U821" ca="1">z_score_diff(OFFSET(T821,0,0,$I$5*-1,1),OFFSET(E821,0,0,$I$5*-1,1))</f>
        <v>-0.4528388574553584</v>
      </c>
      <c r="V821" s="7">
        <f t="shared" ca="1" si="847"/>
        <v>-0.3493979397876984</v>
      </c>
      <c r="W821" s="14">
        <f t="shared" ca="1" si="842"/>
        <v>3.6552917770629592E-2</v>
      </c>
      <c r="X821" s="10">
        <f t="shared" ref="X821:Y821" ca="1" si="894">+X820</f>
        <v>0</v>
      </c>
      <c r="Y821" s="10">
        <f t="shared" ca="1" si="894"/>
        <v>0</v>
      </c>
      <c r="Z821">
        <f t="shared" ca="1" si="849"/>
        <v>1</v>
      </c>
      <c r="AA821">
        <f t="shared" ca="1" si="850"/>
        <v>0</v>
      </c>
      <c r="AB821" s="19">
        <f t="shared" ca="1" si="851"/>
        <v>3.6552917770629592E-2</v>
      </c>
      <c r="AC821" s="19">
        <f t="shared" ca="1" si="852"/>
        <v>0</v>
      </c>
    </row>
    <row r="822" spans="3:29" x14ac:dyDescent="0.25">
      <c r="C822" s="4">
        <v>815</v>
      </c>
      <c r="D822" s="28">
        <v>43165</v>
      </c>
      <c r="E822" s="30">
        <v>17.811</v>
      </c>
      <c r="F822" s="30">
        <v>53.047895500725694</v>
      </c>
      <c r="G822" s="30">
        <v>6.8497016610224151</v>
      </c>
      <c r="H822" s="30">
        <v>75.431382035155622</v>
      </c>
      <c r="I822" s="8">
        <v>0</v>
      </c>
      <c r="J822" s="31">
        <v>0</v>
      </c>
      <c r="K822" s="31">
        <v>1</v>
      </c>
      <c r="L822" s="31">
        <v>0</v>
      </c>
      <c r="M822" s="31">
        <v>0</v>
      </c>
      <c r="N822" s="31">
        <v>0</v>
      </c>
      <c r="O822" s="31">
        <v>0</v>
      </c>
      <c r="P822" s="31">
        <v>0</v>
      </c>
      <c r="Q822" s="31">
        <v>0</v>
      </c>
      <c r="R822" s="31">
        <v>0</v>
      </c>
      <c r="S822" s="31">
        <v>0</v>
      </c>
      <c r="T822" s="21" cm="1">
        <f t="array" aca="1" ref="T822" ca="1">+fair_value_gap(OFFSET(S821,0,0,-1*$I$5,-1*$Z$1),OFFSET(E821,0,0,-1*$I$5,1),F822:S822,0)</f>
        <v>16.607246227443667</v>
      </c>
      <c r="U822" s="7" cm="1">
        <f t="array" aca="1" ref="U822" ca="1">z_score_diff(OFFSET(T822,0,0,$I$5*-1,1),OFFSET(E822,0,0,$I$5*-1,1))</f>
        <v>-0.64954669193542225</v>
      </c>
      <c r="V822" s="7">
        <f t="shared" ca="1" si="847"/>
        <v>-0.37751322535476445</v>
      </c>
      <c r="W822" s="14">
        <f t="shared" ca="1" si="842"/>
        <v>1.9129760909651055E-2</v>
      </c>
      <c r="X822" s="10">
        <f t="shared" ref="X822:Y822" ca="1" si="895">+X821</f>
        <v>0</v>
      </c>
      <c r="Y822" s="10">
        <f t="shared" ca="1" si="895"/>
        <v>0</v>
      </c>
      <c r="Z822">
        <f t="shared" ca="1" si="849"/>
        <v>1</v>
      </c>
      <c r="AA822">
        <f t="shared" ca="1" si="850"/>
        <v>0</v>
      </c>
      <c r="AB822" s="19">
        <f t="shared" ca="1" si="851"/>
        <v>1.9129760909651055E-2</v>
      </c>
      <c r="AC822" s="19">
        <f t="shared" ca="1" si="852"/>
        <v>0</v>
      </c>
    </row>
    <row r="823" spans="3:29" x14ac:dyDescent="0.25">
      <c r="C823" s="4">
        <v>816</v>
      </c>
      <c r="D823" s="28">
        <v>43166</v>
      </c>
      <c r="E823" s="30">
        <v>17.803000000000001</v>
      </c>
      <c r="F823" s="30">
        <v>51.836932001289071</v>
      </c>
      <c r="G823" s="30">
        <v>6.8079278117950359</v>
      </c>
      <c r="H823" s="30">
        <v>74.121817595874958</v>
      </c>
      <c r="I823" s="8">
        <v>0</v>
      </c>
      <c r="J823" s="31">
        <v>0</v>
      </c>
      <c r="K823" s="31">
        <v>1</v>
      </c>
      <c r="L823" s="31">
        <v>0</v>
      </c>
      <c r="M823" s="31">
        <v>0</v>
      </c>
      <c r="N823" s="31">
        <v>0</v>
      </c>
      <c r="O823" s="31">
        <v>0</v>
      </c>
      <c r="P823" s="31">
        <v>0</v>
      </c>
      <c r="Q823" s="31">
        <v>0</v>
      </c>
      <c r="R823" s="31">
        <v>0</v>
      </c>
      <c r="S823" s="31">
        <v>0</v>
      </c>
      <c r="T823" s="21" cm="1">
        <f t="array" aca="1" ref="T823" ca="1">+fair_value_gap(OFFSET(S822,0,0,-1*$I$5,-1*$Z$1),OFFSET(E822,0,0,-1*$I$5,1),F823:S823,0)</f>
        <v>16.368347181717184</v>
      </c>
      <c r="U823" s="7" cm="1">
        <f t="array" aca="1" ref="U823" ca="1">z_score_diff(OFFSET(T823,0,0,$I$5*-1,1),OFFSET(E823,0,0,$I$5*-1,1))</f>
        <v>-0.77294448255968629</v>
      </c>
      <c r="V823" s="7">
        <f t="shared" ca="1" si="847"/>
        <v>-0.40454748795767037</v>
      </c>
      <c r="W823" s="14">
        <f t="shared" ca="1" si="842"/>
        <v>1.9799323154934084E-2</v>
      </c>
      <c r="X823" s="10">
        <f t="shared" ref="X823:Y823" ca="1" si="896">+X822</f>
        <v>0</v>
      </c>
      <c r="Y823" s="10">
        <f t="shared" ca="1" si="896"/>
        <v>0</v>
      </c>
      <c r="Z823">
        <f t="shared" ca="1" si="849"/>
        <v>1</v>
      </c>
      <c r="AA823">
        <f t="shared" ca="1" si="850"/>
        <v>0</v>
      </c>
      <c r="AB823" s="19">
        <f t="shared" ca="1" si="851"/>
        <v>1.9799323154934084E-2</v>
      </c>
      <c r="AC823" s="19">
        <f t="shared" ca="1" si="852"/>
        <v>0</v>
      </c>
    </row>
    <row r="824" spans="3:29" x14ac:dyDescent="0.25">
      <c r="C824" s="4">
        <v>817</v>
      </c>
      <c r="D824" s="28">
        <v>43167</v>
      </c>
      <c r="E824" s="30">
        <v>18.28</v>
      </c>
      <c r="F824" s="30">
        <v>51.673436230706741</v>
      </c>
      <c r="G824" s="30">
        <v>6.872461413484972</v>
      </c>
      <c r="H824" s="30">
        <v>75.060926076360687</v>
      </c>
      <c r="I824" s="8">
        <v>0</v>
      </c>
      <c r="J824" s="31">
        <v>0</v>
      </c>
      <c r="K824" s="31">
        <v>1</v>
      </c>
      <c r="L824" s="31">
        <v>0</v>
      </c>
      <c r="M824" s="31">
        <v>0</v>
      </c>
      <c r="N824" s="31">
        <v>0</v>
      </c>
      <c r="O824" s="31">
        <v>0</v>
      </c>
      <c r="P824" s="31">
        <v>0</v>
      </c>
      <c r="Q824" s="31">
        <v>0</v>
      </c>
      <c r="R824" s="31">
        <v>0</v>
      </c>
      <c r="S824" s="31">
        <v>0</v>
      </c>
      <c r="T824" s="21" cm="1">
        <f t="array" aca="1" ref="T824" ca="1">+fair_value_gap(OFFSET(S823,0,0,-1*$I$5,-1*$Z$1),OFFSET(E823,0,0,-1*$I$5,1),F824:S824,0)</f>
        <v>16.656930940711877</v>
      </c>
      <c r="U824" s="7" cm="1">
        <f t="array" aca="1" ref="U824" ca="1">z_score_diff(OFFSET(T824,0,0,$I$5*-1,1),OFFSET(E824,0,0,$I$5*-1,1))</f>
        <v>-0.86468391329298955</v>
      </c>
      <c r="V824" s="7">
        <f t="shared" ca="1" si="847"/>
        <v>-0.44117741623189677</v>
      </c>
      <c r="W824" s="14">
        <f t="shared" ca="1" si="842"/>
        <v>1.9448593723662491E-2</v>
      </c>
      <c r="X824" s="10">
        <f t="shared" ref="X824:Y824" ca="1" si="897">+X823</f>
        <v>0</v>
      </c>
      <c r="Y824" s="10">
        <f t="shared" ca="1" si="897"/>
        <v>0</v>
      </c>
      <c r="Z824">
        <f t="shared" ca="1" si="849"/>
        <v>1</v>
      </c>
      <c r="AA824">
        <f t="shared" ca="1" si="850"/>
        <v>0</v>
      </c>
      <c r="AB824" s="19">
        <f t="shared" ca="1" si="851"/>
        <v>1.9448593723662491E-2</v>
      </c>
      <c r="AC824" s="19">
        <f t="shared" ca="1" si="852"/>
        <v>0</v>
      </c>
    </row>
    <row r="825" spans="3:29" x14ac:dyDescent="0.25">
      <c r="C825" s="4">
        <v>818</v>
      </c>
      <c r="D825" s="28">
        <v>43168</v>
      </c>
      <c r="E825" s="30">
        <v>18.937000000000001</v>
      </c>
      <c r="F825" s="30">
        <v>53.222267370987403</v>
      </c>
      <c r="G825" s="30">
        <v>6.8752539618041455</v>
      </c>
      <c r="H825" s="30">
        <v>75.010158472165784</v>
      </c>
      <c r="I825" s="8">
        <v>0</v>
      </c>
      <c r="J825" s="31">
        <v>0</v>
      </c>
      <c r="K825" s="31">
        <v>1</v>
      </c>
      <c r="L825" s="31">
        <v>0</v>
      </c>
      <c r="M825" s="31">
        <v>0</v>
      </c>
      <c r="N825" s="31">
        <v>0</v>
      </c>
      <c r="O825" s="31">
        <v>0</v>
      </c>
      <c r="P825" s="31">
        <v>0</v>
      </c>
      <c r="Q825" s="31">
        <v>0</v>
      </c>
      <c r="R825" s="31">
        <v>0</v>
      </c>
      <c r="S825" s="31">
        <v>0</v>
      </c>
      <c r="T825" s="21" cm="1">
        <f t="array" aca="1" ref="T825" ca="1">+fair_value_gap(OFFSET(S824,0,0,-1*$I$5,-1*$Z$1),OFFSET(E824,0,0,-1*$I$5,1),F825:S825,0)</f>
        <v>16.888353005333638</v>
      </c>
      <c r="U825" s="7" cm="1">
        <f t="array" aca="1" ref="U825" ca="1">z_score_diff(OFFSET(T825,0,0,$I$5*-1,1),OFFSET(E825,0,0,$I$5*-1,1))</f>
        <v>-1.0811124988938836</v>
      </c>
      <c r="V825" s="7">
        <f t="shared" ca="1" si="847"/>
        <v>-0.48568293256316231</v>
      </c>
      <c r="W825" s="14">
        <f t="shared" ca="1" si="842"/>
        <v>-4.3395495704476568E-3</v>
      </c>
      <c r="X825" s="10">
        <f t="shared" ref="X825:Y825" ca="1" si="898">+X824</f>
        <v>0</v>
      </c>
      <c r="Y825" s="10">
        <f t="shared" ca="1" si="898"/>
        <v>0</v>
      </c>
      <c r="Z825">
        <f t="shared" ca="1" si="849"/>
        <v>1</v>
      </c>
      <c r="AA825">
        <f t="shared" ca="1" si="850"/>
        <v>0</v>
      </c>
      <c r="AB825" s="19">
        <f t="shared" ca="1" si="851"/>
        <v>-4.3395495704476568E-3</v>
      </c>
      <c r="AC825" s="19">
        <f t="shared" ca="1" si="852"/>
        <v>0</v>
      </c>
    </row>
    <row r="826" spans="3:29" x14ac:dyDescent="0.25">
      <c r="C826" s="4">
        <v>819</v>
      </c>
      <c r="D826" s="28">
        <v>43171</v>
      </c>
      <c r="E826" s="30">
        <v>19.824999999999999</v>
      </c>
      <c r="F826" s="30">
        <v>52.667855984430751</v>
      </c>
      <c r="G826" s="30">
        <v>6.860201102821927</v>
      </c>
      <c r="H826" s="30">
        <v>74.521569899448593</v>
      </c>
      <c r="I826" s="8">
        <v>0</v>
      </c>
      <c r="J826" s="31">
        <v>0</v>
      </c>
      <c r="K826" s="31">
        <v>1</v>
      </c>
      <c r="L826" s="31">
        <v>0</v>
      </c>
      <c r="M826" s="31">
        <v>0</v>
      </c>
      <c r="N826" s="31">
        <v>0</v>
      </c>
      <c r="O826" s="31">
        <v>0</v>
      </c>
      <c r="P826" s="31">
        <v>0</v>
      </c>
      <c r="Q826" s="31">
        <v>0</v>
      </c>
      <c r="R826" s="31">
        <v>0</v>
      </c>
      <c r="S826" s="31">
        <v>0</v>
      </c>
      <c r="T826" s="21" cm="1">
        <f t="array" aca="1" ref="T826" ca="1">+fair_value_gap(OFFSET(S825,0,0,-1*$I$5,-1*$Z$1),OFFSET(E825,0,0,-1*$I$5,1),F826:S826,0)</f>
        <v>16.916544402398788</v>
      </c>
      <c r="U826" s="7" cm="1">
        <f t="array" aca="1" ref="U826" ca="1">z_score_diff(OFFSET(T826,0,0,$I$5*-1,1),OFFSET(E826,0,0,$I$5*-1,1))</f>
        <v>-1.5258709572092233</v>
      </c>
      <c r="V826" s="7">
        <f t="shared" ca="1" si="847"/>
        <v>-0.55107202480244377</v>
      </c>
      <c r="W826" s="14">
        <f t="shared" ca="1" si="842"/>
        <v>-2.7097772531329535E-2</v>
      </c>
      <c r="X826" s="10">
        <f t="shared" ref="X826:Y826" ca="1" si="899">+X825</f>
        <v>0</v>
      </c>
      <c r="Y826" s="10">
        <f t="shared" ca="1" si="899"/>
        <v>0</v>
      </c>
      <c r="Z826">
        <f t="shared" ca="1" si="849"/>
        <v>1</v>
      </c>
      <c r="AA826">
        <f t="shared" ca="1" si="850"/>
        <v>0</v>
      </c>
      <c r="AB826" s="19">
        <f t="shared" ca="1" si="851"/>
        <v>-2.7097772531329535E-2</v>
      </c>
      <c r="AC826" s="19">
        <f t="shared" ca="1" si="852"/>
        <v>0</v>
      </c>
    </row>
    <row r="827" spans="3:29" x14ac:dyDescent="0.25">
      <c r="C827" s="4">
        <v>820</v>
      </c>
      <c r="D827" s="28">
        <v>43172</v>
      </c>
      <c r="E827" s="30">
        <v>19.594999999999999</v>
      </c>
      <c r="F827" s="30">
        <v>52.175316813302125</v>
      </c>
      <c r="G827" s="30">
        <v>6.8003874404713871</v>
      </c>
      <c r="H827" s="30">
        <v>74.420857212042947</v>
      </c>
      <c r="I827" s="8">
        <v>0</v>
      </c>
      <c r="J827" s="31">
        <v>0</v>
      </c>
      <c r="K827" s="31">
        <v>1</v>
      </c>
      <c r="L827" s="31">
        <v>0</v>
      </c>
      <c r="M827" s="31">
        <v>0</v>
      </c>
      <c r="N827" s="31">
        <v>0</v>
      </c>
      <c r="O827" s="31">
        <v>0</v>
      </c>
      <c r="P827" s="31">
        <v>0</v>
      </c>
      <c r="Q827" s="31">
        <v>0</v>
      </c>
      <c r="R827" s="31">
        <v>0</v>
      </c>
      <c r="S827" s="31">
        <v>0</v>
      </c>
      <c r="T827" s="21" cm="1">
        <f t="array" aca="1" ref="T827" ca="1">+fair_value_gap(OFFSET(S826,0,0,-1*$I$5,-1*$Z$1),OFFSET(E826,0,0,-1*$I$5,1),F827:S827,0)</f>
        <v>17.079159619659137</v>
      </c>
      <c r="U827" s="7" cm="1">
        <f t="array" aca="1" ref="U827" ca="1">z_score_diff(OFFSET(T827,0,0,$I$5*-1,1),OFFSET(E827,0,0,$I$5*-1,1))</f>
        <v>-1.3076768268660015</v>
      </c>
      <c r="V827" s="7">
        <f t="shared" ca="1" si="847"/>
        <v>-0.59687047463777987</v>
      </c>
      <c r="W827" s="14">
        <f t="shared" ca="1" si="842"/>
        <v>-1.9218975250502077E-2</v>
      </c>
      <c r="X827" s="10">
        <f t="shared" ref="X827:Y827" ca="1" si="900">+X826</f>
        <v>0</v>
      </c>
      <c r="Y827" s="10">
        <f t="shared" ca="1" si="900"/>
        <v>0</v>
      </c>
      <c r="Z827">
        <f t="shared" ca="1" si="849"/>
        <v>1</v>
      </c>
      <c r="AA827">
        <f t="shared" ca="1" si="850"/>
        <v>0</v>
      </c>
      <c r="AB827" s="19">
        <f t="shared" ca="1" si="851"/>
        <v>-1.9218975250502077E-2</v>
      </c>
      <c r="AC827" s="19">
        <f t="shared" ca="1" si="852"/>
        <v>0</v>
      </c>
    </row>
    <row r="828" spans="3:29" x14ac:dyDescent="0.25">
      <c r="C828" s="4">
        <v>821</v>
      </c>
      <c r="D828" s="28">
        <v>43173</v>
      </c>
      <c r="E828" s="30">
        <v>18.411000000000001</v>
      </c>
      <c r="F828" s="30">
        <v>52.478770723817227</v>
      </c>
      <c r="G828" s="30">
        <v>6.7974120501415287</v>
      </c>
      <c r="H828" s="30">
        <v>74.363121714516794</v>
      </c>
      <c r="I828" s="8">
        <v>0</v>
      </c>
      <c r="J828" s="31">
        <v>0</v>
      </c>
      <c r="K828" s="31">
        <v>1</v>
      </c>
      <c r="L828" s="31">
        <v>0</v>
      </c>
      <c r="M828" s="31">
        <v>0</v>
      </c>
      <c r="N828" s="31">
        <v>0</v>
      </c>
      <c r="O828" s="31">
        <v>0</v>
      </c>
      <c r="P828" s="31">
        <v>0</v>
      </c>
      <c r="Q828" s="31">
        <v>0</v>
      </c>
      <c r="R828" s="31">
        <v>0</v>
      </c>
      <c r="S828" s="31">
        <v>0</v>
      </c>
      <c r="T828" s="21" cm="1">
        <f t="array" aca="1" ref="T828" ca="1">+fair_value_gap(OFFSET(S827,0,0,-1*$I$5,-1*$Z$1),OFFSET(E827,0,0,-1*$I$5,1),F828:S828,0)</f>
        <v>17.299533953987591</v>
      </c>
      <c r="U828" s="7" cm="1">
        <f t="array" aca="1" ref="U828" ca="1">z_score_diff(OFFSET(T828,0,0,$I$5*-1,1),OFFSET(E828,0,0,$I$5*-1,1))</f>
        <v>-0.56101673539353858</v>
      </c>
      <c r="V828" s="7">
        <f t="shared" ca="1" si="847"/>
        <v>-0.61329524360274823</v>
      </c>
      <c r="W828" s="14">
        <f t="shared" ca="1" si="842"/>
        <v>6.2581254161401978E-2</v>
      </c>
      <c r="X828" s="10">
        <f t="shared" ref="X828:Y828" ca="1" si="901">+X827</f>
        <v>0</v>
      </c>
      <c r="Y828" s="10">
        <f t="shared" ca="1" si="901"/>
        <v>0</v>
      </c>
      <c r="Z828">
        <f t="shared" ca="1" si="849"/>
        <v>1</v>
      </c>
      <c r="AA828">
        <f t="shared" ca="1" si="850"/>
        <v>0</v>
      </c>
      <c r="AB828" s="19">
        <f t="shared" ca="1" si="851"/>
        <v>6.2581254161401978E-2</v>
      </c>
      <c r="AC828" s="19">
        <f t="shared" ca="1" si="852"/>
        <v>0</v>
      </c>
    </row>
    <row r="829" spans="3:29" x14ac:dyDescent="0.25">
      <c r="C829" s="4">
        <v>822</v>
      </c>
      <c r="D829" s="28">
        <v>43174</v>
      </c>
      <c r="E829" s="30">
        <v>18.920000000000002</v>
      </c>
      <c r="F829" s="30">
        <v>52.925877763329005</v>
      </c>
      <c r="G829" s="30">
        <v>6.8229843953185956</v>
      </c>
      <c r="H829" s="30">
        <v>74.772431729518857</v>
      </c>
      <c r="I829" s="8">
        <v>0</v>
      </c>
      <c r="J829" s="31">
        <v>0</v>
      </c>
      <c r="K829" s="31">
        <v>1</v>
      </c>
      <c r="L829" s="31">
        <v>0</v>
      </c>
      <c r="M829" s="31">
        <v>0</v>
      </c>
      <c r="N829" s="31">
        <v>0</v>
      </c>
      <c r="O829" s="31">
        <v>0</v>
      </c>
      <c r="P829" s="31">
        <v>0</v>
      </c>
      <c r="Q829" s="31">
        <v>0</v>
      </c>
      <c r="R829" s="31">
        <v>0</v>
      </c>
      <c r="S829" s="31">
        <v>0</v>
      </c>
      <c r="T829" s="21" cm="1">
        <f t="array" aca="1" ref="T829" ca="1">+fair_value_gap(OFFSET(S828,0,0,-1*$I$5,-1*$Z$1),OFFSET(E828,0,0,-1*$I$5,1),F829:S829,0)</f>
        <v>17.530595508544707</v>
      </c>
      <c r="U829" s="7" cm="1">
        <f t="array" aca="1" ref="U829" ca="1">z_score_diff(OFFSET(T829,0,0,$I$5*-1,1),OFFSET(E829,0,0,$I$5*-1,1))</f>
        <v>-0.69832966718348033</v>
      </c>
      <c r="V829" s="7">
        <f t="shared" ca="1" si="847"/>
        <v>-0.64578014404528716</v>
      </c>
      <c r="W829" s="14">
        <f t="shared" ca="1" si="842"/>
        <v>2.7113235408560671E-2</v>
      </c>
      <c r="X829" s="10">
        <f t="shared" ref="X829:Y829" ca="1" si="902">+X828</f>
        <v>0</v>
      </c>
      <c r="Y829" s="10">
        <f t="shared" ca="1" si="902"/>
        <v>0</v>
      </c>
      <c r="Z829">
        <f t="shared" ca="1" si="849"/>
        <v>1</v>
      </c>
      <c r="AA829">
        <f t="shared" ca="1" si="850"/>
        <v>0</v>
      </c>
      <c r="AB829" s="19">
        <f t="shared" ca="1" si="851"/>
        <v>2.7113235408560671E-2</v>
      </c>
      <c r="AC829" s="19">
        <f t="shared" ca="1" si="852"/>
        <v>0</v>
      </c>
    </row>
    <row r="830" spans="3:29" x14ac:dyDescent="0.25">
      <c r="C830" s="4">
        <v>823</v>
      </c>
      <c r="D830" s="28">
        <v>43175</v>
      </c>
      <c r="E830" s="30">
        <v>18.678999999999998</v>
      </c>
      <c r="F830" s="30">
        <v>53.886221209408319</v>
      </c>
      <c r="G830" s="30">
        <v>6.0877350044762766</v>
      </c>
      <c r="H830" s="30">
        <v>74.672418002767159</v>
      </c>
      <c r="I830" s="8">
        <v>0</v>
      </c>
      <c r="J830" s="31">
        <v>0</v>
      </c>
      <c r="K830" s="31">
        <v>1</v>
      </c>
      <c r="L830" s="31">
        <v>0</v>
      </c>
      <c r="M830" s="31">
        <v>0</v>
      </c>
      <c r="N830" s="31">
        <v>0</v>
      </c>
      <c r="O830" s="31">
        <v>0</v>
      </c>
      <c r="P830" s="31">
        <v>0</v>
      </c>
      <c r="Q830" s="31">
        <v>0</v>
      </c>
      <c r="R830" s="31">
        <v>0</v>
      </c>
      <c r="S830" s="31">
        <v>0</v>
      </c>
      <c r="T830" s="21" cm="1">
        <f t="array" aca="1" ref="T830" ca="1">+fair_value_gap(OFFSET(S829,0,0,-1*$I$5,-1*$Z$1),OFFSET(E829,0,0,-1*$I$5,1),F830:S830,0)</f>
        <v>17.667963626105969</v>
      </c>
      <c r="U830" s="7" cm="1">
        <f t="array" aca="1" ref="U830" ca="1">z_score_diff(OFFSET(T830,0,0,$I$5*-1,1),OFFSET(E830,0,0,$I$5*-1,1))</f>
        <v>-0.49321393278079489</v>
      </c>
      <c r="V830" s="7">
        <f t="shared" ca="1" si="847"/>
        <v>-0.63996924256307297</v>
      </c>
      <c r="W830" s="14">
        <f t="shared" ca="1" si="842"/>
        <v>2.1450389476694687E-2</v>
      </c>
      <c r="X830" s="10">
        <f t="shared" ref="X830:Y830" ca="1" si="903">+X829</f>
        <v>0</v>
      </c>
      <c r="Y830" s="10">
        <f t="shared" ca="1" si="903"/>
        <v>0</v>
      </c>
      <c r="Z830">
        <f t="shared" ca="1" si="849"/>
        <v>1</v>
      </c>
      <c r="AA830">
        <f t="shared" ca="1" si="850"/>
        <v>0</v>
      </c>
      <c r="AB830" s="19">
        <f t="shared" ca="1" si="851"/>
        <v>2.1450389476694687E-2</v>
      </c>
      <c r="AC830" s="19">
        <f t="shared" ca="1" si="852"/>
        <v>0</v>
      </c>
    </row>
    <row r="831" spans="3:29" x14ac:dyDescent="0.25">
      <c r="C831" s="4">
        <v>824</v>
      </c>
      <c r="D831" s="28">
        <v>43178</v>
      </c>
      <c r="E831" s="30">
        <v>18.736999999999998</v>
      </c>
      <c r="F831" s="30">
        <v>53.555501500040535</v>
      </c>
      <c r="G831" s="30">
        <v>6.0852996026919639</v>
      </c>
      <c r="H831" s="30">
        <v>73.704694721478958</v>
      </c>
      <c r="I831" s="8">
        <v>0</v>
      </c>
      <c r="J831" s="31">
        <v>0</v>
      </c>
      <c r="K831" s="31">
        <v>1</v>
      </c>
      <c r="L831" s="31">
        <v>0</v>
      </c>
      <c r="M831" s="31">
        <v>0</v>
      </c>
      <c r="N831" s="31">
        <v>0</v>
      </c>
      <c r="O831" s="31">
        <v>0</v>
      </c>
      <c r="P831" s="31">
        <v>0</v>
      </c>
      <c r="Q831" s="31">
        <v>0</v>
      </c>
      <c r="R831" s="31">
        <v>0</v>
      </c>
      <c r="S831" s="31">
        <v>0</v>
      </c>
      <c r="T831" s="21" cm="1">
        <f t="array" aca="1" ref="T831" ca="1">+fair_value_gap(OFFSET(S830,0,0,-1*$I$5,-1*$Z$1),OFFSET(E830,0,0,-1*$I$5,1),F831:S831,0)</f>
        <v>17.608621322884211</v>
      </c>
      <c r="U831" s="7" cm="1">
        <f t="array" aca="1" ref="U831" ca="1">z_score_diff(OFFSET(T831,0,0,$I$5*-1,1),OFFSET(E831,0,0,$I$5*-1,1))</f>
        <v>-0.55453889076765728</v>
      </c>
      <c r="V831" s="7">
        <f t="shared" ca="1" si="847"/>
        <v>-0.61549674120558839</v>
      </c>
      <c r="W831" s="14">
        <f t="shared" ca="1" si="842"/>
        <v>3.2192240859415619E-2</v>
      </c>
      <c r="X831" s="10">
        <f t="shared" ref="X831:Y831" ca="1" si="904">+X830</f>
        <v>0</v>
      </c>
      <c r="Y831" s="10">
        <f t="shared" ca="1" si="904"/>
        <v>0</v>
      </c>
      <c r="Z831">
        <f t="shared" ca="1" si="849"/>
        <v>1</v>
      </c>
      <c r="AA831">
        <f t="shared" ca="1" si="850"/>
        <v>0</v>
      </c>
      <c r="AB831" s="19">
        <f t="shared" ca="1" si="851"/>
        <v>3.2192240859415619E-2</v>
      </c>
      <c r="AC831" s="19">
        <f t="shared" ca="1" si="852"/>
        <v>0</v>
      </c>
    </row>
    <row r="832" spans="3:29" x14ac:dyDescent="0.25">
      <c r="C832" s="4">
        <v>825</v>
      </c>
      <c r="D832" s="28">
        <v>43179</v>
      </c>
      <c r="E832" s="30">
        <v>19.163</v>
      </c>
      <c r="F832" s="30">
        <v>55.08169934640523</v>
      </c>
      <c r="G832" s="30">
        <v>6.0702614379084965</v>
      </c>
      <c r="H832" s="30">
        <v>75</v>
      </c>
      <c r="I832" s="8">
        <v>0</v>
      </c>
      <c r="J832" s="31">
        <v>0</v>
      </c>
      <c r="K832" s="31">
        <v>1</v>
      </c>
      <c r="L832" s="31">
        <v>0</v>
      </c>
      <c r="M832" s="31">
        <v>0</v>
      </c>
      <c r="N832" s="31">
        <v>0</v>
      </c>
      <c r="O832" s="31">
        <v>0</v>
      </c>
      <c r="P832" s="31">
        <v>0</v>
      </c>
      <c r="Q832" s="31">
        <v>0</v>
      </c>
      <c r="R832" s="31">
        <v>0</v>
      </c>
      <c r="S832" s="31">
        <v>0</v>
      </c>
      <c r="T832" s="21" cm="1">
        <f t="array" aca="1" ref="T832" ca="1">+fair_value_gap(OFFSET(S831,0,0,-1*$I$5,-1*$Z$1),OFFSET(E831,0,0,-1*$I$5,1),F832:S832,0)</f>
        <v>18.156613653370368</v>
      </c>
      <c r="U832" s="7" cm="1">
        <f t="array" aca="1" ref="U832" ca="1">z_score_diff(OFFSET(T832,0,0,$I$5*-1,1),OFFSET(E832,0,0,$I$5*-1,1))</f>
        <v>-0.47244544175766812</v>
      </c>
      <c r="V832" s="7">
        <f t="shared" ca="1" si="847"/>
        <v>-0.58598619010789166</v>
      </c>
      <c r="W832" s="14">
        <f t="shared" ca="1" si="842"/>
        <v>3.0880764497145368E-2</v>
      </c>
      <c r="X832" s="10">
        <f t="shared" ref="X832:Y832" ca="1" si="905">+X831</f>
        <v>0</v>
      </c>
      <c r="Y832" s="10">
        <f t="shared" ca="1" si="905"/>
        <v>0</v>
      </c>
      <c r="Z832">
        <f t="shared" ca="1" si="849"/>
        <v>1</v>
      </c>
      <c r="AA832">
        <f t="shared" ca="1" si="850"/>
        <v>0</v>
      </c>
      <c r="AB832" s="19">
        <f t="shared" ca="1" si="851"/>
        <v>3.0880764497145368E-2</v>
      </c>
      <c r="AC832" s="19">
        <f t="shared" ca="1" si="852"/>
        <v>0</v>
      </c>
    </row>
    <row r="833" spans="3:29" x14ac:dyDescent="0.25">
      <c r="C833" s="4">
        <v>826</v>
      </c>
      <c r="D833" s="28">
        <v>43180</v>
      </c>
      <c r="E833" s="30">
        <v>19.375</v>
      </c>
      <c r="F833" s="30">
        <v>56.31485084306096</v>
      </c>
      <c r="G833" s="30">
        <v>5.9176394293125805</v>
      </c>
      <c r="H833" s="30">
        <v>74.335278858625159</v>
      </c>
      <c r="I833" s="8">
        <v>0</v>
      </c>
      <c r="J833" s="31">
        <v>0</v>
      </c>
      <c r="K833" s="31">
        <v>1</v>
      </c>
      <c r="L833" s="31">
        <v>0</v>
      </c>
      <c r="M833" s="31">
        <v>0</v>
      </c>
      <c r="N833" s="31">
        <v>0</v>
      </c>
      <c r="O833" s="31">
        <v>0</v>
      </c>
      <c r="P833" s="31">
        <v>0</v>
      </c>
      <c r="Q833" s="31">
        <v>0</v>
      </c>
      <c r="R833" s="31">
        <v>0</v>
      </c>
      <c r="S833" s="31">
        <v>0</v>
      </c>
      <c r="T833" s="21" cm="1">
        <f t="array" aca="1" ref="T833" ca="1">+fair_value_gap(OFFSET(S832,0,0,-1*$I$5,-1*$Z$1),OFFSET(E832,0,0,-1*$I$5,1),F833:S833,0)</f>
        <v>18.317021117954706</v>
      </c>
      <c r="U833" s="7" cm="1">
        <f t="array" aca="1" ref="U833" ca="1">z_score_diff(OFFSET(T833,0,0,$I$5*-1,1),OFFSET(E833,0,0,$I$5*-1,1))</f>
        <v>-0.49181908800064777</v>
      </c>
      <c r="V833" s="7">
        <f t="shared" ca="1" si="847"/>
        <v>-0.57618256761168274</v>
      </c>
      <c r="W833" s="14">
        <f t="shared" ca="1" si="842"/>
        <v>2.0384368235530668E-2</v>
      </c>
      <c r="X833" s="10">
        <f t="shared" ref="X833:Y833" ca="1" si="906">+X832</f>
        <v>0</v>
      </c>
      <c r="Y833" s="10">
        <f t="shared" ca="1" si="906"/>
        <v>0</v>
      </c>
      <c r="Z833">
        <f t="shared" ca="1" si="849"/>
        <v>1</v>
      </c>
      <c r="AA833">
        <f t="shared" ca="1" si="850"/>
        <v>0</v>
      </c>
      <c r="AB833" s="19">
        <f t="shared" ca="1" si="851"/>
        <v>2.0384368235530668E-2</v>
      </c>
      <c r="AC833" s="19">
        <f t="shared" ca="1" si="852"/>
        <v>0</v>
      </c>
    </row>
    <row r="834" spans="3:29" x14ac:dyDescent="0.25">
      <c r="C834" s="4">
        <v>827</v>
      </c>
      <c r="D834" s="28">
        <v>43181</v>
      </c>
      <c r="E834" s="30">
        <v>19.018999999999998</v>
      </c>
      <c r="F834" s="30">
        <v>56.024390243902438</v>
      </c>
      <c r="G834" s="30">
        <v>5.882113821138212</v>
      </c>
      <c r="H834" s="30">
        <v>74.268292682926827</v>
      </c>
      <c r="I834" s="8">
        <v>0</v>
      </c>
      <c r="J834" s="31">
        <v>0</v>
      </c>
      <c r="K834" s="31">
        <v>1</v>
      </c>
      <c r="L834" s="31">
        <v>0</v>
      </c>
      <c r="M834" s="31">
        <v>0</v>
      </c>
      <c r="N834" s="31">
        <v>0</v>
      </c>
      <c r="O834" s="31">
        <v>0</v>
      </c>
      <c r="P834" s="31">
        <v>0</v>
      </c>
      <c r="Q834" s="31">
        <v>0</v>
      </c>
      <c r="R834" s="31">
        <v>0</v>
      </c>
      <c r="S834" s="31">
        <v>0</v>
      </c>
      <c r="T834" s="21" cm="1">
        <f t="array" aca="1" ref="T834" ca="1">+fair_value_gap(OFFSET(S833,0,0,-1*$I$5,-1*$Z$1),OFFSET(E833,0,0,-1*$I$5,1),F834:S834,0)</f>
        <v>18.46931684966248</v>
      </c>
      <c r="U834" s="7" cm="1">
        <f t="array" aca="1" ref="U834" ca="1">z_score_diff(OFFSET(T834,0,0,$I$5*-1,1),OFFSET(E834,0,0,$I$5*-1,1))</f>
        <v>-0.21795946679793265</v>
      </c>
      <c r="V834" s="7">
        <f t="shared" ca="1" si="847"/>
        <v>-0.55426142926944899</v>
      </c>
      <c r="W834" s="14">
        <f t="shared" ca="1" si="842"/>
        <v>4.7389580907077351E-2</v>
      </c>
      <c r="X834" s="10">
        <f t="shared" ref="X834:Y834" ca="1" si="907">+X833</f>
        <v>0</v>
      </c>
      <c r="Y834" s="10">
        <f t="shared" ca="1" si="907"/>
        <v>0</v>
      </c>
      <c r="Z834">
        <f t="shared" ca="1" si="849"/>
        <v>1</v>
      </c>
      <c r="AA834">
        <f t="shared" ca="1" si="850"/>
        <v>0</v>
      </c>
      <c r="AB834" s="19">
        <f t="shared" ca="1" si="851"/>
        <v>4.7389580907077351E-2</v>
      </c>
      <c r="AC834" s="19">
        <f t="shared" ca="1" si="852"/>
        <v>0</v>
      </c>
    </row>
    <row r="835" spans="3:29" x14ac:dyDescent="0.25">
      <c r="C835" s="4">
        <v>828</v>
      </c>
      <c r="D835" s="28">
        <v>43182</v>
      </c>
      <c r="E835" s="30">
        <v>18.452999999999999</v>
      </c>
      <c r="F835" s="30">
        <v>57.039915796291794</v>
      </c>
      <c r="G835" s="30">
        <v>5.7930531940733543</v>
      </c>
      <c r="H835" s="30">
        <v>73.921139988664876</v>
      </c>
      <c r="I835" s="8">
        <v>0</v>
      </c>
      <c r="J835" s="31">
        <v>0</v>
      </c>
      <c r="K835" s="31">
        <v>1</v>
      </c>
      <c r="L835" s="31">
        <v>0</v>
      </c>
      <c r="M835" s="31">
        <v>0</v>
      </c>
      <c r="N835" s="31">
        <v>0</v>
      </c>
      <c r="O835" s="31">
        <v>0</v>
      </c>
      <c r="P835" s="31">
        <v>0</v>
      </c>
      <c r="Q835" s="31">
        <v>0</v>
      </c>
      <c r="R835" s="31">
        <v>0</v>
      </c>
      <c r="S835" s="31">
        <v>0</v>
      </c>
      <c r="T835" s="21" cm="1">
        <f t="array" aca="1" ref="T835" ca="1">+fair_value_gap(OFFSET(S834,0,0,-1*$I$5,-1*$Z$1),OFFSET(E834,0,0,-1*$I$5,1),F835:S835,0)</f>
        <v>18.643112808496944</v>
      </c>
      <c r="U835" s="7" cm="1">
        <f t="array" aca="1" ref="U835" ca="1">z_score_diff(OFFSET(T835,0,0,$I$5*-1,1),OFFSET(E835,0,0,$I$5*-1,1))</f>
        <v>0.17624826282720318</v>
      </c>
      <c r="V835" s="7">
        <f t="shared" ca="1" si="847"/>
        <v>-0.49735679970914431</v>
      </c>
      <c r="W835" s="14">
        <f t="shared" ca="1" si="842"/>
        <v>6.4579164109390921E-2</v>
      </c>
      <c r="X835" s="10">
        <f t="shared" ref="X835:Y835" ca="1" si="908">+X834</f>
        <v>0</v>
      </c>
      <c r="Y835" s="10">
        <f t="shared" ca="1" si="908"/>
        <v>0</v>
      </c>
      <c r="Z835">
        <f t="shared" ca="1" si="849"/>
        <v>1</v>
      </c>
      <c r="AA835">
        <f t="shared" ca="1" si="850"/>
        <v>0</v>
      </c>
      <c r="AB835" s="19">
        <f t="shared" ca="1" si="851"/>
        <v>6.4579164109390921E-2</v>
      </c>
      <c r="AC835" s="19">
        <f t="shared" ca="1" si="852"/>
        <v>0</v>
      </c>
    </row>
    <row r="836" spans="3:29" x14ac:dyDescent="0.25">
      <c r="C836" s="4">
        <v>829</v>
      </c>
      <c r="D836" s="28">
        <v>43185</v>
      </c>
      <c r="E836" s="30">
        <v>17.978999999999999</v>
      </c>
      <c r="F836" s="30">
        <v>56.357498794406048</v>
      </c>
      <c r="G836" s="30">
        <v>5.7506831699083749</v>
      </c>
      <c r="H836" s="30">
        <v>73.420671917698115</v>
      </c>
      <c r="I836" s="8">
        <v>0</v>
      </c>
      <c r="J836" s="31">
        <v>0</v>
      </c>
      <c r="K836" s="31">
        <v>1</v>
      </c>
      <c r="L836" s="31">
        <v>0</v>
      </c>
      <c r="M836" s="31">
        <v>0</v>
      </c>
      <c r="N836" s="31">
        <v>0</v>
      </c>
      <c r="O836" s="31">
        <v>0</v>
      </c>
      <c r="P836" s="31">
        <v>0</v>
      </c>
      <c r="Q836" s="31">
        <v>0</v>
      </c>
      <c r="R836" s="31">
        <v>0</v>
      </c>
      <c r="S836" s="31">
        <v>0</v>
      </c>
      <c r="T836" s="21" cm="1">
        <f t="array" aca="1" ref="T836" ca="1">+fair_value_gap(OFFSET(S835,0,0,-1*$I$5,-1*$Z$1),OFFSET(E835,0,0,-1*$I$5,1),F836:S836,0)</f>
        <v>18.544284904989318</v>
      </c>
      <c r="U836" s="7" cm="1">
        <f t="array" aca="1" ref="U836" ca="1">z_score_diff(OFFSET(T836,0,0,$I$5*-1,1),OFFSET(E836,0,0,$I$5*-1,1))</f>
        <v>0.37504533784273947</v>
      </c>
      <c r="V836" s="7">
        <f t="shared" ca="1" si="847"/>
        <v>-0.48837550868184321</v>
      </c>
      <c r="W836" s="14">
        <f t="shared" ca="1" si="842"/>
        <v>0.10005697227952126</v>
      </c>
      <c r="X836" s="10">
        <f t="shared" ref="X836:Y836" ca="1" si="909">+X835</f>
        <v>0</v>
      </c>
      <c r="Y836" s="10">
        <f t="shared" ca="1" si="909"/>
        <v>0</v>
      </c>
      <c r="Z836">
        <f t="shared" ca="1" si="849"/>
        <v>1</v>
      </c>
      <c r="AA836">
        <f t="shared" ca="1" si="850"/>
        <v>0</v>
      </c>
      <c r="AB836" s="19">
        <f t="shared" ca="1" si="851"/>
        <v>0.10005697227952126</v>
      </c>
      <c r="AC836" s="19">
        <f t="shared" ca="1" si="852"/>
        <v>0</v>
      </c>
    </row>
    <row r="837" spans="3:29" x14ac:dyDescent="0.25">
      <c r="C837" s="4">
        <v>830</v>
      </c>
      <c r="D837" s="28">
        <v>43186</v>
      </c>
      <c r="E837" s="30">
        <v>18.492999999999999</v>
      </c>
      <c r="F837" s="30">
        <v>56.535763244899606</v>
      </c>
      <c r="G837" s="30">
        <v>5.8261430529795986</v>
      </c>
      <c r="H837" s="30">
        <v>73.865010886218855</v>
      </c>
      <c r="I837" s="8">
        <v>0</v>
      </c>
      <c r="J837" s="31">
        <v>0</v>
      </c>
      <c r="K837" s="31">
        <v>1</v>
      </c>
      <c r="L837" s="31">
        <v>0</v>
      </c>
      <c r="M837" s="31">
        <v>0</v>
      </c>
      <c r="N837" s="31">
        <v>0</v>
      </c>
      <c r="O837" s="31">
        <v>0</v>
      </c>
      <c r="P837" s="31">
        <v>0</v>
      </c>
      <c r="Q837" s="31">
        <v>0</v>
      </c>
      <c r="R837" s="31">
        <v>0</v>
      </c>
      <c r="S837" s="31">
        <v>0</v>
      </c>
      <c r="T837" s="21" cm="1">
        <f t="array" aca="1" ref="T837" ca="1">+fair_value_gap(OFFSET(S836,0,0,-1*$I$5,-1*$Z$1),OFFSET(E836,0,0,-1*$I$5,1),F837:S837,0)</f>
        <v>18.579876274745398</v>
      </c>
      <c r="U837" s="7" cm="1">
        <f t="array" aca="1" ref="U837" ca="1">z_score_diff(OFFSET(T837,0,0,$I$5*-1,1),OFFSET(E837,0,0,$I$5*-1,1))</f>
        <v>0.12682016539775842</v>
      </c>
      <c r="V837" s="7">
        <f t="shared" ca="1" si="847"/>
        <v>-0.48435094296302383</v>
      </c>
      <c r="W837" s="14">
        <f t="shared" ca="1" si="842"/>
        <v>8.6704907782879148E-2</v>
      </c>
      <c r="X837" s="10">
        <f t="shared" ref="X837:Y837" ca="1" si="910">+X836</f>
        <v>0</v>
      </c>
      <c r="Y837" s="10">
        <f t="shared" ca="1" si="910"/>
        <v>0</v>
      </c>
      <c r="Z837">
        <f t="shared" ca="1" si="849"/>
        <v>1</v>
      </c>
      <c r="AA837">
        <f t="shared" ca="1" si="850"/>
        <v>0</v>
      </c>
      <c r="AB837" s="19">
        <f t="shared" ca="1" si="851"/>
        <v>8.6704907782879148E-2</v>
      </c>
      <c r="AC837" s="19">
        <f t="shared" ca="1" si="852"/>
        <v>0</v>
      </c>
    </row>
    <row r="838" spans="3:29" x14ac:dyDescent="0.25">
      <c r="C838" s="4">
        <v>831</v>
      </c>
      <c r="D838" s="28">
        <v>43187</v>
      </c>
      <c r="E838" s="30">
        <v>18.393000000000001</v>
      </c>
      <c r="F838" s="30">
        <v>56.496302917039088</v>
      </c>
      <c r="G838" s="30">
        <v>5.8665799951247264</v>
      </c>
      <c r="H838" s="30">
        <v>74.347932071179017</v>
      </c>
      <c r="I838" s="8">
        <v>0</v>
      </c>
      <c r="J838" s="31">
        <v>0</v>
      </c>
      <c r="K838" s="31">
        <v>1</v>
      </c>
      <c r="L838" s="31">
        <v>0</v>
      </c>
      <c r="M838" s="31">
        <v>0</v>
      </c>
      <c r="N838" s="31">
        <v>0</v>
      </c>
      <c r="O838" s="31">
        <v>0</v>
      </c>
      <c r="P838" s="31">
        <v>0</v>
      </c>
      <c r="Q838" s="31">
        <v>0</v>
      </c>
      <c r="R838" s="31">
        <v>0</v>
      </c>
      <c r="S838" s="31">
        <v>0</v>
      </c>
      <c r="T838" s="21" cm="1">
        <f t="array" aca="1" ref="T838" ca="1">+fair_value_gap(OFFSET(S837,0,0,-1*$I$5,-1*$Z$1),OFFSET(E837,0,0,-1*$I$5,1),F838:S838,0)</f>
        <v>18.667953044586689</v>
      </c>
      <c r="U838" s="7" cm="1">
        <f t="array" aca="1" ref="U838" ca="1">z_score_diff(OFFSET(T838,0,0,$I$5*-1,1),OFFSET(E838,0,0,$I$5*-1,1))</f>
        <v>0.23034933582223094</v>
      </c>
      <c r="V838" s="7">
        <f t="shared" ca="1" si="847"/>
        <v>-0.5258796325176831</v>
      </c>
      <c r="W838" s="14">
        <f t="shared" ca="1" si="842"/>
        <v>9.6085865794162409E-2</v>
      </c>
      <c r="X838" s="10">
        <f t="shared" ref="X838:Y838" ca="1" si="911">+X837</f>
        <v>0</v>
      </c>
      <c r="Y838" s="10">
        <f t="shared" ca="1" si="911"/>
        <v>0</v>
      </c>
      <c r="Z838">
        <f t="shared" ca="1" si="849"/>
        <v>1</v>
      </c>
      <c r="AA838">
        <f t="shared" ca="1" si="850"/>
        <v>0</v>
      </c>
      <c r="AB838" s="19">
        <f t="shared" ca="1" si="851"/>
        <v>9.6085865794162409E-2</v>
      </c>
      <c r="AC838" s="19">
        <f t="shared" ca="1" si="852"/>
        <v>0</v>
      </c>
    </row>
    <row r="839" spans="3:29" x14ac:dyDescent="0.25">
      <c r="C839" s="4">
        <v>832</v>
      </c>
      <c r="D839" s="28">
        <v>43188</v>
      </c>
      <c r="E839" s="30">
        <v>18.206</v>
      </c>
      <c r="F839" s="30">
        <v>57.125436956345013</v>
      </c>
      <c r="G839" s="30">
        <v>5.861312088448094</v>
      </c>
      <c r="H839" s="30">
        <v>74.42484350865783</v>
      </c>
      <c r="I839" s="8">
        <v>0</v>
      </c>
      <c r="J839" s="31">
        <v>0</v>
      </c>
      <c r="K839" s="31">
        <v>1</v>
      </c>
      <c r="L839" s="31">
        <v>0</v>
      </c>
      <c r="M839" s="31">
        <v>0</v>
      </c>
      <c r="N839" s="31">
        <v>0</v>
      </c>
      <c r="O839" s="31">
        <v>0</v>
      </c>
      <c r="P839" s="31">
        <v>0</v>
      </c>
      <c r="Q839" s="31">
        <v>0</v>
      </c>
      <c r="R839" s="31">
        <v>0</v>
      </c>
      <c r="S839" s="31">
        <v>0</v>
      </c>
      <c r="T839" s="21" cm="1">
        <f t="array" aca="1" ref="T839" ca="1">+fair_value_gap(OFFSET(S838,0,0,-1*$I$5,-1*$Z$1),OFFSET(E838,0,0,-1*$I$5,1),F839:S839,0)</f>
        <v>18.704735988251006</v>
      </c>
      <c r="U839" s="7" cm="1">
        <f t="array" aca="1" ref="U839" ca="1">z_score_diff(OFFSET(T839,0,0,$I$5*-1,1),OFFSET(E839,0,0,$I$5*-1,1))</f>
        <v>0.35065499771920039</v>
      </c>
      <c r="V839" s="7">
        <f t="shared" ca="1" si="847"/>
        <v>-0.47917193774015476</v>
      </c>
      <c r="W839" s="14">
        <f t="shared" ref="W839:W902" ca="1" si="912">+LN(OFFSET(E839,$W$3,0,1,1)/E839)</f>
        <v>0.12373402162024179</v>
      </c>
      <c r="X839" s="10">
        <f t="shared" ref="X839:Y839" ca="1" si="913">+X838</f>
        <v>0</v>
      </c>
      <c r="Y839" s="10">
        <f t="shared" ca="1" si="913"/>
        <v>0</v>
      </c>
      <c r="Z839">
        <f t="shared" ca="1" si="849"/>
        <v>1</v>
      </c>
      <c r="AA839">
        <f t="shared" ca="1" si="850"/>
        <v>0</v>
      </c>
      <c r="AB839" s="19">
        <f t="shared" ca="1" si="851"/>
        <v>0.12373402162024179</v>
      </c>
      <c r="AC839" s="19">
        <f t="shared" ca="1" si="852"/>
        <v>0</v>
      </c>
    </row>
    <row r="840" spans="3:29" x14ac:dyDescent="0.25">
      <c r="C840" s="4">
        <v>833</v>
      </c>
      <c r="D840" s="28">
        <v>43193</v>
      </c>
      <c r="E840" s="30">
        <v>18.05</v>
      </c>
      <c r="F840" s="30">
        <v>55.522047436628903</v>
      </c>
      <c r="G840" s="30">
        <v>5.8236205069687825</v>
      </c>
      <c r="H840" s="30">
        <v>73.437117939522366</v>
      </c>
      <c r="I840" s="8">
        <v>0</v>
      </c>
      <c r="J840" s="31">
        <v>0</v>
      </c>
      <c r="K840" s="31">
        <v>0</v>
      </c>
      <c r="L840" s="31">
        <v>1</v>
      </c>
      <c r="M840" s="31">
        <v>0</v>
      </c>
      <c r="N840" s="31">
        <v>0</v>
      </c>
      <c r="O840" s="31">
        <v>0</v>
      </c>
      <c r="P840" s="31">
        <v>0</v>
      </c>
      <c r="Q840" s="31">
        <v>0</v>
      </c>
      <c r="R840" s="31">
        <v>0</v>
      </c>
      <c r="S840" s="31">
        <v>0</v>
      </c>
      <c r="T840" s="21" cm="1">
        <f t="array" aca="1" ref="T840" ca="1">+fair_value_gap(OFFSET(S839,0,0,-1*$I$5,-1*$Z$1),OFFSET(E839,0,0,-1*$I$5,1),F840:S840,0)</f>
        <v>16.319166874812954</v>
      </c>
      <c r="U840" s="7" cm="1">
        <f t="array" aca="1" ref="U840" ca="1">z_score_diff(OFFSET(T840,0,0,$I$5*-1,1),OFFSET(E840,0,0,$I$5*-1,1))</f>
        <v>-0.88477040592860212</v>
      </c>
      <c r="V840" s="7">
        <f t="shared" ca="1" si="847"/>
        <v>-0.48848248786068782</v>
      </c>
      <c r="W840" s="14">
        <f t="shared" ca="1" si="912"/>
        <v>0.11055475842427781</v>
      </c>
      <c r="X840" s="10">
        <f t="shared" ref="X840:Y840" ca="1" si="914">+X839</f>
        <v>0</v>
      </c>
      <c r="Y840" s="10">
        <f t="shared" ca="1" si="914"/>
        <v>0</v>
      </c>
      <c r="Z840">
        <f t="shared" ca="1" si="849"/>
        <v>1</v>
      </c>
      <c r="AA840">
        <f t="shared" ca="1" si="850"/>
        <v>0</v>
      </c>
      <c r="AB840" s="19">
        <f t="shared" ca="1" si="851"/>
        <v>0.11055475842427781</v>
      </c>
      <c r="AC840" s="19">
        <f t="shared" ca="1" si="852"/>
        <v>0</v>
      </c>
    </row>
    <row r="841" spans="3:29" x14ac:dyDescent="0.25">
      <c r="C841" s="4">
        <v>834</v>
      </c>
      <c r="D841" s="28">
        <v>43194</v>
      </c>
      <c r="E841" s="30">
        <v>18.193000000000001</v>
      </c>
      <c r="F841" s="30">
        <v>55.404414759306015</v>
      </c>
      <c r="G841" s="30">
        <v>5.8198256903152235</v>
      </c>
      <c r="H841" s="30">
        <v>74.814694143520398</v>
      </c>
      <c r="I841" s="8">
        <v>0</v>
      </c>
      <c r="J841" s="31">
        <v>0</v>
      </c>
      <c r="K841" s="31">
        <v>0</v>
      </c>
      <c r="L841" s="31">
        <v>1</v>
      </c>
      <c r="M841" s="31">
        <v>0</v>
      </c>
      <c r="N841" s="31">
        <v>0</v>
      </c>
      <c r="O841" s="31">
        <v>0</v>
      </c>
      <c r="P841" s="31">
        <v>0</v>
      </c>
      <c r="Q841" s="31">
        <v>0</v>
      </c>
      <c r="R841" s="31">
        <v>0</v>
      </c>
      <c r="S841" s="31">
        <v>0</v>
      </c>
      <c r="T841" s="21" cm="1">
        <f t="array" aca="1" ref="T841" ca="1">+fair_value_gap(OFFSET(S840,0,0,-1*$I$5,-1*$Z$1),OFFSET(E840,0,0,-1*$I$5,1),F841:S841,0)</f>
        <v>16.872725932904466</v>
      </c>
      <c r="U841" s="7" cm="1">
        <f t="array" aca="1" ref="U841" ca="1">z_score_diff(OFFSET(T841,0,0,$I$5*-1,1),OFFSET(E841,0,0,$I$5*-1,1))</f>
        <v>-0.64706881955111872</v>
      </c>
      <c r="V841" s="7">
        <f t="shared" ca="1" si="847"/>
        <v>-0.49819398596547576</v>
      </c>
      <c r="W841" s="14">
        <f t="shared" ca="1" si="912"/>
        <v>8.8476069025407611E-2</v>
      </c>
      <c r="X841" s="10">
        <f t="shared" ref="X841:Y841" ca="1" si="915">+X840</f>
        <v>0</v>
      </c>
      <c r="Y841" s="10">
        <f t="shared" ca="1" si="915"/>
        <v>0</v>
      </c>
      <c r="Z841">
        <f t="shared" ca="1" si="849"/>
        <v>1</v>
      </c>
      <c r="AA841">
        <f t="shared" ca="1" si="850"/>
        <v>0</v>
      </c>
      <c r="AB841" s="19">
        <f t="shared" ca="1" si="851"/>
        <v>8.8476069025407611E-2</v>
      </c>
      <c r="AC841" s="19">
        <f t="shared" ca="1" si="852"/>
        <v>0</v>
      </c>
    </row>
    <row r="842" spans="3:29" x14ac:dyDescent="0.25">
      <c r="C842" s="4">
        <v>835</v>
      </c>
      <c r="D842" s="28">
        <v>43195</v>
      </c>
      <c r="E842" s="30">
        <v>18.155000000000001</v>
      </c>
      <c r="F842" s="30">
        <v>55.834286648145124</v>
      </c>
      <c r="G842" s="30">
        <v>5.8465435528681162</v>
      </c>
      <c r="H842" s="30">
        <v>76.237947377022394</v>
      </c>
      <c r="I842" s="8">
        <v>0</v>
      </c>
      <c r="J842" s="31">
        <v>0</v>
      </c>
      <c r="K842" s="31">
        <v>0</v>
      </c>
      <c r="L842" s="31">
        <v>1</v>
      </c>
      <c r="M842" s="31">
        <v>0</v>
      </c>
      <c r="N842" s="31">
        <v>0</v>
      </c>
      <c r="O842" s="31">
        <v>0</v>
      </c>
      <c r="P842" s="31">
        <v>0</v>
      </c>
      <c r="Q842" s="31">
        <v>0</v>
      </c>
      <c r="R842" s="31">
        <v>0</v>
      </c>
      <c r="S842" s="31">
        <v>0</v>
      </c>
      <c r="T842" s="21" cm="1">
        <f t="array" aca="1" ref="T842" ca="1">+fair_value_gap(OFFSET(S841,0,0,-1*$I$5,-1*$Z$1),OFFSET(E841,0,0,-1*$I$5,1),F842:S842,0)</f>
        <v>17.427991199946195</v>
      </c>
      <c r="U842" s="7" cm="1">
        <f t="array" aca="1" ref="U842" ca="1">z_score_diff(OFFSET(T842,0,0,$I$5*-1,1),OFFSET(E842,0,0,$I$5*-1,1))</f>
        <v>-0.31476580516366498</v>
      </c>
      <c r="V842" s="7">
        <f t="shared" ca="1" si="847"/>
        <v>-0.48145494162688796</v>
      </c>
      <c r="W842" s="14">
        <f t="shared" ca="1" si="912"/>
        <v>9.1572701634804493E-2</v>
      </c>
      <c r="X842" s="10">
        <f t="shared" ref="X842:Y842" ca="1" si="916">+X841</f>
        <v>0</v>
      </c>
      <c r="Y842" s="10">
        <f t="shared" ca="1" si="916"/>
        <v>0</v>
      </c>
      <c r="Z842">
        <f t="shared" ca="1" si="849"/>
        <v>1</v>
      </c>
      <c r="AA842">
        <f t="shared" ca="1" si="850"/>
        <v>0</v>
      </c>
      <c r="AB842" s="19">
        <f t="shared" ca="1" si="851"/>
        <v>9.1572701634804493E-2</v>
      </c>
      <c r="AC842" s="19">
        <f t="shared" ca="1" si="852"/>
        <v>0</v>
      </c>
    </row>
    <row r="843" spans="3:29" x14ac:dyDescent="0.25">
      <c r="C843" s="4">
        <v>836</v>
      </c>
      <c r="D843" s="28">
        <v>43196</v>
      </c>
      <c r="E843" s="30">
        <v>18.158999999999999</v>
      </c>
      <c r="F843" s="30">
        <v>54.645387183454119</v>
      </c>
      <c r="G843" s="30">
        <v>5.8627147626414793</v>
      </c>
      <c r="H843" s="30">
        <v>76.052438726488077</v>
      </c>
      <c r="I843" s="8">
        <v>0</v>
      </c>
      <c r="J843" s="31">
        <v>0</v>
      </c>
      <c r="K843" s="31">
        <v>0</v>
      </c>
      <c r="L843" s="31">
        <v>1</v>
      </c>
      <c r="M843" s="31">
        <v>0</v>
      </c>
      <c r="N843" s="31">
        <v>0</v>
      </c>
      <c r="O843" s="31">
        <v>0</v>
      </c>
      <c r="P843" s="31">
        <v>0</v>
      </c>
      <c r="Q843" s="31">
        <v>0</v>
      </c>
      <c r="R843" s="31">
        <v>0</v>
      </c>
      <c r="S843" s="31">
        <v>0</v>
      </c>
      <c r="T843" s="21" cm="1">
        <f t="array" aca="1" ref="T843" ca="1">+fair_value_gap(OFFSET(S842,0,0,-1*$I$5,-1*$Z$1),OFFSET(E842,0,0,-1*$I$5,1),F843:S843,0)</f>
        <v>17.451064408283077</v>
      </c>
      <c r="U843" s="7" cm="1">
        <f t="array" aca="1" ref="U843" ca="1">z_score_diff(OFFSET(T843,0,0,$I$5*-1,1),OFFSET(E843,0,0,$I$5*-1,1))</f>
        <v>-0.30113108777161812</v>
      </c>
      <c r="V843" s="7">
        <f t="shared" ref="V843:V906" ca="1" si="917">+IF(ISERROR(AVERAGE(OFFSET(U843,0,0,$V$5*-1,1))),"",AVERAGE(OFFSET(U843,0,0,$V$5*-1,1)))</f>
        <v>-0.45786427188748446</v>
      </c>
      <c r="W843" s="14">
        <f t="shared" ca="1" si="912"/>
        <v>0.11636859527251087</v>
      </c>
      <c r="X843" s="10">
        <f t="shared" ref="X843:Y843" ca="1" si="918">+X842</f>
        <v>0</v>
      </c>
      <c r="Y843" s="10">
        <f t="shared" ca="1" si="918"/>
        <v>0</v>
      </c>
      <c r="Z843">
        <f t="shared" ref="Z843:Z906" ca="1" si="919">+IF(V843="","",IF(V843&lt;X843,1,0))</f>
        <v>1</v>
      </c>
      <c r="AA843">
        <f t="shared" ref="AA843:AA906" ca="1" si="920">+IF(V843="","",IF(V843&gt;Y843,1,0))</f>
        <v>0</v>
      </c>
      <c r="AB843" s="19">
        <f t="shared" ref="AB843:AB906" ca="1" si="921">+IF(ISERROR(Z843*W843),"",Z843*W843)</f>
        <v>0.11636859527251087</v>
      </c>
      <c r="AC843" s="19">
        <f t="shared" ref="AC843:AC906" ca="1" si="922">+IF(ISERROR(AA843*W843),"",AA843*W843)</f>
        <v>0</v>
      </c>
    </row>
    <row r="844" spans="3:29" x14ac:dyDescent="0.25">
      <c r="C844" s="4">
        <v>837</v>
      </c>
      <c r="D844" s="28">
        <v>43199</v>
      </c>
      <c r="E844" s="30">
        <v>18.638999999999999</v>
      </c>
      <c r="F844" s="30">
        <v>55.726925886841471</v>
      </c>
      <c r="G844" s="30">
        <v>5.8081013069242635</v>
      </c>
      <c r="H844" s="30">
        <v>75.655491517168599</v>
      </c>
      <c r="I844" s="8">
        <v>0</v>
      </c>
      <c r="J844" s="31">
        <v>0</v>
      </c>
      <c r="K844" s="31">
        <v>0</v>
      </c>
      <c r="L844" s="31">
        <v>1</v>
      </c>
      <c r="M844" s="31">
        <v>0</v>
      </c>
      <c r="N844" s="31">
        <v>0</v>
      </c>
      <c r="O844" s="31">
        <v>0</v>
      </c>
      <c r="P844" s="31">
        <v>0</v>
      </c>
      <c r="Q844" s="31">
        <v>0</v>
      </c>
      <c r="R844" s="31">
        <v>0</v>
      </c>
      <c r="S844" s="31">
        <v>0</v>
      </c>
      <c r="T844" s="21" cm="1">
        <f t="array" aca="1" ref="T844" ca="1">+fair_value_gap(OFFSET(S843,0,0,-1*$I$5,-1*$Z$1),OFFSET(E843,0,0,-1*$I$5,1),F844:S844,0)</f>
        <v>17.634349624290504</v>
      </c>
      <c r="U844" s="7" cm="1">
        <f t="array" aca="1" ref="U844" ca="1">z_score_diff(OFFSET(T844,0,0,$I$5*-1,1),OFFSET(E844,0,0,$I$5*-1,1))</f>
        <v>-0.45091120292110598</v>
      </c>
      <c r="V844" s="7">
        <f t="shared" ca="1" si="917"/>
        <v>-0.43717563636889023</v>
      </c>
      <c r="W844" s="14">
        <f t="shared" ca="1" si="912"/>
        <v>0.10245915965737531</v>
      </c>
      <c r="X844" s="10">
        <f t="shared" ref="X844:Y844" ca="1" si="923">+X843</f>
        <v>0</v>
      </c>
      <c r="Y844" s="10">
        <f t="shared" ca="1" si="923"/>
        <v>0</v>
      </c>
      <c r="Z844">
        <f t="shared" ca="1" si="919"/>
        <v>1</v>
      </c>
      <c r="AA844">
        <f t="shared" ca="1" si="920"/>
        <v>0</v>
      </c>
      <c r="AB844" s="19">
        <f t="shared" ca="1" si="921"/>
        <v>0.10245915965737531</v>
      </c>
      <c r="AC844" s="19">
        <f t="shared" ca="1" si="922"/>
        <v>0</v>
      </c>
    </row>
    <row r="845" spans="3:29" x14ac:dyDescent="0.25">
      <c r="C845" s="4">
        <v>838</v>
      </c>
      <c r="D845" s="28">
        <v>43200</v>
      </c>
      <c r="E845" s="30">
        <v>18.855</v>
      </c>
      <c r="F845" s="30">
        <v>57.503642544924723</v>
      </c>
      <c r="G845" s="30">
        <v>5.8078355188602879</v>
      </c>
      <c r="H845" s="30">
        <v>75.522098105876637</v>
      </c>
      <c r="I845" s="8">
        <v>0</v>
      </c>
      <c r="J845" s="31">
        <v>0</v>
      </c>
      <c r="K845" s="31">
        <v>0</v>
      </c>
      <c r="L845" s="31">
        <v>1</v>
      </c>
      <c r="M845" s="31">
        <v>0</v>
      </c>
      <c r="N845" s="31">
        <v>0</v>
      </c>
      <c r="O845" s="31">
        <v>0</v>
      </c>
      <c r="P845" s="31">
        <v>0</v>
      </c>
      <c r="Q845" s="31">
        <v>0</v>
      </c>
      <c r="R845" s="31">
        <v>0</v>
      </c>
      <c r="S845" s="31">
        <v>0</v>
      </c>
      <c r="T845" s="21" cm="1">
        <f t="array" aca="1" ref="T845" ca="1">+fair_value_gap(OFFSET(S844,0,0,-1*$I$5,-1*$Z$1),OFFSET(E844,0,0,-1*$I$5,1),F845:S845,0)</f>
        <v>18.00650170630529</v>
      </c>
      <c r="U845" s="7" cm="1">
        <f t="array" aca="1" ref="U845" ca="1">z_score_diff(OFFSET(T845,0,0,$I$5*-1,1),OFFSET(E845,0,0,$I$5*-1,1))</f>
        <v>-0.3574112484254251</v>
      </c>
      <c r="V845" s="7">
        <f t="shared" ca="1" si="917"/>
        <v>-0.40099057384546744</v>
      </c>
      <c r="W845" s="14">
        <f t="shared" ca="1" si="912"/>
        <v>9.2243840708312388E-2</v>
      </c>
      <c r="X845" s="10">
        <f t="shared" ref="X845:Y845" ca="1" si="924">+X844</f>
        <v>0</v>
      </c>
      <c r="Y845" s="10">
        <f t="shared" ca="1" si="924"/>
        <v>0</v>
      </c>
      <c r="Z845">
        <f t="shared" ca="1" si="919"/>
        <v>1</v>
      </c>
      <c r="AA845">
        <f t="shared" ca="1" si="920"/>
        <v>0</v>
      </c>
      <c r="AB845" s="19">
        <f t="shared" ca="1" si="921"/>
        <v>9.2243840708312388E-2</v>
      </c>
      <c r="AC845" s="19">
        <f t="shared" ca="1" si="922"/>
        <v>0</v>
      </c>
    </row>
    <row r="846" spans="3:29" x14ac:dyDescent="0.25">
      <c r="C846" s="4">
        <v>839</v>
      </c>
      <c r="D846" s="28">
        <v>43201</v>
      </c>
      <c r="E846" s="30">
        <v>19.295000000000002</v>
      </c>
      <c r="F846" s="30">
        <v>58.277395875454921</v>
      </c>
      <c r="G846" s="30">
        <v>5.8026688232915493</v>
      </c>
      <c r="H846" s="30">
        <v>75.495349777598065</v>
      </c>
      <c r="I846" s="8">
        <v>0</v>
      </c>
      <c r="J846" s="31">
        <v>0</v>
      </c>
      <c r="K846" s="31">
        <v>0</v>
      </c>
      <c r="L846" s="31">
        <v>1</v>
      </c>
      <c r="M846" s="31">
        <v>0</v>
      </c>
      <c r="N846" s="31">
        <v>0</v>
      </c>
      <c r="O846" s="31">
        <v>0</v>
      </c>
      <c r="P846" s="31">
        <v>0</v>
      </c>
      <c r="Q846" s="31">
        <v>0</v>
      </c>
      <c r="R846" s="31">
        <v>0</v>
      </c>
      <c r="S846" s="31">
        <v>0</v>
      </c>
      <c r="T846" s="21" cm="1">
        <f t="array" aca="1" ref="T846" ca="1">+fair_value_gap(OFFSET(S845,0,0,-1*$I$5,-1*$Z$1),OFFSET(E845,0,0,-1*$I$5,1),F846:S846,0)</f>
        <v>18.234655826727224</v>
      </c>
      <c r="U846" s="7" cm="1">
        <f t="array" aca="1" ref="U846" ca="1">z_score_diff(OFFSET(T846,0,0,$I$5*-1,1),OFFSET(E846,0,0,$I$5*-1,1))</f>
        <v>-0.4614244604834391</v>
      </c>
      <c r="V846" s="7">
        <f t="shared" ca="1" si="917"/>
        <v>-0.34776824900917819</v>
      </c>
      <c r="W846" s="14">
        <f t="shared" ca="1" si="912"/>
        <v>7.6884257598480901E-2</v>
      </c>
      <c r="X846" s="10">
        <f t="shared" ref="X846:Y846" ca="1" si="925">+X845</f>
        <v>0</v>
      </c>
      <c r="Y846" s="10">
        <f t="shared" ca="1" si="925"/>
        <v>0</v>
      </c>
      <c r="Z846">
        <f t="shared" ca="1" si="919"/>
        <v>1</v>
      </c>
      <c r="AA846">
        <f t="shared" ca="1" si="920"/>
        <v>0</v>
      </c>
      <c r="AB846" s="19">
        <f t="shared" ca="1" si="921"/>
        <v>7.6884257598480901E-2</v>
      </c>
      <c r="AC846" s="19">
        <f t="shared" ca="1" si="922"/>
        <v>0</v>
      </c>
    </row>
    <row r="847" spans="3:29" x14ac:dyDescent="0.25">
      <c r="C847" s="4">
        <v>840</v>
      </c>
      <c r="D847" s="28">
        <v>43202</v>
      </c>
      <c r="E847" s="30">
        <v>19.222000000000001</v>
      </c>
      <c r="F847" s="30">
        <v>58.434077079107503</v>
      </c>
      <c r="G847" s="30">
        <v>5.8215010141987831</v>
      </c>
      <c r="H847" s="30">
        <v>75.902636916835704</v>
      </c>
      <c r="I847" s="8">
        <v>0</v>
      </c>
      <c r="J847" s="31">
        <v>0</v>
      </c>
      <c r="K847" s="31">
        <v>0</v>
      </c>
      <c r="L847" s="31">
        <v>1</v>
      </c>
      <c r="M847" s="31">
        <v>0</v>
      </c>
      <c r="N847" s="31">
        <v>0</v>
      </c>
      <c r="O847" s="31">
        <v>0</v>
      </c>
      <c r="P847" s="31">
        <v>0</v>
      </c>
      <c r="Q847" s="31">
        <v>0</v>
      </c>
      <c r="R847" s="31">
        <v>0</v>
      </c>
      <c r="S847" s="31">
        <v>0</v>
      </c>
      <c r="T847" s="21" cm="1">
        <f t="array" aca="1" ref="T847" ca="1">+fair_value_gap(OFFSET(S846,0,0,-1*$I$5,-1*$Z$1),OFFSET(E846,0,0,-1*$I$5,1),F847:S847,0)</f>
        <v>18.47887964472941</v>
      </c>
      <c r="U847" s="7" cm="1">
        <f t="array" aca="1" ref="U847" ca="1">z_score_diff(OFFSET(T847,0,0,$I$5*-1,1),OFFSET(E847,0,0,$I$5*-1,1))</f>
        <v>-0.28518834773913815</v>
      </c>
      <c r="V847" s="7">
        <f t="shared" ca="1" si="917"/>
        <v>-0.29664382505283504</v>
      </c>
      <c r="W847" s="14">
        <f t="shared" ca="1" si="912"/>
        <v>8.3215119167381696E-2</v>
      </c>
      <c r="X847" s="10">
        <f t="shared" ref="X847:Y847" ca="1" si="926">+X846</f>
        <v>0</v>
      </c>
      <c r="Y847" s="10">
        <f t="shared" ca="1" si="926"/>
        <v>0</v>
      </c>
      <c r="Z847">
        <f t="shared" ca="1" si="919"/>
        <v>1</v>
      </c>
      <c r="AA847">
        <f t="shared" ca="1" si="920"/>
        <v>0</v>
      </c>
      <c r="AB847" s="19">
        <f t="shared" ca="1" si="921"/>
        <v>8.3215119167381696E-2</v>
      </c>
      <c r="AC847" s="19">
        <f t="shared" ca="1" si="922"/>
        <v>0</v>
      </c>
    </row>
    <row r="848" spans="3:29" x14ac:dyDescent="0.25">
      <c r="C848" s="4">
        <v>841</v>
      </c>
      <c r="D848" s="28">
        <v>43203</v>
      </c>
      <c r="E848" s="30">
        <v>19.600000000000001</v>
      </c>
      <c r="F848" s="30">
        <v>58.869332468164487</v>
      </c>
      <c r="G848" s="30">
        <v>5.8236677751642461</v>
      </c>
      <c r="H848" s="30">
        <v>76.20244950928705</v>
      </c>
      <c r="I848" s="8">
        <v>0</v>
      </c>
      <c r="J848" s="31">
        <v>0</v>
      </c>
      <c r="K848" s="31">
        <v>0</v>
      </c>
      <c r="L848" s="31">
        <v>1</v>
      </c>
      <c r="M848" s="31">
        <v>0</v>
      </c>
      <c r="N848" s="31">
        <v>0</v>
      </c>
      <c r="O848" s="31">
        <v>0</v>
      </c>
      <c r="P848" s="31">
        <v>0</v>
      </c>
      <c r="Q848" s="31">
        <v>0</v>
      </c>
      <c r="R848" s="31">
        <v>0</v>
      </c>
      <c r="S848" s="31">
        <v>0</v>
      </c>
      <c r="T848" s="21" cm="1">
        <f t="array" aca="1" ref="T848" ca="1">+fair_value_gap(OFFSET(S847,0,0,-1*$I$5,-1*$Z$1),OFFSET(E847,0,0,-1*$I$5,1),F848:S848,0)</f>
        <v>18.707630245976045</v>
      </c>
      <c r="U848" s="7" cm="1">
        <f t="array" aca="1" ref="U848" ca="1">z_score_diff(OFFSET(T848,0,0,$I$5*-1,1),OFFSET(E848,0,0,$I$5*-1,1))</f>
        <v>-0.35532257691153335</v>
      </c>
      <c r="V848" s="7">
        <f t="shared" ca="1" si="917"/>
        <v>-0.28635911712873463</v>
      </c>
      <c r="W848" s="14">
        <f t="shared" ca="1" si="912"/>
        <v>8.0450787662876291E-2</v>
      </c>
      <c r="X848" s="10">
        <f t="shared" ref="X848:Y848" ca="1" si="927">+X847</f>
        <v>0</v>
      </c>
      <c r="Y848" s="10">
        <f t="shared" ca="1" si="927"/>
        <v>0</v>
      </c>
      <c r="Z848">
        <f t="shared" ca="1" si="919"/>
        <v>1</v>
      </c>
      <c r="AA848">
        <f t="shared" ca="1" si="920"/>
        <v>0</v>
      </c>
      <c r="AB848" s="19">
        <f t="shared" ca="1" si="921"/>
        <v>8.0450787662876291E-2</v>
      </c>
      <c r="AC848" s="19">
        <f t="shared" ca="1" si="922"/>
        <v>0</v>
      </c>
    </row>
    <row r="849" spans="3:29" x14ac:dyDescent="0.25">
      <c r="C849" s="4">
        <v>842</v>
      </c>
      <c r="D849" s="28">
        <v>43206</v>
      </c>
      <c r="E849" s="30">
        <v>19.440000000000001</v>
      </c>
      <c r="F849" s="30">
        <v>57.69914364194539</v>
      </c>
      <c r="G849" s="30">
        <v>6.1399256745839388</v>
      </c>
      <c r="H849" s="30">
        <v>76.183551462271765</v>
      </c>
      <c r="I849" s="8">
        <v>0</v>
      </c>
      <c r="J849" s="31">
        <v>0</v>
      </c>
      <c r="K849" s="31">
        <v>0</v>
      </c>
      <c r="L849" s="31">
        <v>1</v>
      </c>
      <c r="M849" s="31">
        <v>0</v>
      </c>
      <c r="N849" s="31">
        <v>0</v>
      </c>
      <c r="O849" s="31">
        <v>0</v>
      </c>
      <c r="P849" s="31">
        <v>0</v>
      </c>
      <c r="Q849" s="31">
        <v>0</v>
      </c>
      <c r="R849" s="31">
        <v>0</v>
      </c>
      <c r="S849" s="31">
        <v>0</v>
      </c>
      <c r="T849" s="21" cm="1">
        <f t="array" aca="1" ref="T849" ca="1">+fair_value_gap(OFFSET(S848,0,0,-1*$I$5,-1*$Z$1),OFFSET(E848,0,0,-1*$I$5,1),F849:S849,0)</f>
        <v>18.635288169451645</v>
      </c>
      <c r="U849" s="7" cm="1">
        <f t="array" aca="1" ref="U849" ca="1">z_score_diff(OFFSET(T849,0,0,$I$5*-1,1),OFFSET(E849,0,0,$I$5*-1,1))</f>
        <v>-0.30904574710737021</v>
      </c>
      <c r="V849" s="7">
        <f t="shared" ca="1" si="917"/>
        <v>-0.26689492112492919</v>
      </c>
      <c r="W849" s="14">
        <f t="shared" ca="1" si="912"/>
        <v>0.10522161712298246</v>
      </c>
      <c r="X849" s="10">
        <f t="shared" ref="X849:Y849" ca="1" si="928">+X848</f>
        <v>0</v>
      </c>
      <c r="Y849" s="10">
        <f t="shared" ca="1" si="928"/>
        <v>0</v>
      </c>
      <c r="Z849">
        <f t="shared" ca="1" si="919"/>
        <v>1</v>
      </c>
      <c r="AA849">
        <f t="shared" ca="1" si="920"/>
        <v>0</v>
      </c>
      <c r="AB849" s="19">
        <f t="shared" ca="1" si="921"/>
        <v>0.10522161712298246</v>
      </c>
      <c r="AC849" s="19">
        <f t="shared" ca="1" si="922"/>
        <v>0</v>
      </c>
    </row>
    <row r="850" spans="3:29" x14ac:dyDescent="0.25">
      <c r="C850" s="4">
        <v>843</v>
      </c>
      <c r="D850" s="28">
        <v>43207</v>
      </c>
      <c r="E850" s="30">
        <v>19.084</v>
      </c>
      <c r="F850" s="30">
        <v>57.865804365400159</v>
      </c>
      <c r="G850" s="30">
        <v>6.1641067097817297</v>
      </c>
      <c r="H850" s="30">
        <v>75.86903799514954</v>
      </c>
      <c r="I850" s="8">
        <v>0</v>
      </c>
      <c r="J850" s="31">
        <v>0</v>
      </c>
      <c r="K850" s="31">
        <v>0</v>
      </c>
      <c r="L850" s="31">
        <v>1</v>
      </c>
      <c r="M850" s="31">
        <v>0</v>
      </c>
      <c r="N850" s="31">
        <v>0</v>
      </c>
      <c r="O850" s="31">
        <v>0</v>
      </c>
      <c r="P850" s="31">
        <v>0</v>
      </c>
      <c r="Q850" s="31">
        <v>0</v>
      </c>
      <c r="R850" s="31">
        <v>0</v>
      </c>
      <c r="S850" s="31">
        <v>0</v>
      </c>
      <c r="T850" s="21" cm="1">
        <f t="array" aca="1" ref="T850" ca="1">+fair_value_gap(OFFSET(S849,0,0,-1*$I$5,-1*$Z$1),OFFSET(E849,0,0,-1*$I$5,1),F850:S850,0)</f>
        <v>18.686351990980281</v>
      </c>
      <c r="U850" s="7" cm="1">
        <f t="array" aca="1" ref="U850" ca="1">z_score_diff(OFFSET(T850,0,0,$I$5*-1,1),OFFSET(E850,0,0,$I$5*-1,1))</f>
        <v>-9.2210675595519209E-2</v>
      </c>
      <c r="V850" s="7">
        <f t="shared" ca="1" si="917"/>
        <v>-0.24684475826566549</v>
      </c>
      <c r="W850" s="14">
        <f t="shared" ca="1" si="912"/>
        <v>0.12809324132495362</v>
      </c>
      <c r="X850" s="10">
        <f t="shared" ref="X850:Y850" ca="1" si="929">+X849</f>
        <v>0</v>
      </c>
      <c r="Y850" s="10">
        <f t="shared" ca="1" si="929"/>
        <v>0</v>
      </c>
      <c r="Z850">
        <f t="shared" ca="1" si="919"/>
        <v>1</v>
      </c>
      <c r="AA850">
        <f t="shared" ca="1" si="920"/>
        <v>0</v>
      </c>
      <c r="AB850" s="19">
        <f t="shared" ca="1" si="921"/>
        <v>0.12809324132495362</v>
      </c>
      <c r="AC850" s="19">
        <f t="shared" ca="1" si="922"/>
        <v>0</v>
      </c>
    </row>
    <row r="851" spans="3:29" x14ac:dyDescent="0.25">
      <c r="C851" s="4">
        <v>844</v>
      </c>
      <c r="D851" s="28">
        <v>43208</v>
      </c>
      <c r="E851" s="30">
        <v>19.350000000000001</v>
      </c>
      <c r="F851" s="30">
        <v>59.392175881021664</v>
      </c>
      <c r="G851" s="30">
        <v>6.211606854186873</v>
      </c>
      <c r="H851" s="30">
        <v>76.058842547688315</v>
      </c>
      <c r="I851" s="8">
        <v>0</v>
      </c>
      <c r="J851" s="31">
        <v>0</v>
      </c>
      <c r="K851" s="31">
        <v>0</v>
      </c>
      <c r="L851" s="31">
        <v>1</v>
      </c>
      <c r="M851" s="31">
        <v>0</v>
      </c>
      <c r="N851" s="31">
        <v>0</v>
      </c>
      <c r="O851" s="31">
        <v>0</v>
      </c>
      <c r="P851" s="31">
        <v>0</v>
      </c>
      <c r="Q851" s="31">
        <v>0</v>
      </c>
      <c r="R851" s="31">
        <v>0</v>
      </c>
      <c r="S851" s="31">
        <v>0</v>
      </c>
      <c r="T851" s="21" cm="1">
        <f t="array" aca="1" ref="T851" ca="1">+fair_value_gap(OFFSET(S850,0,0,-1*$I$5,-1*$Z$1),OFFSET(E850,0,0,-1*$I$5,1),F851:S851,0)</f>
        <v>18.979291667793554</v>
      </c>
      <c r="U851" s="7" cm="1">
        <f t="array" aca="1" ref="U851" ca="1">z_score_diff(OFFSET(T851,0,0,$I$5*-1,1),OFFSET(E851,0,0,$I$5*-1,1))</f>
        <v>-6.8627278303618922E-2</v>
      </c>
      <c r="V851" s="7">
        <f t="shared" ca="1" si="917"/>
        <v>-0.22254917764246351</v>
      </c>
      <c r="W851" s="14">
        <f t="shared" ca="1" si="912"/>
        <v>0.10884281749370069</v>
      </c>
      <c r="X851" s="10">
        <f t="shared" ref="X851:Y851" ca="1" si="930">+X850</f>
        <v>0</v>
      </c>
      <c r="Y851" s="10">
        <f t="shared" ca="1" si="930"/>
        <v>0</v>
      </c>
      <c r="Z851">
        <f t="shared" ca="1" si="919"/>
        <v>1</v>
      </c>
      <c r="AA851">
        <f t="shared" ca="1" si="920"/>
        <v>0</v>
      </c>
      <c r="AB851" s="19">
        <f t="shared" ca="1" si="921"/>
        <v>0.10884281749370069</v>
      </c>
      <c r="AC851" s="19">
        <f t="shared" ca="1" si="922"/>
        <v>0</v>
      </c>
    </row>
    <row r="852" spans="3:29" x14ac:dyDescent="0.25">
      <c r="C852" s="4">
        <v>845</v>
      </c>
      <c r="D852" s="28">
        <v>43209</v>
      </c>
      <c r="E852" s="30">
        <v>19.763999999999999</v>
      </c>
      <c r="F852" s="30">
        <v>59.769928710304605</v>
      </c>
      <c r="G852" s="30">
        <v>6.2783538561244336</v>
      </c>
      <c r="H852" s="30">
        <v>76.798444588464037</v>
      </c>
      <c r="I852" s="8">
        <v>0</v>
      </c>
      <c r="J852" s="31">
        <v>0</v>
      </c>
      <c r="K852" s="31">
        <v>0</v>
      </c>
      <c r="L852" s="31">
        <v>1</v>
      </c>
      <c r="M852" s="31">
        <v>0</v>
      </c>
      <c r="N852" s="31">
        <v>0</v>
      </c>
      <c r="O852" s="31">
        <v>0</v>
      </c>
      <c r="P852" s="31">
        <v>0</v>
      </c>
      <c r="Q852" s="31">
        <v>0</v>
      </c>
      <c r="R852" s="31">
        <v>0</v>
      </c>
      <c r="S852" s="31">
        <v>0</v>
      </c>
      <c r="T852" s="21" cm="1">
        <f t="array" aca="1" ref="T852" ca="1">+fair_value_gap(OFFSET(S851,0,0,-1*$I$5,-1*$Z$1),OFFSET(E851,0,0,-1*$I$5,1),F852:S852,0)</f>
        <v>19.216404122155698</v>
      </c>
      <c r="U852" s="7" cm="1">
        <f t="array" aca="1" ref="U852" ca="1">z_score_diff(OFFSET(T852,0,0,$I$5*-1,1),OFFSET(E852,0,0,$I$5*-1,1))</f>
        <v>-0.15291298740539849</v>
      </c>
      <c r="V852" s="7">
        <f t="shared" ca="1" si="917"/>
        <v>-0.20657255492485005</v>
      </c>
      <c r="W852" s="14">
        <f t="shared" ca="1" si="912"/>
        <v>0.11812029241314664</v>
      </c>
      <c r="X852" s="10">
        <f t="shared" ref="X852:Y852" ca="1" si="931">+X851</f>
        <v>0</v>
      </c>
      <c r="Y852" s="10">
        <f t="shared" ca="1" si="931"/>
        <v>0</v>
      </c>
      <c r="Z852">
        <f t="shared" ca="1" si="919"/>
        <v>1</v>
      </c>
      <c r="AA852">
        <f t="shared" ca="1" si="920"/>
        <v>0</v>
      </c>
      <c r="AB852" s="19">
        <f t="shared" ca="1" si="921"/>
        <v>0.11812029241314664</v>
      </c>
      <c r="AC852" s="19">
        <f t="shared" ca="1" si="922"/>
        <v>0</v>
      </c>
    </row>
    <row r="853" spans="3:29" x14ac:dyDescent="0.25">
      <c r="C853" s="4">
        <v>846</v>
      </c>
      <c r="D853" s="28">
        <v>43210</v>
      </c>
      <c r="E853" s="30">
        <v>19.774000000000001</v>
      </c>
      <c r="F853" s="30">
        <v>60.27999348852353</v>
      </c>
      <c r="G853" s="30">
        <v>6.28764447338434</v>
      </c>
      <c r="H853" s="30">
        <v>76.916815888002617</v>
      </c>
      <c r="I853" s="8">
        <v>0</v>
      </c>
      <c r="J853" s="31">
        <v>0</v>
      </c>
      <c r="K853" s="31">
        <v>0</v>
      </c>
      <c r="L853" s="31">
        <v>1</v>
      </c>
      <c r="M853" s="31">
        <v>0</v>
      </c>
      <c r="N853" s="31">
        <v>0</v>
      </c>
      <c r="O853" s="31">
        <v>0</v>
      </c>
      <c r="P853" s="31">
        <v>0</v>
      </c>
      <c r="Q853" s="31">
        <v>0</v>
      </c>
      <c r="R853" s="31">
        <v>0</v>
      </c>
      <c r="S853" s="31">
        <v>0</v>
      </c>
      <c r="T853" s="21" cm="1">
        <f t="array" aca="1" ref="T853" ca="1">+fair_value_gap(OFFSET(S852,0,0,-1*$I$5,-1*$Z$1),OFFSET(E852,0,0,-1*$I$5,1),F853:S853,0)</f>
        <v>19.376334603381046</v>
      </c>
      <c r="U853" s="7" cm="1">
        <f t="array" aca="1" ref="U853" ca="1">z_score_diff(OFFSET(T853,0,0,$I$5*-1,1),OFFSET(E853,0,0,$I$5*-1,1))</f>
        <v>-6.8081508867932072E-2</v>
      </c>
      <c r="V853" s="7">
        <f t="shared" ca="1" si="917"/>
        <v>-0.18538567596821426</v>
      </c>
      <c r="W853" s="14">
        <f t="shared" ca="1" si="912"/>
        <v>0.10908070358511909</v>
      </c>
      <c r="X853" s="10">
        <f t="shared" ref="X853:Y853" ca="1" si="932">+X852</f>
        <v>0</v>
      </c>
      <c r="Y853" s="10">
        <f t="shared" ca="1" si="932"/>
        <v>0</v>
      </c>
      <c r="Z853">
        <f t="shared" ca="1" si="919"/>
        <v>1</v>
      </c>
      <c r="AA853">
        <f t="shared" ca="1" si="920"/>
        <v>0</v>
      </c>
      <c r="AB853" s="19">
        <f t="shared" ca="1" si="921"/>
        <v>0.10908070358511909</v>
      </c>
      <c r="AC853" s="19">
        <f t="shared" ca="1" si="922"/>
        <v>0</v>
      </c>
    </row>
    <row r="854" spans="3:29" x14ac:dyDescent="0.25">
      <c r="C854" s="4">
        <v>847</v>
      </c>
      <c r="D854" s="28">
        <v>43213</v>
      </c>
      <c r="E854" s="30">
        <v>19.942</v>
      </c>
      <c r="F854" s="30">
        <v>61.202588678627016</v>
      </c>
      <c r="G854" s="30">
        <v>6.324240190054887</v>
      </c>
      <c r="H854" s="30">
        <v>77.209797657082007</v>
      </c>
      <c r="I854" s="8">
        <v>0</v>
      </c>
      <c r="J854" s="31">
        <v>0</v>
      </c>
      <c r="K854" s="31">
        <v>0</v>
      </c>
      <c r="L854" s="31">
        <v>1</v>
      </c>
      <c r="M854" s="31">
        <v>0</v>
      </c>
      <c r="N854" s="31">
        <v>0</v>
      </c>
      <c r="O854" s="31">
        <v>0</v>
      </c>
      <c r="P854" s="31">
        <v>0</v>
      </c>
      <c r="Q854" s="31">
        <v>0</v>
      </c>
      <c r="R854" s="31">
        <v>0</v>
      </c>
      <c r="S854" s="31">
        <v>0</v>
      </c>
      <c r="T854" s="21" cm="1">
        <f t="array" aca="1" ref="T854" ca="1">+fair_value_gap(OFFSET(S853,0,0,-1*$I$5,-1*$Z$1),OFFSET(E853,0,0,-1*$I$5,1),F854:S854,0)</f>
        <v>19.588919462785707</v>
      </c>
      <c r="U854" s="7" cm="1">
        <f t="array" aca="1" ref="U854" ca="1">z_score_diff(OFFSET(T854,0,0,$I$5*-1,1),OFFSET(E854,0,0,$I$5*-1,1))</f>
        <v>-3.3769323858013012E-2</v>
      </c>
      <c r="V854" s="7">
        <f t="shared" ca="1" si="917"/>
        <v>-0.17617616882121828</v>
      </c>
      <c r="W854" s="14">
        <f t="shared" ca="1" si="912"/>
        <v>0.11247584957668061</v>
      </c>
      <c r="X854" s="10">
        <f t="shared" ref="X854:Y854" ca="1" si="933">+X853</f>
        <v>0</v>
      </c>
      <c r="Y854" s="10">
        <f t="shared" ca="1" si="933"/>
        <v>0</v>
      </c>
      <c r="Z854">
        <f t="shared" ca="1" si="919"/>
        <v>1</v>
      </c>
      <c r="AA854">
        <f t="shared" ca="1" si="920"/>
        <v>0</v>
      </c>
      <c r="AB854" s="19">
        <f t="shared" ca="1" si="921"/>
        <v>0.11247584957668061</v>
      </c>
      <c r="AC854" s="19">
        <f t="shared" ca="1" si="922"/>
        <v>0</v>
      </c>
    </row>
    <row r="855" spans="3:29" x14ac:dyDescent="0.25">
      <c r="C855" s="4">
        <v>848</v>
      </c>
      <c r="D855" s="28">
        <v>43214</v>
      </c>
      <c r="E855" s="30">
        <v>19.684000000000001</v>
      </c>
      <c r="F855" s="30">
        <v>60.392477514309071</v>
      </c>
      <c r="G855" s="30">
        <v>6.541291905151267</v>
      </c>
      <c r="H855" s="30">
        <v>76.982829108748973</v>
      </c>
      <c r="I855" s="8">
        <v>0</v>
      </c>
      <c r="J855" s="31">
        <v>0</v>
      </c>
      <c r="K855" s="31">
        <v>0</v>
      </c>
      <c r="L855" s="31">
        <v>1</v>
      </c>
      <c r="M855" s="31">
        <v>0</v>
      </c>
      <c r="N855" s="31">
        <v>0</v>
      </c>
      <c r="O855" s="31">
        <v>0</v>
      </c>
      <c r="P855" s="31">
        <v>0</v>
      </c>
      <c r="Q855" s="31">
        <v>0</v>
      </c>
      <c r="R855" s="31">
        <v>0</v>
      </c>
      <c r="S855" s="31">
        <v>0</v>
      </c>
      <c r="T855" s="21" cm="1">
        <f t="array" aca="1" ref="T855" ca="1">+fair_value_gap(OFFSET(S854,0,0,-1*$I$5,-1*$Z$1),OFFSET(E854,0,0,-1*$I$5,1),F855:S855,0)</f>
        <v>19.478073451838565</v>
      </c>
      <c r="U855" s="7" cm="1">
        <f t="array" aca="1" ref="U855" ca="1">z_score_diff(OFFSET(T855,0,0,$I$5*-1,1),OFFSET(E855,0,0,$I$5*-1,1))</f>
        <v>4.1344971758896509E-2</v>
      </c>
      <c r="V855" s="7">
        <f t="shared" ca="1" si="917"/>
        <v>-0.18292133337463362</v>
      </c>
      <c r="W855" s="14">
        <f t="shared" ca="1" si="912"/>
        <v>0.1542958198150309</v>
      </c>
      <c r="X855" s="10">
        <f t="shared" ref="X855:Y855" ca="1" si="934">+X854</f>
        <v>0</v>
      </c>
      <c r="Y855" s="10">
        <f t="shared" ca="1" si="934"/>
        <v>0</v>
      </c>
      <c r="Z855">
        <f t="shared" ca="1" si="919"/>
        <v>1</v>
      </c>
      <c r="AA855">
        <f t="shared" ca="1" si="920"/>
        <v>0</v>
      </c>
      <c r="AB855" s="19">
        <f t="shared" ca="1" si="921"/>
        <v>0.1542958198150309</v>
      </c>
      <c r="AC855" s="19">
        <f t="shared" ca="1" si="922"/>
        <v>0</v>
      </c>
    </row>
    <row r="856" spans="3:29" x14ac:dyDescent="0.25">
      <c r="C856" s="4">
        <v>849</v>
      </c>
      <c r="D856" s="28">
        <v>43215</v>
      </c>
      <c r="E856" s="30">
        <v>19.870999999999999</v>
      </c>
      <c r="F856" s="30">
        <v>60.860268114154124</v>
      </c>
      <c r="G856" s="30">
        <v>6.4972448392137512</v>
      </c>
      <c r="H856" s="30">
        <v>77.473476437207012</v>
      </c>
      <c r="I856" s="8">
        <v>0</v>
      </c>
      <c r="J856" s="31">
        <v>0</v>
      </c>
      <c r="K856" s="31">
        <v>0</v>
      </c>
      <c r="L856" s="31">
        <v>1</v>
      </c>
      <c r="M856" s="31">
        <v>0</v>
      </c>
      <c r="N856" s="31">
        <v>0</v>
      </c>
      <c r="O856" s="31">
        <v>0</v>
      </c>
      <c r="P856" s="31">
        <v>0</v>
      </c>
      <c r="Q856" s="31">
        <v>0</v>
      </c>
      <c r="R856" s="31">
        <v>0</v>
      </c>
      <c r="S856" s="31">
        <v>0</v>
      </c>
      <c r="T856" s="21" cm="1">
        <f t="array" aca="1" ref="T856" ca="1">+fair_value_gap(OFFSET(S855,0,0,-1*$I$5,-1*$Z$1),OFFSET(E855,0,0,-1*$I$5,1),F856:S856,0)</f>
        <v>19.638890916556832</v>
      </c>
      <c r="U856" s="7" cm="1">
        <f t="array" aca="1" ref="U856" ca="1">z_score_diff(OFFSET(T856,0,0,$I$5*-1,1),OFFSET(E856,0,0,$I$5*-1,1))</f>
        <v>3.3920647405856652E-2</v>
      </c>
      <c r="V856" s="7">
        <f t="shared" ca="1" si="917"/>
        <v>-0.19997756789647766</v>
      </c>
      <c r="W856" s="14">
        <f t="shared" ca="1" si="912"/>
        <v>0.13547957169384564</v>
      </c>
      <c r="X856" s="10">
        <f t="shared" ref="X856:Y856" ca="1" si="935">+X855</f>
        <v>0</v>
      </c>
      <c r="Y856" s="10">
        <f t="shared" ca="1" si="935"/>
        <v>0</v>
      </c>
      <c r="Z856">
        <f t="shared" ca="1" si="919"/>
        <v>1</v>
      </c>
      <c r="AA856">
        <f t="shared" ca="1" si="920"/>
        <v>0</v>
      </c>
      <c r="AB856" s="19">
        <f t="shared" ca="1" si="921"/>
        <v>0.13547957169384564</v>
      </c>
      <c r="AC856" s="19">
        <f t="shared" ca="1" si="922"/>
        <v>0</v>
      </c>
    </row>
    <row r="857" spans="3:29" x14ac:dyDescent="0.25">
      <c r="C857" s="4">
        <v>850</v>
      </c>
      <c r="D857" s="28">
        <v>43216</v>
      </c>
      <c r="E857" s="30">
        <v>20.167999999999999</v>
      </c>
      <c r="F857" s="30">
        <v>61.763490620609865</v>
      </c>
      <c r="G857" s="30">
        <v>6.5283860837947278</v>
      </c>
      <c r="H857" s="30">
        <v>77.886125113626974</v>
      </c>
      <c r="I857" s="8">
        <v>0</v>
      </c>
      <c r="J857" s="31">
        <v>0</v>
      </c>
      <c r="K857" s="31">
        <v>0</v>
      </c>
      <c r="L857" s="31">
        <v>1</v>
      </c>
      <c r="M857" s="31">
        <v>0</v>
      </c>
      <c r="N857" s="31">
        <v>0</v>
      </c>
      <c r="O857" s="31">
        <v>0</v>
      </c>
      <c r="P857" s="31">
        <v>0</v>
      </c>
      <c r="Q857" s="31">
        <v>0</v>
      </c>
      <c r="R857" s="31">
        <v>0</v>
      </c>
      <c r="S857" s="31">
        <v>0</v>
      </c>
      <c r="T857" s="21" cm="1">
        <f t="array" aca="1" ref="T857" ca="1">+fair_value_gap(OFFSET(S856,0,0,-1*$I$5,-1*$Z$1),OFFSET(E856,0,0,-1*$I$5,1),F857:S857,0)</f>
        <v>19.82489547551533</v>
      </c>
      <c r="U857" s="7" cm="1">
        <f t="array" aca="1" ref="U857" ca="1">z_score_diff(OFFSET(T857,0,0,$I$5*-1,1),OFFSET(E857,0,0,$I$5*-1,1))</f>
        <v>-1.7188692825160556E-2</v>
      </c>
      <c r="V857" s="7">
        <f t="shared" ca="1" si="917"/>
        <v>-0.2071780108076236</v>
      </c>
      <c r="W857" s="14">
        <f t="shared" ca="1" si="912"/>
        <v>0.12016021585665783</v>
      </c>
      <c r="X857" s="10">
        <f t="shared" ref="X857:Y857" ca="1" si="936">+X856</f>
        <v>0</v>
      </c>
      <c r="Y857" s="10">
        <f t="shared" ca="1" si="936"/>
        <v>0</v>
      </c>
      <c r="Z857">
        <f t="shared" ca="1" si="919"/>
        <v>1</v>
      </c>
      <c r="AA857">
        <f t="shared" ca="1" si="920"/>
        <v>0</v>
      </c>
      <c r="AB857" s="19">
        <f t="shared" ca="1" si="921"/>
        <v>0.12016021585665783</v>
      </c>
      <c r="AC857" s="19">
        <f t="shared" ca="1" si="922"/>
        <v>0</v>
      </c>
    </row>
    <row r="858" spans="3:29" x14ac:dyDescent="0.25">
      <c r="C858" s="4">
        <v>851</v>
      </c>
      <c r="D858" s="28">
        <v>43217</v>
      </c>
      <c r="E858" s="30">
        <v>20.248000000000001</v>
      </c>
      <c r="F858" s="30">
        <v>61.543535620052765</v>
      </c>
      <c r="G858" s="30">
        <v>6.5592018469656983</v>
      </c>
      <c r="H858" s="30">
        <v>77.712730870712392</v>
      </c>
      <c r="I858" s="8">
        <v>0</v>
      </c>
      <c r="J858" s="31">
        <v>0</v>
      </c>
      <c r="K858" s="31">
        <v>0</v>
      </c>
      <c r="L858" s="31">
        <v>1</v>
      </c>
      <c r="M858" s="31">
        <v>0</v>
      </c>
      <c r="N858" s="31">
        <v>0</v>
      </c>
      <c r="O858" s="31">
        <v>0</v>
      </c>
      <c r="P858" s="31">
        <v>0</v>
      </c>
      <c r="Q858" s="31">
        <v>0</v>
      </c>
      <c r="R858" s="31">
        <v>0</v>
      </c>
      <c r="S858" s="31">
        <v>0</v>
      </c>
      <c r="T858" s="21" cm="1">
        <f t="array" aca="1" ref="T858" ca="1">+fair_value_gap(OFFSET(S857,0,0,-1*$I$5,-1*$Z$1),OFFSET(E857,0,0,-1*$I$5,1),F858:S858,0)</f>
        <v>19.794302055726256</v>
      </c>
      <c r="U858" s="7" cm="1">
        <f t="array" aca="1" ref="U858" ca="1">z_score_diff(OFFSET(T858,0,0,$I$5*-1,1),OFFSET(E858,0,0,$I$5*-1,1))</f>
        <v>-7.4326027407400019E-2</v>
      </c>
      <c r="V858" s="7">
        <f t="shared" ca="1" si="917"/>
        <v>-0.22241177896910513</v>
      </c>
      <c r="W858" s="14">
        <f t="shared" ca="1" si="912"/>
        <v>7.9252193798377391E-2</v>
      </c>
      <c r="X858" s="10">
        <f t="shared" ref="X858:Y858" ca="1" si="937">+X857</f>
        <v>0</v>
      </c>
      <c r="Y858" s="10">
        <f t="shared" ca="1" si="937"/>
        <v>0</v>
      </c>
      <c r="Z858">
        <f t="shared" ca="1" si="919"/>
        <v>1</v>
      </c>
      <c r="AA858">
        <f t="shared" ca="1" si="920"/>
        <v>0</v>
      </c>
      <c r="AB858" s="19">
        <f t="shared" ca="1" si="921"/>
        <v>7.9252193798377391E-2</v>
      </c>
      <c r="AC858" s="19">
        <f t="shared" ca="1" si="922"/>
        <v>0</v>
      </c>
    </row>
    <row r="859" spans="3:29" x14ac:dyDescent="0.25">
      <c r="C859" s="4">
        <v>852</v>
      </c>
      <c r="D859" s="28">
        <v>43220</v>
      </c>
      <c r="E859" s="30">
        <v>20.603999999999999</v>
      </c>
      <c r="F859" s="30">
        <v>62.242278711600562</v>
      </c>
      <c r="G859" s="30">
        <v>6.6076012254699021</v>
      </c>
      <c r="H859" s="30">
        <v>80.442162788772052</v>
      </c>
      <c r="I859" s="8">
        <v>0</v>
      </c>
      <c r="J859" s="31">
        <v>0</v>
      </c>
      <c r="K859" s="31">
        <v>0</v>
      </c>
      <c r="L859" s="31">
        <v>1</v>
      </c>
      <c r="M859" s="31">
        <v>0</v>
      </c>
      <c r="N859" s="31">
        <v>0</v>
      </c>
      <c r="O859" s="31">
        <v>0</v>
      </c>
      <c r="P859" s="31">
        <v>0</v>
      </c>
      <c r="Q859" s="31">
        <v>0</v>
      </c>
      <c r="R859" s="31">
        <v>0</v>
      </c>
      <c r="S859" s="31">
        <v>0</v>
      </c>
      <c r="T859" s="21" cm="1">
        <f t="array" aca="1" ref="T859" ca="1">+fair_value_gap(OFFSET(S858,0,0,-1*$I$5,-1*$Z$1),OFFSET(E858,0,0,-1*$I$5,1),F859:S859,0)</f>
        <v>20.413124601463746</v>
      </c>
      <c r="U859" s="7" cm="1">
        <f t="array" aca="1" ref="U859" ca="1">z_score_diff(OFFSET(T859,0,0,$I$5*-1,1),OFFSET(E859,0,0,$I$5*-1,1))</f>
        <v>7.8824843054988492E-2</v>
      </c>
      <c r="V859" s="7">
        <f t="shared" ca="1" si="917"/>
        <v>-0.23600328670231571</v>
      </c>
      <c r="W859" s="14">
        <f t="shared" ca="1" si="912"/>
        <v>6.3555218984303954E-2</v>
      </c>
      <c r="X859" s="10">
        <f t="shared" ref="X859:Y859" ca="1" si="938">+X858</f>
        <v>0</v>
      </c>
      <c r="Y859" s="10">
        <f t="shared" ca="1" si="938"/>
        <v>0</v>
      </c>
      <c r="Z859">
        <f t="shared" ca="1" si="919"/>
        <v>1</v>
      </c>
      <c r="AA859">
        <f t="shared" ca="1" si="920"/>
        <v>0</v>
      </c>
      <c r="AB859" s="19">
        <f t="shared" ca="1" si="921"/>
        <v>6.3555218984303954E-2</v>
      </c>
      <c r="AC859" s="19">
        <f t="shared" ca="1" si="922"/>
        <v>0</v>
      </c>
    </row>
    <row r="860" spans="3:29" x14ac:dyDescent="0.25">
      <c r="C860" s="4">
        <v>853</v>
      </c>
      <c r="D860" s="28">
        <v>43221</v>
      </c>
      <c r="E860" s="30">
        <v>20.16</v>
      </c>
      <c r="F860" s="30">
        <v>60.977236721420823</v>
      </c>
      <c r="G860" s="30">
        <v>6.6538814308346534</v>
      </c>
      <c r="H860" s="30">
        <v>81.756024347536055</v>
      </c>
      <c r="I860" s="8">
        <v>0</v>
      </c>
      <c r="J860" s="31">
        <v>0</v>
      </c>
      <c r="K860" s="31">
        <v>0</v>
      </c>
      <c r="L860" s="31">
        <v>0</v>
      </c>
      <c r="M860" s="31">
        <v>1</v>
      </c>
      <c r="N860" s="31">
        <v>0</v>
      </c>
      <c r="O860" s="31">
        <v>0</v>
      </c>
      <c r="P860" s="31">
        <v>0</v>
      </c>
      <c r="Q860" s="31">
        <v>0</v>
      </c>
      <c r="R860" s="31">
        <v>0</v>
      </c>
      <c r="S860" s="31">
        <v>0</v>
      </c>
      <c r="T860" s="21" cm="1">
        <f t="array" aca="1" ref="T860" ca="1">+fair_value_gap(OFFSET(S859,0,0,-1*$I$5,-1*$Z$1),OFFSET(E859,0,0,-1*$I$5,1),F860:S860,0)</f>
        <v>19.925070701919029</v>
      </c>
      <c r="U860" s="7" cm="1">
        <f t="array" aca="1" ref="U860" ca="1">z_score_diff(OFFSET(T860,0,0,$I$5*-1,1),OFFSET(E860,0,0,$I$5*-1,1))</f>
        <v>4.1147898789451576E-2</v>
      </c>
      <c r="V860" s="7">
        <f t="shared" ca="1" si="917"/>
        <v>-0.18970737146641317</v>
      </c>
      <c r="W860" s="14">
        <f t="shared" ca="1" si="912"/>
        <v>0.1226214000544249</v>
      </c>
      <c r="X860" s="10">
        <f t="shared" ref="X860:Y860" ca="1" si="939">+X859</f>
        <v>0</v>
      </c>
      <c r="Y860" s="10">
        <f t="shared" ca="1" si="939"/>
        <v>0</v>
      </c>
      <c r="Z860">
        <f t="shared" ca="1" si="919"/>
        <v>1</v>
      </c>
      <c r="AA860">
        <f t="shared" ca="1" si="920"/>
        <v>0</v>
      </c>
      <c r="AB860" s="19">
        <f t="shared" ca="1" si="921"/>
        <v>0.1226214000544249</v>
      </c>
      <c r="AC860" s="19">
        <f t="shared" ca="1" si="922"/>
        <v>0</v>
      </c>
    </row>
    <row r="861" spans="3:29" x14ac:dyDescent="0.25">
      <c r="C861" s="4">
        <v>854</v>
      </c>
      <c r="D861" s="28">
        <v>43222</v>
      </c>
      <c r="E861" s="30">
        <v>19.876000000000001</v>
      </c>
      <c r="F861" s="30">
        <v>61.389121338912133</v>
      </c>
      <c r="G861" s="30">
        <v>6.6778242677824267</v>
      </c>
      <c r="H861" s="30">
        <v>82.259414225941413</v>
      </c>
      <c r="I861" s="8">
        <v>0</v>
      </c>
      <c r="J861" s="31">
        <v>0</v>
      </c>
      <c r="K861" s="31">
        <v>0</v>
      </c>
      <c r="L861" s="31">
        <v>0</v>
      </c>
      <c r="M861" s="31">
        <v>1</v>
      </c>
      <c r="N861" s="31">
        <v>0</v>
      </c>
      <c r="O861" s="31">
        <v>0</v>
      </c>
      <c r="P861" s="31">
        <v>0</v>
      </c>
      <c r="Q861" s="31">
        <v>0</v>
      </c>
      <c r="R861" s="31">
        <v>0</v>
      </c>
      <c r="S861" s="31">
        <v>0</v>
      </c>
      <c r="T861" s="21" cm="1">
        <f t="array" aca="1" ref="T861" ca="1">+fair_value_gap(OFFSET(S860,0,0,-1*$I$5,-1*$Z$1),OFFSET(E860,0,0,-1*$I$5,1),F861:S861,0)</f>
        <v>20.08180160647089</v>
      </c>
      <c r="U861" s="7" cm="1">
        <f t="array" aca="1" ref="U861" ca="1">z_score_diff(OFFSET(T861,0,0,$I$5*-1,1),OFFSET(E861,0,0,$I$5*-1,1))</f>
        <v>0.26998515637630871</v>
      </c>
      <c r="V861" s="7">
        <f t="shared" ca="1" si="917"/>
        <v>-0.14385467267004182</v>
      </c>
      <c r="W861" s="14">
        <f t="shared" ca="1" si="912"/>
        <v>0.14975671481011296</v>
      </c>
      <c r="X861" s="10">
        <f t="shared" ref="X861:Y861" ca="1" si="940">+X860</f>
        <v>0</v>
      </c>
      <c r="Y861" s="10">
        <f t="shared" ca="1" si="940"/>
        <v>0</v>
      </c>
      <c r="Z861">
        <f t="shared" ca="1" si="919"/>
        <v>1</v>
      </c>
      <c r="AA861">
        <f t="shared" ca="1" si="920"/>
        <v>0</v>
      </c>
      <c r="AB861" s="19">
        <f t="shared" ca="1" si="921"/>
        <v>0.14975671481011296</v>
      </c>
      <c r="AC861" s="19">
        <f t="shared" ca="1" si="922"/>
        <v>0</v>
      </c>
    </row>
    <row r="862" spans="3:29" x14ac:dyDescent="0.25">
      <c r="C862" s="4">
        <v>855</v>
      </c>
      <c r="D862" s="28">
        <v>43223</v>
      </c>
      <c r="E862" s="30">
        <v>19.896000000000001</v>
      </c>
      <c r="F862" s="30">
        <v>61.416534579127386</v>
      </c>
      <c r="G862" s="30">
        <v>6.6238424960373736</v>
      </c>
      <c r="H862" s="30">
        <v>82.172353382831389</v>
      </c>
      <c r="I862" s="8">
        <v>0</v>
      </c>
      <c r="J862" s="31">
        <v>0</v>
      </c>
      <c r="K862" s="31">
        <v>0</v>
      </c>
      <c r="L862" s="31">
        <v>0</v>
      </c>
      <c r="M862" s="31">
        <v>1</v>
      </c>
      <c r="N862" s="31">
        <v>0</v>
      </c>
      <c r="O862" s="31">
        <v>0</v>
      </c>
      <c r="P862" s="31">
        <v>0</v>
      </c>
      <c r="Q862" s="31">
        <v>0</v>
      </c>
      <c r="R862" s="31">
        <v>0</v>
      </c>
      <c r="S862" s="31">
        <v>0</v>
      </c>
      <c r="T862" s="21" cm="1">
        <f t="array" aca="1" ref="T862" ca="1">+fair_value_gap(OFFSET(S861,0,0,-1*$I$5,-1*$Z$1),OFFSET(E861,0,0,-1*$I$5,1),F862:S862,0)</f>
        <v>20.056718543812078</v>
      </c>
      <c r="U862" s="7" cm="1">
        <f t="array" aca="1" ref="U862" ca="1">z_score_diff(OFFSET(T862,0,0,$I$5*-1,1),OFFSET(E862,0,0,$I$5*-1,1))</f>
        <v>0.2426788447345174</v>
      </c>
      <c r="V862" s="7">
        <f t="shared" ca="1" si="917"/>
        <v>-0.11598244017513268</v>
      </c>
      <c r="W862" s="14">
        <f t="shared" ca="1" si="912"/>
        <v>0.12743119977713671</v>
      </c>
      <c r="X862" s="10">
        <f t="shared" ref="X862:Y862" ca="1" si="941">+X861</f>
        <v>0</v>
      </c>
      <c r="Y862" s="10">
        <f t="shared" ca="1" si="941"/>
        <v>0</v>
      </c>
      <c r="Z862">
        <f t="shared" ca="1" si="919"/>
        <v>1</v>
      </c>
      <c r="AA862">
        <f t="shared" ca="1" si="920"/>
        <v>0</v>
      </c>
      <c r="AB862" s="19">
        <f t="shared" ca="1" si="921"/>
        <v>0.12743119977713671</v>
      </c>
      <c r="AC862" s="19">
        <f t="shared" ca="1" si="922"/>
        <v>0</v>
      </c>
    </row>
    <row r="863" spans="3:29" x14ac:dyDescent="0.25">
      <c r="C863" s="4">
        <v>856</v>
      </c>
      <c r="D863" s="28">
        <v>43224</v>
      </c>
      <c r="E863" s="30">
        <v>20.399999999999999</v>
      </c>
      <c r="F863" s="30">
        <v>62.610804482354915</v>
      </c>
      <c r="G863" s="30">
        <v>6.6399063388526516</v>
      </c>
      <c r="H863" s="30">
        <v>83.291520321123926</v>
      </c>
      <c r="I863" s="8">
        <v>0</v>
      </c>
      <c r="J863" s="31">
        <v>0</v>
      </c>
      <c r="K863" s="31">
        <v>0</v>
      </c>
      <c r="L863" s="31">
        <v>0</v>
      </c>
      <c r="M863" s="31">
        <v>1</v>
      </c>
      <c r="N863" s="31">
        <v>0</v>
      </c>
      <c r="O863" s="31">
        <v>0</v>
      </c>
      <c r="P863" s="31">
        <v>0</v>
      </c>
      <c r="Q863" s="31">
        <v>0</v>
      </c>
      <c r="R863" s="31">
        <v>0</v>
      </c>
      <c r="S863" s="31">
        <v>0</v>
      </c>
      <c r="T863" s="21" cm="1">
        <f t="array" aca="1" ref="T863" ca="1">+fair_value_gap(OFFSET(S862,0,0,-1*$I$5,-1*$Z$1),OFFSET(E862,0,0,-1*$I$5,1),F863:S863,0)</f>
        <v>20.39243062470743</v>
      </c>
      <c r="U863" s="7" cm="1">
        <f t="array" aca="1" ref="U863" ca="1">z_score_diff(OFFSET(T863,0,0,$I$5*-1,1),OFFSET(E863,0,0,$I$5*-1,1))</f>
        <v>0.1603100622473721</v>
      </c>
      <c r="V863" s="7">
        <f t="shared" ca="1" si="917"/>
        <v>-9.2910382674183167E-2</v>
      </c>
      <c r="W863" s="14">
        <f t="shared" ca="1" si="912"/>
        <v>6.4308715322472718E-2</v>
      </c>
      <c r="X863" s="10">
        <f t="shared" ref="X863:Y863" ca="1" si="942">+X862</f>
        <v>0</v>
      </c>
      <c r="Y863" s="10">
        <f t="shared" ca="1" si="942"/>
        <v>0</v>
      </c>
      <c r="Z863">
        <f t="shared" ca="1" si="919"/>
        <v>1</v>
      </c>
      <c r="AA863">
        <f t="shared" ca="1" si="920"/>
        <v>0</v>
      </c>
      <c r="AB863" s="19">
        <f t="shared" ca="1" si="921"/>
        <v>6.4308715322472718E-2</v>
      </c>
      <c r="AC863" s="19">
        <f t="shared" ca="1" si="922"/>
        <v>0</v>
      </c>
    </row>
    <row r="864" spans="3:29" x14ac:dyDescent="0.25">
      <c r="C864" s="4">
        <v>857</v>
      </c>
      <c r="D864" s="28">
        <v>43227</v>
      </c>
      <c r="E864" s="30">
        <v>20.65</v>
      </c>
      <c r="F864" s="30">
        <v>63.901006711409401</v>
      </c>
      <c r="G864" s="30">
        <v>6.6610738255033564</v>
      </c>
      <c r="H864" s="30">
        <v>83.557046979865774</v>
      </c>
      <c r="I864" s="8">
        <v>0</v>
      </c>
      <c r="J864" s="31">
        <v>0</v>
      </c>
      <c r="K864" s="31">
        <v>0</v>
      </c>
      <c r="L864" s="31">
        <v>0</v>
      </c>
      <c r="M864" s="31">
        <v>1</v>
      </c>
      <c r="N864" s="31">
        <v>0</v>
      </c>
      <c r="O864" s="31">
        <v>0</v>
      </c>
      <c r="P864" s="31">
        <v>0</v>
      </c>
      <c r="Q864" s="31">
        <v>0</v>
      </c>
      <c r="R864" s="31">
        <v>0</v>
      </c>
      <c r="S864" s="31">
        <v>0</v>
      </c>
      <c r="T864" s="21" cm="1">
        <f t="array" aca="1" ref="T864" ca="1">+fair_value_gap(OFFSET(S863,0,0,-1*$I$5,-1*$Z$1),OFFSET(E863,0,0,-1*$I$5,1),F864:S864,0)</f>
        <v>20.587370542053137</v>
      </c>
      <c r="U864" s="7" cm="1">
        <f t="array" aca="1" ref="U864" ca="1">z_score_diff(OFFSET(T864,0,0,$I$5*-1,1),OFFSET(E864,0,0,$I$5*-1,1))</f>
        <v>0.13310072934111661</v>
      </c>
      <c r="V864" s="7">
        <f t="shared" ca="1" si="917"/>
        <v>-6.3709786061072027E-2</v>
      </c>
      <c r="W864" s="14">
        <f t="shared" ca="1" si="912"/>
        <v>6.0915136513679892E-2</v>
      </c>
      <c r="X864" s="10">
        <f t="shared" ref="X864:Y864" ca="1" si="943">+X863</f>
        <v>0</v>
      </c>
      <c r="Y864" s="10">
        <f t="shared" ca="1" si="943"/>
        <v>0</v>
      </c>
      <c r="Z864">
        <f t="shared" ca="1" si="919"/>
        <v>1</v>
      </c>
      <c r="AA864">
        <f t="shared" ca="1" si="920"/>
        <v>0</v>
      </c>
      <c r="AB864" s="19">
        <f t="shared" ca="1" si="921"/>
        <v>6.0915136513679892E-2</v>
      </c>
      <c r="AC864" s="19">
        <f t="shared" ca="1" si="922"/>
        <v>0</v>
      </c>
    </row>
    <row r="865" spans="3:29" x14ac:dyDescent="0.25">
      <c r="C865" s="4">
        <v>858</v>
      </c>
      <c r="D865" s="28">
        <v>43228</v>
      </c>
      <c r="E865" s="30">
        <v>20.677</v>
      </c>
      <c r="F865" s="30">
        <v>63.100657561962571</v>
      </c>
      <c r="G865" s="30">
        <v>6.6936435676951618</v>
      </c>
      <c r="H865" s="30">
        <v>84.892935424043173</v>
      </c>
      <c r="I865" s="8">
        <v>0</v>
      </c>
      <c r="J865" s="31">
        <v>0</v>
      </c>
      <c r="K865" s="31">
        <v>0</v>
      </c>
      <c r="L865" s="31">
        <v>0</v>
      </c>
      <c r="M865" s="31">
        <v>1</v>
      </c>
      <c r="N865" s="31">
        <v>0</v>
      </c>
      <c r="O865" s="31">
        <v>0</v>
      </c>
      <c r="P865" s="31">
        <v>0</v>
      </c>
      <c r="Q865" s="31">
        <v>0</v>
      </c>
      <c r="R865" s="31">
        <v>0</v>
      </c>
      <c r="S865" s="31">
        <v>0</v>
      </c>
      <c r="T865" s="21" cm="1">
        <f t="array" aca="1" ref="T865" ca="1">+fair_value_gap(OFFSET(S864,0,0,-1*$I$5,-1*$Z$1),OFFSET(E864,0,0,-1*$I$5,1),F865:S865,0)</f>
        <v>20.760601254213263</v>
      </c>
      <c r="U865" s="7" cm="1">
        <f t="array" aca="1" ref="U865" ca="1">z_score_diff(OFFSET(T865,0,0,$I$5*-1,1),OFFSET(E865,0,0,$I$5*-1,1))</f>
        <v>0.20742564139407582</v>
      </c>
      <c r="V865" s="7">
        <f t="shared" ca="1" si="917"/>
        <v>-3.5467941570096952E-2</v>
      </c>
      <c r="W865" s="14">
        <f t="shared" ca="1" si="912"/>
        <v>3.7867496451686349E-2</v>
      </c>
      <c r="X865" s="10">
        <f t="shared" ref="X865:Y865" ca="1" si="944">+X864</f>
        <v>0</v>
      </c>
      <c r="Y865" s="10">
        <f t="shared" ca="1" si="944"/>
        <v>0</v>
      </c>
      <c r="Z865">
        <f t="shared" ca="1" si="919"/>
        <v>1</v>
      </c>
      <c r="AA865">
        <f t="shared" ca="1" si="920"/>
        <v>0</v>
      </c>
      <c r="AB865" s="19">
        <f t="shared" ca="1" si="921"/>
        <v>3.7867496451686349E-2</v>
      </c>
      <c r="AC865" s="19">
        <f t="shared" ca="1" si="922"/>
        <v>0</v>
      </c>
    </row>
    <row r="866" spans="3:29" x14ac:dyDescent="0.25">
      <c r="C866" s="4">
        <v>859</v>
      </c>
      <c r="D866" s="28">
        <v>43229</v>
      </c>
      <c r="E866" s="30">
        <v>20.837</v>
      </c>
      <c r="F866" s="30">
        <v>65.156118143459906</v>
      </c>
      <c r="G866" s="30">
        <v>6.7088607594936711</v>
      </c>
      <c r="H866" s="30">
        <v>85.316455696202524</v>
      </c>
      <c r="I866" s="8">
        <v>0</v>
      </c>
      <c r="J866" s="31">
        <v>0</v>
      </c>
      <c r="K866" s="31">
        <v>0</v>
      </c>
      <c r="L866" s="31">
        <v>0</v>
      </c>
      <c r="M866" s="31">
        <v>1</v>
      </c>
      <c r="N866" s="31">
        <v>0</v>
      </c>
      <c r="O866" s="31">
        <v>0</v>
      </c>
      <c r="P866" s="31">
        <v>0</v>
      </c>
      <c r="Q866" s="31">
        <v>0</v>
      </c>
      <c r="R866" s="31">
        <v>0</v>
      </c>
      <c r="S866" s="31">
        <v>0</v>
      </c>
      <c r="T866" s="21" cm="1">
        <f t="array" aca="1" ref="T866" ca="1">+fair_value_gap(OFFSET(S865,0,0,-1*$I$5,-1*$Z$1),OFFSET(E865,0,0,-1*$I$5,1),F866:S866,0)</f>
        <v>21.057882106542102</v>
      </c>
      <c r="U866" s="7" cm="1">
        <f t="array" aca="1" ref="U866" ca="1">z_score_diff(OFFSET(T866,0,0,$I$5*-1,1),OFFSET(E866,0,0,$I$5*-1,1))</f>
        <v>0.27778664470498793</v>
      </c>
      <c r="V866" s="7">
        <f t="shared" ca="1" si="917"/>
        <v>1.4926136893243958E-3</v>
      </c>
      <c r="W866" s="14">
        <f t="shared" ca="1" si="912"/>
        <v>2.2493118747125836E-2</v>
      </c>
      <c r="X866" s="10">
        <f t="shared" ref="X866:Y866" ca="1" si="945">+X865</f>
        <v>0</v>
      </c>
      <c r="Y866" s="10">
        <f t="shared" ca="1" si="945"/>
        <v>0</v>
      </c>
      <c r="Z866">
        <f t="shared" ca="1" si="919"/>
        <v>0</v>
      </c>
      <c r="AA866">
        <f t="shared" ca="1" si="920"/>
        <v>1</v>
      </c>
      <c r="AB866" s="19">
        <f t="shared" ca="1" si="921"/>
        <v>0</v>
      </c>
      <c r="AC866" s="19">
        <f t="shared" ca="1" si="922"/>
        <v>2.2493118747125836E-2</v>
      </c>
    </row>
    <row r="867" spans="3:29" x14ac:dyDescent="0.25">
      <c r="C867" s="4">
        <v>860</v>
      </c>
      <c r="D867" s="28">
        <v>43230</v>
      </c>
      <c r="E867" s="30">
        <v>20.89</v>
      </c>
      <c r="F867" s="30">
        <v>65.02979937882985</v>
      </c>
      <c r="G867" s="30">
        <v>6.6733820196424078</v>
      </c>
      <c r="H867" s="30">
        <v>85.578779484596666</v>
      </c>
      <c r="I867" s="8">
        <v>0</v>
      </c>
      <c r="J867" s="31">
        <v>0</v>
      </c>
      <c r="K867" s="31">
        <v>0</v>
      </c>
      <c r="L867" s="31">
        <v>0</v>
      </c>
      <c r="M867" s="31">
        <v>1</v>
      </c>
      <c r="N867" s="31">
        <v>0</v>
      </c>
      <c r="O867" s="31">
        <v>0</v>
      </c>
      <c r="P867" s="31">
        <v>0</v>
      </c>
      <c r="Q867" s="31">
        <v>0</v>
      </c>
      <c r="R867" s="31">
        <v>0</v>
      </c>
      <c r="S867" s="31">
        <v>0</v>
      </c>
      <c r="T867" s="21" cm="1">
        <f t="array" aca="1" ref="T867" ca="1">+fair_value_gap(OFFSET(S866,0,0,-1*$I$5,-1*$Z$1),OFFSET(E866,0,0,-1*$I$5,1),F867:S867,0)</f>
        <v>21.071170891613178</v>
      </c>
      <c r="U867" s="7" cm="1">
        <f t="array" aca="1" ref="U867" ca="1">z_score_diff(OFFSET(T867,0,0,$I$5*-1,1),OFFSET(E867,0,0,$I$5*-1,1))</f>
        <v>0.25239511820904159</v>
      </c>
      <c r="V867" s="7">
        <f t="shared" ca="1" si="917"/>
        <v>2.8371786986733382E-2</v>
      </c>
      <c r="W867" s="14">
        <f t="shared" ca="1" si="912"/>
        <v>3.5734878880024371E-2</v>
      </c>
      <c r="X867" s="10">
        <f t="shared" ref="X867:Y867" ca="1" si="946">+X866</f>
        <v>0</v>
      </c>
      <c r="Y867" s="10">
        <f t="shared" ca="1" si="946"/>
        <v>0</v>
      </c>
      <c r="Z867">
        <f t="shared" ca="1" si="919"/>
        <v>0</v>
      </c>
      <c r="AA867">
        <f t="shared" ca="1" si="920"/>
        <v>1</v>
      </c>
      <c r="AB867" s="19">
        <f t="shared" ca="1" si="921"/>
        <v>0</v>
      </c>
      <c r="AC867" s="19">
        <f t="shared" ca="1" si="922"/>
        <v>3.5734878880024371E-2</v>
      </c>
    </row>
    <row r="868" spans="3:29" x14ac:dyDescent="0.25">
      <c r="C868" s="4">
        <v>861</v>
      </c>
      <c r="D868" s="28">
        <v>43231</v>
      </c>
      <c r="E868" s="30">
        <v>21.242000000000001</v>
      </c>
      <c r="F868" s="30">
        <v>64.578797521353209</v>
      </c>
      <c r="G868" s="30">
        <v>6.6739239658348684</v>
      </c>
      <c r="H868" s="30">
        <v>86.459554513481834</v>
      </c>
      <c r="I868" s="8">
        <v>0</v>
      </c>
      <c r="J868" s="31">
        <v>0</v>
      </c>
      <c r="K868" s="31">
        <v>0</v>
      </c>
      <c r="L868" s="31">
        <v>0</v>
      </c>
      <c r="M868" s="31">
        <v>1</v>
      </c>
      <c r="N868" s="31">
        <v>0</v>
      </c>
      <c r="O868" s="31">
        <v>0</v>
      </c>
      <c r="P868" s="31">
        <v>0</v>
      </c>
      <c r="Q868" s="31">
        <v>0</v>
      </c>
      <c r="R868" s="31">
        <v>0</v>
      </c>
      <c r="S868" s="31">
        <v>0</v>
      </c>
      <c r="T868" s="21" cm="1">
        <f t="array" aca="1" ref="T868" ca="1">+fair_value_gap(OFFSET(S867,0,0,-1*$I$5,-1*$Z$1),OFFSET(E867,0,0,-1*$I$5,1),F868:S868,0)</f>
        <v>21.166451025929177</v>
      </c>
      <c r="U868" s="7" cm="1">
        <f t="array" aca="1" ref="U868" ca="1">z_score_diff(OFFSET(T868,0,0,$I$5*-1,1),OFFSET(E868,0,0,$I$5*-1,1))</f>
        <v>0.12006954364446742</v>
      </c>
      <c r="V868" s="7">
        <f t="shared" ca="1" si="917"/>
        <v>5.2141393014533424E-2</v>
      </c>
      <c r="W868" s="14">
        <f t="shared" ca="1" si="912"/>
        <v>1.3745599562969391E-2</v>
      </c>
      <c r="X868" s="10">
        <f t="shared" ref="X868:Y868" ca="1" si="947">+X867</f>
        <v>0</v>
      </c>
      <c r="Y868" s="10">
        <f t="shared" ca="1" si="947"/>
        <v>0</v>
      </c>
      <c r="Z868">
        <f t="shared" ca="1" si="919"/>
        <v>0</v>
      </c>
      <c r="AA868">
        <f t="shared" ca="1" si="920"/>
        <v>1</v>
      </c>
      <c r="AB868" s="19">
        <f t="shared" ca="1" si="921"/>
        <v>0</v>
      </c>
      <c r="AC868" s="19">
        <f t="shared" ca="1" si="922"/>
        <v>1.3745599562969391E-2</v>
      </c>
    </row>
    <row r="869" spans="3:29" x14ac:dyDescent="0.25">
      <c r="C869" s="4">
        <v>862</v>
      </c>
      <c r="D869" s="28">
        <v>43234</v>
      </c>
      <c r="E869" s="30">
        <v>21.597000000000001</v>
      </c>
      <c r="F869" s="30">
        <v>65.601677148846974</v>
      </c>
      <c r="G869" s="30">
        <v>6.6834381551362689</v>
      </c>
      <c r="H869" s="30">
        <v>86.876310272536685</v>
      </c>
      <c r="I869" s="8">
        <v>0</v>
      </c>
      <c r="J869" s="31">
        <v>0</v>
      </c>
      <c r="K869" s="31">
        <v>0</v>
      </c>
      <c r="L869" s="31">
        <v>0</v>
      </c>
      <c r="M869" s="31">
        <v>1</v>
      </c>
      <c r="N869" s="31">
        <v>0</v>
      </c>
      <c r="O869" s="31">
        <v>0</v>
      </c>
      <c r="P869" s="31">
        <v>0</v>
      </c>
      <c r="Q869" s="31">
        <v>0</v>
      </c>
      <c r="R869" s="31">
        <v>0</v>
      </c>
      <c r="S869" s="31">
        <v>0</v>
      </c>
      <c r="T869" s="21" cm="1">
        <f t="array" aca="1" ref="T869" ca="1">+fair_value_gap(OFFSET(S868,0,0,-1*$I$5,-1*$Z$1),OFFSET(E868,0,0,-1*$I$5,1),F869:S869,0)</f>
        <v>21.35415771804843</v>
      </c>
      <c r="U869" s="7" cm="1">
        <f t="array" aca="1" ref="U869" ca="1">z_score_diff(OFFSET(T869,0,0,$I$5*-1,1),OFFSET(E869,0,0,$I$5*-1,1))</f>
        <v>3.7550685921666549E-2</v>
      </c>
      <c r="V869" s="7">
        <f t="shared" ca="1" si="917"/>
        <v>6.9471214665985256E-2</v>
      </c>
      <c r="W869" s="14">
        <f t="shared" ca="1" si="912"/>
        <v>-1.201803173578783E-2</v>
      </c>
      <c r="X869" s="10">
        <f t="shared" ref="X869:Y869" ca="1" si="948">+X868</f>
        <v>0</v>
      </c>
      <c r="Y869" s="10">
        <f t="shared" ca="1" si="948"/>
        <v>0</v>
      </c>
      <c r="Z869">
        <f t="shared" ca="1" si="919"/>
        <v>0</v>
      </c>
      <c r="AA869">
        <f t="shared" ca="1" si="920"/>
        <v>1</v>
      </c>
      <c r="AB869" s="19">
        <f t="shared" ca="1" si="921"/>
        <v>0</v>
      </c>
      <c r="AC869" s="19">
        <f t="shared" ca="1" si="922"/>
        <v>-1.201803173578783E-2</v>
      </c>
    </row>
    <row r="870" spans="3:29" x14ac:dyDescent="0.25">
      <c r="C870" s="4">
        <v>863</v>
      </c>
      <c r="D870" s="28">
        <v>43235</v>
      </c>
      <c r="E870" s="30">
        <v>21.692</v>
      </c>
      <c r="F870" s="30">
        <v>66.258342485427065</v>
      </c>
      <c r="G870" s="30">
        <v>6.7331249471994594</v>
      </c>
      <c r="H870" s="30">
        <v>87.057531469122239</v>
      </c>
      <c r="I870" s="8">
        <v>0</v>
      </c>
      <c r="J870" s="31">
        <v>0</v>
      </c>
      <c r="K870" s="31">
        <v>0</v>
      </c>
      <c r="L870" s="31">
        <v>0</v>
      </c>
      <c r="M870" s="31">
        <v>1</v>
      </c>
      <c r="N870" s="31">
        <v>0</v>
      </c>
      <c r="O870" s="31">
        <v>0</v>
      </c>
      <c r="P870" s="31">
        <v>0</v>
      </c>
      <c r="Q870" s="31">
        <v>0</v>
      </c>
      <c r="R870" s="31">
        <v>0</v>
      </c>
      <c r="S870" s="31">
        <v>0</v>
      </c>
      <c r="T870" s="21" cm="1">
        <f t="array" aca="1" ref="T870" ca="1">+fair_value_gap(OFFSET(S869,0,0,-1*$I$5,-1*$Z$1),OFFSET(E869,0,0,-1*$I$5,1),F870:S870,0)</f>
        <v>21.471736139439422</v>
      </c>
      <c r="U870" s="7" cm="1">
        <f t="array" aca="1" ref="U870" ca="1">z_score_diff(OFFSET(T870,0,0,$I$5*-1,1),OFFSET(E870,0,0,$I$5*-1,1))</f>
        <v>5.0449432838205244E-2</v>
      </c>
      <c r="V870" s="7">
        <f t="shared" ca="1" si="917"/>
        <v>7.6604220087671482E-2</v>
      </c>
      <c r="W870" s="14">
        <f t="shared" ca="1" si="912"/>
        <v>4.5076199777143219E-3</v>
      </c>
      <c r="X870" s="10">
        <f t="shared" ref="X870:Y870" ca="1" si="949">+X869</f>
        <v>0</v>
      </c>
      <c r="Y870" s="10">
        <f t="shared" ca="1" si="949"/>
        <v>0</v>
      </c>
      <c r="Z870">
        <f t="shared" ca="1" si="919"/>
        <v>0</v>
      </c>
      <c r="AA870">
        <f t="shared" ca="1" si="920"/>
        <v>1</v>
      </c>
      <c r="AB870" s="19">
        <f t="shared" ca="1" si="921"/>
        <v>0</v>
      </c>
      <c r="AC870" s="19">
        <f t="shared" ca="1" si="922"/>
        <v>4.5076199777143219E-3</v>
      </c>
    </row>
    <row r="871" spans="3:29" x14ac:dyDescent="0.25">
      <c r="C871" s="4">
        <v>864</v>
      </c>
      <c r="D871" s="28">
        <v>43236</v>
      </c>
      <c r="E871" s="30">
        <v>21.574999999999999</v>
      </c>
      <c r="F871" s="30">
        <v>67.146607944439737</v>
      </c>
      <c r="G871" s="30">
        <v>7.2838146862030992</v>
      </c>
      <c r="H871" s="30">
        <v>87.659862793258227</v>
      </c>
      <c r="I871" s="8">
        <v>0</v>
      </c>
      <c r="J871" s="31">
        <v>0</v>
      </c>
      <c r="K871" s="31">
        <v>0</v>
      </c>
      <c r="L871" s="31">
        <v>0</v>
      </c>
      <c r="M871" s="31">
        <v>1</v>
      </c>
      <c r="N871" s="31">
        <v>0</v>
      </c>
      <c r="O871" s="31">
        <v>0</v>
      </c>
      <c r="P871" s="31">
        <v>0</v>
      </c>
      <c r="Q871" s="31">
        <v>0</v>
      </c>
      <c r="R871" s="31">
        <v>0</v>
      </c>
      <c r="S871" s="31">
        <v>0</v>
      </c>
      <c r="T871" s="21" cm="1">
        <f t="array" aca="1" ref="T871" ca="1">+fair_value_gap(OFFSET(S870,0,0,-1*$I$5,-1*$Z$1),OFFSET(E870,0,0,-1*$I$5,1),F871:S871,0)</f>
        <v>21.662855042484935</v>
      </c>
      <c r="U871" s="7" cm="1">
        <f t="array" aca="1" ref="U871" ca="1">z_score_diff(OFFSET(T871,0,0,$I$5*-1,1),OFFSET(E871,0,0,$I$5*-1,1))</f>
        <v>0.20599627621644467</v>
      </c>
      <c r="V871" s="7">
        <f t="shared" ca="1" si="917"/>
        <v>9.0335397813674653E-2</v>
      </c>
      <c r="W871" s="14">
        <f t="shared" ca="1" si="912"/>
        <v>3.7034529847868376E-2</v>
      </c>
      <c r="X871" s="10">
        <f t="shared" ref="X871:Y871" ca="1" si="950">+X870</f>
        <v>0</v>
      </c>
      <c r="Y871" s="10">
        <f t="shared" ca="1" si="950"/>
        <v>0</v>
      </c>
      <c r="Z871">
        <f t="shared" ca="1" si="919"/>
        <v>0</v>
      </c>
      <c r="AA871">
        <f t="shared" ca="1" si="920"/>
        <v>1</v>
      </c>
      <c r="AB871" s="19">
        <f t="shared" ca="1" si="921"/>
        <v>0</v>
      </c>
      <c r="AC871" s="19">
        <f t="shared" ca="1" si="922"/>
        <v>3.7034529847868376E-2</v>
      </c>
    </row>
    <row r="872" spans="3:29" x14ac:dyDescent="0.25">
      <c r="C872" s="4">
        <v>865</v>
      </c>
      <c r="D872" s="28">
        <v>43237</v>
      </c>
      <c r="E872" s="30">
        <v>22.242000000000001</v>
      </c>
      <c r="F872" s="30">
        <v>67.243279911812095</v>
      </c>
      <c r="G872" s="30">
        <v>7.5256508098024248</v>
      </c>
      <c r="H872" s="30">
        <v>87.467141524633263</v>
      </c>
      <c r="I872" s="8">
        <v>0</v>
      </c>
      <c r="J872" s="31">
        <v>0</v>
      </c>
      <c r="K872" s="31">
        <v>0</v>
      </c>
      <c r="L872" s="31">
        <v>0</v>
      </c>
      <c r="M872" s="31">
        <v>1</v>
      </c>
      <c r="N872" s="31">
        <v>0</v>
      </c>
      <c r="O872" s="31">
        <v>0</v>
      </c>
      <c r="P872" s="31">
        <v>0</v>
      </c>
      <c r="Q872" s="31">
        <v>0</v>
      </c>
      <c r="R872" s="31">
        <v>0</v>
      </c>
      <c r="S872" s="31">
        <v>0</v>
      </c>
      <c r="T872" s="21" cm="1">
        <f t="array" aca="1" ref="T872" ca="1">+fair_value_gap(OFFSET(S871,0,0,-1*$I$5,-1*$Z$1),OFFSET(E871,0,0,-1*$I$5,1),F872:S872,0)</f>
        <v>21.614368706777583</v>
      </c>
      <c r="U872" s="7" cm="1">
        <f t="array" aca="1" ref="U872" ca="1">z_score_diff(OFFSET(T872,0,0,$I$5*-1,1),OFFSET(E872,0,0,$I$5*-1,1))</f>
        <v>-0.1485752993774434</v>
      </c>
      <c r="V872" s="7">
        <f t="shared" ca="1" si="917"/>
        <v>9.0552282215072416E-2</v>
      </c>
      <c r="W872" s="14">
        <f t="shared" ca="1" si="912"/>
        <v>1.0999440207580586E-2</v>
      </c>
      <c r="X872" s="10">
        <f t="shared" ref="X872:Y872" ca="1" si="951">+X871</f>
        <v>0</v>
      </c>
      <c r="Y872" s="10">
        <f t="shared" ca="1" si="951"/>
        <v>0</v>
      </c>
      <c r="Z872">
        <f t="shared" ca="1" si="919"/>
        <v>0</v>
      </c>
      <c r="AA872">
        <f t="shared" ca="1" si="920"/>
        <v>1</v>
      </c>
      <c r="AB872" s="19">
        <f t="shared" ca="1" si="921"/>
        <v>0</v>
      </c>
      <c r="AC872" s="19">
        <f t="shared" ca="1" si="922"/>
        <v>1.0999440207580586E-2</v>
      </c>
    </row>
    <row r="873" spans="3:29" x14ac:dyDescent="0.25">
      <c r="C873" s="4">
        <v>866</v>
      </c>
      <c r="D873" s="28">
        <v>43238</v>
      </c>
      <c r="E873" s="30">
        <v>22.053000000000001</v>
      </c>
      <c r="F873" s="30">
        <v>66.675159235668801</v>
      </c>
      <c r="G873" s="30">
        <v>7.7324840764331215</v>
      </c>
      <c r="H873" s="30">
        <v>87.558386411889586</v>
      </c>
      <c r="I873" s="8">
        <v>0</v>
      </c>
      <c r="J873" s="31">
        <v>0</v>
      </c>
      <c r="K873" s="31">
        <v>0</v>
      </c>
      <c r="L873" s="31">
        <v>0</v>
      </c>
      <c r="M873" s="31">
        <v>1</v>
      </c>
      <c r="N873" s="31">
        <v>0</v>
      </c>
      <c r="O873" s="31">
        <v>0</v>
      </c>
      <c r="P873" s="31">
        <v>0</v>
      </c>
      <c r="Q873" s="31">
        <v>0</v>
      </c>
      <c r="R873" s="31">
        <v>0</v>
      </c>
      <c r="S873" s="31">
        <v>0</v>
      </c>
      <c r="T873" s="21" cm="1">
        <f t="array" aca="1" ref="T873" ca="1">+fair_value_gap(OFFSET(S872,0,0,-1*$I$5,-1*$Z$1),OFFSET(E872,0,0,-1*$I$5,1),F873:S873,0)</f>
        <v>21.597999337907616</v>
      </c>
      <c r="U873" s="7" cm="1">
        <f t="array" aca="1" ref="U873" ca="1">z_score_diff(OFFSET(T873,0,0,$I$5*-1,1),OFFSET(E873,0,0,$I$5*-1,1))</f>
        <v>-5.9884688214864479E-2</v>
      </c>
      <c r="V873" s="7">
        <f t="shared" ca="1" si="917"/>
        <v>9.096212324772579E-2</v>
      </c>
      <c r="W873" s="14">
        <f t="shared" ca="1" si="912"/>
        <v>-1.3375225072318314E-2</v>
      </c>
      <c r="X873" s="10">
        <f t="shared" ref="X873:Y873" ca="1" si="952">+X872</f>
        <v>0</v>
      </c>
      <c r="Y873" s="10">
        <f t="shared" ca="1" si="952"/>
        <v>0</v>
      </c>
      <c r="Z873">
        <f t="shared" ca="1" si="919"/>
        <v>0</v>
      </c>
      <c r="AA873">
        <f t="shared" ca="1" si="920"/>
        <v>1</v>
      </c>
      <c r="AB873" s="19">
        <f t="shared" ca="1" si="921"/>
        <v>0</v>
      </c>
      <c r="AC873" s="19">
        <f t="shared" ca="1" si="922"/>
        <v>-1.3375225072318314E-2</v>
      </c>
    </row>
    <row r="874" spans="3:29" x14ac:dyDescent="0.25">
      <c r="C874" s="4">
        <v>867</v>
      </c>
      <c r="D874" s="28">
        <v>43241</v>
      </c>
      <c r="E874" s="30">
        <v>22.315999999999999</v>
      </c>
      <c r="F874" s="30">
        <v>67.192536047497882</v>
      </c>
      <c r="G874" s="30">
        <v>7.8498727735368963</v>
      </c>
      <c r="H874" s="30">
        <v>87.446988973706524</v>
      </c>
      <c r="I874" s="8">
        <v>0</v>
      </c>
      <c r="J874" s="31">
        <v>0</v>
      </c>
      <c r="K874" s="31">
        <v>0</v>
      </c>
      <c r="L874" s="31">
        <v>0</v>
      </c>
      <c r="M874" s="31">
        <v>1</v>
      </c>
      <c r="N874" s="31">
        <v>0</v>
      </c>
      <c r="O874" s="31">
        <v>0</v>
      </c>
      <c r="P874" s="31">
        <v>0</v>
      </c>
      <c r="Q874" s="31">
        <v>0</v>
      </c>
      <c r="R874" s="31">
        <v>0</v>
      </c>
      <c r="S874" s="31">
        <v>0</v>
      </c>
      <c r="T874" s="21" cm="1">
        <f t="array" aca="1" ref="T874" ca="1">+fair_value_gap(OFFSET(S873,0,0,-1*$I$5,-1*$Z$1),OFFSET(E873,0,0,-1*$I$5,1),F874:S874,0)</f>
        <v>21.661110795002873</v>
      </c>
      <c r="U874" s="7" cm="1">
        <f t="array" aca="1" ref="U874" ca="1">z_score_diff(OFFSET(T874,0,0,$I$5*-1,1),OFFSET(E874,0,0,$I$5*-1,1))</f>
        <v>-0.15298024423913636</v>
      </c>
      <c r="V874" s="7">
        <f t="shared" ca="1" si="917"/>
        <v>8.5001577228669606E-2</v>
      </c>
      <c r="W874" s="14">
        <f t="shared" ca="1" si="912"/>
        <v>-6.3383817876386615E-3</v>
      </c>
      <c r="X874" s="10">
        <f t="shared" ref="X874:Y874" ca="1" si="953">+X873</f>
        <v>0</v>
      </c>
      <c r="Y874" s="10">
        <f t="shared" ca="1" si="953"/>
        <v>0</v>
      </c>
      <c r="Z874">
        <f t="shared" ca="1" si="919"/>
        <v>0</v>
      </c>
      <c r="AA874">
        <f t="shared" ca="1" si="920"/>
        <v>1</v>
      </c>
      <c r="AB874" s="19">
        <f t="shared" ca="1" si="921"/>
        <v>0</v>
      </c>
      <c r="AC874" s="19">
        <f t="shared" ca="1" si="922"/>
        <v>-6.3383817876386615E-3</v>
      </c>
    </row>
    <row r="875" spans="3:29" x14ac:dyDescent="0.25">
      <c r="C875" s="4">
        <v>868</v>
      </c>
      <c r="D875" s="28">
        <v>43242</v>
      </c>
      <c r="E875" s="30">
        <v>22.968</v>
      </c>
      <c r="F875" s="30">
        <v>67.558159280013584</v>
      </c>
      <c r="G875" s="30">
        <v>8.0616403464085575</v>
      </c>
      <c r="H875" s="30">
        <v>87.281372049583965</v>
      </c>
      <c r="I875" s="8">
        <v>0</v>
      </c>
      <c r="J875" s="31">
        <v>0</v>
      </c>
      <c r="K875" s="31">
        <v>0</v>
      </c>
      <c r="L875" s="31">
        <v>0</v>
      </c>
      <c r="M875" s="31">
        <v>1</v>
      </c>
      <c r="N875" s="31">
        <v>0</v>
      </c>
      <c r="O875" s="31">
        <v>0</v>
      </c>
      <c r="P875" s="31">
        <v>0</v>
      </c>
      <c r="Q875" s="31">
        <v>0</v>
      </c>
      <c r="R875" s="31">
        <v>0</v>
      </c>
      <c r="S875" s="31">
        <v>0</v>
      </c>
      <c r="T875" s="21" cm="1">
        <f t="array" aca="1" ref="T875" ca="1">+fair_value_gap(OFFSET(S874,0,0,-1*$I$5,-1*$Z$1),OFFSET(E874,0,0,-1*$I$5,1),F875:S875,0)</f>
        <v>21.722514058043032</v>
      </c>
      <c r="U875" s="7" cm="1">
        <f t="array" aca="1" ref="U875" ca="1">z_score_diff(OFFSET(T875,0,0,$I$5*-1,1),OFFSET(E875,0,0,$I$5*-1,1))</f>
        <v>-0.42798807902947544</v>
      </c>
      <c r="V875" s="7">
        <f t="shared" ca="1" si="917"/>
        <v>6.1534924689251036E-2</v>
      </c>
      <c r="W875" s="14">
        <f t="shared" ca="1" si="912"/>
        <v>-5.6697520620746816E-2</v>
      </c>
      <c r="X875" s="10">
        <f t="shared" ref="X875:Y875" ca="1" si="954">+X874</f>
        <v>0</v>
      </c>
      <c r="Y875" s="10">
        <f t="shared" ca="1" si="954"/>
        <v>0</v>
      </c>
      <c r="Z875">
        <f t="shared" ca="1" si="919"/>
        <v>0</v>
      </c>
      <c r="AA875">
        <f t="shared" ca="1" si="920"/>
        <v>1</v>
      </c>
      <c r="AB875" s="19">
        <f t="shared" ca="1" si="921"/>
        <v>0</v>
      </c>
      <c r="AC875" s="19">
        <f t="shared" ca="1" si="922"/>
        <v>-5.6697520620746816E-2</v>
      </c>
    </row>
    <row r="876" spans="3:29" x14ac:dyDescent="0.25">
      <c r="C876" s="4">
        <v>869</v>
      </c>
      <c r="D876" s="28">
        <v>43243</v>
      </c>
      <c r="E876" s="30">
        <v>22.754000000000001</v>
      </c>
      <c r="F876" s="30">
        <v>68.228454172366625</v>
      </c>
      <c r="G876" s="30">
        <v>7.9728112175102597</v>
      </c>
      <c r="H876" s="30">
        <v>87.85054719562244</v>
      </c>
      <c r="I876" s="8">
        <v>0</v>
      </c>
      <c r="J876" s="31">
        <v>0</v>
      </c>
      <c r="K876" s="31">
        <v>0</v>
      </c>
      <c r="L876" s="31">
        <v>0</v>
      </c>
      <c r="M876" s="31">
        <v>1</v>
      </c>
      <c r="N876" s="31">
        <v>0</v>
      </c>
      <c r="O876" s="31">
        <v>0</v>
      </c>
      <c r="P876" s="31">
        <v>0</v>
      </c>
      <c r="Q876" s="31">
        <v>0</v>
      </c>
      <c r="R876" s="31">
        <v>0</v>
      </c>
      <c r="S876" s="31">
        <v>0</v>
      </c>
      <c r="T876" s="21" cm="1">
        <f t="array" aca="1" ref="T876" ca="1">+fair_value_gap(OFFSET(S875,0,0,-1*$I$5,-1*$Z$1),OFFSET(E875,0,0,-1*$I$5,1),F876:S876,0)</f>
        <v>22.006132972435498</v>
      </c>
      <c r="U876" s="7" cm="1">
        <f t="array" aca="1" ref="U876" ca="1">z_score_diff(OFFSET(T876,0,0,$I$5*-1,1),OFFSET(E876,0,0,$I$5*-1,1))</f>
        <v>-0.17323741474465981</v>
      </c>
      <c r="V876" s="7">
        <f t="shared" ca="1" si="917"/>
        <v>5.1177021581725199E-2</v>
      </c>
      <c r="W876" s="14">
        <f t="shared" ca="1" si="912"/>
        <v>-5.7060181250949762E-2</v>
      </c>
      <c r="X876" s="10">
        <f t="shared" ref="X876:Y876" ca="1" si="955">+X875</f>
        <v>0</v>
      </c>
      <c r="Y876" s="10">
        <f t="shared" ca="1" si="955"/>
        <v>0</v>
      </c>
      <c r="Z876">
        <f t="shared" ca="1" si="919"/>
        <v>0</v>
      </c>
      <c r="AA876">
        <f t="shared" ca="1" si="920"/>
        <v>1</v>
      </c>
      <c r="AB876" s="19">
        <f t="shared" ca="1" si="921"/>
        <v>0</v>
      </c>
      <c r="AC876" s="19">
        <f t="shared" ca="1" si="922"/>
        <v>-5.7060181250949762E-2</v>
      </c>
    </row>
    <row r="877" spans="3:29" x14ac:dyDescent="0.25">
      <c r="C877" s="4">
        <v>870</v>
      </c>
      <c r="D877" s="28">
        <v>43244</v>
      </c>
      <c r="E877" s="30">
        <v>22.742999999999999</v>
      </c>
      <c r="F877" s="30">
        <v>67.23269903575391</v>
      </c>
      <c r="G877" s="30">
        <v>7.9358307022783521</v>
      </c>
      <c r="H877" s="30">
        <v>87.97678982848366</v>
      </c>
      <c r="I877" s="8">
        <v>0</v>
      </c>
      <c r="J877" s="31">
        <v>0</v>
      </c>
      <c r="K877" s="31">
        <v>0</v>
      </c>
      <c r="L877" s="31">
        <v>0</v>
      </c>
      <c r="M877" s="31">
        <v>1</v>
      </c>
      <c r="N877" s="31">
        <v>0</v>
      </c>
      <c r="O877" s="31">
        <v>0</v>
      </c>
      <c r="P877" s="31">
        <v>0</v>
      </c>
      <c r="Q877" s="31">
        <v>0</v>
      </c>
      <c r="R877" s="31">
        <v>0</v>
      </c>
      <c r="S877" s="31">
        <v>0</v>
      </c>
      <c r="T877" s="21" cm="1">
        <f t="array" aca="1" ref="T877" ca="1">+fair_value_gap(OFFSET(S876,0,0,-1*$I$5,-1*$Z$1),OFFSET(E876,0,0,-1*$I$5,1),F877:S877,0)</f>
        <v>21.974952357193036</v>
      </c>
      <c r="U877" s="7" cm="1">
        <f t="array" aca="1" ref="U877" ca="1">z_score_diff(OFFSET(T877,0,0,$I$5*-1,1),OFFSET(E877,0,0,$I$5*-1,1))</f>
        <v>-0.18184833368989706</v>
      </c>
      <c r="V877" s="7">
        <f t="shared" ca="1" si="917"/>
        <v>4.2944039538488375E-2</v>
      </c>
      <c r="W877" s="14">
        <f t="shared" ca="1" si="912"/>
        <v>-5.2861228267295973E-2</v>
      </c>
      <c r="X877" s="10">
        <f t="shared" ref="X877:Y877" ca="1" si="956">+X876</f>
        <v>0</v>
      </c>
      <c r="Y877" s="10">
        <f t="shared" ca="1" si="956"/>
        <v>0</v>
      </c>
      <c r="Z877">
        <f t="shared" ca="1" si="919"/>
        <v>0</v>
      </c>
      <c r="AA877">
        <f t="shared" ca="1" si="920"/>
        <v>1</v>
      </c>
      <c r="AB877" s="19">
        <f t="shared" ca="1" si="921"/>
        <v>0</v>
      </c>
      <c r="AC877" s="19">
        <f t="shared" ca="1" si="922"/>
        <v>-5.2861228267295973E-2</v>
      </c>
    </row>
    <row r="878" spans="3:29" x14ac:dyDescent="0.25">
      <c r="C878" s="4">
        <v>871</v>
      </c>
      <c r="D878" s="28">
        <v>43245</v>
      </c>
      <c r="E878" s="30">
        <v>21.917999999999999</v>
      </c>
      <c r="F878" s="30">
        <v>65.613733905579394</v>
      </c>
      <c r="G878" s="30">
        <v>7.9742489270386256</v>
      </c>
      <c r="H878" s="30">
        <v>88.454935622317592</v>
      </c>
      <c r="I878" s="8">
        <v>0</v>
      </c>
      <c r="J878" s="31">
        <v>0</v>
      </c>
      <c r="K878" s="31">
        <v>0</v>
      </c>
      <c r="L878" s="31">
        <v>0</v>
      </c>
      <c r="M878" s="31">
        <v>1</v>
      </c>
      <c r="N878" s="31">
        <v>0</v>
      </c>
      <c r="O878" s="31">
        <v>0</v>
      </c>
      <c r="P878" s="31">
        <v>0</v>
      </c>
      <c r="Q878" s="31">
        <v>0</v>
      </c>
      <c r="R878" s="31">
        <v>0</v>
      </c>
      <c r="S878" s="31">
        <v>0</v>
      </c>
      <c r="T878" s="21" cm="1">
        <f t="array" aca="1" ref="T878" ca="1">+fair_value_gap(OFFSET(S877,0,0,-1*$I$5,-1*$Z$1),OFFSET(E877,0,0,-1*$I$5,1),F878:S878,0)</f>
        <v>21.927013424907585</v>
      </c>
      <c r="U878" s="7" cm="1">
        <f t="array" aca="1" ref="U878" ca="1">z_score_diff(OFFSET(T878,0,0,$I$5*-1,1),OFFSET(E878,0,0,$I$5*-1,1))</f>
        <v>0.18274140206859557</v>
      </c>
      <c r="V878" s="7">
        <f t="shared" ca="1" si="917"/>
        <v>5.5797411012288155E-2</v>
      </c>
      <c r="W878" s="14">
        <f t="shared" ca="1" si="912"/>
        <v>-1.0825793802100477E-2</v>
      </c>
      <c r="X878" s="10">
        <f t="shared" ref="X878:Y878" ca="1" si="957">+X877</f>
        <v>0</v>
      </c>
      <c r="Y878" s="10">
        <f t="shared" ca="1" si="957"/>
        <v>0</v>
      </c>
      <c r="Z878">
        <f t="shared" ca="1" si="919"/>
        <v>0</v>
      </c>
      <c r="AA878">
        <f t="shared" ca="1" si="920"/>
        <v>1</v>
      </c>
      <c r="AB878" s="19">
        <f t="shared" ca="1" si="921"/>
        <v>0</v>
      </c>
      <c r="AC878" s="19">
        <f t="shared" ca="1" si="922"/>
        <v>-1.0825793802100477E-2</v>
      </c>
    </row>
    <row r="879" spans="3:29" x14ac:dyDescent="0.25">
      <c r="C879" s="4">
        <v>872</v>
      </c>
      <c r="D879" s="28">
        <v>43248</v>
      </c>
      <c r="E879" s="30">
        <v>21.956</v>
      </c>
      <c r="F879" s="30">
        <v>64.790913784202374</v>
      </c>
      <c r="G879" s="30">
        <v>7.9934606780244364</v>
      </c>
      <c r="H879" s="30">
        <v>88.926174496644293</v>
      </c>
      <c r="I879" s="8">
        <v>0</v>
      </c>
      <c r="J879" s="31">
        <v>0</v>
      </c>
      <c r="K879" s="31">
        <v>0</v>
      </c>
      <c r="L879" s="31">
        <v>0</v>
      </c>
      <c r="M879" s="31">
        <v>1</v>
      </c>
      <c r="N879" s="31">
        <v>0</v>
      </c>
      <c r="O879" s="31">
        <v>0</v>
      </c>
      <c r="P879" s="31">
        <v>0</v>
      </c>
      <c r="Q879" s="31">
        <v>0</v>
      </c>
      <c r="R879" s="31">
        <v>0</v>
      </c>
      <c r="S879" s="31">
        <v>0</v>
      </c>
      <c r="T879" s="21" cm="1">
        <f t="array" aca="1" ref="T879" ca="1">+fair_value_gap(OFFSET(S878,0,0,-1*$I$5,-1*$Z$1),OFFSET(E878,0,0,-1*$I$5,1),F879:S879,0)</f>
        <v>21.924450215243514</v>
      </c>
      <c r="U879" s="7" cm="1">
        <f t="array" aca="1" ref="U879" ca="1">z_score_diff(OFFSET(T879,0,0,$I$5*-1,1),OFFSET(E879,0,0,$I$5*-1,1))</f>
        <v>0.1558985273968474</v>
      </c>
      <c r="V879" s="7">
        <f t="shared" ca="1" si="917"/>
        <v>5.9651095229381099E-2</v>
      </c>
      <c r="W879" s="14">
        <f t="shared" ca="1" si="912"/>
        <v>-1.6624952362694078E-2</v>
      </c>
      <c r="X879" s="10">
        <f t="shared" ref="X879:Y879" ca="1" si="958">+X878</f>
        <v>0</v>
      </c>
      <c r="Y879" s="10">
        <f t="shared" ca="1" si="958"/>
        <v>0</v>
      </c>
      <c r="Z879">
        <f t="shared" ca="1" si="919"/>
        <v>0</v>
      </c>
      <c r="AA879">
        <f t="shared" ca="1" si="920"/>
        <v>1</v>
      </c>
      <c r="AB879" s="19">
        <f t="shared" ca="1" si="921"/>
        <v>0</v>
      </c>
      <c r="AC879" s="19">
        <f t="shared" ca="1" si="922"/>
        <v>-1.6624952362694078E-2</v>
      </c>
    </row>
    <row r="880" spans="3:29" x14ac:dyDescent="0.25">
      <c r="C880" s="4">
        <v>873</v>
      </c>
      <c r="D880" s="28">
        <v>43249</v>
      </c>
      <c r="E880" s="30">
        <v>22.79</v>
      </c>
      <c r="F880" s="30">
        <v>65.340613624544986</v>
      </c>
      <c r="G880" s="30">
        <v>8.0819899462645175</v>
      </c>
      <c r="H880" s="30">
        <v>89.270237476165718</v>
      </c>
      <c r="I880" s="8">
        <v>0</v>
      </c>
      <c r="J880" s="31">
        <v>0</v>
      </c>
      <c r="K880" s="31">
        <v>0</v>
      </c>
      <c r="L880" s="31">
        <v>0</v>
      </c>
      <c r="M880" s="31">
        <v>1</v>
      </c>
      <c r="N880" s="31">
        <v>0</v>
      </c>
      <c r="O880" s="31">
        <v>0</v>
      </c>
      <c r="P880" s="31">
        <v>0</v>
      </c>
      <c r="Q880" s="31">
        <v>0</v>
      </c>
      <c r="R880" s="31">
        <v>0</v>
      </c>
      <c r="S880" s="31">
        <v>0</v>
      </c>
      <c r="T880" s="21" cm="1">
        <f t="array" aca="1" ref="T880" ca="1">+fair_value_gap(OFFSET(S879,0,0,-1*$I$5,-1*$Z$1),OFFSET(E879,0,0,-1*$I$5,1),F880:S880,0)</f>
        <v>22.051453562357985</v>
      </c>
      <c r="U880" s="7" cm="1">
        <f t="array" aca="1" ref="U880" ca="1">z_score_diff(OFFSET(T880,0,0,$I$5*-1,1),OFFSET(E880,0,0,$I$5*-1,1))</f>
        <v>-0.17997004913894132</v>
      </c>
      <c r="V880" s="7">
        <f t="shared" ca="1" si="917"/>
        <v>4.8595197832961456E-2</v>
      </c>
      <c r="W880" s="14">
        <f t="shared" ca="1" si="912"/>
        <v>-6.0084508818248172E-2</v>
      </c>
      <c r="X880" s="10">
        <f t="shared" ref="X880:Y880" ca="1" si="959">+X879</f>
        <v>0</v>
      </c>
      <c r="Y880" s="10">
        <f t="shared" ca="1" si="959"/>
        <v>0</v>
      </c>
      <c r="Z880">
        <f t="shared" ca="1" si="919"/>
        <v>0</v>
      </c>
      <c r="AA880">
        <f t="shared" ca="1" si="920"/>
        <v>1</v>
      </c>
      <c r="AB880" s="19">
        <f t="shared" ca="1" si="921"/>
        <v>0</v>
      </c>
      <c r="AC880" s="19">
        <f t="shared" ca="1" si="922"/>
        <v>-6.0084508818248172E-2</v>
      </c>
    </row>
    <row r="881" spans="3:29" x14ac:dyDescent="0.25">
      <c r="C881" s="4">
        <v>874</v>
      </c>
      <c r="D881" s="28">
        <v>43250</v>
      </c>
      <c r="E881" s="30">
        <v>23.087</v>
      </c>
      <c r="F881" s="30">
        <v>66.460852414029674</v>
      </c>
      <c r="G881" s="30">
        <v>7.9967412743332478</v>
      </c>
      <c r="H881" s="30">
        <v>88.971786296201017</v>
      </c>
      <c r="I881" s="8">
        <v>0</v>
      </c>
      <c r="J881" s="31">
        <v>0</v>
      </c>
      <c r="K881" s="31">
        <v>0</v>
      </c>
      <c r="L881" s="31">
        <v>0</v>
      </c>
      <c r="M881" s="31">
        <v>1</v>
      </c>
      <c r="N881" s="31">
        <v>0</v>
      </c>
      <c r="O881" s="31">
        <v>0</v>
      </c>
      <c r="P881" s="31">
        <v>0</v>
      </c>
      <c r="Q881" s="31">
        <v>0</v>
      </c>
      <c r="R881" s="31">
        <v>0</v>
      </c>
      <c r="S881" s="31">
        <v>0</v>
      </c>
      <c r="T881" s="21" cm="1">
        <f t="array" aca="1" ref="T881" ca="1">+fair_value_gap(OFFSET(S880,0,0,-1*$I$5,-1*$Z$1),OFFSET(E880,0,0,-1*$I$5,1),F881:S881,0)</f>
        <v>22.159989356066536</v>
      </c>
      <c r="U881" s="7" cm="1">
        <f t="array" aca="1" ref="U881" ca="1">z_score_diff(OFFSET(T881,0,0,$I$5*-1,1),OFFSET(E881,0,0,$I$5*-1,1))</f>
        <v>-0.26447135547717382</v>
      </c>
      <c r="V881" s="7">
        <f t="shared" ca="1" si="917"/>
        <v>2.1872372240287329E-2</v>
      </c>
      <c r="W881" s="14">
        <f t="shared" ca="1" si="912"/>
        <v>-4.645607734563275E-2</v>
      </c>
      <c r="X881" s="10">
        <f t="shared" ref="X881:Y881" ca="1" si="960">+X880</f>
        <v>0</v>
      </c>
      <c r="Y881" s="10">
        <f t="shared" ca="1" si="960"/>
        <v>0</v>
      </c>
      <c r="Z881">
        <f t="shared" ca="1" si="919"/>
        <v>0</v>
      </c>
      <c r="AA881">
        <f t="shared" ca="1" si="920"/>
        <v>1</v>
      </c>
      <c r="AB881" s="19">
        <f t="shared" ca="1" si="921"/>
        <v>0</v>
      </c>
      <c r="AC881" s="19">
        <f t="shared" ca="1" si="922"/>
        <v>-4.645607734563275E-2</v>
      </c>
    </row>
    <row r="882" spans="3:29" x14ac:dyDescent="0.25">
      <c r="C882" s="4">
        <v>875</v>
      </c>
      <c r="D882" s="28">
        <v>43251</v>
      </c>
      <c r="E882" s="30">
        <v>22.6</v>
      </c>
      <c r="F882" s="30">
        <v>66.372968349016247</v>
      </c>
      <c r="G882" s="30">
        <v>7.9769033361847725</v>
      </c>
      <c r="H882" s="30">
        <v>88.964927288280577</v>
      </c>
      <c r="I882" s="8">
        <v>0</v>
      </c>
      <c r="J882" s="31">
        <v>0</v>
      </c>
      <c r="K882" s="31">
        <v>0</v>
      </c>
      <c r="L882" s="31">
        <v>0</v>
      </c>
      <c r="M882" s="31">
        <v>1</v>
      </c>
      <c r="N882" s="31">
        <v>0</v>
      </c>
      <c r="O882" s="31">
        <v>0</v>
      </c>
      <c r="P882" s="31">
        <v>0</v>
      </c>
      <c r="Q882" s="31">
        <v>0</v>
      </c>
      <c r="R882" s="31">
        <v>0</v>
      </c>
      <c r="S882" s="31">
        <v>0</v>
      </c>
      <c r="T882" s="21" cm="1">
        <f t="array" aca="1" ref="T882" ca="1">+fair_value_gap(OFFSET(S881,0,0,-1*$I$5,-1*$Z$1),OFFSET(E881,0,0,-1*$I$5,1),F882:S882,0)</f>
        <v>22.195945434260672</v>
      </c>
      <c r="U882" s="7" cm="1">
        <f t="array" aca="1" ref="U882" ca="1">z_score_diff(OFFSET(T882,0,0,$I$5*-1,1),OFFSET(E882,0,0,$I$5*-1,1))</f>
        <v>-1.8957425023638397E-2</v>
      </c>
      <c r="V882" s="7">
        <f t="shared" ca="1" si="917"/>
        <v>8.790558752379541E-3</v>
      </c>
      <c r="W882" s="14">
        <f t="shared" ca="1" si="912"/>
        <v>-2.8727289636910312E-2</v>
      </c>
      <c r="X882" s="10">
        <f t="shared" ref="X882:Y882" ca="1" si="961">+X881</f>
        <v>0</v>
      </c>
      <c r="Y882" s="10">
        <f t="shared" ca="1" si="961"/>
        <v>0</v>
      </c>
      <c r="Z882">
        <f t="shared" ca="1" si="919"/>
        <v>0</v>
      </c>
      <c r="AA882">
        <f t="shared" ca="1" si="920"/>
        <v>1</v>
      </c>
      <c r="AB882" s="19">
        <f t="shared" ca="1" si="921"/>
        <v>0</v>
      </c>
      <c r="AC882" s="19">
        <f t="shared" ca="1" si="922"/>
        <v>-2.8727289636910312E-2</v>
      </c>
    </row>
    <row r="883" spans="3:29" x14ac:dyDescent="0.25">
      <c r="C883" s="4">
        <v>876</v>
      </c>
      <c r="D883" s="28">
        <v>43252</v>
      </c>
      <c r="E883" s="30">
        <v>21.754999999999999</v>
      </c>
      <c r="F883" s="30">
        <v>65.85763293310464</v>
      </c>
      <c r="G883" s="30">
        <v>8.0360205831903944</v>
      </c>
      <c r="H883" s="30">
        <v>89.536878216123512</v>
      </c>
      <c r="I883" s="8">
        <v>0</v>
      </c>
      <c r="J883" s="31">
        <v>0</v>
      </c>
      <c r="K883" s="31">
        <v>0</v>
      </c>
      <c r="L883" s="31">
        <v>0</v>
      </c>
      <c r="M883" s="31">
        <v>0</v>
      </c>
      <c r="N883" s="31">
        <v>1</v>
      </c>
      <c r="O883" s="31">
        <v>0</v>
      </c>
      <c r="P883" s="31">
        <v>0</v>
      </c>
      <c r="Q883" s="31">
        <v>0</v>
      </c>
      <c r="R883" s="31">
        <v>0</v>
      </c>
      <c r="S883" s="31">
        <v>0</v>
      </c>
      <c r="T883" s="21" cm="1">
        <f t="array" aca="1" ref="T883" ca="1">+fair_value_gap(OFFSET(S882,0,0,-1*$I$5,-1*$Z$1),OFFSET(E882,0,0,-1*$I$5,1),F883:S883,0)</f>
        <v>21.003127295805339</v>
      </c>
      <c r="U883" s="7" cm="1">
        <f t="array" aca="1" ref="U883" ca="1">z_score_diff(OFFSET(T883,0,0,$I$5*-1,1),OFFSET(E883,0,0,$I$5*-1,1))</f>
        <v>-0.1968672786508483</v>
      </c>
      <c r="V883" s="7">
        <f t="shared" ca="1" si="917"/>
        <v>-9.0683082925314788E-3</v>
      </c>
      <c r="W883" s="14">
        <f t="shared" ca="1" si="912"/>
        <v>5.2722185160331055E-3</v>
      </c>
      <c r="X883" s="10">
        <f t="shared" ref="X883:Y883" ca="1" si="962">+X882</f>
        <v>0</v>
      </c>
      <c r="Y883" s="10">
        <f t="shared" ca="1" si="962"/>
        <v>0</v>
      </c>
      <c r="Z883">
        <f t="shared" ca="1" si="919"/>
        <v>1</v>
      </c>
      <c r="AA883">
        <f t="shared" ca="1" si="920"/>
        <v>0</v>
      </c>
      <c r="AB883" s="19">
        <f t="shared" ca="1" si="921"/>
        <v>5.2722185160331055E-3</v>
      </c>
      <c r="AC883" s="19">
        <f t="shared" ca="1" si="922"/>
        <v>0</v>
      </c>
    </row>
    <row r="884" spans="3:29" x14ac:dyDescent="0.25">
      <c r="C884" s="4">
        <v>877</v>
      </c>
      <c r="D884" s="28">
        <v>43255</v>
      </c>
      <c r="E884" s="30">
        <v>21.946999999999999</v>
      </c>
      <c r="F884" s="30">
        <v>64.361429304154569</v>
      </c>
      <c r="G884" s="30">
        <v>8.0483843392032828</v>
      </c>
      <c r="H884" s="30">
        <v>90.01538724568303</v>
      </c>
      <c r="I884" s="8">
        <v>0</v>
      </c>
      <c r="J884" s="31">
        <v>0</v>
      </c>
      <c r="K884" s="31">
        <v>0</v>
      </c>
      <c r="L884" s="31">
        <v>0</v>
      </c>
      <c r="M884" s="31">
        <v>0</v>
      </c>
      <c r="N884" s="31">
        <v>1</v>
      </c>
      <c r="O884" s="31">
        <v>0</v>
      </c>
      <c r="P884" s="31">
        <v>0</v>
      </c>
      <c r="Q884" s="31">
        <v>0</v>
      </c>
      <c r="R884" s="31">
        <v>0</v>
      </c>
      <c r="S884" s="31">
        <v>0</v>
      </c>
      <c r="T884" s="21" cm="1">
        <f t="array" aca="1" ref="T884" ca="1">+fair_value_gap(OFFSET(S883,0,0,-1*$I$5,-1*$Z$1),OFFSET(E883,0,0,-1*$I$5,1),F884:S884,0)</f>
        <v>21.116332095060372</v>
      </c>
      <c r="U884" s="7" cm="1">
        <f t="array" aca="1" ref="U884" ca="1">z_score_diff(OFFSET(T884,0,0,$I$5*-1,1),OFFSET(E884,0,0,$I$5*-1,1))</f>
        <v>-0.23138367959623629</v>
      </c>
      <c r="V884" s="7">
        <f t="shared" ca="1" si="917"/>
        <v>-2.7292528739399125E-2</v>
      </c>
      <c r="W884" s="14">
        <f t="shared" ca="1" si="912"/>
        <v>1.1461832957512274E-2</v>
      </c>
      <c r="X884" s="10">
        <f t="shared" ref="X884:Y884" ca="1" si="963">+X883</f>
        <v>0</v>
      </c>
      <c r="Y884" s="10">
        <f t="shared" ca="1" si="963"/>
        <v>0</v>
      </c>
      <c r="Z884">
        <f t="shared" ca="1" si="919"/>
        <v>1</v>
      </c>
      <c r="AA884">
        <f t="shared" ca="1" si="920"/>
        <v>0</v>
      </c>
      <c r="AB884" s="19">
        <f t="shared" ca="1" si="921"/>
        <v>1.1461832957512274E-2</v>
      </c>
      <c r="AC884" s="19">
        <f t="shared" ca="1" si="922"/>
        <v>0</v>
      </c>
    </row>
    <row r="885" spans="3:29" x14ac:dyDescent="0.25">
      <c r="C885" s="4">
        <v>878</v>
      </c>
      <c r="D885" s="28">
        <v>43256</v>
      </c>
      <c r="E885" s="30">
        <v>21.475000000000001</v>
      </c>
      <c r="F885" s="30">
        <v>64.333873858496204</v>
      </c>
      <c r="G885" s="30">
        <v>8.0737390116924139</v>
      </c>
      <c r="H885" s="30">
        <v>89.143978834172572</v>
      </c>
      <c r="I885" s="8">
        <v>0</v>
      </c>
      <c r="J885" s="31">
        <v>0</v>
      </c>
      <c r="K885" s="31">
        <v>0</v>
      </c>
      <c r="L885" s="31">
        <v>0</v>
      </c>
      <c r="M885" s="31">
        <v>0</v>
      </c>
      <c r="N885" s="31">
        <v>1</v>
      </c>
      <c r="O885" s="31">
        <v>0</v>
      </c>
      <c r="P885" s="31">
        <v>0</v>
      </c>
      <c r="Q885" s="31">
        <v>0</v>
      </c>
      <c r="R885" s="31">
        <v>0</v>
      </c>
      <c r="S885" s="31">
        <v>0</v>
      </c>
      <c r="T885" s="21" cm="1">
        <f t="array" aca="1" ref="T885" ca="1">+fair_value_gap(OFFSET(S884,0,0,-1*$I$5,-1*$Z$1),OFFSET(E884,0,0,-1*$I$5,1),F885:S885,0)</f>
        <v>21.126160141677591</v>
      </c>
      <c r="U885" s="7" cm="1">
        <f t="array" aca="1" ref="U885" ca="1">z_score_diff(OFFSET(T885,0,0,$I$5*-1,1),OFFSET(E885,0,0,$I$5*-1,1))</f>
        <v>-7.5616730762253503E-3</v>
      </c>
      <c r="V885" s="7">
        <f t="shared" ca="1" si="917"/>
        <v>-3.8041894462914186E-2</v>
      </c>
      <c r="W885" s="14">
        <f t="shared" ca="1" si="912"/>
        <v>3.6889709766805598E-2</v>
      </c>
      <c r="X885" s="10">
        <f t="shared" ref="X885:Y885" ca="1" si="964">+X884</f>
        <v>0</v>
      </c>
      <c r="Y885" s="10">
        <f t="shared" ca="1" si="964"/>
        <v>0</v>
      </c>
      <c r="Z885">
        <f t="shared" ca="1" si="919"/>
        <v>1</v>
      </c>
      <c r="AA885">
        <f t="shared" ca="1" si="920"/>
        <v>0</v>
      </c>
      <c r="AB885" s="19">
        <f t="shared" ca="1" si="921"/>
        <v>3.6889709766805598E-2</v>
      </c>
      <c r="AC885" s="19">
        <f t="shared" ca="1" si="922"/>
        <v>0</v>
      </c>
    </row>
    <row r="886" spans="3:29" x14ac:dyDescent="0.25">
      <c r="C886" s="4">
        <v>879</v>
      </c>
      <c r="D886" s="28">
        <v>43257</v>
      </c>
      <c r="E886" s="30">
        <v>21.311</v>
      </c>
      <c r="F886" s="30">
        <v>64.010872335003825</v>
      </c>
      <c r="G886" s="30">
        <v>8.0225940711798192</v>
      </c>
      <c r="H886" s="30">
        <v>88.889832667969088</v>
      </c>
      <c r="I886" s="8">
        <v>0</v>
      </c>
      <c r="J886" s="31">
        <v>0</v>
      </c>
      <c r="K886" s="31">
        <v>0</v>
      </c>
      <c r="L886" s="31">
        <v>0</v>
      </c>
      <c r="M886" s="31">
        <v>0</v>
      </c>
      <c r="N886" s="31">
        <v>1</v>
      </c>
      <c r="O886" s="31">
        <v>0</v>
      </c>
      <c r="P886" s="31">
        <v>0</v>
      </c>
      <c r="Q886" s="31">
        <v>0</v>
      </c>
      <c r="R886" s="31">
        <v>0</v>
      </c>
      <c r="S886" s="31">
        <v>0</v>
      </c>
      <c r="T886" s="21" cm="1">
        <f t="array" aca="1" ref="T886" ca="1">+fair_value_gap(OFFSET(S885,0,0,-1*$I$5,-1*$Z$1),OFFSET(E885,0,0,-1*$I$5,1),F886:S886,0)</f>
        <v>21.126469485750526</v>
      </c>
      <c r="U886" s="7" cm="1">
        <f t="array" aca="1" ref="U886" ca="1">z_score_diff(OFFSET(T886,0,0,$I$5*-1,1),OFFSET(E886,0,0,$I$5*-1,1))</f>
        <v>6.6868446376198376E-2</v>
      </c>
      <c r="V886" s="7">
        <f t="shared" ca="1" si="917"/>
        <v>-4.8587804379353658E-2</v>
      </c>
      <c r="W886" s="14">
        <f t="shared" ca="1" si="912"/>
        <v>4.3163580087341932E-2</v>
      </c>
      <c r="X886" s="10">
        <f t="shared" ref="X886:Y886" ca="1" si="965">+X885</f>
        <v>0</v>
      </c>
      <c r="Y886" s="10">
        <f t="shared" ca="1" si="965"/>
        <v>0</v>
      </c>
      <c r="Z886">
        <f t="shared" ca="1" si="919"/>
        <v>1</v>
      </c>
      <c r="AA886">
        <f t="shared" ca="1" si="920"/>
        <v>0</v>
      </c>
      <c r="AB886" s="19">
        <f t="shared" ca="1" si="921"/>
        <v>4.3163580087341932E-2</v>
      </c>
      <c r="AC886" s="19">
        <f t="shared" ca="1" si="922"/>
        <v>0</v>
      </c>
    </row>
    <row r="887" spans="3:29" x14ac:dyDescent="0.25">
      <c r="C887" s="4">
        <v>880</v>
      </c>
      <c r="D887" s="28">
        <v>43258</v>
      </c>
      <c r="E887" s="30">
        <v>21.65</v>
      </c>
      <c r="F887" s="30">
        <v>65.542086971263871</v>
      </c>
      <c r="G887" s="30">
        <v>8.0528948037636692</v>
      </c>
      <c r="H887" s="30">
        <v>89.556666949224393</v>
      </c>
      <c r="I887" s="8">
        <v>0</v>
      </c>
      <c r="J887" s="31">
        <v>0</v>
      </c>
      <c r="K887" s="31">
        <v>0</v>
      </c>
      <c r="L887" s="31">
        <v>0</v>
      </c>
      <c r="M887" s="31">
        <v>0</v>
      </c>
      <c r="N887" s="31">
        <v>1</v>
      </c>
      <c r="O887" s="31">
        <v>0</v>
      </c>
      <c r="P887" s="31">
        <v>0</v>
      </c>
      <c r="Q887" s="31">
        <v>0</v>
      </c>
      <c r="R887" s="31">
        <v>0</v>
      </c>
      <c r="S887" s="31">
        <v>0</v>
      </c>
      <c r="T887" s="21" cm="1">
        <f t="array" aca="1" ref="T887" ca="1">+fair_value_gap(OFFSET(S886,0,0,-1*$I$5,-1*$Z$1),OFFSET(E886,0,0,-1*$I$5,1),F887:S887,0)</f>
        <v>21.471224685601229</v>
      </c>
      <c r="U887" s="7" cm="1">
        <f t="array" aca="1" ref="U887" ca="1">z_score_diff(OFFSET(T887,0,0,$I$5*-1,1),OFFSET(E887,0,0,$I$5*-1,1))</f>
        <v>6.8624960568555826E-2</v>
      </c>
      <c r="V887" s="7">
        <f t="shared" ca="1" si="917"/>
        <v>-5.777631226137795E-2</v>
      </c>
      <c r="W887" s="14">
        <f t="shared" ca="1" si="912"/>
        <v>3.6864056734534474E-2</v>
      </c>
      <c r="X887" s="10">
        <f t="shared" ref="X887:Y887" ca="1" si="966">+X886</f>
        <v>0</v>
      </c>
      <c r="Y887" s="10">
        <f t="shared" ca="1" si="966"/>
        <v>0</v>
      </c>
      <c r="Z887">
        <f t="shared" ca="1" si="919"/>
        <v>1</v>
      </c>
      <c r="AA887">
        <f t="shared" ca="1" si="920"/>
        <v>0</v>
      </c>
      <c r="AB887" s="19">
        <f t="shared" ca="1" si="921"/>
        <v>3.6864056734534474E-2</v>
      </c>
      <c r="AC887" s="19">
        <f t="shared" ca="1" si="922"/>
        <v>0</v>
      </c>
    </row>
    <row r="888" spans="3:29" x14ac:dyDescent="0.25">
      <c r="C888" s="4">
        <v>881</v>
      </c>
      <c r="D888" s="28">
        <v>43259</v>
      </c>
      <c r="E888" s="30">
        <v>21.536000000000001</v>
      </c>
      <c r="F888" s="30">
        <v>64.98385177630459</v>
      </c>
      <c r="G888" s="30">
        <v>8.0826109127995913</v>
      </c>
      <c r="H888" s="30">
        <v>89.750127485976535</v>
      </c>
      <c r="I888" s="8">
        <v>0</v>
      </c>
      <c r="J888" s="31">
        <v>0</v>
      </c>
      <c r="K888" s="31">
        <v>0</v>
      </c>
      <c r="L888" s="31">
        <v>0</v>
      </c>
      <c r="M888" s="31">
        <v>0</v>
      </c>
      <c r="N888" s="31">
        <v>1</v>
      </c>
      <c r="O888" s="31">
        <v>0</v>
      </c>
      <c r="P888" s="31">
        <v>0</v>
      </c>
      <c r="Q888" s="31">
        <v>0</v>
      </c>
      <c r="R888" s="31">
        <v>0</v>
      </c>
      <c r="S888" s="31">
        <v>0</v>
      </c>
      <c r="T888" s="21" cm="1">
        <f t="array" aca="1" ref="T888" ca="1">+fair_value_gap(OFFSET(S887,0,0,-1*$I$5,-1*$Z$1),OFFSET(E887,0,0,-1*$I$5,1),F888:S888,0)</f>
        <v>21.474256053168329</v>
      </c>
      <c r="U888" s="7" cm="1">
        <f t="array" aca="1" ref="U888" ca="1">z_score_diff(OFFSET(T888,0,0,$I$5*-1,1),OFFSET(E888,0,0,$I$5*-1,1))</f>
        <v>0.11975104322646257</v>
      </c>
      <c r="V888" s="7">
        <f t="shared" ca="1" si="917"/>
        <v>-5.779223728227819E-2</v>
      </c>
      <c r="W888" s="14">
        <f t="shared" ca="1" si="912"/>
        <v>3.7368787945134499E-2</v>
      </c>
      <c r="X888" s="10">
        <f t="shared" ref="X888:Y888" ca="1" si="967">+X887</f>
        <v>0</v>
      </c>
      <c r="Y888" s="10">
        <f t="shared" ca="1" si="967"/>
        <v>0</v>
      </c>
      <c r="Z888">
        <f t="shared" ca="1" si="919"/>
        <v>1</v>
      </c>
      <c r="AA888">
        <f t="shared" ca="1" si="920"/>
        <v>0</v>
      </c>
      <c r="AB888" s="19">
        <f t="shared" ca="1" si="921"/>
        <v>3.7368787945134499E-2</v>
      </c>
      <c r="AC888" s="19">
        <f t="shared" ca="1" si="922"/>
        <v>0</v>
      </c>
    </row>
    <row r="889" spans="3:29" x14ac:dyDescent="0.25">
      <c r="C889" s="4">
        <v>882</v>
      </c>
      <c r="D889" s="28">
        <v>43262</v>
      </c>
      <c r="E889" s="30">
        <v>21.338999999999999</v>
      </c>
      <c r="F889" s="30">
        <v>64.89560346290952</v>
      </c>
      <c r="G889" s="30">
        <v>8.0886097436767947</v>
      </c>
      <c r="H889" s="30">
        <v>90.010185028008834</v>
      </c>
      <c r="I889" s="8">
        <v>0</v>
      </c>
      <c r="J889" s="31">
        <v>0</v>
      </c>
      <c r="K889" s="31">
        <v>0</v>
      </c>
      <c r="L889" s="31">
        <v>0</v>
      </c>
      <c r="M889" s="31">
        <v>0</v>
      </c>
      <c r="N889" s="31">
        <v>1</v>
      </c>
      <c r="O889" s="31">
        <v>0</v>
      </c>
      <c r="P889" s="31">
        <v>0</v>
      </c>
      <c r="Q889" s="31">
        <v>0</v>
      </c>
      <c r="R889" s="31">
        <v>0</v>
      </c>
      <c r="S889" s="31">
        <v>0</v>
      </c>
      <c r="T889" s="21" cm="1">
        <f t="array" aca="1" ref="T889" ca="1">+fair_value_gap(OFFSET(S888,0,0,-1*$I$5,-1*$Z$1),OFFSET(E888,0,0,-1*$I$5,1),F889:S889,0)</f>
        <v>21.534381264397968</v>
      </c>
      <c r="U889" s="7" cm="1">
        <f t="array" aca="1" ref="U889" ca="1">z_score_diff(OFFSET(T889,0,0,$I$5*-1,1),OFFSET(E889,0,0,$I$5*-1,1))</f>
        <v>0.23633981320818442</v>
      </c>
      <c r="V889" s="7">
        <f t="shared" ca="1" si="917"/>
        <v>-4.7852780917952295E-2</v>
      </c>
      <c r="W889" s="14">
        <f t="shared" ca="1" si="912"/>
        <v>6.3237239015387359E-2</v>
      </c>
      <c r="X889" s="10">
        <f t="shared" ref="X889:Y889" ca="1" si="968">+X888</f>
        <v>0</v>
      </c>
      <c r="Y889" s="10">
        <f t="shared" ca="1" si="968"/>
        <v>0</v>
      </c>
      <c r="Z889">
        <f t="shared" ca="1" si="919"/>
        <v>1</v>
      </c>
      <c r="AA889">
        <f t="shared" ca="1" si="920"/>
        <v>0</v>
      </c>
      <c r="AB889" s="19">
        <f t="shared" ca="1" si="921"/>
        <v>6.3237239015387359E-2</v>
      </c>
      <c r="AC889" s="19">
        <f t="shared" ca="1" si="922"/>
        <v>0</v>
      </c>
    </row>
    <row r="890" spans="3:29" x14ac:dyDescent="0.25">
      <c r="C890" s="4">
        <v>883</v>
      </c>
      <c r="D890" s="28">
        <v>43263</v>
      </c>
      <c r="E890" s="30">
        <v>21.79</v>
      </c>
      <c r="F890" s="30">
        <v>64.617218768628121</v>
      </c>
      <c r="G890" s="30">
        <v>8.1239887592608362</v>
      </c>
      <c r="H890" s="30">
        <v>90.394277441880277</v>
      </c>
      <c r="I890" s="8">
        <v>0</v>
      </c>
      <c r="J890" s="31">
        <v>0</v>
      </c>
      <c r="K890" s="31">
        <v>0</v>
      </c>
      <c r="L890" s="31">
        <v>0</v>
      </c>
      <c r="M890" s="31">
        <v>0</v>
      </c>
      <c r="N890" s="31">
        <v>1</v>
      </c>
      <c r="O890" s="31">
        <v>0</v>
      </c>
      <c r="P890" s="31">
        <v>0</v>
      </c>
      <c r="Q890" s="31">
        <v>0</v>
      </c>
      <c r="R890" s="31">
        <v>0</v>
      </c>
      <c r="S890" s="31">
        <v>0</v>
      </c>
      <c r="T890" s="21" cm="1">
        <f t="array" aca="1" ref="T890" ca="1">+fair_value_gap(OFFSET(S889,0,0,-1*$I$5,-1*$Z$1),OFFSET(E889,0,0,-1*$I$5,1),F890:S890,0)</f>
        <v>21.564102477063251</v>
      </c>
      <c r="U890" s="7" cm="1">
        <f t="array" aca="1" ref="U890" ca="1">z_score_diff(OFFSET(T890,0,0,$I$5*-1,1),OFFSET(E890,0,0,$I$5*-1,1))</f>
        <v>3.5379720157097783E-2</v>
      </c>
      <c r="V890" s="7">
        <f t="shared" ca="1" si="917"/>
        <v>-4.8606266552007671E-2</v>
      </c>
      <c r="W890" s="14">
        <f t="shared" ca="1" si="912"/>
        <v>4.227848266081758E-2</v>
      </c>
      <c r="X890" s="10">
        <f t="shared" ref="X890:Y890" ca="1" si="969">+X889</f>
        <v>0</v>
      </c>
      <c r="Y890" s="10">
        <f t="shared" ca="1" si="969"/>
        <v>0</v>
      </c>
      <c r="Z890">
        <f t="shared" ca="1" si="919"/>
        <v>1</v>
      </c>
      <c r="AA890">
        <f t="shared" ca="1" si="920"/>
        <v>0</v>
      </c>
      <c r="AB890" s="19">
        <f t="shared" ca="1" si="921"/>
        <v>4.227848266081758E-2</v>
      </c>
      <c r="AC890" s="19">
        <f t="shared" ca="1" si="922"/>
        <v>0</v>
      </c>
    </row>
    <row r="891" spans="3:29" x14ac:dyDescent="0.25">
      <c r="C891" s="4">
        <v>884</v>
      </c>
      <c r="D891" s="28">
        <v>43264</v>
      </c>
      <c r="E891" s="30">
        <v>22.388999999999999</v>
      </c>
      <c r="F891" s="30">
        <v>65.09457969293409</v>
      </c>
      <c r="G891" s="30">
        <v>8.1177368733565185</v>
      </c>
      <c r="H891" s="30">
        <v>89.914326914920679</v>
      </c>
      <c r="I891" s="8">
        <v>0</v>
      </c>
      <c r="J891" s="31">
        <v>0</v>
      </c>
      <c r="K891" s="31">
        <v>0</v>
      </c>
      <c r="L891" s="31">
        <v>0</v>
      </c>
      <c r="M891" s="31">
        <v>0</v>
      </c>
      <c r="N891" s="31">
        <v>1</v>
      </c>
      <c r="O891" s="31">
        <v>0</v>
      </c>
      <c r="P891" s="31">
        <v>0</v>
      </c>
      <c r="Q891" s="31">
        <v>0</v>
      </c>
      <c r="R891" s="31">
        <v>0</v>
      </c>
      <c r="S891" s="31">
        <v>0</v>
      </c>
      <c r="T891" s="21" cm="1">
        <f t="array" aca="1" ref="T891" ca="1">+fair_value_gap(OFFSET(S890,0,0,-1*$I$5,-1*$Z$1),OFFSET(E890,0,0,-1*$I$5,1),F891:S891,0)</f>
        <v>21.571632144820786</v>
      </c>
      <c r="U891" s="7" cm="1">
        <f t="array" aca="1" ref="U891" ca="1">z_score_diff(OFFSET(T891,0,0,$I$5*-1,1),OFFSET(E891,0,0,$I$5*-1,1))</f>
        <v>-0.24153740025910775</v>
      </c>
      <c r="V891" s="7">
        <f t="shared" ca="1" si="917"/>
        <v>-7.0982950375785295E-2</v>
      </c>
      <c r="W891" s="14">
        <f t="shared" ca="1" si="912"/>
        <v>8.4947919041557882E-3</v>
      </c>
      <c r="X891" s="10">
        <f t="shared" ref="X891:Y891" ca="1" si="970">+X890</f>
        <v>0</v>
      </c>
      <c r="Y891" s="10">
        <f t="shared" ca="1" si="970"/>
        <v>0</v>
      </c>
      <c r="Z891">
        <f t="shared" ca="1" si="919"/>
        <v>1</v>
      </c>
      <c r="AA891">
        <f t="shared" ca="1" si="920"/>
        <v>0</v>
      </c>
      <c r="AB891" s="19">
        <f t="shared" ca="1" si="921"/>
        <v>8.4947919041557882E-3</v>
      </c>
      <c r="AC891" s="19">
        <f t="shared" ca="1" si="922"/>
        <v>0</v>
      </c>
    </row>
    <row r="892" spans="3:29" x14ac:dyDescent="0.25">
      <c r="C892" s="4">
        <v>885</v>
      </c>
      <c r="D892" s="28">
        <v>43265</v>
      </c>
      <c r="E892" s="30">
        <v>22.488</v>
      </c>
      <c r="F892" s="30">
        <v>65.652286677617354</v>
      </c>
      <c r="G892" s="30">
        <v>8.3124405636725172</v>
      </c>
      <c r="H892" s="30">
        <v>91.553557534364998</v>
      </c>
      <c r="I892" s="8">
        <v>0</v>
      </c>
      <c r="J892" s="31">
        <v>0</v>
      </c>
      <c r="K892" s="31">
        <v>0</v>
      </c>
      <c r="L892" s="31">
        <v>0</v>
      </c>
      <c r="M892" s="31">
        <v>0</v>
      </c>
      <c r="N892" s="31">
        <v>1</v>
      </c>
      <c r="O892" s="31">
        <v>0</v>
      </c>
      <c r="P892" s="31">
        <v>0</v>
      </c>
      <c r="Q892" s="31">
        <v>0</v>
      </c>
      <c r="R892" s="31">
        <v>0</v>
      </c>
      <c r="S892" s="31">
        <v>0</v>
      </c>
      <c r="T892" s="21" cm="1">
        <f t="array" aca="1" ref="T892" ca="1">+fair_value_gap(OFFSET(S891,0,0,-1*$I$5,-1*$Z$1),OFFSET(E891,0,0,-1*$I$5,1),F892:S892,0)</f>
        <v>21.9999892123374</v>
      </c>
      <c r="U892" s="7" cm="1">
        <f t="array" aca="1" ref="U892" ca="1">z_score_diff(OFFSET(T892,0,0,$I$5*-1,1),OFFSET(E892,0,0,$I$5*-1,1))</f>
        <v>-8.5452900796574305E-2</v>
      </c>
      <c r="V892" s="7">
        <f t="shared" ca="1" si="917"/>
        <v>-6.7826830446741843E-2</v>
      </c>
      <c r="W892" s="14">
        <f t="shared" ca="1" si="912"/>
        <v>-2.3258431629997585E-2</v>
      </c>
      <c r="X892" s="10">
        <f t="shared" ref="X892:Y892" ca="1" si="971">+X891</f>
        <v>0</v>
      </c>
      <c r="Y892" s="10">
        <f t="shared" ca="1" si="971"/>
        <v>0</v>
      </c>
      <c r="Z892">
        <f t="shared" ca="1" si="919"/>
        <v>1</v>
      </c>
      <c r="AA892">
        <f t="shared" ca="1" si="920"/>
        <v>0</v>
      </c>
      <c r="AB892" s="19">
        <f t="shared" ca="1" si="921"/>
        <v>-2.3258431629997585E-2</v>
      </c>
      <c r="AC892" s="19">
        <f t="shared" ca="1" si="922"/>
        <v>0</v>
      </c>
    </row>
    <row r="893" spans="3:29" x14ac:dyDescent="0.25">
      <c r="C893" s="4">
        <v>886</v>
      </c>
      <c r="D893" s="28">
        <v>43266</v>
      </c>
      <c r="E893" s="30">
        <v>21.76</v>
      </c>
      <c r="F893" s="30">
        <v>63.272163349702758</v>
      </c>
      <c r="G893" s="30">
        <v>8.2837942620832248</v>
      </c>
      <c r="H893" s="30">
        <v>91.151891100198142</v>
      </c>
      <c r="I893" s="8">
        <v>0</v>
      </c>
      <c r="J893" s="31">
        <v>0</v>
      </c>
      <c r="K893" s="31">
        <v>0</v>
      </c>
      <c r="L893" s="31">
        <v>0</v>
      </c>
      <c r="M893" s="31">
        <v>0</v>
      </c>
      <c r="N893" s="31">
        <v>1</v>
      </c>
      <c r="O893" s="31">
        <v>0</v>
      </c>
      <c r="P893" s="31">
        <v>0</v>
      </c>
      <c r="Q893" s="31">
        <v>0</v>
      </c>
      <c r="R893" s="31">
        <v>0</v>
      </c>
      <c r="S893" s="31">
        <v>0</v>
      </c>
      <c r="T893" s="21" cm="1">
        <f t="array" aca="1" ref="T893" ca="1">+fair_value_gap(OFFSET(S892,0,0,-1*$I$5,-1*$Z$1),OFFSET(E892,0,0,-1*$I$5,1),F893:S893,0)</f>
        <v>21.688631376842896</v>
      </c>
      <c r="U893" s="7" cm="1">
        <f t="array" aca="1" ref="U893" ca="1">z_score_diff(OFFSET(T893,0,0,$I$5*-1,1),OFFSET(E893,0,0,$I$5*-1,1))</f>
        <v>0.10708382736098221</v>
      </c>
      <c r="V893" s="7">
        <f t="shared" ca="1" si="917"/>
        <v>-5.94784046679495E-2</v>
      </c>
      <c r="W893" s="14">
        <f t="shared" ca="1" si="912"/>
        <v>2.2897602235847588E-2</v>
      </c>
      <c r="X893" s="10">
        <f t="shared" ref="X893:Y893" ca="1" si="972">+X892</f>
        <v>0</v>
      </c>
      <c r="Y893" s="10">
        <f t="shared" ca="1" si="972"/>
        <v>0</v>
      </c>
      <c r="Z893">
        <f t="shared" ca="1" si="919"/>
        <v>1</v>
      </c>
      <c r="AA893">
        <f t="shared" ca="1" si="920"/>
        <v>0</v>
      </c>
      <c r="AB893" s="19">
        <f t="shared" ca="1" si="921"/>
        <v>2.2897602235847588E-2</v>
      </c>
      <c r="AC893" s="19">
        <f t="shared" ca="1" si="922"/>
        <v>0</v>
      </c>
    </row>
    <row r="894" spans="3:29" x14ac:dyDescent="0.25">
      <c r="C894" s="4">
        <v>887</v>
      </c>
      <c r="D894" s="28">
        <v>43269</v>
      </c>
      <c r="E894" s="30">
        <v>22.175000000000001</v>
      </c>
      <c r="F894" s="30">
        <v>64.825331268284302</v>
      </c>
      <c r="G894" s="30">
        <v>9.5938736878334208</v>
      </c>
      <c r="H894" s="30">
        <v>91.120289106866295</v>
      </c>
      <c r="I894" s="8">
        <v>0</v>
      </c>
      <c r="J894" s="31">
        <v>0</v>
      </c>
      <c r="K894" s="31">
        <v>0</v>
      </c>
      <c r="L894" s="31">
        <v>0</v>
      </c>
      <c r="M894" s="31">
        <v>0</v>
      </c>
      <c r="N894" s="31">
        <v>1</v>
      </c>
      <c r="O894" s="31">
        <v>0</v>
      </c>
      <c r="P894" s="31">
        <v>0</v>
      </c>
      <c r="Q894" s="31">
        <v>0</v>
      </c>
      <c r="R894" s="31">
        <v>0</v>
      </c>
      <c r="S894" s="31">
        <v>0</v>
      </c>
      <c r="T894" s="21" cm="1">
        <f t="array" aca="1" ref="T894" ca="1">+fair_value_gap(OFFSET(S893,0,0,-1*$I$5,-1*$Z$1),OFFSET(E893,0,0,-1*$I$5,1),F894:S894,0)</f>
        <v>21.932122628558929</v>
      </c>
      <c r="U894" s="7" cm="1">
        <f t="array" aca="1" ref="U894" ca="1">z_score_diff(OFFSET(T894,0,0,$I$5*-1,1),OFFSET(E894,0,0,$I$5*-1,1))</f>
        <v>2.4768083794243889E-2</v>
      </c>
      <c r="V894" s="7">
        <f t="shared" ca="1" si="917"/>
        <v>-5.0590988266280487E-2</v>
      </c>
      <c r="W894" s="14">
        <f t="shared" ca="1" si="912"/>
        <v>-6.9235745042438863E-3</v>
      </c>
      <c r="X894" s="10">
        <f t="shared" ref="X894:Y894" ca="1" si="973">+X893</f>
        <v>0</v>
      </c>
      <c r="Y894" s="10">
        <f t="shared" ca="1" si="973"/>
        <v>0</v>
      </c>
      <c r="Z894">
        <f t="shared" ca="1" si="919"/>
        <v>1</v>
      </c>
      <c r="AA894">
        <f t="shared" ca="1" si="920"/>
        <v>0</v>
      </c>
      <c r="AB894" s="19">
        <f t="shared" ca="1" si="921"/>
        <v>-6.9235745042438863E-3</v>
      </c>
      <c r="AC894" s="19">
        <f t="shared" ca="1" si="922"/>
        <v>0</v>
      </c>
    </row>
    <row r="895" spans="3:29" x14ac:dyDescent="0.25">
      <c r="C895" s="4">
        <v>888</v>
      </c>
      <c r="D895" s="28">
        <v>43270</v>
      </c>
      <c r="E895" s="30">
        <v>21.702000000000002</v>
      </c>
      <c r="F895" s="30">
        <v>64.791163272350701</v>
      </c>
      <c r="G895" s="30">
        <v>9.4537452537107356</v>
      </c>
      <c r="H895" s="30">
        <v>91.517086641353117</v>
      </c>
      <c r="I895" s="8">
        <v>0</v>
      </c>
      <c r="J895" s="31">
        <v>0</v>
      </c>
      <c r="K895" s="31">
        <v>0</v>
      </c>
      <c r="L895" s="31">
        <v>0</v>
      </c>
      <c r="M895" s="31">
        <v>0</v>
      </c>
      <c r="N895" s="31">
        <v>1</v>
      </c>
      <c r="O895" s="31">
        <v>0</v>
      </c>
      <c r="P895" s="31">
        <v>0</v>
      </c>
      <c r="Q895" s="31">
        <v>0</v>
      </c>
      <c r="R895" s="31">
        <v>0</v>
      </c>
      <c r="S895" s="31">
        <v>0</v>
      </c>
      <c r="T895" s="21" cm="1">
        <f t="array" aca="1" ref="T895" ca="1">+fair_value_gap(OFFSET(S894,0,0,-1*$I$5,-1*$Z$1),OFFSET(E894,0,0,-1*$I$5,1),F895:S895,0)</f>
        <v>22.037480230943178</v>
      </c>
      <c r="U895" s="7" cm="1">
        <f t="array" aca="1" ref="U895" ca="1">z_score_diff(OFFSET(T895,0,0,$I$5*-1,1),OFFSET(E895,0,0,$I$5*-1,1))</f>
        <v>0.29392424026302932</v>
      </c>
      <c r="V895" s="7">
        <f t="shared" ca="1" si="917"/>
        <v>-1.4495372301655252E-2</v>
      </c>
      <c r="W895" s="14">
        <f t="shared" ca="1" si="912"/>
        <v>6.8880283354551958E-3</v>
      </c>
      <c r="X895" s="10">
        <f t="shared" ref="X895:Y895" ca="1" si="974">+X894</f>
        <v>0</v>
      </c>
      <c r="Y895" s="10">
        <f t="shared" ca="1" si="974"/>
        <v>0</v>
      </c>
      <c r="Z895">
        <f t="shared" ca="1" si="919"/>
        <v>1</v>
      </c>
      <c r="AA895">
        <f t="shared" ca="1" si="920"/>
        <v>0</v>
      </c>
      <c r="AB895" s="19">
        <f t="shared" ca="1" si="921"/>
        <v>6.8880283354551958E-3</v>
      </c>
      <c r="AC895" s="19">
        <f t="shared" ca="1" si="922"/>
        <v>0</v>
      </c>
    </row>
    <row r="896" spans="3:29" x14ac:dyDescent="0.25">
      <c r="C896" s="4">
        <v>889</v>
      </c>
      <c r="D896" s="28">
        <v>43271</v>
      </c>
      <c r="E896" s="30">
        <v>21.492000000000001</v>
      </c>
      <c r="F896" s="30">
        <v>64.59809853068279</v>
      </c>
      <c r="G896" s="30">
        <v>9.464131374243733</v>
      </c>
      <c r="H896" s="30">
        <v>91.011235955056179</v>
      </c>
      <c r="I896" s="8">
        <v>0</v>
      </c>
      <c r="J896" s="31">
        <v>0</v>
      </c>
      <c r="K896" s="31">
        <v>0</v>
      </c>
      <c r="L896" s="31">
        <v>0</v>
      </c>
      <c r="M896" s="31">
        <v>0</v>
      </c>
      <c r="N896" s="31">
        <v>1</v>
      </c>
      <c r="O896" s="31">
        <v>0</v>
      </c>
      <c r="P896" s="31">
        <v>0</v>
      </c>
      <c r="Q896" s="31">
        <v>0</v>
      </c>
      <c r="R896" s="31">
        <v>0</v>
      </c>
      <c r="S896" s="31">
        <v>0</v>
      </c>
      <c r="T896" s="21" cm="1">
        <f t="array" aca="1" ref="T896" ca="1">+fair_value_gap(OFFSET(S895,0,0,-1*$I$5,-1*$Z$1),OFFSET(E895,0,0,-1*$I$5,1),F896:S896,0)</f>
        <v>21.903192153670897</v>
      </c>
      <c r="U896" s="7" cm="1">
        <f t="array" aca="1" ref="U896" ca="1">z_score_diff(OFFSET(T896,0,0,$I$5*-1,1),OFFSET(E896,0,0,$I$5*-1,1))</f>
        <v>0.32623149343815894</v>
      </c>
      <c r="V896" s="7">
        <f t="shared" ca="1" si="917"/>
        <v>1.0478073107485686E-2</v>
      </c>
      <c r="W896" s="14">
        <f t="shared" ca="1" si="912"/>
        <v>2.9614816096857278E-2</v>
      </c>
      <c r="X896" s="10">
        <f t="shared" ref="X896:Y896" ca="1" si="975">+X895</f>
        <v>0</v>
      </c>
      <c r="Y896" s="10">
        <f t="shared" ca="1" si="975"/>
        <v>0</v>
      </c>
      <c r="Z896">
        <f t="shared" ca="1" si="919"/>
        <v>0</v>
      </c>
      <c r="AA896">
        <f t="shared" ca="1" si="920"/>
        <v>1</v>
      </c>
      <c r="AB896" s="19">
        <f t="shared" ca="1" si="921"/>
        <v>0</v>
      </c>
      <c r="AC896" s="19">
        <f t="shared" ca="1" si="922"/>
        <v>2.9614816096857278E-2</v>
      </c>
    </row>
    <row r="897" spans="3:29" x14ac:dyDescent="0.25">
      <c r="C897" s="4">
        <v>890</v>
      </c>
      <c r="D897" s="28">
        <v>43272</v>
      </c>
      <c r="E897" s="30">
        <v>21.571999999999999</v>
      </c>
      <c r="F897" s="30">
        <v>62.968709594000522</v>
      </c>
      <c r="G897" s="30">
        <v>9.4043616929575045</v>
      </c>
      <c r="H897" s="30">
        <v>89.862942849754333</v>
      </c>
      <c r="I897" s="8">
        <v>0</v>
      </c>
      <c r="J897" s="31">
        <v>0</v>
      </c>
      <c r="K897" s="31">
        <v>0</v>
      </c>
      <c r="L897" s="31">
        <v>0</v>
      </c>
      <c r="M897" s="31">
        <v>0</v>
      </c>
      <c r="N897" s="31">
        <v>1</v>
      </c>
      <c r="O897" s="31">
        <v>0</v>
      </c>
      <c r="P897" s="31">
        <v>0</v>
      </c>
      <c r="Q897" s="31">
        <v>0</v>
      </c>
      <c r="R897" s="31">
        <v>0</v>
      </c>
      <c r="S897" s="31">
        <v>0</v>
      </c>
      <c r="T897" s="21" cm="1">
        <f t="array" aca="1" ref="T897" ca="1">+fair_value_gap(OFFSET(S896,0,0,-1*$I$5,-1*$Z$1),OFFSET(E896,0,0,-1*$I$5,1),F897:S897,0)</f>
        <v>21.481654147690932</v>
      </c>
      <c r="U897" s="7" cm="1">
        <f t="array" aca="1" ref="U897" ca="1">z_score_diff(OFFSET(T897,0,0,$I$5*-1,1),OFFSET(E897,0,0,$I$5*-1,1))</f>
        <v>8.8684181282109975E-2</v>
      </c>
      <c r="V897" s="7">
        <f t="shared" ca="1" si="917"/>
        <v>2.4004698856086037E-2</v>
      </c>
      <c r="W897" s="14">
        <f t="shared" ca="1" si="912"/>
        <v>2.6576750025557812E-2</v>
      </c>
      <c r="X897" s="10">
        <f t="shared" ref="X897:Y897" ca="1" si="976">+X896</f>
        <v>0</v>
      </c>
      <c r="Y897" s="10">
        <f t="shared" ca="1" si="976"/>
        <v>0</v>
      </c>
      <c r="Z897">
        <f t="shared" ca="1" si="919"/>
        <v>0</v>
      </c>
      <c r="AA897">
        <f t="shared" ca="1" si="920"/>
        <v>1</v>
      </c>
      <c r="AB897" s="19">
        <f t="shared" ca="1" si="921"/>
        <v>0</v>
      </c>
      <c r="AC897" s="19">
        <f t="shared" ca="1" si="922"/>
        <v>2.6576750025557812E-2</v>
      </c>
    </row>
    <row r="898" spans="3:29" x14ac:dyDescent="0.25">
      <c r="C898" s="4">
        <v>891</v>
      </c>
      <c r="D898" s="28">
        <v>43273</v>
      </c>
      <c r="E898" s="30">
        <v>21.681999999999999</v>
      </c>
      <c r="F898" s="30">
        <v>64.821964821964826</v>
      </c>
      <c r="G898" s="30">
        <v>9.1419991419991415</v>
      </c>
      <c r="H898" s="30">
        <v>89.575289575289588</v>
      </c>
      <c r="I898" s="8">
        <v>0</v>
      </c>
      <c r="J898" s="31">
        <v>0</v>
      </c>
      <c r="K898" s="31">
        <v>0</v>
      </c>
      <c r="L898" s="31">
        <v>0</v>
      </c>
      <c r="M898" s="31">
        <v>0</v>
      </c>
      <c r="N898" s="31">
        <v>1</v>
      </c>
      <c r="O898" s="31">
        <v>0</v>
      </c>
      <c r="P898" s="31">
        <v>0</v>
      </c>
      <c r="Q898" s="31">
        <v>0</v>
      </c>
      <c r="R898" s="31">
        <v>0</v>
      </c>
      <c r="S898" s="31">
        <v>0</v>
      </c>
      <c r="T898" s="21" cm="1">
        <f t="array" aca="1" ref="T898" ca="1">+fair_value_gap(OFFSET(S897,0,0,-1*$I$5,-1*$Z$1),OFFSET(E897,0,0,-1*$I$5,1),F898:S898,0)</f>
        <v>21.643263873942491</v>
      </c>
      <c r="U898" s="7" cm="1">
        <f t="array" aca="1" ref="U898" ca="1">z_score_diff(OFFSET(T898,0,0,$I$5*-1,1),OFFSET(E898,0,0,$I$5*-1,1))</f>
        <v>0.11171313270520367</v>
      </c>
      <c r="V898" s="7">
        <f t="shared" ca="1" si="917"/>
        <v>2.0453285387916444E-2</v>
      </c>
      <c r="W898" s="14">
        <f t="shared" ca="1" si="912"/>
        <v>8.8162936739340989E-3</v>
      </c>
      <c r="X898" s="10">
        <f t="shared" ref="X898:Y898" ca="1" si="977">+X897</f>
        <v>0</v>
      </c>
      <c r="Y898" s="10">
        <f t="shared" ca="1" si="977"/>
        <v>0</v>
      </c>
      <c r="Z898">
        <f t="shared" ca="1" si="919"/>
        <v>0</v>
      </c>
      <c r="AA898">
        <f t="shared" ca="1" si="920"/>
        <v>1</v>
      </c>
      <c r="AB898" s="19">
        <f t="shared" ca="1" si="921"/>
        <v>0</v>
      </c>
      <c r="AC898" s="19">
        <f t="shared" ca="1" si="922"/>
        <v>8.8162936739340989E-3</v>
      </c>
    </row>
    <row r="899" spans="3:29" x14ac:dyDescent="0.25">
      <c r="C899" s="4">
        <v>892</v>
      </c>
      <c r="D899" s="28">
        <v>43276</v>
      </c>
      <c r="E899" s="30">
        <v>21.594000000000001</v>
      </c>
      <c r="F899" s="30">
        <v>63.860878482310724</v>
      </c>
      <c r="G899" s="30">
        <v>8.7207314988890801</v>
      </c>
      <c r="H899" s="30">
        <v>89.001880020509333</v>
      </c>
      <c r="I899" s="8">
        <v>0</v>
      </c>
      <c r="J899" s="31">
        <v>0</v>
      </c>
      <c r="K899" s="31">
        <v>0</v>
      </c>
      <c r="L899" s="31">
        <v>0</v>
      </c>
      <c r="M899" s="31">
        <v>0</v>
      </c>
      <c r="N899" s="31">
        <v>1</v>
      </c>
      <c r="O899" s="31">
        <v>0</v>
      </c>
      <c r="P899" s="31">
        <v>0</v>
      </c>
      <c r="Q899" s="31">
        <v>0</v>
      </c>
      <c r="R899" s="31">
        <v>0</v>
      </c>
      <c r="S899" s="31">
        <v>0</v>
      </c>
      <c r="T899" s="21" cm="1">
        <f t="array" aca="1" ref="T899" ca="1">+fair_value_gap(OFFSET(S898,0,0,-1*$I$5,-1*$Z$1),OFFSET(E898,0,0,-1*$I$5,1),F899:S899,0)</f>
        <v>21.452199804762813</v>
      </c>
      <c r="U899" s="7" cm="1">
        <f t="array" aca="1" ref="U899" ca="1">z_score_diff(OFFSET(T899,0,0,$I$5*-1,1),OFFSET(E899,0,0,$I$5*-1,1))</f>
        <v>6.0034675141533267E-2</v>
      </c>
      <c r="V899" s="7">
        <f t="shared" ca="1" si="917"/>
        <v>1.5660092775150736E-2</v>
      </c>
      <c r="W899" s="14">
        <f t="shared" ca="1" si="912"/>
        <v>1.9898873075286379E-2</v>
      </c>
      <c r="X899" s="10">
        <f t="shared" ref="X899:Y899" ca="1" si="978">+X898</f>
        <v>0</v>
      </c>
      <c r="Y899" s="10">
        <f t="shared" ca="1" si="978"/>
        <v>0</v>
      </c>
      <c r="Z899">
        <f t="shared" ca="1" si="919"/>
        <v>0</v>
      </c>
      <c r="AA899">
        <f t="shared" ca="1" si="920"/>
        <v>1</v>
      </c>
      <c r="AB899" s="19">
        <f t="shared" ca="1" si="921"/>
        <v>0</v>
      </c>
      <c r="AC899" s="19">
        <f t="shared" ca="1" si="922"/>
        <v>1.9898873075286379E-2</v>
      </c>
    </row>
    <row r="900" spans="3:29" x14ac:dyDescent="0.25">
      <c r="C900" s="4">
        <v>893</v>
      </c>
      <c r="D900" s="28">
        <v>43277</v>
      </c>
      <c r="E900" s="30">
        <v>21.460999999999999</v>
      </c>
      <c r="F900" s="30">
        <v>65.530270502361532</v>
      </c>
      <c r="G900" s="30">
        <v>8.7376556462000856</v>
      </c>
      <c r="H900" s="30">
        <v>89.566337483898664</v>
      </c>
      <c r="I900" s="8">
        <v>0</v>
      </c>
      <c r="J900" s="31">
        <v>0</v>
      </c>
      <c r="K900" s="31">
        <v>0</v>
      </c>
      <c r="L900" s="31">
        <v>0</v>
      </c>
      <c r="M900" s="31">
        <v>0</v>
      </c>
      <c r="N900" s="31">
        <v>1</v>
      </c>
      <c r="O900" s="31">
        <v>0</v>
      </c>
      <c r="P900" s="31">
        <v>0</v>
      </c>
      <c r="Q900" s="31">
        <v>0</v>
      </c>
      <c r="R900" s="31">
        <v>0</v>
      </c>
      <c r="S900" s="31">
        <v>0</v>
      </c>
      <c r="T900" s="21" cm="1">
        <f t="array" aca="1" ref="T900" ca="1">+fair_value_gap(OFFSET(S899,0,0,-1*$I$5,-1*$Z$1),OFFSET(E899,0,0,-1*$I$5,1),F900:S900,0)</f>
        <v>21.731603452844368</v>
      </c>
      <c r="U900" s="7" cm="1">
        <f t="array" aca="1" ref="U900" ca="1">z_score_diff(OFFSET(T900,0,0,$I$5*-1,1),OFFSET(E900,0,0,$I$5*-1,1))</f>
        <v>0.24934881876028814</v>
      </c>
      <c r="V900" s="7">
        <f t="shared" ca="1" si="917"/>
        <v>3.712603617011221E-2</v>
      </c>
      <c r="W900" s="14">
        <f t="shared" ca="1" si="912"/>
        <v>2.9204518263623344E-2</v>
      </c>
      <c r="X900" s="10">
        <f t="shared" ref="X900:Y900" ca="1" si="979">+X899</f>
        <v>0</v>
      </c>
      <c r="Y900" s="10">
        <f t="shared" ca="1" si="979"/>
        <v>0</v>
      </c>
      <c r="Z900">
        <f t="shared" ca="1" si="919"/>
        <v>0</v>
      </c>
      <c r="AA900">
        <f t="shared" ca="1" si="920"/>
        <v>1</v>
      </c>
      <c r="AB900" s="19">
        <f t="shared" ca="1" si="921"/>
        <v>0</v>
      </c>
      <c r="AC900" s="19">
        <f t="shared" ca="1" si="922"/>
        <v>2.9204518263623344E-2</v>
      </c>
    </row>
    <row r="901" spans="3:29" x14ac:dyDescent="0.25">
      <c r="C901" s="4">
        <v>894</v>
      </c>
      <c r="D901" s="28">
        <v>43278</v>
      </c>
      <c r="E901" s="30">
        <v>22.039000000000001</v>
      </c>
      <c r="F901" s="30">
        <v>67.19182825484765</v>
      </c>
      <c r="G901" s="30">
        <v>9.0893351800554019</v>
      </c>
      <c r="H901" s="30">
        <v>90.244113573407205</v>
      </c>
      <c r="I901" s="8">
        <v>0</v>
      </c>
      <c r="J901" s="31">
        <v>0</v>
      </c>
      <c r="K901" s="31">
        <v>0</v>
      </c>
      <c r="L901" s="31">
        <v>0</v>
      </c>
      <c r="M901" s="31">
        <v>0</v>
      </c>
      <c r="N901" s="31">
        <v>1</v>
      </c>
      <c r="O901" s="31">
        <v>0</v>
      </c>
      <c r="P901" s="31">
        <v>0</v>
      </c>
      <c r="Q901" s="31">
        <v>0</v>
      </c>
      <c r="R901" s="31">
        <v>0</v>
      </c>
      <c r="S901" s="31">
        <v>0</v>
      </c>
      <c r="T901" s="21" cm="1">
        <f t="array" aca="1" ref="T901" ca="1">+fair_value_gap(OFFSET(S900,0,0,-1*$I$5,-1*$Z$1),OFFSET(E900,0,0,-1*$I$5,1),F901:S901,0)</f>
        <v>22.006671775031769</v>
      </c>
      <c r="U901" s="7" cm="1">
        <f t="array" aca="1" ref="U901" ca="1">z_score_diff(OFFSET(T901,0,0,$I$5*-1,1),OFFSET(E901,0,0,$I$5*-1,1))</f>
        <v>9.7908384162592732E-2</v>
      </c>
      <c r="V901" s="7">
        <f t="shared" ca="1" si="917"/>
        <v>5.5245023152100538E-2</v>
      </c>
      <c r="W901" s="14">
        <f t="shared" ca="1" si="912"/>
        <v>6.016620353003912E-3</v>
      </c>
      <c r="X901" s="10">
        <f t="shared" ref="X901:Y901" ca="1" si="980">+X900</f>
        <v>0</v>
      </c>
      <c r="Y901" s="10">
        <f t="shared" ca="1" si="980"/>
        <v>0</v>
      </c>
      <c r="Z901">
        <f t="shared" ca="1" si="919"/>
        <v>0</v>
      </c>
      <c r="AA901">
        <f t="shared" ca="1" si="920"/>
        <v>1</v>
      </c>
      <c r="AB901" s="19">
        <f t="shared" ca="1" si="921"/>
        <v>0</v>
      </c>
      <c r="AC901" s="19">
        <f t="shared" ca="1" si="922"/>
        <v>6.016620353003912E-3</v>
      </c>
    </row>
    <row r="902" spans="3:29" x14ac:dyDescent="0.25">
      <c r="C902" s="4">
        <v>895</v>
      </c>
      <c r="D902" s="28">
        <v>43279</v>
      </c>
      <c r="E902" s="30">
        <v>21.96</v>
      </c>
      <c r="F902" s="30">
        <v>67.303535921155003</v>
      </c>
      <c r="G902" s="30">
        <v>9.0775481974582863</v>
      </c>
      <c r="H902" s="30">
        <v>90.127085674764416</v>
      </c>
      <c r="I902" s="8">
        <v>0</v>
      </c>
      <c r="J902" s="31">
        <v>0</v>
      </c>
      <c r="K902" s="31">
        <v>0</v>
      </c>
      <c r="L902" s="31">
        <v>0</v>
      </c>
      <c r="M902" s="31">
        <v>0</v>
      </c>
      <c r="N902" s="31">
        <v>1</v>
      </c>
      <c r="O902" s="31">
        <v>0</v>
      </c>
      <c r="P902" s="31">
        <v>0</v>
      </c>
      <c r="Q902" s="31">
        <v>0</v>
      </c>
      <c r="R902" s="31">
        <v>0</v>
      </c>
      <c r="S902" s="31">
        <v>0</v>
      </c>
      <c r="T902" s="21" cm="1">
        <f t="array" aca="1" ref="T902" ca="1">+fair_value_gap(OFFSET(S901,0,0,-1*$I$5,-1*$Z$1),OFFSET(E901,0,0,-1*$I$5,1),F902:S902,0)</f>
        <v>21.996994546876159</v>
      </c>
      <c r="U902" s="7" cm="1">
        <f t="array" aca="1" ref="U902" ca="1">z_score_diff(OFFSET(T902,0,0,$I$5*-1,1),OFFSET(E902,0,0,$I$5*-1,1))</f>
        <v>0.1256521110507649</v>
      </c>
      <c r="V902" s="7">
        <f t="shared" ca="1" si="917"/>
        <v>6.2475499955820704E-2</v>
      </c>
      <c r="W902" s="14">
        <f t="shared" ca="1" si="912"/>
        <v>6.9430542339314781E-3</v>
      </c>
      <c r="X902" s="10">
        <f t="shared" ref="X902:Y902" ca="1" si="981">+X901</f>
        <v>0</v>
      </c>
      <c r="Y902" s="10">
        <f t="shared" ca="1" si="981"/>
        <v>0</v>
      </c>
      <c r="Z902">
        <f t="shared" ca="1" si="919"/>
        <v>0</v>
      </c>
      <c r="AA902">
        <f t="shared" ca="1" si="920"/>
        <v>1</v>
      </c>
      <c r="AB902" s="19">
        <f t="shared" ca="1" si="921"/>
        <v>0</v>
      </c>
      <c r="AC902" s="19">
        <f t="shared" ca="1" si="922"/>
        <v>6.9430542339314781E-3</v>
      </c>
    </row>
    <row r="903" spans="3:29" x14ac:dyDescent="0.25">
      <c r="C903" s="4">
        <v>896</v>
      </c>
      <c r="D903" s="28">
        <v>43280</v>
      </c>
      <c r="E903" s="30">
        <v>21.87</v>
      </c>
      <c r="F903" s="30">
        <v>67.996233844046913</v>
      </c>
      <c r="G903" s="30">
        <v>9.0772917914919127</v>
      </c>
      <c r="H903" s="30">
        <v>89.232217752289657</v>
      </c>
      <c r="I903" s="8">
        <v>0</v>
      </c>
      <c r="J903" s="31">
        <v>0</v>
      </c>
      <c r="K903" s="31">
        <v>0</v>
      </c>
      <c r="L903" s="31">
        <v>0</v>
      </c>
      <c r="M903" s="31">
        <v>0</v>
      </c>
      <c r="N903" s="31">
        <v>1</v>
      </c>
      <c r="O903" s="31">
        <v>0</v>
      </c>
      <c r="P903" s="31">
        <v>0</v>
      </c>
      <c r="Q903" s="31">
        <v>0</v>
      </c>
      <c r="R903" s="31">
        <v>0</v>
      </c>
      <c r="S903" s="31">
        <v>0</v>
      </c>
      <c r="T903" s="21" cm="1">
        <f t="array" aca="1" ref="T903" ca="1">+fair_value_gap(OFFSET(S902,0,0,-1*$I$5,-1*$Z$1),OFFSET(E902,0,0,-1*$I$5,1),F903:S903,0)</f>
        <v>21.888211356230716</v>
      </c>
      <c r="U903" s="7" cm="1">
        <f t="array" aca="1" ref="U903" ca="1">z_score_diff(OFFSET(T903,0,0,$I$5*-1,1),OFFSET(E903,0,0,$I$5*-1,1))</f>
        <v>0.11218336847552113</v>
      </c>
      <c r="V903" s="7">
        <f t="shared" ca="1" si="917"/>
        <v>7.792803231213917E-2</v>
      </c>
      <c r="W903" s="14">
        <f t="shared" ref="W903:W966" ca="1" si="982">+LN(OFFSET(E903,$W$3,0,1,1)/E903)</f>
        <v>1.0054385929952761E-3</v>
      </c>
      <c r="X903" s="10">
        <f t="shared" ref="X903:Y903" ca="1" si="983">+X902</f>
        <v>0</v>
      </c>
      <c r="Y903" s="10">
        <f t="shared" ca="1" si="983"/>
        <v>0</v>
      </c>
      <c r="Z903">
        <f t="shared" ca="1" si="919"/>
        <v>0</v>
      </c>
      <c r="AA903">
        <f t="shared" ca="1" si="920"/>
        <v>1</v>
      </c>
      <c r="AB903" s="19">
        <f t="shared" ca="1" si="921"/>
        <v>0</v>
      </c>
      <c r="AC903" s="19">
        <f t="shared" ca="1" si="922"/>
        <v>1.0054385929952761E-3</v>
      </c>
    </row>
    <row r="904" spans="3:29" x14ac:dyDescent="0.25">
      <c r="C904" s="4">
        <v>897</v>
      </c>
      <c r="D904" s="28">
        <v>43283</v>
      </c>
      <c r="E904" s="30">
        <v>22.2</v>
      </c>
      <c r="F904" s="30">
        <v>66.414640433026889</v>
      </c>
      <c r="G904" s="30">
        <v>9.0858321161611819</v>
      </c>
      <c r="H904" s="30">
        <v>91.030157230002587</v>
      </c>
      <c r="I904" s="8">
        <v>0</v>
      </c>
      <c r="J904" s="31">
        <v>0</v>
      </c>
      <c r="K904" s="31">
        <v>0</v>
      </c>
      <c r="L904" s="31">
        <v>0</v>
      </c>
      <c r="M904" s="31">
        <v>0</v>
      </c>
      <c r="N904" s="31">
        <v>0</v>
      </c>
      <c r="O904" s="31">
        <v>1</v>
      </c>
      <c r="P904" s="31">
        <v>0</v>
      </c>
      <c r="Q904" s="31">
        <v>0</v>
      </c>
      <c r="R904" s="31">
        <v>0</v>
      </c>
      <c r="S904" s="31">
        <v>0</v>
      </c>
      <c r="T904" s="21" cm="1">
        <f t="array" aca="1" ref="T904" ca="1">+fair_value_gap(OFFSET(S903,0,0,-1*$I$5,-1*$Z$1),OFFSET(E903,0,0,-1*$I$5,1),F904:S904,0)</f>
        <v>20.855405310830783</v>
      </c>
      <c r="U904" s="7" cm="1">
        <f t="array" aca="1" ref="U904" ca="1">z_score_diff(OFFSET(T904,0,0,$I$5*-1,1),OFFSET(E904,0,0,$I$5*-1,1))</f>
        <v>-0.52711230623954575</v>
      </c>
      <c r="V904" s="7">
        <f t="shared" ca="1" si="917"/>
        <v>6.3141600979973705E-2</v>
      </c>
      <c r="W904" s="14">
        <f t="shared" ca="1" si="982"/>
        <v>-6.3716069960387343E-3</v>
      </c>
      <c r="X904" s="10">
        <f t="shared" ref="X904:Y904" ca="1" si="984">+X903</f>
        <v>0</v>
      </c>
      <c r="Y904" s="10">
        <f t="shared" ca="1" si="984"/>
        <v>0</v>
      </c>
      <c r="Z904">
        <f t="shared" ca="1" si="919"/>
        <v>0</v>
      </c>
      <c r="AA904">
        <f t="shared" ca="1" si="920"/>
        <v>1</v>
      </c>
      <c r="AB904" s="19">
        <f t="shared" ca="1" si="921"/>
        <v>0</v>
      </c>
      <c r="AC904" s="19">
        <f t="shared" ca="1" si="922"/>
        <v>-6.3716069960387343E-3</v>
      </c>
    </row>
    <row r="905" spans="3:29" x14ac:dyDescent="0.25">
      <c r="C905" s="4">
        <v>898</v>
      </c>
      <c r="D905" s="28">
        <v>43284</v>
      </c>
      <c r="E905" s="30">
        <v>22.282</v>
      </c>
      <c r="F905" s="30">
        <v>66.718146718146727</v>
      </c>
      <c r="G905" s="30">
        <v>9.0175890175890174</v>
      </c>
      <c r="H905" s="30">
        <v>91.377091377091375</v>
      </c>
      <c r="I905" s="8">
        <v>0</v>
      </c>
      <c r="J905" s="31">
        <v>0</v>
      </c>
      <c r="K905" s="31">
        <v>0</v>
      </c>
      <c r="L905" s="31">
        <v>0</v>
      </c>
      <c r="M905" s="31">
        <v>0</v>
      </c>
      <c r="N905" s="31">
        <v>0</v>
      </c>
      <c r="O905" s="31">
        <v>1</v>
      </c>
      <c r="P905" s="31">
        <v>0</v>
      </c>
      <c r="Q905" s="31">
        <v>0</v>
      </c>
      <c r="R905" s="31">
        <v>0</v>
      </c>
      <c r="S905" s="31">
        <v>0</v>
      </c>
      <c r="T905" s="21" cm="1">
        <f t="array" aca="1" ref="T905" ca="1">+fair_value_gap(OFFSET(S904,0,0,-1*$I$5,-1*$Z$1),OFFSET(E904,0,0,-1*$I$5,1),F905:S905,0)</f>
        <v>21.293362254965135</v>
      </c>
      <c r="U905" s="7" cm="1">
        <f t="array" aca="1" ref="U905" ca="1">z_score_diff(OFFSET(T905,0,0,$I$5*-1,1),OFFSET(E905,0,0,$I$5*-1,1))</f>
        <v>-0.36168600809891949</v>
      </c>
      <c r="V905" s="7">
        <f t="shared" ca="1" si="917"/>
        <v>4.5435384228838992E-2</v>
      </c>
      <c r="W905" s="14">
        <f t="shared" ca="1" si="982"/>
        <v>-7.6135067618633683E-3</v>
      </c>
      <c r="X905" s="10">
        <f t="shared" ref="X905:Y905" ca="1" si="985">+X904</f>
        <v>0</v>
      </c>
      <c r="Y905" s="10">
        <f t="shared" ca="1" si="985"/>
        <v>0</v>
      </c>
      <c r="Z905">
        <f t="shared" ca="1" si="919"/>
        <v>0</v>
      </c>
      <c r="AA905">
        <f t="shared" ca="1" si="920"/>
        <v>1</v>
      </c>
      <c r="AB905" s="19">
        <f t="shared" ca="1" si="921"/>
        <v>0</v>
      </c>
      <c r="AC905" s="19">
        <f t="shared" ca="1" si="922"/>
        <v>-7.6135067618633683E-3</v>
      </c>
    </row>
    <row r="906" spans="3:29" x14ac:dyDescent="0.25">
      <c r="C906" s="4">
        <v>899</v>
      </c>
      <c r="D906" s="28">
        <v>43285</v>
      </c>
      <c r="E906" s="30">
        <v>22.251000000000001</v>
      </c>
      <c r="F906" s="30">
        <v>67.135747382872836</v>
      </c>
      <c r="G906" s="30">
        <v>9.0183627938905104</v>
      </c>
      <c r="H906" s="30">
        <v>92.285910417024198</v>
      </c>
      <c r="I906" s="8">
        <v>0</v>
      </c>
      <c r="J906" s="31">
        <v>0</v>
      </c>
      <c r="K906" s="31">
        <v>0</v>
      </c>
      <c r="L906" s="31">
        <v>0</v>
      </c>
      <c r="M906" s="31">
        <v>0</v>
      </c>
      <c r="N906" s="31">
        <v>0</v>
      </c>
      <c r="O906" s="31">
        <v>1</v>
      </c>
      <c r="P906" s="31">
        <v>0</v>
      </c>
      <c r="Q906" s="31">
        <v>0</v>
      </c>
      <c r="R906" s="31">
        <v>0</v>
      </c>
      <c r="S906" s="31">
        <v>0</v>
      </c>
      <c r="T906" s="21" cm="1">
        <f t="array" aca="1" ref="T906" ca="1">+fair_value_gap(OFFSET(S905,0,0,-1*$I$5,-1*$Z$1),OFFSET(E905,0,0,-1*$I$5,1),F906:S906,0)</f>
        <v>21.704413578345715</v>
      </c>
      <c r="U906" s="7" cm="1">
        <f t="array" aca="1" ref="U906" ca="1">z_score_diff(OFFSET(T906,0,0,$I$5*-1,1),OFFSET(E906,0,0,$I$5*-1,1))</f>
        <v>-0.15658074144393574</v>
      </c>
      <c r="V906" s="7">
        <f t="shared" ca="1" si="917"/>
        <v>3.426292483783229E-2</v>
      </c>
      <c r="W906" s="14">
        <f t="shared" ca="1" si="982"/>
        <v>-1.4440193880728855E-2</v>
      </c>
      <c r="X906" s="10">
        <f t="shared" ref="X906:Y906" ca="1" si="986">+X905</f>
        <v>0</v>
      </c>
      <c r="Y906" s="10">
        <f t="shared" ca="1" si="986"/>
        <v>0</v>
      </c>
      <c r="Z906">
        <f t="shared" ca="1" si="919"/>
        <v>0</v>
      </c>
      <c r="AA906">
        <f t="shared" ca="1" si="920"/>
        <v>1</v>
      </c>
      <c r="AB906" s="19">
        <f t="shared" ca="1" si="921"/>
        <v>0</v>
      </c>
      <c r="AC906" s="19">
        <f t="shared" ca="1" si="922"/>
        <v>-1.4440193880728855E-2</v>
      </c>
    </row>
    <row r="907" spans="3:29" x14ac:dyDescent="0.25">
      <c r="C907" s="4">
        <v>900</v>
      </c>
      <c r="D907" s="28">
        <v>43286</v>
      </c>
      <c r="E907" s="30">
        <v>22.463000000000001</v>
      </c>
      <c r="F907" s="30">
        <v>66.207545555650611</v>
      </c>
      <c r="G907" s="30">
        <v>9.0084695012404818</v>
      </c>
      <c r="H907" s="30">
        <v>92.266233210710922</v>
      </c>
      <c r="I907" s="8">
        <v>0</v>
      </c>
      <c r="J907" s="31">
        <v>0</v>
      </c>
      <c r="K907" s="31">
        <v>0</v>
      </c>
      <c r="L907" s="31">
        <v>0</v>
      </c>
      <c r="M907" s="31">
        <v>0</v>
      </c>
      <c r="N907" s="31">
        <v>0</v>
      </c>
      <c r="O907" s="31">
        <v>1</v>
      </c>
      <c r="P907" s="31">
        <v>0</v>
      </c>
      <c r="Q907" s="31">
        <v>0</v>
      </c>
      <c r="R907" s="31">
        <v>0</v>
      </c>
      <c r="S907" s="31">
        <v>0</v>
      </c>
      <c r="T907" s="21" cm="1">
        <f t="array" aca="1" ref="T907" ca="1">+fair_value_gap(OFFSET(S906,0,0,-1*$I$5,-1*$Z$1),OFFSET(E906,0,0,-1*$I$5,1),F907:S907,0)</f>
        <v>21.684427424084745</v>
      </c>
      <c r="U907" s="7" cm="1">
        <f t="array" aca="1" ref="U907" ca="1">z_score_diff(OFFSET(T907,0,0,$I$5*-1,1),OFFSET(E907,0,0,$I$5*-1,1))</f>
        <v>-0.26821136293045766</v>
      </c>
      <c r="V907" s="7">
        <f t="shared" ref="V907:V970" ca="1" si="987">+IF(ISERROR(AVERAGE(OFFSET(U907,0,0,$V$5*-1,1))),"",AVERAGE(OFFSET(U907,0,0,$V$5*-1,1)))</f>
        <v>1.7421108662881612E-2</v>
      </c>
      <c r="W907" s="14">
        <f t="shared" ca="1" si="982"/>
        <v>-2.3740388363074606E-2</v>
      </c>
      <c r="X907" s="10">
        <f t="shared" ref="X907:Y907" ca="1" si="988">+X906</f>
        <v>0</v>
      </c>
      <c r="Y907" s="10">
        <f t="shared" ca="1" si="988"/>
        <v>0</v>
      </c>
      <c r="Z907">
        <f t="shared" ref="Z907:Z970" ca="1" si="989">+IF(V907="","",IF(V907&lt;X907,1,0))</f>
        <v>0</v>
      </c>
      <c r="AA907">
        <f t="shared" ref="AA907:AA970" ca="1" si="990">+IF(V907="","",IF(V907&gt;Y907,1,0))</f>
        <v>1</v>
      </c>
      <c r="AB907" s="19">
        <f t="shared" ref="AB907:AB970" ca="1" si="991">+IF(ISERROR(Z907*W907),"",Z907*W907)</f>
        <v>0</v>
      </c>
      <c r="AC907" s="19">
        <f t="shared" ref="AC907:AC970" ca="1" si="992">+IF(ISERROR(AA907*W907),"",AA907*W907)</f>
        <v>-2.3740388363074606E-2</v>
      </c>
    </row>
    <row r="908" spans="3:29" x14ac:dyDescent="0.25">
      <c r="C908" s="4">
        <v>901</v>
      </c>
      <c r="D908" s="28">
        <v>43287</v>
      </c>
      <c r="E908" s="30">
        <v>22.356000000000002</v>
      </c>
      <c r="F908" s="30">
        <v>65.653469561515536</v>
      </c>
      <c r="G908" s="30">
        <v>8.9655172413793096</v>
      </c>
      <c r="H908" s="30">
        <v>91.570881226053629</v>
      </c>
      <c r="I908" s="8">
        <v>0</v>
      </c>
      <c r="J908" s="31">
        <v>0</v>
      </c>
      <c r="K908" s="31">
        <v>0</v>
      </c>
      <c r="L908" s="31">
        <v>0</v>
      </c>
      <c r="M908" s="31">
        <v>0</v>
      </c>
      <c r="N908" s="31">
        <v>0</v>
      </c>
      <c r="O908" s="31">
        <v>1</v>
      </c>
      <c r="P908" s="31">
        <v>0</v>
      </c>
      <c r="Q908" s="31">
        <v>0</v>
      </c>
      <c r="R908" s="31">
        <v>0</v>
      </c>
      <c r="S908" s="31">
        <v>0</v>
      </c>
      <c r="T908" s="21" cm="1">
        <f t="array" aca="1" ref="T908" ca="1">+fair_value_gap(OFFSET(S907,0,0,-1*$I$5,-1*$Z$1),OFFSET(E907,0,0,-1*$I$5,1),F908:S908,0)</f>
        <v>21.610760159660952</v>
      </c>
      <c r="U908" s="7" cm="1">
        <f t="array" aca="1" ref="U908" ca="1">z_score_diff(OFFSET(T908,0,0,$I$5*-1,1),OFFSET(E908,0,0,$I$5*-1,1))</f>
        <v>-0.25053627759804664</v>
      </c>
      <c r="V908" s="7">
        <f t="shared" ca="1" si="987"/>
        <v>-1.0932573783438483E-3</v>
      </c>
      <c r="W908" s="14">
        <f t="shared" ca="1" si="982"/>
        <v>-4.2584729392597847E-3</v>
      </c>
      <c r="X908" s="10">
        <f t="shared" ref="X908:Y908" ca="1" si="993">+X907</f>
        <v>0</v>
      </c>
      <c r="Y908" s="10">
        <f t="shared" ca="1" si="993"/>
        <v>0</v>
      </c>
      <c r="Z908">
        <f t="shared" ca="1" si="989"/>
        <v>1</v>
      </c>
      <c r="AA908">
        <f t="shared" ca="1" si="990"/>
        <v>0</v>
      </c>
      <c r="AB908" s="19">
        <f t="shared" ca="1" si="991"/>
        <v>-4.2584729392597847E-3</v>
      </c>
      <c r="AC908" s="19">
        <f t="shared" ca="1" si="992"/>
        <v>0</v>
      </c>
    </row>
    <row r="909" spans="3:29" x14ac:dyDescent="0.25">
      <c r="C909" s="4">
        <v>902</v>
      </c>
      <c r="D909" s="28">
        <v>43290</v>
      </c>
      <c r="E909" s="30">
        <v>22.731999999999999</v>
      </c>
      <c r="F909" s="30">
        <v>66.448208358158126</v>
      </c>
      <c r="G909" s="30">
        <v>8.9624648906289881</v>
      </c>
      <c r="H909" s="30">
        <v>92.178057707038889</v>
      </c>
      <c r="I909" s="8">
        <v>0</v>
      </c>
      <c r="J909" s="31">
        <v>0</v>
      </c>
      <c r="K909" s="31">
        <v>0</v>
      </c>
      <c r="L909" s="31">
        <v>0</v>
      </c>
      <c r="M909" s="31">
        <v>0</v>
      </c>
      <c r="N909" s="31">
        <v>0</v>
      </c>
      <c r="O909" s="31">
        <v>1</v>
      </c>
      <c r="P909" s="31">
        <v>0</v>
      </c>
      <c r="Q909" s="31">
        <v>0</v>
      </c>
      <c r="R909" s="31">
        <v>0</v>
      </c>
      <c r="S909" s="31">
        <v>0</v>
      </c>
      <c r="T909" s="21" cm="1">
        <f t="array" aca="1" ref="T909" ca="1">+fair_value_gap(OFFSET(S908,0,0,-1*$I$5,-1*$Z$1),OFFSET(E908,0,0,-1*$I$5,1),F909:S909,0)</f>
        <v>21.912568200713707</v>
      </c>
      <c r="U909" s="7" cm="1">
        <f t="array" aca="1" ref="U909" ca="1">z_score_diff(OFFSET(T909,0,0,$I$5*-1,1),OFFSET(E909,0,0,$I$5*-1,1))</f>
        <v>-0.2892911826750233</v>
      </c>
      <c r="V909" s="7">
        <f t="shared" ca="1" si="987"/>
        <v>-2.7374807172504234E-2</v>
      </c>
      <c r="W909" s="14">
        <f t="shared" ca="1" si="982"/>
        <v>-1.0258314224500603E-2</v>
      </c>
      <c r="X909" s="10">
        <f t="shared" ref="X909:Y909" ca="1" si="994">+X908</f>
        <v>0</v>
      </c>
      <c r="Y909" s="10">
        <f t="shared" ca="1" si="994"/>
        <v>0</v>
      </c>
      <c r="Z909">
        <f t="shared" ca="1" si="989"/>
        <v>1</v>
      </c>
      <c r="AA909">
        <f t="shared" ca="1" si="990"/>
        <v>0</v>
      </c>
      <c r="AB909" s="19">
        <f t="shared" ca="1" si="991"/>
        <v>-1.0258314224500603E-2</v>
      </c>
      <c r="AC909" s="19">
        <f t="shared" ca="1" si="992"/>
        <v>0</v>
      </c>
    </row>
    <row r="910" spans="3:29" x14ac:dyDescent="0.25">
      <c r="C910" s="4">
        <v>903</v>
      </c>
      <c r="D910" s="28">
        <v>43291</v>
      </c>
      <c r="E910" s="30">
        <v>22.731000000000002</v>
      </c>
      <c r="F910" s="30">
        <v>67.160619996593425</v>
      </c>
      <c r="G910" s="30">
        <v>8.9507749957417815</v>
      </c>
      <c r="H910" s="30">
        <v>92.658831544881622</v>
      </c>
      <c r="I910" s="8">
        <v>0</v>
      </c>
      <c r="J910" s="31">
        <v>0</v>
      </c>
      <c r="K910" s="31">
        <v>0</v>
      </c>
      <c r="L910" s="31">
        <v>0</v>
      </c>
      <c r="M910" s="31">
        <v>0</v>
      </c>
      <c r="N910" s="31">
        <v>0</v>
      </c>
      <c r="O910" s="31">
        <v>1</v>
      </c>
      <c r="P910" s="31">
        <v>0</v>
      </c>
      <c r="Q910" s="31">
        <v>0</v>
      </c>
      <c r="R910" s="31">
        <v>0</v>
      </c>
      <c r="S910" s="31">
        <v>0</v>
      </c>
      <c r="T910" s="21" cm="1">
        <f t="array" aca="1" ref="T910" ca="1">+fair_value_gap(OFFSET(S909,0,0,-1*$I$5,-1*$Z$1),OFFSET(E909,0,0,-1*$I$5,1),F910:S910,0)</f>
        <v>22.177850290191778</v>
      </c>
      <c r="U910" s="7" cm="1">
        <f t="array" aca="1" ref="U910" ca="1">z_score_diff(OFFSET(T910,0,0,$I$5*-1,1),OFFSET(E910,0,0,$I$5*-1,1))</f>
        <v>-0.16399826189234323</v>
      </c>
      <c r="V910" s="7">
        <f t="shared" ca="1" si="987"/>
        <v>-3.7343706274976282E-2</v>
      </c>
      <c r="W910" s="14">
        <f t="shared" ca="1" si="982"/>
        <v>-5.2931180879035693E-3</v>
      </c>
      <c r="X910" s="10">
        <f t="shared" ref="X910:Y910" ca="1" si="995">+X909</f>
        <v>0</v>
      </c>
      <c r="Y910" s="10">
        <f t="shared" ca="1" si="995"/>
        <v>0</v>
      </c>
      <c r="Z910">
        <f t="shared" ca="1" si="989"/>
        <v>1</v>
      </c>
      <c r="AA910">
        <f t="shared" ca="1" si="990"/>
        <v>0</v>
      </c>
      <c r="AB910" s="19">
        <f t="shared" ca="1" si="991"/>
        <v>-5.2931180879035693E-3</v>
      </c>
      <c r="AC910" s="19">
        <f t="shared" ca="1" si="992"/>
        <v>0</v>
      </c>
    </row>
    <row r="911" spans="3:29" x14ac:dyDescent="0.25">
      <c r="C911" s="4">
        <v>904</v>
      </c>
      <c r="D911" s="28">
        <v>43292</v>
      </c>
      <c r="E911" s="30">
        <v>22.58</v>
      </c>
      <c r="F911" s="30">
        <v>62.885538039753257</v>
      </c>
      <c r="G911" s="30">
        <v>8.9787525702535991</v>
      </c>
      <c r="H911" s="30">
        <v>93.428718300205617</v>
      </c>
      <c r="I911" s="8">
        <v>0</v>
      </c>
      <c r="J911" s="31">
        <v>0</v>
      </c>
      <c r="K911" s="31">
        <v>0</v>
      </c>
      <c r="L911" s="31">
        <v>0</v>
      </c>
      <c r="M911" s="31">
        <v>0</v>
      </c>
      <c r="N911" s="31">
        <v>0</v>
      </c>
      <c r="O911" s="31">
        <v>1</v>
      </c>
      <c r="P911" s="31">
        <v>0</v>
      </c>
      <c r="Q911" s="31">
        <v>0</v>
      </c>
      <c r="R911" s="31">
        <v>0</v>
      </c>
      <c r="S911" s="31">
        <v>0</v>
      </c>
      <c r="T911" s="21" cm="1">
        <f t="array" aca="1" ref="T911" ca="1">+fair_value_gap(OFFSET(S910,0,0,-1*$I$5,-1*$Z$1),OFFSET(E910,0,0,-1*$I$5,1),F911:S911,0)</f>
        <v>21.788599479026296</v>
      </c>
      <c r="U911" s="7" cm="1">
        <f t="array" aca="1" ref="U911" ca="1">z_score_diff(OFFSET(T911,0,0,$I$5*-1,1),OFFSET(E911,0,0,$I$5*-1,1))</f>
        <v>-0.27231150547927951</v>
      </c>
      <c r="V911" s="7">
        <f t="shared" ca="1" si="987"/>
        <v>-3.8882411535984873E-2</v>
      </c>
      <c r="W911" s="14">
        <f t="shared" ca="1" si="982"/>
        <v>8.4109879015147775E-4</v>
      </c>
      <c r="X911" s="10">
        <f t="shared" ref="X911:Y911" ca="1" si="996">+X910</f>
        <v>0</v>
      </c>
      <c r="Y911" s="10">
        <f t="shared" ca="1" si="996"/>
        <v>0</v>
      </c>
      <c r="Z911">
        <f t="shared" ca="1" si="989"/>
        <v>1</v>
      </c>
      <c r="AA911">
        <f t="shared" ca="1" si="990"/>
        <v>0</v>
      </c>
      <c r="AB911" s="19">
        <f t="shared" ca="1" si="991"/>
        <v>8.4109879015147775E-4</v>
      </c>
      <c r="AC911" s="19">
        <f t="shared" ca="1" si="992"/>
        <v>0</v>
      </c>
    </row>
    <row r="912" spans="3:29" x14ac:dyDescent="0.25">
      <c r="C912" s="4">
        <v>905</v>
      </c>
      <c r="D912" s="28">
        <v>43293</v>
      </c>
      <c r="E912" s="30">
        <v>21.971</v>
      </c>
      <c r="F912" s="30">
        <v>63.790592065804134</v>
      </c>
      <c r="G912" s="30">
        <v>8.9709536457887076</v>
      </c>
      <c r="H912" s="30">
        <v>92.365692742695572</v>
      </c>
      <c r="I912" s="8">
        <v>0</v>
      </c>
      <c r="J912" s="31">
        <v>0</v>
      </c>
      <c r="K912" s="31">
        <v>0</v>
      </c>
      <c r="L912" s="31">
        <v>0</v>
      </c>
      <c r="M912" s="31">
        <v>0</v>
      </c>
      <c r="N912" s="31">
        <v>0</v>
      </c>
      <c r="O912" s="31">
        <v>1</v>
      </c>
      <c r="P912" s="31">
        <v>0</v>
      </c>
      <c r="Q912" s="31">
        <v>0</v>
      </c>
      <c r="R912" s="31">
        <v>0</v>
      </c>
      <c r="S912" s="31">
        <v>0</v>
      </c>
      <c r="T912" s="21" cm="1">
        <f t="array" aca="1" ref="T912" ca="1">+fair_value_gap(OFFSET(S911,0,0,-1*$I$5,-1*$Z$1),OFFSET(E911,0,0,-1*$I$5,1),F912:S912,0)</f>
        <v>21.826065306318537</v>
      </c>
      <c r="U912" s="7" cm="1">
        <f t="array" aca="1" ref="U912" ca="1">z_score_diff(OFFSET(T912,0,0,$I$5*-1,1),OFFSET(E912,0,0,$I$5*-1,1))</f>
        <v>4.1629137022177076E-2</v>
      </c>
      <c r="V912" s="7">
        <f t="shared" ca="1" si="987"/>
        <v>-3.2528309645047306E-2</v>
      </c>
      <c r="W912" s="14">
        <f t="shared" ca="1" si="982"/>
        <v>3.3214045815046091E-2</v>
      </c>
      <c r="X912" s="10">
        <f t="shared" ref="X912:Y912" ca="1" si="997">+X911</f>
        <v>0</v>
      </c>
      <c r="Y912" s="10">
        <f t="shared" ca="1" si="997"/>
        <v>0</v>
      </c>
      <c r="Z912">
        <f t="shared" ca="1" si="989"/>
        <v>1</v>
      </c>
      <c r="AA912">
        <f t="shared" ca="1" si="990"/>
        <v>0</v>
      </c>
      <c r="AB912" s="19">
        <f t="shared" ca="1" si="991"/>
        <v>3.3214045815046091E-2</v>
      </c>
      <c r="AC912" s="19">
        <f t="shared" ca="1" si="992"/>
        <v>0</v>
      </c>
    </row>
    <row r="913" spans="3:29" x14ac:dyDescent="0.25">
      <c r="C913" s="4">
        <v>906</v>
      </c>
      <c r="D913" s="28">
        <v>43294</v>
      </c>
      <c r="E913" s="30">
        <v>22.263999999999999</v>
      </c>
      <c r="F913" s="30">
        <v>64.467265725288826</v>
      </c>
      <c r="G913" s="30">
        <v>8.9473684210526301</v>
      </c>
      <c r="H913" s="30">
        <v>91.912708600770216</v>
      </c>
      <c r="I913" s="8">
        <v>0</v>
      </c>
      <c r="J913" s="31">
        <v>0</v>
      </c>
      <c r="K913" s="31">
        <v>0</v>
      </c>
      <c r="L913" s="31">
        <v>0</v>
      </c>
      <c r="M913" s="31">
        <v>0</v>
      </c>
      <c r="N913" s="31">
        <v>0</v>
      </c>
      <c r="O913" s="31">
        <v>1</v>
      </c>
      <c r="P913" s="31">
        <v>0</v>
      </c>
      <c r="Q913" s="31">
        <v>0</v>
      </c>
      <c r="R913" s="31">
        <v>0</v>
      </c>
      <c r="S913" s="31">
        <v>0</v>
      </c>
      <c r="T913" s="21" cm="1">
        <f t="array" aca="1" ref="T913" ca="1">+fair_value_gap(OFFSET(S912,0,0,-1*$I$5,-1*$Z$1),OFFSET(E912,0,0,-1*$I$5,1),F913:S913,0)</f>
        <v>21.86387532160667</v>
      </c>
      <c r="U913" s="7" cm="1">
        <f t="array" aca="1" ref="U913" ca="1">z_score_diff(OFFSET(T913,0,0,$I$5*-1,1),OFFSET(E913,0,0,$I$5*-1,1))</f>
        <v>-8.417493522715902E-2</v>
      </c>
      <c r="V913" s="7">
        <f t="shared" ca="1" si="987"/>
        <v>-4.2091247774454367E-2</v>
      </c>
      <c r="W913" s="14">
        <f t="shared" ca="1" si="982"/>
        <v>2.7335847626621706E-2</v>
      </c>
      <c r="X913" s="10">
        <f t="shared" ref="X913:Y913" ca="1" si="998">+X912</f>
        <v>0</v>
      </c>
      <c r="Y913" s="10">
        <f t="shared" ca="1" si="998"/>
        <v>0</v>
      </c>
      <c r="Z913">
        <f t="shared" ca="1" si="989"/>
        <v>1</v>
      </c>
      <c r="AA913">
        <f t="shared" ca="1" si="990"/>
        <v>0</v>
      </c>
      <c r="AB913" s="19">
        <f t="shared" ca="1" si="991"/>
        <v>2.7335847626621706E-2</v>
      </c>
      <c r="AC913" s="19">
        <f t="shared" ca="1" si="992"/>
        <v>0</v>
      </c>
    </row>
    <row r="914" spans="3:29" x14ac:dyDescent="0.25">
      <c r="C914" s="4">
        <v>907</v>
      </c>
      <c r="D914" s="28">
        <v>43297</v>
      </c>
      <c r="E914" s="30">
        <v>22.021999999999998</v>
      </c>
      <c r="F914" s="30">
        <v>61.354513622000169</v>
      </c>
      <c r="G914" s="30">
        <v>8.0322828593389684</v>
      </c>
      <c r="H914" s="30">
        <v>91.425399265522245</v>
      </c>
      <c r="I914" s="8">
        <v>0</v>
      </c>
      <c r="J914" s="31">
        <v>0</v>
      </c>
      <c r="K914" s="31">
        <v>0</v>
      </c>
      <c r="L914" s="31">
        <v>0</v>
      </c>
      <c r="M914" s="31">
        <v>0</v>
      </c>
      <c r="N914" s="31">
        <v>0</v>
      </c>
      <c r="O914" s="31">
        <v>1</v>
      </c>
      <c r="P914" s="31">
        <v>0</v>
      </c>
      <c r="Q914" s="31">
        <v>0</v>
      </c>
      <c r="R914" s="31">
        <v>0</v>
      </c>
      <c r="S914" s="31">
        <v>0</v>
      </c>
      <c r="T914" s="21" cm="1">
        <f t="array" aca="1" ref="T914" ca="1">+fair_value_gap(OFFSET(S913,0,0,-1*$I$5,-1*$Z$1),OFFSET(E913,0,0,-1*$I$5,1),F914:S914,0)</f>
        <v>21.365455336342428</v>
      </c>
      <c r="U914" s="7" cm="1">
        <f t="array" aca="1" ref="U914" ca="1">z_score_diff(OFFSET(T914,0,0,$I$5*-1,1),OFFSET(E914,0,0,$I$5*-1,1))</f>
        <v>-0.2015847074941326</v>
      </c>
      <c r="V914" s="7">
        <f t="shared" ca="1" si="987"/>
        <v>-5.3408887338873189E-2</v>
      </c>
      <c r="W914" s="14">
        <f t="shared" ca="1" si="982"/>
        <v>6.4958467458713962E-2</v>
      </c>
      <c r="X914" s="10">
        <f t="shared" ref="X914:Y914" ca="1" si="999">+X913</f>
        <v>0</v>
      </c>
      <c r="Y914" s="10">
        <f t="shared" ca="1" si="999"/>
        <v>0</v>
      </c>
      <c r="Z914">
        <f t="shared" ca="1" si="989"/>
        <v>1</v>
      </c>
      <c r="AA914">
        <f t="shared" ca="1" si="990"/>
        <v>0</v>
      </c>
      <c r="AB914" s="19">
        <f t="shared" ca="1" si="991"/>
        <v>6.4958467458713962E-2</v>
      </c>
      <c r="AC914" s="19">
        <f t="shared" ca="1" si="992"/>
        <v>0</v>
      </c>
    </row>
    <row r="915" spans="3:29" x14ac:dyDescent="0.25">
      <c r="C915" s="4">
        <v>908</v>
      </c>
      <c r="D915" s="28">
        <v>43298</v>
      </c>
      <c r="E915" s="30">
        <v>21.852</v>
      </c>
      <c r="F915" s="30">
        <v>61.892100523200959</v>
      </c>
      <c r="G915" s="30">
        <v>8.105326357320525</v>
      </c>
      <c r="H915" s="30">
        <v>91.817480058324051</v>
      </c>
      <c r="I915" s="8">
        <v>0</v>
      </c>
      <c r="J915" s="31">
        <v>0</v>
      </c>
      <c r="K915" s="31">
        <v>0</v>
      </c>
      <c r="L915" s="31">
        <v>0</v>
      </c>
      <c r="M915" s="31">
        <v>0</v>
      </c>
      <c r="N915" s="31">
        <v>0</v>
      </c>
      <c r="O915" s="31">
        <v>1</v>
      </c>
      <c r="P915" s="31">
        <v>0</v>
      </c>
      <c r="Q915" s="31">
        <v>0</v>
      </c>
      <c r="R915" s="31">
        <v>0</v>
      </c>
      <c r="S915" s="31">
        <v>0</v>
      </c>
      <c r="T915" s="21" cm="1">
        <f t="array" aca="1" ref="T915" ca="1">+fair_value_gap(OFFSET(S914,0,0,-1*$I$5,-1*$Z$1),OFFSET(E914,0,0,-1*$I$5,1),F915:S915,0)</f>
        <v>21.584954265400366</v>
      </c>
      <c r="U915" s="7" cm="1">
        <f t="array" aca="1" ref="U915" ca="1">z_score_diff(OFFSET(T915,0,0,$I$5*-1,1),OFFSET(E915,0,0,$I$5*-1,1))</f>
        <v>-1.4050826661509808E-2</v>
      </c>
      <c r="V915" s="7">
        <f t="shared" ca="1" si="987"/>
        <v>-6.8807640685100147E-2</v>
      </c>
      <c r="W915" s="14">
        <f t="shared" ca="1" si="982"/>
        <v>8.2194743443009033E-2</v>
      </c>
      <c r="X915" s="10">
        <f t="shared" ref="X915:Y915" ca="1" si="1000">+X914</f>
        <v>0</v>
      </c>
      <c r="Y915" s="10">
        <f t="shared" ca="1" si="1000"/>
        <v>0</v>
      </c>
      <c r="Z915">
        <f t="shared" ca="1" si="989"/>
        <v>1</v>
      </c>
      <c r="AA915">
        <f t="shared" ca="1" si="990"/>
        <v>0</v>
      </c>
      <c r="AB915" s="19">
        <f t="shared" ca="1" si="991"/>
        <v>8.2194743443009033E-2</v>
      </c>
      <c r="AC915" s="19">
        <f t="shared" ca="1" si="992"/>
        <v>0</v>
      </c>
    </row>
    <row r="916" spans="3:29" x14ac:dyDescent="0.25">
      <c r="C916" s="4">
        <v>909</v>
      </c>
      <c r="D916" s="28">
        <v>43299</v>
      </c>
      <c r="E916" s="30">
        <v>22.138000000000002</v>
      </c>
      <c r="F916" s="30">
        <v>62.639628802199695</v>
      </c>
      <c r="G916" s="30">
        <v>8.2015810276679844</v>
      </c>
      <c r="H916" s="30">
        <v>93.315002577762499</v>
      </c>
      <c r="I916" s="8">
        <v>0</v>
      </c>
      <c r="J916" s="31">
        <v>0</v>
      </c>
      <c r="K916" s="31">
        <v>0</v>
      </c>
      <c r="L916" s="31">
        <v>0</v>
      </c>
      <c r="M916" s="31">
        <v>0</v>
      </c>
      <c r="N916" s="31">
        <v>0</v>
      </c>
      <c r="O916" s="31">
        <v>1</v>
      </c>
      <c r="P916" s="31">
        <v>0</v>
      </c>
      <c r="Q916" s="31">
        <v>0</v>
      </c>
      <c r="R916" s="31">
        <v>0</v>
      </c>
      <c r="S916" s="31">
        <v>0</v>
      </c>
      <c r="T916" s="21" cm="1">
        <f t="array" aca="1" ref="T916" ca="1">+fair_value_gap(OFFSET(S915,0,0,-1*$I$5,-1*$Z$1),OFFSET(E915,0,0,-1*$I$5,1),F916:S916,0)</f>
        <v>22.007731164758535</v>
      </c>
      <c r="U916" s="7" cm="1">
        <f t="array" aca="1" ref="U916" ca="1">z_score_diff(OFFSET(T916,0,0,$I$5*-1,1),OFFSET(E916,0,0,$I$5*-1,1))</f>
        <v>4.6079984364362225E-2</v>
      </c>
      <c r="V916" s="7">
        <f t="shared" ca="1" si="987"/>
        <v>-8.2815216138789977E-2</v>
      </c>
      <c r="W916" s="14">
        <f t="shared" ca="1" si="982"/>
        <v>6.0513016156317455E-2</v>
      </c>
      <c r="X916" s="10">
        <f t="shared" ref="X916:Y916" ca="1" si="1001">+X915</f>
        <v>0</v>
      </c>
      <c r="Y916" s="10">
        <f t="shared" ca="1" si="1001"/>
        <v>0</v>
      </c>
      <c r="Z916">
        <f t="shared" ca="1" si="989"/>
        <v>1</v>
      </c>
      <c r="AA916">
        <f t="shared" ca="1" si="990"/>
        <v>0</v>
      </c>
      <c r="AB916" s="19">
        <f t="shared" ca="1" si="991"/>
        <v>6.0513016156317455E-2</v>
      </c>
      <c r="AC916" s="19">
        <f t="shared" ca="1" si="992"/>
        <v>0</v>
      </c>
    </row>
    <row r="917" spans="3:29" x14ac:dyDescent="0.25">
      <c r="C917" s="4">
        <v>910</v>
      </c>
      <c r="D917" s="28">
        <v>43300</v>
      </c>
      <c r="E917" s="30">
        <v>22.152999999999999</v>
      </c>
      <c r="F917" s="30">
        <v>62.348595481487848</v>
      </c>
      <c r="G917" s="30">
        <v>8.0792028176273512</v>
      </c>
      <c r="H917" s="30">
        <v>93.033244566617995</v>
      </c>
      <c r="I917" s="8">
        <v>0</v>
      </c>
      <c r="J917" s="31">
        <v>0</v>
      </c>
      <c r="K917" s="31">
        <v>0</v>
      </c>
      <c r="L917" s="31">
        <v>0</v>
      </c>
      <c r="M917" s="31">
        <v>0</v>
      </c>
      <c r="N917" s="31">
        <v>0</v>
      </c>
      <c r="O917" s="31">
        <v>1</v>
      </c>
      <c r="P917" s="31">
        <v>0</v>
      </c>
      <c r="Q917" s="31">
        <v>0</v>
      </c>
      <c r="R917" s="31">
        <v>0</v>
      </c>
      <c r="S917" s="31">
        <v>0</v>
      </c>
      <c r="T917" s="21" cm="1">
        <f t="array" aca="1" ref="T917" ca="1">+fair_value_gap(OFFSET(S916,0,0,-1*$I$5,-1*$Z$1),OFFSET(E916,0,0,-1*$I$5,1),F917:S917,0)</f>
        <v>21.961381552028936</v>
      </c>
      <c r="U917" s="7" cm="1">
        <f t="array" aca="1" ref="U917" ca="1">z_score_diff(OFFSET(T917,0,0,$I$5*-1,1),OFFSET(E917,0,0,$I$5*-1,1))</f>
        <v>1.5671973390975591E-2</v>
      </c>
      <c r="V917" s="7">
        <f t="shared" ca="1" si="987"/>
        <v>-8.6465826533346696E-2</v>
      </c>
      <c r="W917" s="14">
        <f t="shared" ca="1" si="982"/>
        <v>7.3098247419522602E-2</v>
      </c>
      <c r="X917" s="10">
        <f t="shared" ref="X917:Y917" ca="1" si="1002">+X916</f>
        <v>0</v>
      </c>
      <c r="Y917" s="10">
        <f t="shared" ca="1" si="1002"/>
        <v>0</v>
      </c>
      <c r="Z917">
        <f t="shared" ca="1" si="989"/>
        <v>1</v>
      </c>
      <c r="AA917">
        <f t="shared" ca="1" si="990"/>
        <v>0</v>
      </c>
      <c r="AB917" s="19">
        <f t="shared" ca="1" si="991"/>
        <v>7.3098247419522602E-2</v>
      </c>
      <c r="AC917" s="19">
        <f t="shared" ca="1" si="992"/>
        <v>0</v>
      </c>
    </row>
    <row r="918" spans="3:29" x14ac:dyDescent="0.25">
      <c r="C918" s="4">
        <v>911</v>
      </c>
      <c r="D918" s="28">
        <v>43301</v>
      </c>
      <c r="E918" s="30">
        <v>21.873999999999999</v>
      </c>
      <c r="F918" s="30">
        <v>62.357057518347837</v>
      </c>
      <c r="G918" s="30">
        <v>8.171189622802526</v>
      </c>
      <c r="H918" s="30">
        <v>91.611196449906132</v>
      </c>
      <c r="I918" s="8">
        <v>0</v>
      </c>
      <c r="J918" s="31">
        <v>0</v>
      </c>
      <c r="K918" s="31">
        <v>0</v>
      </c>
      <c r="L918" s="31">
        <v>0</v>
      </c>
      <c r="M918" s="31">
        <v>0</v>
      </c>
      <c r="N918" s="31">
        <v>0</v>
      </c>
      <c r="O918" s="31">
        <v>1</v>
      </c>
      <c r="P918" s="31">
        <v>0</v>
      </c>
      <c r="Q918" s="31">
        <v>0</v>
      </c>
      <c r="R918" s="31">
        <v>0</v>
      </c>
      <c r="S918" s="31">
        <v>0</v>
      </c>
      <c r="T918" s="21" cm="1">
        <f t="array" aca="1" ref="T918" ca="1">+fair_value_gap(OFFSET(S917,0,0,-1*$I$5,-1*$Z$1),OFFSET(E917,0,0,-1*$I$5,1),F918:S918,0)</f>
        <v>21.783436320178318</v>
      </c>
      <c r="U918" s="7" cm="1">
        <f t="array" aca="1" ref="U918" ca="1">z_score_diff(OFFSET(T918,0,0,$I$5*-1,1),OFFSET(E918,0,0,$I$5*-1,1))</f>
        <v>6.8220518511837636E-2</v>
      </c>
      <c r="V918" s="7">
        <f t="shared" ca="1" si="987"/>
        <v>-8.8640457243015003E-2</v>
      </c>
      <c r="W918" s="14">
        <f t="shared" ca="1" si="982"/>
        <v>9.9109879072919266E-2</v>
      </c>
      <c r="X918" s="10">
        <f t="shared" ref="X918:Y918" ca="1" si="1003">+X917</f>
        <v>0</v>
      </c>
      <c r="Y918" s="10">
        <f t="shared" ca="1" si="1003"/>
        <v>0</v>
      </c>
      <c r="Z918">
        <f t="shared" ca="1" si="989"/>
        <v>1</v>
      </c>
      <c r="AA918">
        <f t="shared" ca="1" si="990"/>
        <v>0</v>
      </c>
      <c r="AB918" s="19">
        <f t="shared" ca="1" si="991"/>
        <v>9.9109879072919266E-2</v>
      </c>
      <c r="AC918" s="19">
        <f t="shared" ca="1" si="992"/>
        <v>0</v>
      </c>
    </row>
    <row r="919" spans="3:29" x14ac:dyDescent="0.25">
      <c r="C919" s="4">
        <v>912</v>
      </c>
      <c r="D919" s="28">
        <v>43304</v>
      </c>
      <c r="E919" s="30">
        <v>22.027999999999999</v>
      </c>
      <c r="F919" s="30">
        <v>62.497861420017109</v>
      </c>
      <c r="G919" s="30">
        <v>8.2720273738237804</v>
      </c>
      <c r="H919" s="30">
        <v>92.172797262617621</v>
      </c>
      <c r="I919" s="8">
        <v>0</v>
      </c>
      <c r="J919" s="31">
        <v>0</v>
      </c>
      <c r="K919" s="31">
        <v>0</v>
      </c>
      <c r="L919" s="31">
        <v>0</v>
      </c>
      <c r="M919" s="31">
        <v>0</v>
      </c>
      <c r="N919" s="31">
        <v>0</v>
      </c>
      <c r="O919" s="31">
        <v>1</v>
      </c>
      <c r="P919" s="31">
        <v>0</v>
      </c>
      <c r="Q919" s="31">
        <v>0</v>
      </c>
      <c r="R919" s="31">
        <v>0</v>
      </c>
      <c r="S919" s="31">
        <v>0</v>
      </c>
      <c r="T919" s="21" cm="1">
        <f t="array" aca="1" ref="T919" ca="1">+fair_value_gap(OFFSET(S918,0,0,-1*$I$5,-1*$Z$1),OFFSET(E918,0,0,-1*$I$5,1),F919:S919,0)</f>
        <v>21.983355890005019</v>
      </c>
      <c r="U919" s="7" cm="1">
        <f t="array" aca="1" ref="U919" ca="1">z_score_diff(OFFSET(T919,0,0,$I$5*-1,1),OFFSET(E919,0,0,$I$5*-1,1))</f>
        <v>8.5139283383212083E-2</v>
      </c>
      <c r="V919" s="7">
        <f t="shared" ca="1" si="987"/>
        <v>-8.7385226830931056E-2</v>
      </c>
      <c r="W919" s="14">
        <f t="shared" ca="1" si="982"/>
        <v>9.3170116438238887E-2</v>
      </c>
      <c r="X919" s="10">
        <f t="shared" ref="X919:Y919" ca="1" si="1004">+X918</f>
        <v>0</v>
      </c>
      <c r="Y919" s="10">
        <f t="shared" ca="1" si="1004"/>
        <v>0</v>
      </c>
      <c r="Z919">
        <f t="shared" ca="1" si="989"/>
        <v>1</v>
      </c>
      <c r="AA919">
        <f t="shared" ca="1" si="990"/>
        <v>0</v>
      </c>
      <c r="AB919" s="19">
        <f t="shared" ca="1" si="991"/>
        <v>9.3170116438238887E-2</v>
      </c>
      <c r="AC919" s="19">
        <f t="shared" ca="1" si="992"/>
        <v>0</v>
      </c>
    </row>
    <row r="920" spans="3:29" x14ac:dyDescent="0.25">
      <c r="C920" s="4">
        <v>913</v>
      </c>
      <c r="D920" s="28">
        <v>43305</v>
      </c>
      <c r="E920" s="30">
        <v>22.097000000000001</v>
      </c>
      <c r="F920" s="30">
        <v>62.855186579938369</v>
      </c>
      <c r="G920" s="30">
        <v>8.2933926737418684</v>
      </c>
      <c r="H920" s="30">
        <v>92.22013009243409</v>
      </c>
      <c r="I920" s="8">
        <v>0</v>
      </c>
      <c r="J920" s="31">
        <v>0</v>
      </c>
      <c r="K920" s="31">
        <v>0</v>
      </c>
      <c r="L920" s="31">
        <v>0</v>
      </c>
      <c r="M920" s="31">
        <v>0</v>
      </c>
      <c r="N920" s="31">
        <v>0</v>
      </c>
      <c r="O920" s="31">
        <v>1</v>
      </c>
      <c r="P920" s="31">
        <v>0</v>
      </c>
      <c r="Q920" s="31">
        <v>0</v>
      </c>
      <c r="R920" s="31">
        <v>0</v>
      </c>
      <c r="S920" s="31">
        <v>0</v>
      </c>
      <c r="T920" s="21" cm="1">
        <f t="array" aca="1" ref="T920" ca="1">+fair_value_gap(OFFSET(S919,0,0,-1*$I$5,-1*$Z$1),OFFSET(E919,0,0,-1*$I$5,1),F920:S920,0)</f>
        <v>22.129928431520884</v>
      </c>
      <c r="U920" s="7" cm="1">
        <f t="array" aca="1" ref="U920" ca="1">z_score_diff(OFFSET(T920,0,0,$I$5*-1,1),OFFSET(E920,0,0,$I$5*-1,1))</f>
        <v>0.12520612316597646</v>
      </c>
      <c r="V920" s="7">
        <f t="shared" ca="1" si="987"/>
        <v>-9.3592361610646643E-2</v>
      </c>
      <c r="W920" s="14">
        <f t="shared" ca="1" si="982"/>
        <v>9.9387151006679872E-2</v>
      </c>
      <c r="X920" s="10">
        <f t="shared" ref="X920:Y920" ca="1" si="1005">+X919</f>
        <v>0</v>
      </c>
      <c r="Y920" s="10">
        <f t="shared" ca="1" si="1005"/>
        <v>0</v>
      </c>
      <c r="Z920">
        <f t="shared" ca="1" si="989"/>
        <v>1</v>
      </c>
      <c r="AA920">
        <f t="shared" ca="1" si="990"/>
        <v>0</v>
      </c>
      <c r="AB920" s="19">
        <f t="shared" ca="1" si="991"/>
        <v>9.9387151006679872E-2</v>
      </c>
      <c r="AC920" s="19">
        <f t="shared" ca="1" si="992"/>
        <v>0</v>
      </c>
    </row>
    <row r="921" spans="3:29" x14ac:dyDescent="0.25">
      <c r="C921" s="4">
        <v>914</v>
      </c>
      <c r="D921" s="28">
        <v>43306</v>
      </c>
      <c r="E921" s="30">
        <v>22.172000000000001</v>
      </c>
      <c r="F921" s="30">
        <v>63.037175989085952</v>
      </c>
      <c r="G921" s="30">
        <v>8.270804911323328</v>
      </c>
      <c r="H921" s="30">
        <v>92.129945429740786</v>
      </c>
      <c r="I921" s="8">
        <v>0</v>
      </c>
      <c r="J921" s="31">
        <v>0</v>
      </c>
      <c r="K921" s="31">
        <v>0</v>
      </c>
      <c r="L921" s="31">
        <v>0</v>
      </c>
      <c r="M921" s="31">
        <v>0</v>
      </c>
      <c r="N921" s="31">
        <v>0</v>
      </c>
      <c r="O921" s="31">
        <v>1</v>
      </c>
      <c r="P921" s="31">
        <v>0</v>
      </c>
      <c r="Q921" s="31">
        <v>0</v>
      </c>
      <c r="R921" s="31">
        <v>0</v>
      </c>
      <c r="S921" s="31">
        <v>0</v>
      </c>
      <c r="T921" s="21" cm="1">
        <f t="array" aca="1" ref="T921" ca="1">+fair_value_gap(OFFSET(S920,0,0,-1*$I$5,-1*$Z$1),OFFSET(E920,0,0,-1*$I$5,1),F921:S921,0)</f>
        <v>22.122426763228876</v>
      </c>
      <c r="U921" s="7" cm="1">
        <f t="array" aca="1" ref="U921" ca="1">z_score_diff(OFFSET(T921,0,0,$I$5*-1,1),OFFSET(E921,0,0,$I$5*-1,1))</f>
        <v>8.7241918520864381E-2</v>
      </c>
      <c r="V921" s="7">
        <f t="shared" ca="1" si="987"/>
        <v>-9.4125684892733069E-2</v>
      </c>
      <c r="W921" s="14">
        <f t="shared" ca="1" si="982"/>
        <v>9.7718181426551767E-2</v>
      </c>
      <c r="X921" s="10">
        <f t="shared" ref="X921:Y921" ca="1" si="1006">+X920</f>
        <v>0</v>
      </c>
      <c r="Y921" s="10">
        <f t="shared" ca="1" si="1006"/>
        <v>0</v>
      </c>
      <c r="Z921">
        <f t="shared" ca="1" si="989"/>
        <v>1</v>
      </c>
      <c r="AA921">
        <f t="shared" ca="1" si="990"/>
        <v>0</v>
      </c>
      <c r="AB921" s="19">
        <f t="shared" ca="1" si="991"/>
        <v>9.7718181426551767E-2</v>
      </c>
      <c r="AC921" s="19">
        <f t="shared" ca="1" si="992"/>
        <v>0</v>
      </c>
    </row>
    <row r="922" spans="3:29" x14ac:dyDescent="0.25">
      <c r="C922" s="4">
        <v>915</v>
      </c>
      <c r="D922" s="28">
        <v>43307</v>
      </c>
      <c r="E922" s="30">
        <v>22.113</v>
      </c>
      <c r="F922" s="30">
        <v>64.032299630615938</v>
      </c>
      <c r="G922" s="30">
        <v>8.3025513272055669</v>
      </c>
      <c r="H922" s="30">
        <v>92.689631474959214</v>
      </c>
      <c r="I922" s="8">
        <v>0</v>
      </c>
      <c r="J922" s="31">
        <v>0</v>
      </c>
      <c r="K922" s="31">
        <v>0</v>
      </c>
      <c r="L922" s="31">
        <v>0</v>
      </c>
      <c r="M922" s="31">
        <v>0</v>
      </c>
      <c r="N922" s="31">
        <v>0</v>
      </c>
      <c r="O922" s="31">
        <v>1</v>
      </c>
      <c r="P922" s="31">
        <v>0</v>
      </c>
      <c r="Q922" s="31">
        <v>0</v>
      </c>
      <c r="R922" s="31">
        <v>0</v>
      </c>
      <c r="S922" s="31">
        <v>0</v>
      </c>
      <c r="T922" s="21" cm="1">
        <f t="array" aca="1" ref="T922" ca="1">+fair_value_gap(OFFSET(S921,0,0,-1*$I$5,-1*$Z$1),OFFSET(E921,0,0,-1*$I$5,1),F922:S922,0)</f>
        <v>22.320555877878398</v>
      </c>
      <c r="U922" s="7" cm="1">
        <f t="array" aca="1" ref="U922" ca="1">z_score_diff(OFFSET(T922,0,0,$I$5*-1,1),OFFSET(E922,0,0,$I$5*-1,1))</f>
        <v>0.21745927725678804</v>
      </c>
      <c r="V922" s="7">
        <f t="shared" ca="1" si="987"/>
        <v>-8.9535326582431907E-2</v>
      </c>
      <c r="W922" s="14">
        <f t="shared" ca="1" si="982"/>
        <v>0.11306377694113395</v>
      </c>
      <c r="X922" s="10">
        <f t="shared" ref="X922:Y922" ca="1" si="1007">+X921</f>
        <v>0</v>
      </c>
      <c r="Y922" s="10">
        <f t="shared" ca="1" si="1007"/>
        <v>0</v>
      </c>
      <c r="Z922">
        <f t="shared" ca="1" si="989"/>
        <v>1</v>
      </c>
      <c r="AA922">
        <f t="shared" ca="1" si="990"/>
        <v>0</v>
      </c>
      <c r="AB922" s="19">
        <f t="shared" ca="1" si="991"/>
        <v>0.11306377694113395</v>
      </c>
      <c r="AC922" s="19">
        <f t="shared" ca="1" si="992"/>
        <v>0</v>
      </c>
    </row>
    <row r="923" spans="3:29" x14ac:dyDescent="0.25">
      <c r="C923" s="4">
        <v>916</v>
      </c>
      <c r="D923" s="28">
        <v>43308</v>
      </c>
      <c r="E923" s="30">
        <v>21.891999999999999</v>
      </c>
      <c r="F923" s="30">
        <v>63.735415236787929</v>
      </c>
      <c r="G923" s="30">
        <v>8.2918668496911465</v>
      </c>
      <c r="H923" s="30">
        <v>92.570350034317102</v>
      </c>
      <c r="I923" s="8">
        <v>0</v>
      </c>
      <c r="J923" s="31">
        <v>0</v>
      </c>
      <c r="K923" s="31">
        <v>0</v>
      </c>
      <c r="L923" s="31">
        <v>0</v>
      </c>
      <c r="M923" s="31">
        <v>0</v>
      </c>
      <c r="N923" s="31">
        <v>0</v>
      </c>
      <c r="O923" s="31">
        <v>1</v>
      </c>
      <c r="P923" s="31">
        <v>0</v>
      </c>
      <c r="Q923" s="31">
        <v>0</v>
      </c>
      <c r="R923" s="31">
        <v>0</v>
      </c>
      <c r="S923" s="31">
        <v>0</v>
      </c>
      <c r="T923" s="21" cm="1">
        <f t="array" aca="1" ref="T923" ca="1">+fair_value_gap(OFFSET(S922,0,0,-1*$I$5,-1*$Z$1),OFFSET(E922,0,0,-1*$I$5,1),F923:S923,0)</f>
        <v>22.258553987640003</v>
      </c>
      <c r="U923" s="7" cm="1">
        <f t="array" aca="1" ref="U923" ca="1">z_score_diff(OFFSET(T923,0,0,$I$5*-1,1),OFFSET(E923,0,0,$I$5*-1,1))</f>
        <v>0.30049628762972946</v>
      </c>
      <c r="V923" s="7">
        <f t="shared" ca="1" si="987"/>
        <v>-8.0119680624721495E-2</v>
      </c>
      <c r="W923" s="14">
        <f t="shared" ca="1" si="982"/>
        <v>0.13175405125294556</v>
      </c>
      <c r="X923" s="10">
        <f t="shared" ref="X923:Y923" ca="1" si="1008">+X922</f>
        <v>0</v>
      </c>
      <c r="Y923" s="10">
        <f t="shared" ca="1" si="1008"/>
        <v>0</v>
      </c>
      <c r="Z923">
        <f t="shared" ca="1" si="989"/>
        <v>1</v>
      </c>
      <c r="AA923">
        <f t="shared" ca="1" si="990"/>
        <v>0</v>
      </c>
      <c r="AB923" s="19">
        <f t="shared" ca="1" si="991"/>
        <v>0.13175405125294556</v>
      </c>
      <c r="AC923" s="19">
        <f t="shared" ca="1" si="992"/>
        <v>0</v>
      </c>
    </row>
    <row r="924" spans="3:29" x14ac:dyDescent="0.25">
      <c r="C924" s="4">
        <v>917</v>
      </c>
      <c r="D924" s="28">
        <v>43311</v>
      </c>
      <c r="E924" s="30">
        <v>22.059000000000001</v>
      </c>
      <c r="F924" s="30">
        <v>64.055023923444963</v>
      </c>
      <c r="G924" s="30">
        <v>8.3732057416267942</v>
      </c>
      <c r="H924" s="30">
        <v>89.07211209842788</v>
      </c>
      <c r="I924" s="8">
        <v>0</v>
      </c>
      <c r="J924" s="31">
        <v>0</v>
      </c>
      <c r="K924" s="31">
        <v>0</v>
      </c>
      <c r="L924" s="31">
        <v>0</v>
      </c>
      <c r="M924" s="31">
        <v>0</v>
      </c>
      <c r="N924" s="31">
        <v>0</v>
      </c>
      <c r="O924" s="31">
        <v>1</v>
      </c>
      <c r="P924" s="31">
        <v>0</v>
      </c>
      <c r="Q924" s="31">
        <v>0</v>
      </c>
      <c r="R924" s="31">
        <v>0</v>
      </c>
      <c r="S924" s="31">
        <v>0</v>
      </c>
      <c r="T924" s="21" cm="1">
        <f t="array" aca="1" ref="T924" ca="1">+fair_value_gap(OFFSET(S923,0,0,-1*$I$5,-1*$Z$1),OFFSET(E923,0,0,-1*$I$5,1),F924:S924,0)</f>
        <v>21.590588237038666</v>
      </c>
      <c r="U924" s="7" cm="1">
        <f t="array" aca="1" ref="U924" ca="1">z_score_diff(OFFSET(T924,0,0,$I$5*-1,1),OFFSET(E924,0,0,$I$5*-1,1))</f>
        <v>-0.11685118803243411</v>
      </c>
      <c r="V924" s="7">
        <f t="shared" ca="1" si="987"/>
        <v>-5.9606624714365911E-2</v>
      </c>
      <c r="W924" s="14">
        <f t="shared" ca="1" si="982"/>
        <v>0.1414614692603155</v>
      </c>
      <c r="X924" s="10">
        <f t="shared" ref="X924:Y924" ca="1" si="1009">+X923</f>
        <v>0</v>
      </c>
      <c r="Y924" s="10">
        <f t="shared" ca="1" si="1009"/>
        <v>0</v>
      </c>
      <c r="Z924">
        <f t="shared" ca="1" si="989"/>
        <v>1</v>
      </c>
      <c r="AA924">
        <f t="shared" ca="1" si="990"/>
        <v>0</v>
      </c>
      <c r="AB924" s="19">
        <f t="shared" ca="1" si="991"/>
        <v>0.1414614692603155</v>
      </c>
      <c r="AC924" s="19">
        <f t="shared" ca="1" si="992"/>
        <v>0</v>
      </c>
    </row>
    <row r="925" spans="3:29" x14ac:dyDescent="0.25">
      <c r="C925" s="4">
        <v>918</v>
      </c>
      <c r="D925" s="28">
        <v>43312</v>
      </c>
      <c r="E925" s="30">
        <v>22.113</v>
      </c>
      <c r="F925" s="30">
        <v>63.510392609699771</v>
      </c>
      <c r="G925" s="30">
        <v>8.3782396715422109</v>
      </c>
      <c r="H925" s="30">
        <v>89.427764947395431</v>
      </c>
      <c r="I925" s="8">
        <v>0</v>
      </c>
      <c r="J925" s="31">
        <v>0</v>
      </c>
      <c r="K925" s="31">
        <v>0</v>
      </c>
      <c r="L925" s="31">
        <v>0</v>
      </c>
      <c r="M925" s="31">
        <v>0</v>
      </c>
      <c r="N925" s="31">
        <v>0</v>
      </c>
      <c r="O925" s="31">
        <v>1</v>
      </c>
      <c r="P925" s="31">
        <v>0</v>
      </c>
      <c r="Q925" s="31">
        <v>0</v>
      </c>
      <c r="R925" s="31">
        <v>0</v>
      </c>
      <c r="S925" s="31">
        <v>0</v>
      </c>
      <c r="T925" s="21" cm="1">
        <f t="array" aca="1" ref="T925" ca="1">+fair_value_gap(OFFSET(S924,0,0,-1*$I$5,-1*$Z$1),OFFSET(E924,0,0,-1*$I$5,1),F925:S925,0)</f>
        <v>21.634810073050321</v>
      </c>
      <c r="U925" s="7" cm="1">
        <f t="array" aca="1" ref="U925" ca="1">z_score_diff(OFFSET(T925,0,0,$I$5*-1,1),OFFSET(E925,0,0,$I$5*-1,1))</f>
        <v>-0.11959015091037162</v>
      </c>
      <c r="V925" s="7">
        <f t="shared" ca="1" si="987"/>
        <v>-4.7501831854938517E-2</v>
      </c>
      <c r="W925" s="14">
        <f t="shared" ca="1" si="982"/>
        <v>0.13700745869376366</v>
      </c>
      <c r="X925" s="10">
        <f t="shared" ref="X925:Y925" ca="1" si="1010">+X924</f>
        <v>0</v>
      </c>
      <c r="Y925" s="10">
        <f t="shared" ca="1" si="1010"/>
        <v>0</v>
      </c>
      <c r="Z925">
        <f t="shared" ca="1" si="989"/>
        <v>1</v>
      </c>
      <c r="AA925">
        <f t="shared" ca="1" si="990"/>
        <v>0</v>
      </c>
      <c r="AB925" s="19">
        <f t="shared" ca="1" si="991"/>
        <v>0.13700745869376366</v>
      </c>
      <c r="AC925" s="19">
        <f t="shared" ca="1" si="992"/>
        <v>0</v>
      </c>
    </row>
    <row r="926" spans="3:29" x14ac:dyDescent="0.25">
      <c r="C926" s="4">
        <v>919</v>
      </c>
      <c r="D926" s="28">
        <v>43313</v>
      </c>
      <c r="E926" s="30">
        <v>21.931999999999999</v>
      </c>
      <c r="F926" s="30">
        <v>62.094698919197121</v>
      </c>
      <c r="G926" s="30">
        <v>8.3719334362669411</v>
      </c>
      <c r="H926" s="30">
        <v>89.552238805970163</v>
      </c>
      <c r="I926" s="8">
        <v>0</v>
      </c>
      <c r="J926" s="31">
        <v>0</v>
      </c>
      <c r="K926" s="31">
        <v>0</v>
      </c>
      <c r="L926" s="31">
        <v>0</v>
      </c>
      <c r="M926" s="31">
        <v>0</v>
      </c>
      <c r="N926" s="31">
        <v>0</v>
      </c>
      <c r="O926" s="31">
        <v>0</v>
      </c>
      <c r="P926" s="31">
        <v>1</v>
      </c>
      <c r="Q926" s="31">
        <v>0</v>
      </c>
      <c r="R926" s="31">
        <v>0</v>
      </c>
      <c r="S926" s="31">
        <v>0</v>
      </c>
      <c r="T926" s="21" cm="1">
        <f t="array" aca="1" ref="T926" ca="1">+fair_value_gap(OFFSET(S925,0,0,-1*$I$5,-1*$Z$1),OFFSET(E925,0,0,-1*$I$5,1),F926:S926,0)</f>
        <v>20.870155876678506</v>
      </c>
      <c r="U926" s="7" cm="1">
        <f t="array" aca="1" ref="U926" ca="1">z_score_diff(OFFSET(T926,0,0,$I$5*-1,1),OFFSET(E926,0,0,$I$5*-1,1))</f>
        <v>-0.41168654694160889</v>
      </c>
      <c r="V926" s="7">
        <f t="shared" ca="1" si="987"/>
        <v>-6.025712212982217E-2</v>
      </c>
      <c r="W926" s="14">
        <f t="shared" ca="1" si="982"/>
        <v>0.16505992604254435</v>
      </c>
      <c r="X926" s="10">
        <f t="shared" ref="X926:Y926" ca="1" si="1011">+X925</f>
        <v>0</v>
      </c>
      <c r="Y926" s="10">
        <f t="shared" ca="1" si="1011"/>
        <v>0</v>
      </c>
      <c r="Z926">
        <f t="shared" ca="1" si="989"/>
        <v>1</v>
      </c>
      <c r="AA926">
        <f t="shared" ca="1" si="990"/>
        <v>0</v>
      </c>
      <c r="AB926" s="19">
        <f t="shared" ca="1" si="991"/>
        <v>0.16505992604254435</v>
      </c>
      <c r="AC926" s="19">
        <f t="shared" ca="1" si="992"/>
        <v>0</v>
      </c>
    </row>
    <row r="927" spans="3:29" x14ac:dyDescent="0.25">
      <c r="C927" s="4">
        <v>920</v>
      </c>
      <c r="D927" s="28">
        <v>43314</v>
      </c>
      <c r="E927" s="30">
        <v>21.936</v>
      </c>
      <c r="F927" s="30">
        <v>63.417371783802459</v>
      </c>
      <c r="G927" s="30">
        <v>8.4614056294249718</v>
      </c>
      <c r="H927" s="30">
        <v>89.233293040925574</v>
      </c>
      <c r="I927" s="8">
        <v>0</v>
      </c>
      <c r="J927" s="31">
        <v>0</v>
      </c>
      <c r="K927" s="31">
        <v>0</v>
      </c>
      <c r="L927" s="31">
        <v>0</v>
      </c>
      <c r="M927" s="31">
        <v>0</v>
      </c>
      <c r="N927" s="31">
        <v>0</v>
      </c>
      <c r="O927" s="31">
        <v>0</v>
      </c>
      <c r="P927" s="31">
        <v>1</v>
      </c>
      <c r="Q927" s="31">
        <v>0</v>
      </c>
      <c r="R927" s="31">
        <v>0</v>
      </c>
      <c r="S927" s="31">
        <v>0</v>
      </c>
      <c r="T927" s="21" cm="1">
        <f t="array" aca="1" ref="T927" ca="1">+fair_value_gap(OFFSET(S926,0,0,-1*$I$5,-1*$Z$1),OFFSET(E926,0,0,-1*$I$5,1),F927:S927,0)</f>
        <v>21.188941367431667</v>
      </c>
      <c r="U927" s="7" cm="1">
        <f t="array" aca="1" ref="U927" ca="1">z_score_diff(OFFSET(T927,0,0,$I$5*-1,1),OFFSET(E927,0,0,$I$5*-1,1))</f>
        <v>-0.24622078977440642</v>
      </c>
      <c r="V927" s="7">
        <f t="shared" ca="1" si="987"/>
        <v>-5.9157593472019612E-2</v>
      </c>
      <c r="W927" s="14">
        <f t="shared" ca="1" si="982"/>
        <v>0.17495495671256245</v>
      </c>
      <c r="X927" s="10">
        <f t="shared" ref="X927:Y927" ca="1" si="1012">+X926</f>
        <v>0</v>
      </c>
      <c r="Y927" s="10">
        <f t="shared" ca="1" si="1012"/>
        <v>0</v>
      </c>
      <c r="Z927">
        <f t="shared" ca="1" si="989"/>
        <v>1</v>
      </c>
      <c r="AA927">
        <f t="shared" ca="1" si="990"/>
        <v>0</v>
      </c>
      <c r="AB927" s="19">
        <f t="shared" ca="1" si="991"/>
        <v>0.17495495671256245</v>
      </c>
      <c r="AC927" s="19">
        <f t="shared" ca="1" si="992"/>
        <v>0</v>
      </c>
    </row>
    <row r="928" spans="3:29" x14ac:dyDescent="0.25">
      <c r="C928" s="4">
        <v>921</v>
      </c>
      <c r="D928" s="28">
        <v>43315</v>
      </c>
      <c r="E928" s="30">
        <v>22.260999999999999</v>
      </c>
      <c r="F928" s="30">
        <v>63.292124146278198</v>
      </c>
      <c r="G928" s="30">
        <v>8.4810236016253135</v>
      </c>
      <c r="H928" s="30">
        <v>88.916745915103306</v>
      </c>
      <c r="I928" s="8">
        <v>0</v>
      </c>
      <c r="J928" s="31">
        <v>0</v>
      </c>
      <c r="K928" s="31">
        <v>0</v>
      </c>
      <c r="L928" s="31">
        <v>0</v>
      </c>
      <c r="M928" s="31">
        <v>0</v>
      </c>
      <c r="N928" s="31">
        <v>0</v>
      </c>
      <c r="O928" s="31">
        <v>0</v>
      </c>
      <c r="P928" s="31">
        <v>1</v>
      </c>
      <c r="Q928" s="31">
        <v>0</v>
      </c>
      <c r="R928" s="31">
        <v>0</v>
      </c>
      <c r="S928" s="31">
        <v>0</v>
      </c>
      <c r="T928" s="21" cm="1">
        <f t="array" aca="1" ref="T928" ca="1">+fair_value_gap(OFFSET(S927,0,0,-1*$I$5,-1*$Z$1),OFFSET(E927,0,0,-1*$I$5,1),F928:S928,0)</f>
        <v>21.277576583400734</v>
      </c>
      <c r="U928" s="7" cm="1">
        <f t="array" aca="1" ref="U928" ca="1">z_score_diff(OFFSET(T928,0,0,$I$5*-1,1),OFFSET(E928,0,0,$I$5*-1,1))</f>
        <v>-0.36638792245729124</v>
      </c>
      <c r="V928" s="7">
        <f t="shared" ca="1" si="987"/>
        <v>-6.4950175714981837E-2</v>
      </c>
      <c r="W928" s="14">
        <f t="shared" ca="1" si="982"/>
        <v>0.14897130463498287</v>
      </c>
      <c r="X928" s="10">
        <f t="shared" ref="X928:Y928" ca="1" si="1013">+X927</f>
        <v>0</v>
      </c>
      <c r="Y928" s="10">
        <f t="shared" ca="1" si="1013"/>
        <v>0</v>
      </c>
      <c r="Z928">
        <f t="shared" ca="1" si="989"/>
        <v>1</v>
      </c>
      <c r="AA928">
        <f t="shared" ca="1" si="990"/>
        <v>0</v>
      </c>
      <c r="AB928" s="19">
        <f t="shared" ca="1" si="991"/>
        <v>0.14897130463498287</v>
      </c>
      <c r="AC928" s="19">
        <f t="shared" ca="1" si="992"/>
        <v>0</v>
      </c>
    </row>
    <row r="929" spans="3:29" x14ac:dyDescent="0.25">
      <c r="C929" s="4">
        <v>922</v>
      </c>
      <c r="D929" s="28">
        <v>43318</v>
      </c>
      <c r="E929" s="30">
        <v>22.5</v>
      </c>
      <c r="F929" s="30">
        <v>63.836233013070199</v>
      </c>
      <c r="G929" s="30">
        <v>8.4913009607894061</v>
      </c>
      <c r="H929" s="30">
        <v>89.154332208084483</v>
      </c>
      <c r="I929" s="8">
        <v>0</v>
      </c>
      <c r="J929" s="31">
        <v>0</v>
      </c>
      <c r="K929" s="31">
        <v>0</v>
      </c>
      <c r="L929" s="31">
        <v>0</v>
      </c>
      <c r="M929" s="31">
        <v>0</v>
      </c>
      <c r="N929" s="31">
        <v>0</v>
      </c>
      <c r="O929" s="31">
        <v>0</v>
      </c>
      <c r="P929" s="31">
        <v>1</v>
      </c>
      <c r="Q929" s="31">
        <v>0</v>
      </c>
      <c r="R929" s="31">
        <v>0</v>
      </c>
      <c r="S929" s="31">
        <v>0</v>
      </c>
      <c r="T929" s="21" cm="1">
        <f t="array" aca="1" ref="T929" ca="1">+fair_value_gap(OFFSET(S928,0,0,-1*$I$5,-1*$Z$1),OFFSET(E928,0,0,-1*$I$5,1),F929:S929,0)</f>
        <v>21.558063769354689</v>
      </c>
      <c r="U929" s="7" cm="1">
        <f t="array" aca="1" ref="U929" ca="1">z_score_diff(OFFSET(T929,0,0,$I$5*-1,1),OFFSET(E929,0,0,$I$5*-1,1))</f>
        <v>-0.34055718477263452</v>
      </c>
      <c r="V929" s="7">
        <f t="shared" ca="1" si="987"/>
        <v>-6.7513475819862404E-2</v>
      </c>
      <c r="W929" s="14">
        <f t="shared" ca="1" si="982"/>
        <v>0.15373154438322106</v>
      </c>
      <c r="X929" s="10">
        <f t="shared" ref="X929:Y929" ca="1" si="1014">+X928</f>
        <v>0</v>
      </c>
      <c r="Y929" s="10">
        <f t="shared" ca="1" si="1014"/>
        <v>0</v>
      </c>
      <c r="Z929">
        <f t="shared" ca="1" si="989"/>
        <v>1</v>
      </c>
      <c r="AA929">
        <f t="shared" ca="1" si="990"/>
        <v>0</v>
      </c>
      <c r="AB929" s="19">
        <f t="shared" ca="1" si="991"/>
        <v>0.15373154438322106</v>
      </c>
      <c r="AC929" s="19">
        <f t="shared" ca="1" si="992"/>
        <v>0</v>
      </c>
    </row>
    <row r="930" spans="3:29" x14ac:dyDescent="0.25">
      <c r="C930" s="4">
        <v>923</v>
      </c>
      <c r="D930" s="28">
        <v>43319</v>
      </c>
      <c r="E930" s="30">
        <v>22.611000000000001</v>
      </c>
      <c r="F930" s="30">
        <v>64.370095714408905</v>
      </c>
      <c r="G930" s="30">
        <v>8.4633957057859792</v>
      </c>
      <c r="H930" s="30">
        <v>89.074760713977753</v>
      </c>
      <c r="I930" s="8">
        <v>0</v>
      </c>
      <c r="J930" s="31">
        <v>0</v>
      </c>
      <c r="K930" s="31">
        <v>0</v>
      </c>
      <c r="L930" s="31">
        <v>0</v>
      </c>
      <c r="M930" s="31">
        <v>0</v>
      </c>
      <c r="N930" s="31">
        <v>0</v>
      </c>
      <c r="O930" s="31">
        <v>0</v>
      </c>
      <c r="P930" s="31">
        <v>1</v>
      </c>
      <c r="Q930" s="31">
        <v>0</v>
      </c>
      <c r="R930" s="31">
        <v>0</v>
      </c>
      <c r="S930" s="31">
        <v>0</v>
      </c>
      <c r="T930" s="21" cm="1">
        <f t="array" aca="1" ref="T930" ca="1">+fair_value_gap(OFFSET(S929,0,0,-1*$I$5,-1*$Z$1),OFFSET(E929,0,0,-1*$I$5,1),F930:S930,0)</f>
        <v>21.766503827223389</v>
      </c>
      <c r="U930" s="7" cm="1">
        <f t="array" aca="1" ref="U930" ca="1">z_score_diff(OFFSET(T930,0,0,$I$5*-1,1),OFFSET(E930,0,0,$I$5*-1,1))</f>
        <v>-0.28571169606457003</v>
      </c>
      <c r="V930" s="7">
        <f t="shared" ca="1" si="987"/>
        <v>-7.3599147528473741E-2</v>
      </c>
      <c r="W930" s="14">
        <f t="shared" ca="1" si="982"/>
        <v>0.16667638911191088</v>
      </c>
      <c r="X930" s="10">
        <f t="shared" ref="X930:Y930" ca="1" si="1015">+X929</f>
        <v>0</v>
      </c>
      <c r="Y930" s="10">
        <f t="shared" ca="1" si="1015"/>
        <v>0</v>
      </c>
      <c r="Z930">
        <f t="shared" ca="1" si="989"/>
        <v>1</v>
      </c>
      <c r="AA930">
        <f t="shared" ca="1" si="990"/>
        <v>0</v>
      </c>
      <c r="AB930" s="19">
        <f t="shared" ca="1" si="991"/>
        <v>0.16667638911191088</v>
      </c>
      <c r="AC930" s="19">
        <f t="shared" ca="1" si="992"/>
        <v>0</v>
      </c>
    </row>
    <row r="931" spans="3:29" x14ac:dyDescent="0.25">
      <c r="C931" s="4">
        <v>924</v>
      </c>
      <c r="D931" s="28">
        <v>43320</v>
      </c>
      <c r="E931" s="30">
        <v>22.599</v>
      </c>
      <c r="F931" s="30">
        <v>62.256675279931095</v>
      </c>
      <c r="G931" s="30">
        <v>8.4625322997416017</v>
      </c>
      <c r="H931" s="30">
        <v>88.242894056847547</v>
      </c>
      <c r="I931" s="8">
        <v>0</v>
      </c>
      <c r="J931" s="31">
        <v>0</v>
      </c>
      <c r="K931" s="31">
        <v>0</v>
      </c>
      <c r="L931" s="31">
        <v>0</v>
      </c>
      <c r="M931" s="31">
        <v>0</v>
      </c>
      <c r="N931" s="31">
        <v>0</v>
      </c>
      <c r="O931" s="31">
        <v>0</v>
      </c>
      <c r="P931" s="31">
        <v>1</v>
      </c>
      <c r="Q931" s="31">
        <v>0</v>
      </c>
      <c r="R931" s="31">
        <v>0</v>
      </c>
      <c r="S931" s="31">
        <v>0</v>
      </c>
      <c r="T931" s="21" cm="1">
        <f t="array" aca="1" ref="T931" ca="1">+fair_value_gap(OFFSET(S930,0,0,-1*$I$5,-1*$Z$1),OFFSET(E930,0,0,-1*$I$5,1),F931:S931,0)</f>
        <v>21.457517887404052</v>
      </c>
      <c r="U931" s="7" cm="1">
        <f t="array" aca="1" ref="U931" ca="1">z_score_diff(OFFSET(T931,0,0,$I$5*-1,1),OFFSET(E931,0,0,$I$5*-1,1))</f>
        <v>-0.43806726205116164</v>
      </c>
      <c r="V931" s="7">
        <f t="shared" ca="1" si="987"/>
        <v>-8.1886935357067842E-2</v>
      </c>
      <c r="W931" s="14">
        <f t="shared" ca="1" si="982"/>
        <v>0.17863466471301054</v>
      </c>
      <c r="X931" s="10">
        <f t="shared" ref="X931:Y931" ca="1" si="1016">+X930</f>
        <v>0</v>
      </c>
      <c r="Y931" s="10">
        <f t="shared" ca="1" si="1016"/>
        <v>0</v>
      </c>
      <c r="Z931">
        <f t="shared" ca="1" si="989"/>
        <v>1</v>
      </c>
      <c r="AA931">
        <f t="shared" ca="1" si="990"/>
        <v>0</v>
      </c>
      <c r="AB931" s="19">
        <f t="shared" ca="1" si="991"/>
        <v>0.17863466471301054</v>
      </c>
      <c r="AC931" s="19">
        <f t="shared" ca="1" si="992"/>
        <v>0</v>
      </c>
    </row>
    <row r="932" spans="3:29" x14ac:dyDescent="0.25">
      <c r="C932" s="4">
        <v>925</v>
      </c>
      <c r="D932" s="28">
        <v>43321</v>
      </c>
      <c r="E932" s="30">
        <v>22.713000000000001</v>
      </c>
      <c r="F932" s="30">
        <v>62.528197119555777</v>
      </c>
      <c r="G932" s="30">
        <v>8.5242061426340445</v>
      </c>
      <c r="H932" s="30">
        <v>88.495575221238937</v>
      </c>
      <c r="I932" s="8">
        <v>0</v>
      </c>
      <c r="J932" s="31">
        <v>0</v>
      </c>
      <c r="K932" s="31">
        <v>0</v>
      </c>
      <c r="L932" s="31">
        <v>0</v>
      </c>
      <c r="M932" s="31">
        <v>0</v>
      </c>
      <c r="N932" s="31">
        <v>0</v>
      </c>
      <c r="O932" s="31">
        <v>0</v>
      </c>
      <c r="P932" s="31">
        <v>1</v>
      </c>
      <c r="Q932" s="31">
        <v>0</v>
      </c>
      <c r="R932" s="31">
        <v>0</v>
      </c>
      <c r="S932" s="31">
        <v>0</v>
      </c>
      <c r="T932" s="21" cm="1">
        <f t="array" aca="1" ref="T932" ca="1">+fair_value_gap(OFFSET(S931,0,0,-1*$I$5,-1*$Z$1),OFFSET(E931,0,0,-1*$I$5,1),F932:S932,0)</f>
        <v>21.660961088180819</v>
      </c>
      <c r="U932" s="7" cm="1">
        <f t="array" aca="1" ref="U932" ca="1">z_score_diff(OFFSET(T932,0,0,$I$5*-1,1),OFFSET(E932,0,0,$I$5*-1,1))</f>
        <v>-0.38538192338077248</v>
      </c>
      <c r="V932" s="7">
        <f t="shared" ca="1" si="987"/>
        <v>-0.10323748837721532</v>
      </c>
      <c r="W932" s="14">
        <f t="shared" ca="1" si="982"/>
        <v>0.18957442904018854</v>
      </c>
      <c r="X932" s="10">
        <f t="shared" ref="X932:Y932" ca="1" si="1017">+X931</f>
        <v>0</v>
      </c>
      <c r="Y932" s="10">
        <f t="shared" ca="1" si="1017"/>
        <v>0</v>
      </c>
      <c r="Z932">
        <f t="shared" ca="1" si="989"/>
        <v>1</v>
      </c>
      <c r="AA932">
        <f t="shared" ca="1" si="990"/>
        <v>0</v>
      </c>
      <c r="AB932" s="19">
        <f t="shared" ca="1" si="991"/>
        <v>0.18957442904018854</v>
      </c>
      <c r="AC932" s="19">
        <f t="shared" ca="1" si="992"/>
        <v>0</v>
      </c>
    </row>
    <row r="933" spans="3:29" x14ac:dyDescent="0.25">
      <c r="C933" s="4">
        <v>926</v>
      </c>
      <c r="D933" s="28">
        <v>43322</v>
      </c>
      <c r="E933" s="30">
        <v>22.881</v>
      </c>
      <c r="F933" s="30">
        <v>63.812445223488169</v>
      </c>
      <c r="G933" s="30">
        <v>8.6152497808939525</v>
      </c>
      <c r="H933" s="30">
        <v>89.132340052585448</v>
      </c>
      <c r="I933" s="8">
        <v>0</v>
      </c>
      <c r="J933" s="31">
        <v>0</v>
      </c>
      <c r="K933" s="31">
        <v>0</v>
      </c>
      <c r="L933" s="31">
        <v>0</v>
      </c>
      <c r="M933" s="31">
        <v>0</v>
      </c>
      <c r="N933" s="31">
        <v>0</v>
      </c>
      <c r="O933" s="31">
        <v>0</v>
      </c>
      <c r="P933" s="31">
        <v>1</v>
      </c>
      <c r="Q933" s="31">
        <v>0</v>
      </c>
      <c r="R933" s="31">
        <v>0</v>
      </c>
      <c r="S933" s="31">
        <v>0</v>
      </c>
      <c r="T933" s="21" cm="1">
        <f t="array" aca="1" ref="T933" ca="1">+fair_value_gap(OFFSET(S932,0,0,-1*$I$5,-1*$Z$1),OFFSET(E932,0,0,-1*$I$5,1),F933:S933,0)</f>
        <v>22.073197370567438</v>
      </c>
      <c r="U933" s="7" cm="1">
        <f t="array" aca="1" ref="U933" ca="1">z_score_diff(OFFSET(T933,0,0,$I$5*-1,1),OFFSET(E933,0,0,$I$5*-1,1))</f>
        <v>-0.25067857098482094</v>
      </c>
      <c r="V933" s="7">
        <f t="shared" ca="1" si="987"/>
        <v>-0.11156267016509842</v>
      </c>
      <c r="W933" s="14">
        <f t="shared" ca="1" si="982"/>
        <v>0.20150470399355147</v>
      </c>
      <c r="X933" s="10">
        <f t="shared" ref="X933:Y933" ca="1" si="1018">+X932</f>
        <v>0</v>
      </c>
      <c r="Y933" s="10">
        <f t="shared" ca="1" si="1018"/>
        <v>0</v>
      </c>
      <c r="Z933">
        <f t="shared" ca="1" si="989"/>
        <v>1</v>
      </c>
      <c r="AA933">
        <f t="shared" ca="1" si="990"/>
        <v>0</v>
      </c>
      <c r="AB933" s="19">
        <f t="shared" ca="1" si="991"/>
        <v>0.20150470399355147</v>
      </c>
      <c r="AC933" s="19">
        <f t="shared" ca="1" si="992"/>
        <v>0</v>
      </c>
    </row>
    <row r="934" spans="3:29" x14ac:dyDescent="0.25">
      <c r="C934" s="4">
        <v>927</v>
      </c>
      <c r="D934" s="28">
        <v>43325</v>
      </c>
      <c r="E934" s="30">
        <v>23.5</v>
      </c>
      <c r="F934" s="30">
        <v>63.648316970546979</v>
      </c>
      <c r="G934" s="30">
        <v>8.6430575035063111</v>
      </c>
      <c r="H934" s="30">
        <v>88.534361851332392</v>
      </c>
      <c r="I934" s="8">
        <v>0</v>
      </c>
      <c r="J934" s="31">
        <v>0</v>
      </c>
      <c r="K934" s="31">
        <v>0</v>
      </c>
      <c r="L934" s="31">
        <v>0</v>
      </c>
      <c r="M934" s="31">
        <v>0</v>
      </c>
      <c r="N934" s="31">
        <v>0</v>
      </c>
      <c r="O934" s="31">
        <v>0</v>
      </c>
      <c r="P934" s="31">
        <v>1</v>
      </c>
      <c r="Q934" s="31">
        <v>0</v>
      </c>
      <c r="R934" s="31">
        <v>0</v>
      </c>
      <c r="S934" s="31">
        <v>0</v>
      </c>
      <c r="T934" s="21" cm="1">
        <f t="array" aca="1" ref="T934" ca="1">+fair_value_gap(OFFSET(S933,0,0,-1*$I$5,-1*$Z$1),OFFSET(E933,0,0,-1*$I$5,1),F934:S934,0)</f>
        <v>22.064665009214661</v>
      </c>
      <c r="U934" s="7" cm="1">
        <f t="array" aca="1" ref="U934" ca="1">z_score_diff(OFFSET(T934,0,0,$I$5*-1,1),OFFSET(E934,0,0,$I$5*-1,1))</f>
        <v>-0.57468582948093561</v>
      </c>
      <c r="V934" s="7">
        <f t="shared" ca="1" si="987"/>
        <v>-0.13021772626443856</v>
      </c>
      <c r="W934" s="14">
        <f t="shared" ca="1" si="982"/>
        <v>0.21459649073575129</v>
      </c>
      <c r="X934" s="10">
        <f t="shared" ref="X934:Y934" ca="1" si="1019">+X933</f>
        <v>0</v>
      </c>
      <c r="Y934" s="10">
        <f t="shared" ca="1" si="1019"/>
        <v>0</v>
      </c>
      <c r="Z934">
        <f t="shared" ca="1" si="989"/>
        <v>1</v>
      </c>
      <c r="AA934">
        <f t="shared" ca="1" si="990"/>
        <v>0</v>
      </c>
      <c r="AB934" s="19">
        <f t="shared" ca="1" si="991"/>
        <v>0.21459649073575129</v>
      </c>
      <c r="AC934" s="19">
        <f t="shared" ca="1" si="992"/>
        <v>0</v>
      </c>
    </row>
    <row r="935" spans="3:29" x14ac:dyDescent="0.25">
      <c r="C935" s="4">
        <v>928</v>
      </c>
      <c r="D935" s="28">
        <v>43326</v>
      </c>
      <c r="E935" s="30">
        <v>23.724</v>
      </c>
      <c r="F935" s="30">
        <v>63.886439781343668</v>
      </c>
      <c r="G935" s="30">
        <v>8.6977605360606596</v>
      </c>
      <c r="H935" s="30">
        <v>89.093634279668478</v>
      </c>
      <c r="I935" s="8">
        <v>0</v>
      </c>
      <c r="J935" s="31">
        <v>0</v>
      </c>
      <c r="K935" s="31">
        <v>0</v>
      </c>
      <c r="L935" s="31">
        <v>0</v>
      </c>
      <c r="M935" s="31">
        <v>0</v>
      </c>
      <c r="N935" s="31">
        <v>0</v>
      </c>
      <c r="O935" s="31">
        <v>0</v>
      </c>
      <c r="P935" s="31">
        <v>1</v>
      </c>
      <c r="Q935" s="31">
        <v>0</v>
      </c>
      <c r="R935" s="31">
        <v>0</v>
      </c>
      <c r="S935" s="31">
        <v>0</v>
      </c>
      <c r="T935" s="21" cm="1">
        <f t="array" aca="1" ref="T935" ca="1">+fair_value_gap(OFFSET(S934,0,0,-1*$I$5,-1*$Z$1),OFFSET(E934,0,0,-1*$I$5,1),F935:S935,0)</f>
        <v>22.329319705818712</v>
      </c>
      <c r="U935" s="7" cm="1">
        <f t="array" aca="1" ref="U935" ca="1">z_score_diff(OFFSET(T935,0,0,$I$5*-1,1),OFFSET(E935,0,0,$I$5*-1,1))</f>
        <v>-0.54056677035317224</v>
      </c>
      <c r="V935" s="7">
        <f t="shared" ca="1" si="987"/>
        <v>-0.1565435234490217</v>
      </c>
      <c r="W935" s="14">
        <f t="shared" ca="1" si="982"/>
        <v>0.19326299777150177</v>
      </c>
      <c r="X935" s="10">
        <f t="shared" ref="X935:Y935" ca="1" si="1020">+X934</f>
        <v>0</v>
      </c>
      <c r="Y935" s="10">
        <f t="shared" ca="1" si="1020"/>
        <v>0</v>
      </c>
      <c r="Z935">
        <f t="shared" ca="1" si="989"/>
        <v>1</v>
      </c>
      <c r="AA935">
        <f t="shared" ca="1" si="990"/>
        <v>0</v>
      </c>
      <c r="AB935" s="19">
        <f t="shared" ca="1" si="991"/>
        <v>0.19326299777150177</v>
      </c>
      <c r="AC935" s="19">
        <f t="shared" ca="1" si="992"/>
        <v>0</v>
      </c>
    </row>
    <row r="936" spans="3:29" x14ac:dyDescent="0.25">
      <c r="C936" s="4">
        <v>929</v>
      </c>
      <c r="D936" s="28">
        <v>43327</v>
      </c>
      <c r="E936" s="30">
        <v>23.518999999999998</v>
      </c>
      <c r="F936" s="30">
        <v>62.382085867936169</v>
      </c>
      <c r="G936" s="30">
        <v>8.7014017455699531</v>
      </c>
      <c r="H936" s="30">
        <v>88.380498986158855</v>
      </c>
      <c r="I936" s="8">
        <v>0</v>
      </c>
      <c r="J936" s="31">
        <v>0</v>
      </c>
      <c r="K936" s="31">
        <v>0</v>
      </c>
      <c r="L936" s="31">
        <v>0</v>
      </c>
      <c r="M936" s="31">
        <v>0</v>
      </c>
      <c r="N936" s="31">
        <v>0</v>
      </c>
      <c r="O936" s="31">
        <v>0</v>
      </c>
      <c r="P936" s="31">
        <v>1</v>
      </c>
      <c r="Q936" s="31">
        <v>0</v>
      </c>
      <c r="R936" s="31">
        <v>0</v>
      </c>
      <c r="S936" s="31">
        <v>0</v>
      </c>
      <c r="T936" s="21" cm="1">
        <f t="array" aca="1" ref="T936" ca="1">+fair_value_gap(OFFSET(S935,0,0,-1*$I$5,-1*$Z$1),OFFSET(E935,0,0,-1*$I$5,1),F936:S936,0)</f>
        <v>22.112419061421214</v>
      </c>
      <c r="U936" s="7" cm="1">
        <f t="array" aca="1" ref="U936" ca="1">z_score_diff(OFFSET(T936,0,0,$I$5*-1,1),OFFSET(E936,0,0,$I$5*-1,1))</f>
        <v>-0.53840696007806055</v>
      </c>
      <c r="V936" s="7">
        <f t="shared" ca="1" si="987"/>
        <v>-0.18576787067114284</v>
      </c>
      <c r="W936" s="14">
        <f t="shared" ca="1" si="982"/>
        <v>0.15615919392947836</v>
      </c>
      <c r="X936" s="10">
        <f t="shared" ref="X936:Y936" ca="1" si="1021">+X935</f>
        <v>0</v>
      </c>
      <c r="Y936" s="10">
        <f t="shared" ca="1" si="1021"/>
        <v>0</v>
      </c>
      <c r="Z936">
        <f t="shared" ca="1" si="989"/>
        <v>1</v>
      </c>
      <c r="AA936">
        <f t="shared" ca="1" si="990"/>
        <v>0</v>
      </c>
      <c r="AB936" s="19">
        <f t="shared" ca="1" si="991"/>
        <v>0.15615919392947836</v>
      </c>
      <c r="AC936" s="19">
        <f t="shared" ca="1" si="992"/>
        <v>0</v>
      </c>
    </row>
    <row r="937" spans="3:29" x14ac:dyDescent="0.25">
      <c r="C937" s="4">
        <v>930</v>
      </c>
      <c r="D937" s="28">
        <v>43328</v>
      </c>
      <c r="E937" s="30">
        <v>23.832999999999998</v>
      </c>
      <c r="F937" s="30">
        <v>62.795604395604407</v>
      </c>
      <c r="G937" s="30">
        <v>9.7186813186813197</v>
      </c>
      <c r="H937" s="30">
        <v>87.032967032967036</v>
      </c>
      <c r="I937" s="8">
        <v>0</v>
      </c>
      <c r="J937" s="31">
        <v>0</v>
      </c>
      <c r="K937" s="31">
        <v>0</v>
      </c>
      <c r="L937" s="31">
        <v>0</v>
      </c>
      <c r="M937" s="31">
        <v>0</v>
      </c>
      <c r="N937" s="31">
        <v>0</v>
      </c>
      <c r="O937" s="31">
        <v>0</v>
      </c>
      <c r="P937" s="31">
        <v>1</v>
      </c>
      <c r="Q937" s="31">
        <v>0</v>
      </c>
      <c r="R937" s="31">
        <v>0</v>
      </c>
      <c r="S937" s="31">
        <v>0</v>
      </c>
      <c r="T937" s="21" cm="1">
        <f t="array" aca="1" ref="T937" ca="1">+fair_value_gap(OFFSET(S936,0,0,-1*$I$5,-1*$Z$1),OFFSET(E936,0,0,-1*$I$5,1),F937:S937,0)</f>
        <v>22.189701982433828</v>
      </c>
      <c r="U937" s="7" cm="1">
        <f t="array" aca="1" ref="U937" ca="1">z_score_diff(OFFSET(T937,0,0,$I$5*-1,1),OFFSET(E937,0,0,$I$5*-1,1))</f>
        <v>-0.64939252133143333</v>
      </c>
      <c r="V937" s="7">
        <f t="shared" ca="1" si="987"/>
        <v>-0.21902109540726328</v>
      </c>
      <c r="W937" s="14">
        <f t="shared" ca="1" si="982"/>
        <v>0.11762917551494838</v>
      </c>
      <c r="X937" s="10">
        <f t="shared" ref="X937:Y937" ca="1" si="1022">+X936</f>
        <v>0</v>
      </c>
      <c r="Y937" s="10">
        <f t="shared" ca="1" si="1022"/>
        <v>0</v>
      </c>
      <c r="Z937">
        <f t="shared" ca="1" si="989"/>
        <v>1</v>
      </c>
      <c r="AA937">
        <f t="shared" ca="1" si="990"/>
        <v>0</v>
      </c>
      <c r="AB937" s="19">
        <f t="shared" ca="1" si="991"/>
        <v>0.11762917551494838</v>
      </c>
      <c r="AC937" s="19">
        <f t="shared" ca="1" si="992"/>
        <v>0</v>
      </c>
    </row>
    <row r="938" spans="3:29" x14ac:dyDescent="0.25">
      <c r="C938" s="4">
        <v>931</v>
      </c>
      <c r="D938" s="28">
        <v>43329</v>
      </c>
      <c r="E938" s="30">
        <v>24.152999999999999</v>
      </c>
      <c r="F938" s="30">
        <v>62.804931363119699</v>
      </c>
      <c r="G938" s="30">
        <v>9.8583544635831082</v>
      </c>
      <c r="H938" s="30">
        <v>87.435516306723798</v>
      </c>
      <c r="I938" s="8">
        <v>0</v>
      </c>
      <c r="J938" s="31">
        <v>0</v>
      </c>
      <c r="K938" s="31">
        <v>0</v>
      </c>
      <c r="L938" s="31">
        <v>0</v>
      </c>
      <c r="M938" s="31">
        <v>0</v>
      </c>
      <c r="N938" s="31">
        <v>0</v>
      </c>
      <c r="O938" s="31">
        <v>0</v>
      </c>
      <c r="P938" s="31">
        <v>1</v>
      </c>
      <c r="Q938" s="31">
        <v>0</v>
      </c>
      <c r="R938" s="31">
        <v>0</v>
      </c>
      <c r="S938" s="31">
        <v>0</v>
      </c>
      <c r="T938" s="21" cm="1">
        <f t="array" aca="1" ref="T938" ca="1">+fair_value_gap(OFFSET(S937,0,0,-1*$I$5,-1*$Z$1),OFFSET(E937,0,0,-1*$I$5,1),F938:S938,0)</f>
        <v>22.444990464271363</v>
      </c>
      <c r="U938" s="7" cm="1">
        <f t="array" aca="1" ref="U938" ca="1">z_score_diff(OFFSET(T938,0,0,$I$5*-1,1),OFFSET(E938,0,0,$I$5*-1,1))</f>
        <v>-0.66348953882966133</v>
      </c>
      <c r="V938" s="7">
        <f t="shared" ca="1" si="987"/>
        <v>-0.25560659827433824</v>
      </c>
      <c r="W938" s="14">
        <f t="shared" ca="1" si="982"/>
        <v>0.10879517683951806</v>
      </c>
      <c r="X938" s="10">
        <f t="shared" ref="X938:Y938" ca="1" si="1023">+X937</f>
        <v>0</v>
      </c>
      <c r="Y938" s="10">
        <f t="shared" ca="1" si="1023"/>
        <v>0</v>
      </c>
      <c r="Z938">
        <f t="shared" ca="1" si="989"/>
        <v>1</v>
      </c>
      <c r="AA938">
        <f t="shared" ca="1" si="990"/>
        <v>0</v>
      </c>
      <c r="AB938" s="19">
        <f t="shared" ca="1" si="991"/>
        <v>0.10879517683951806</v>
      </c>
      <c r="AC938" s="19">
        <f t="shared" ca="1" si="992"/>
        <v>0</v>
      </c>
    </row>
    <row r="939" spans="3:29" x14ac:dyDescent="0.25">
      <c r="C939" s="4">
        <v>932</v>
      </c>
      <c r="D939" s="28">
        <v>43332</v>
      </c>
      <c r="E939" s="30">
        <v>24.178999999999998</v>
      </c>
      <c r="F939" s="30">
        <v>62.90617649621047</v>
      </c>
      <c r="G939" s="30">
        <v>9.9311786741005328</v>
      </c>
      <c r="H939" s="30">
        <v>86.897813398379654</v>
      </c>
      <c r="I939" s="8">
        <v>0</v>
      </c>
      <c r="J939" s="31">
        <v>0</v>
      </c>
      <c r="K939" s="31">
        <v>0</v>
      </c>
      <c r="L939" s="31">
        <v>0</v>
      </c>
      <c r="M939" s="31">
        <v>0</v>
      </c>
      <c r="N939" s="31">
        <v>0</v>
      </c>
      <c r="O939" s="31">
        <v>0</v>
      </c>
      <c r="P939" s="31">
        <v>1</v>
      </c>
      <c r="Q939" s="31">
        <v>0</v>
      </c>
      <c r="R939" s="31">
        <v>0</v>
      </c>
      <c r="S939" s="31">
        <v>0</v>
      </c>
      <c r="T939" s="21" cm="1">
        <f t="array" aca="1" ref="T939" ca="1">+fair_value_gap(OFFSET(S938,0,0,-1*$I$5,-1*$Z$1),OFFSET(E938,0,0,-1*$I$5,1),F939:S939,0)</f>
        <v>22.585477298323131</v>
      </c>
      <c r="U939" s="7" cm="1">
        <f t="array" aca="1" ref="U939" ca="1">z_score_diff(OFFSET(T939,0,0,$I$5*-1,1),OFFSET(E939,0,0,$I$5*-1,1))</f>
        <v>-0.58708763340425607</v>
      </c>
      <c r="V939" s="7">
        <f t="shared" ca="1" si="987"/>
        <v>-0.28921794411371166</v>
      </c>
      <c r="W939" s="14">
        <f t="shared" ca="1" si="982"/>
        <v>0.14946624800475533</v>
      </c>
      <c r="X939" s="10">
        <f t="shared" ref="X939:Y939" ca="1" si="1024">+X938</f>
        <v>0</v>
      </c>
      <c r="Y939" s="10">
        <f t="shared" ca="1" si="1024"/>
        <v>0</v>
      </c>
      <c r="Z939">
        <f t="shared" ca="1" si="989"/>
        <v>1</v>
      </c>
      <c r="AA939">
        <f t="shared" ca="1" si="990"/>
        <v>0</v>
      </c>
      <c r="AB939" s="19">
        <f t="shared" ca="1" si="991"/>
        <v>0.14946624800475533</v>
      </c>
      <c r="AC939" s="19">
        <f t="shared" ca="1" si="992"/>
        <v>0</v>
      </c>
    </row>
    <row r="940" spans="3:29" x14ac:dyDescent="0.25">
      <c r="C940" s="4">
        <v>933</v>
      </c>
      <c r="D940" s="28">
        <v>43333</v>
      </c>
      <c r="E940" s="30">
        <v>24.405999999999999</v>
      </c>
      <c r="F940" s="30">
        <v>62.779842683032236</v>
      </c>
      <c r="G940" s="30">
        <v>9.8323104849165865</v>
      </c>
      <c r="H940" s="30">
        <v>85.832829112282823</v>
      </c>
      <c r="I940" s="8">
        <v>0</v>
      </c>
      <c r="J940" s="31">
        <v>0</v>
      </c>
      <c r="K940" s="31">
        <v>0</v>
      </c>
      <c r="L940" s="31">
        <v>0</v>
      </c>
      <c r="M940" s="31">
        <v>0</v>
      </c>
      <c r="N940" s="31">
        <v>0</v>
      </c>
      <c r="O940" s="31">
        <v>0</v>
      </c>
      <c r="P940" s="31">
        <v>1</v>
      </c>
      <c r="Q940" s="31">
        <v>0</v>
      </c>
      <c r="R940" s="31">
        <v>0</v>
      </c>
      <c r="S940" s="31">
        <v>0</v>
      </c>
      <c r="T940" s="21" cm="1">
        <f t="array" aca="1" ref="T940" ca="1">+fair_value_gap(OFFSET(S939,0,0,-1*$I$5,-1*$Z$1),OFFSET(E939,0,0,-1*$I$5,1),F940:S940,0)</f>
        <v>22.572557770112617</v>
      </c>
      <c r="U940" s="7" cm="1">
        <f t="array" aca="1" ref="U940" ca="1">z_score_diff(OFFSET(T940,0,0,$I$5*-1,1),OFFSET(E940,0,0,$I$5*-1,1))</f>
        <v>-0.69493463951570456</v>
      </c>
      <c r="V940" s="7">
        <f t="shared" ca="1" si="987"/>
        <v>-0.33022498224779567</v>
      </c>
      <c r="W940" s="14">
        <f t="shared" ca="1" si="982"/>
        <v>0.11607890660504677</v>
      </c>
      <c r="X940" s="10">
        <f t="shared" ref="X940:Y940" ca="1" si="1025">+X939</f>
        <v>0</v>
      </c>
      <c r="Y940" s="10">
        <f t="shared" ca="1" si="1025"/>
        <v>0</v>
      </c>
      <c r="Z940">
        <f t="shared" ca="1" si="989"/>
        <v>1</v>
      </c>
      <c r="AA940">
        <f t="shared" ca="1" si="990"/>
        <v>0</v>
      </c>
      <c r="AB940" s="19">
        <f t="shared" ca="1" si="991"/>
        <v>0.11607890660504677</v>
      </c>
      <c r="AC940" s="19">
        <f t="shared" ca="1" si="992"/>
        <v>0</v>
      </c>
    </row>
    <row r="941" spans="3:29" x14ac:dyDescent="0.25">
      <c r="C941" s="4">
        <v>934</v>
      </c>
      <c r="D941" s="28">
        <v>43334</v>
      </c>
      <c r="E941" s="30">
        <v>24.448</v>
      </c>
      <c r="F941" s="30">
        <v>64.487754398068304</v>
      </c>
      <c r="G941" s="30">
        <v>9.8309761986892035</v>
      </c>
      <c r="H941" s="30">
        <v>85.676095205243186</v>
      </c>
      <c r="I941" s="8">
        <v>0</v>
      </c>
      <c r="J941" s="31">
        <v>0</v>
      </c>
      <c r="K941" s="31">
        <v>0</v>
      </c>
      <c r="L941" s="31">
        <v>0</v>
      </c>
      <c r="M941" s="31">
        <v>0</v>
      </c>
      <c r="N941" s="31">
        <v>0</v>
      </c>
      <c r="O941" s="31">
        <v>0</v>
      </c>
      <c r="P941" s="31">
        <v>1</v>
      </c>
      <c r="Q941" s="31">
        <v>0</v>
      </c>
      <c r="R941" s="31">
        <v>0</v>
      </c>
      <c r="S941" s="31">
        <v>0</v>
      </c>
      <c r="T941" s="21" cm="1">
        <f t="array" aca="1" ref="T941" ca="1">+fair_value_gap(OFFSET(S940,0,0,-1*$I$5,-1*$Z$1),OFFSET(E940,0,0,-1*$I$5,1),F941:S941,0)</f>
        <v>22.979809372178579</v>
      </c>
      <c r="U941" s="7" cm="1">
        <f t="array" aca="1" ref="U941" ca="1">z_score_diff(OFFSET(T941,0,0,$I$5*-1,1),OFFSET(E941,0,0,$I$5*-1,1))</f>
        <v>-0.48120353072889266</v>
      </c>
      <c r="V941" s="7">
        <f t="shared" ca="1" si="987"/>
        <v>-0.35864725471028358</v>
      </c>
      <c r="W941" s="14">
        <f t="shared" ca="1" si="982"/>
        <v>0.14709047481675699</v>
      </c>
      <c r="X941" s="10">
        <f t="shared" ref="X941:Y941" ca="1" si="1026">+X940</f>
        <v>0</v>
      </c>
      <c r="Y941" s="10">
        <f t="shared" ca="1" si="1026"/>
        <v>0</v>
      </c>
      <c r="Z941">
        <f t="shared" ca="1" si="989"/>
        <v>1</v>
      </c>
      <c r="AA941">
        <f t="shared" ca="1" si="990"/>
        <v>0</v>
      </c>
      <c r="AB941" s="19">
        <f t="shared" ca="1" si="991"/>
        <v>0.14709047481675699</v>
      </c>
      <c r="AC941" s="19">
        <f t="shared" ca="1" si="992"/>
        <v>0</v>
      </c>
    </row>
    <row r="942" spans="3:29" x14ac:dyDescent="0.25">
      <c r="C942" s="4">
        <v>935</v>
      </c>
      <c r="D942" s="28">
        <v>43335</v>
      </c>
      <c r="E942" s="30">
        <v>24.76</v>
      </c>
      <c r="F942" s="30">
        <v>64.774204732599472</v>
      </c>
      <c r="G942" s="30">
        <v>9.9722631533327561</v>
      </c>
      <c r="H942" s="30">
        <v>85.810869376787736</v>
      </c>
      <c r="I942" s="8">
        <v>0</v>
      </c>
      <c r="J942" s="31">
        <v>0</v>
      </c>
      <c r="K942" s="31">
        <v>0</v>
      </c>
      <c r="L942" s="31">
        <v>0</v>
      </c>
      <c r="M942" s="31">
        <v>0</v>
      </c>
      <c r="N942" s="31">
        <v>0</v>
      </c>
      <c r="O942" s="31">
        <v>0</v>
      </c>
      <c r="P942" s="31">
        <v>1</v>
      </c>
      <c r="Q942" s="31">
        <v>0</v>
      </c>
      <c r="R942" s="31">
        <v>0</v>
      </c>
      <c r="S942" s="31">
        <v>0</v>
      </c>
      <c r="T942" s="21" cm="1">
        <f t="array" aca="1" ref="T942" ca="1">+fair_value_gap(OFFSET(S941,0,0,-1*$I$5,-1*$Z$1),OFFSET(E941,0,0,-1*$I$5,1),F942:S942,0)</f>
        <v>23.174390557328408</v>
      </c>
      <c r="U942" s="7" cm="1">
        <f t="array" aca="1" ref="U942" ca="1">z_score_diff(OFFSET(T942,0,0,$I$5*-1,1),OFFSET(E942,0,0,$I$5*-1,1))</f>
        <v>-0.51974023538942915</v>
      </c>
      <c r="V942" s="7">
        <f t="shared" ca="1" si="987"/>
        <v>-0.39550723034259444</v>
      </c>
      <c r="W942" s="14">
        <f t="shared" ca="1" si="982"/>
        <v>0.14386253517091269</v>
      </c>
      <c r="X942" s="10">
        <f t="shared" ref="X942:Y942" ca="1" si="1027">+X941</f>
        <v>0</v>
      </c>
      <c r="Y942" s="10">
        <f t="shared" ca="1" si="1027"/>
        <v>0</v>
      </c>
      <c r="Z942">
        <f t="shared" ca="1" si="989"/>
        <v>1</v>
      </c>
      <c r="AA942">
        <f t="shared" ca="1" si="990"/>
        <v>0</v>
      </c>
      <c r="AB942" s="19">
        <f t="shared" ca="1" si="991"/>
        <v>0.14386253517091269</v>
      </c>
      <c r="AC942" s="19">
        <f t="shared" ca="1" si="992"/>
        <v>0</v>
      </c>
    </row>
    <row r="943" spans="3:29" x14ac:dyDescent="0.25">
      <c r="C943" s="4">
        <v>936</v>
      </c>
      <c r="D943" s="28">
        <v>43336</v>
      </c>
      <c r="E943" s="30">
        <v>24.975000000000001</v>
      </c>
      <c r="F943" s="30">
        <v>65.243954909216072</v>
      </c>
      <c r="G943" s="30">
        <v>9.9690215988297055</v>
      </c>
      <c r="H943" s="30">
        <v>85.577833232940378</v>
      </c>
      <c r="I943" s="8">
        <v>0</v>
      </c>
      <c r="J943" s="31">
        <v>0</v>
      </c>
      <c r="K943" s="31">
        <v>0</v>
      </c>
      <c r="L943" s="31">
        <v>0</v>
      </c>
      <c r="M943" s="31">
        <v>0</v>
      </c>
      <c r="N943" s="31">
        <v>0</v>
      </c>
      <c r="O943" s="31">
        <v>0</v>
      </c>
      <c r="P943" s="31">
        <v>1</v>
      </c>
      <c r="Q943" s="31">
        <v>0</v>
      </c>
      <c r="R943" s="31">
        <v>0</v>
      </c>
      <c r="S943" s="31">
        <v>0</v>
      </c>
      <c r="T943" s="21" cm="1">
        <f t="array" aca="1" ref="T943" ca="1">+fair_value_gap(OFFSET(S942,0,0,-1*$I$5,-1*$Z$1),OFFSET(E942,0,0,-1*$I$5,1),F943:S943,0)</f>
        <v>23.304984817244243</v>
      </c>
      <c r="U943" s="7" cm="1">
        <f t="array" aca="1" ref="U943" ca="1">z_score_diff(OFFSET(T943,0,0,$I$5*-1,1),OFFSET(E943,0,0,$I$5*-1,1))</f>
        <v>-0.53681615701886543</v>
      </c>
      <c r="V943" s="7">
        <f t="shared" ca="1" si="987"/>
        <v>-0.43737285257502412</v>
      </c>
      <c r="W943" s="14">
        <f t="shared" ca="1" si="982"/>
        <v>0.13985768571345389</v>
      </c>
      <c r="X943" s="10">
        <f t="shared" ref="X943:Y943" ca="1" si="1028">+X942</f>
        <v>0</v>
      </c>
      <c r="Y943" s="10">
        <f t="shared" ca="1" si="1028"/>
        <v>0</v>
      </c>
      <c r="Z943">
        <f t="shared" ca="1" si="989"/>
        <v>1</v>
      </c>
      <c r="AA943">
        <f t="shared" ca="1" si="990"/>
        <v>0</v>
      </c>
      <c r="AB943" s="19">
        <f t="shared" ca="1" si="991"/>
        <v>0.13985768571345389</v>
      </c>
      <c r="AC943" s="19">
        <f t="shared" ca="1" si="992"/>
        <v>0</v>
      </c>
    </row>
    <row r="944" spans="3:29" x14ac:dyDescent="0.25">
      <c r="C944" s="4">
        <v>937</v>
      </c>
      <c r="D944" s="28">
        <v>43339</v>
      </c>
      <c r="E944" s="30">
        <v>25.411000000000001</v>
      </c>
      <c r="F944" s="30">
        <v>65.265050954868542</v>
      </c>
      <c r="G944" s="30">
        <v>9.9169307185064657</v>
      </c>
      <c r="H944" s="30">
        <v>86.023807484799178</v>
      </c>
      <c r="I944" s="8">
        <v>0</v>
      </c>
      <c r="J944" s="31">
        <v>0</v>
      </c>
      <c r="K944" s="31">
        <v>0</v>
      </c>
      <c r="L944" s="31">
        <v>0</v>
      </c>
      <c r="M944" s="31">
        <v>0</v>
      </c>
      <c r="N944" s="31">
        <v>0</v>
      </c>
      <c r="O944" s="31">
        <v>0</v>
      </c>
      <c r="P944" s="31">
        <v>1</v>
      </c>
      <c r="Q944" s="31">
        <v>0</v>
      </c>
      <c r="R944" s="31">
        <v>0</v>
      </c>
      <c r="S944" s="31">
        <v>0</v>
      </c>
      <c r="T944" s="21" cm="1">
        <f t="array" aca="1" ref="T944" ca="1">+fair_value_gap(OFFSET(S943,0,0,-1*$I$5,-1*$Z$1),OFFSET(E943,0,0,-1*$I$5,1),F944:S944,0)</f>
        <v>23.51178122043898</v>
      </c>
      <c r="U944" s="7" cm="1">
        <f t="array" aca="1" ref="U944" ca="1">z_score_diff(OFFSET(T944,0,0,$I$5*-1,1),OFFSET(E944,0,0,$I$5*-1,1))</f>
        <v>-0.61993027945347512</v>
      </c>
      <c r="V944" s="7">
        <f t="shared" ca="1" si="987"/>
        <v>-0.46252680714607619</v>
      </c>
      <c r="W944" s="14">
        <f t="shared" ca="1" si="982"/>
        <v>0.1404922732885589</v>
      </c>
      <c r="X944" s="10">
        <f t="shared" ref="X944:Y944" ca="1" si="1029">+X943</f>
        <v>0</v>
      </c>
      <c r="Y944" s="10">
        <f t="shared" ca="1" si="1029"/>
        <v>0</v>
      </c>
      <c r="Z944">
        <f t="shared" ca="1" si="989"/>
        <v>1</v>
      </c>
      <c r="AA944">
        <f t="shared" ca="1" si="990"/>
        <v>0</v>
      </c>
      <c r="AB944" s="19">
        <f t="shared" ca="1" si="991"/>
        <v>0.1404922732885589</v>
      </c>
      <c r="AC944" s="19">
        <f t="shared" ca="1" si="992"/>
        <v>0</v>
      </c>
    </row>
    <row r="945" spans="3:29" x14ac:dyDescent="0.25">
      <c r="C945" s="4">
        <v>938</v>
      </c>
      <c r="D945" s="28">
        <v>43340</v>
      </c>
      <c r="E945" s="30">
        <v>25.36</v>
      </c>
      <c r="F945" s="30">
        <v>64.953390917643034</v>
      </c>
      <c r="G945" s="30">
        <v>9.8990849226032669</v>
      </c>
      <c r="H945" s="30">
        <v>85.179167023005206</v>
      </c>
      <c r="I945" s="8">
        <v>0</v>
      </c>
      <c r="J945" s="31">
        <v>0</v>
      </c>
      <c r="K945" s="31">
        <v>0</v>
      </c>
      <c r="L945" s="31">
        <v>0</v>
      </c>
      <c r="M945" s="31">
        <v>0</v>
      </c>
      <c r="N945" s="31">
        <v>0</v>
      </c>
      <c r="O945" s="31">
        <v>0</v>
      </c>
      <c r="P945" s="31">
        <v>1</v>
      </c>
      <c r="Q945" s="31">
        <v>0</v>
      </c>
      <c r="R945" s="31">
        <v>0</v>
      </c>
      <c r="S945" s="31">
        <v>0</v>
      </c>
      <c r="T945" s="21" cm="1">
        <f t="array" aca="1" ref="T945" ca="1">+fair_value_gap(OFFSET(S944,0,0,-1*$I$5,-1*$Z$1),OFFSET(E944,0,0,-1*$I$5,1),F945:S945,0)</f>
        <v>23.494339980529439</v>
      </c>
      <c r="U945" s="7" cm="1">
        <f t="array" aca="1" ref="U945" ca="1">z_score_diff(OFFSET(T945,0,0,$I$5*-1,1),OFFSET(E945,0,0,$I$5*-1,1))</f>
        <v>-0.57888627854640395</v>
      </c>
      <c r="V945" s="7">
        <f t="shared" ca="1" si="987"/>
        <v>-0.48549161352787784</v>
      </c>
      <c r="W945" s="14">
        <f t="shared" ca="1" si="982"/>
        <v>0.14209087006662574</v>
      </c>
      <c r="X945" s="10">
        <f t="shared" ref="X945:Y945" ca="1" si="1030">+X944</f>
        <v>0</v>
      </c>
      <c r="Y945" s="10">
        <f t="shared" ca="1" si="1030"/>
        <v>0</v>
      </c>
      <c r="Z945">
        <f t="shared" ca="1" si="989"/>
        <v>1</v>
      </c>
      <c r="AA945">
        <f t="shared" ca="1" si="990"/>
        <v>0</v>
      </c>
      <c r="AB945" s="19">
        <f t="shared" ca="1" si="991"/>
        <v>0.14209087006662574</v>
      </c>
      <c r="AC945" s="19">
        <f t="shared" ca="1" si="992"/>
        <v>0</v>
      </c>
    </row>
    <row r="946" spans="3:29" x14ac:dyDescent="0.25">
      <c r="C946" s="4">
        <v>939</v>
      </c>
      <c r="D946" s="28">
        <v>43341</v>
      </c>
      <c r="E946" s="30">
        <v>25.867999999999999</v>
      </c>
      <c r="F946" s="30">
        <v>65.897830172561072</v>
      </c>
      <c r="G946" s="30">
        <v>9.9735178540919183</v>
      </c>
      <c r="H946" s="30">
        <v>85.084572014351608</v>
      </c>
      <c r="I946" s="8">
        <v>0</v>
      </c>
      <c r="J946" s="31">
        <v>0</v>
      </c>
      <c r="K946" s="31">
        <v>0</v>
      </c>
      <c r="L946" s="31">
        <v>0</v>
      </c>
      <c r="M946" s="31">
        <v>0</v>
      </c>
      <c r="N946" s="31">
        <v>0</v>
      </c>
      <c r="O946" s="31">
        <v>0</v>
      </c>
      <c r="P946" s="31">
        <v>1</v>
      </c>
      <c r="Q946" s="31">
        <v>0</v>
      </c>
      <c r="R946" s="31">
        <v>0</v>
      </c>
      <c r="S946" s="31">
        <v>0</v>
      </c>
      <c r="T946" s="21" cm="1">
        <f t="array" aca="1" ref="T946" ca="1">+fair_value_gap(OFFSET(S945,0,0,-1*$I$5,-1*$Z$1),OFFSET(E945,0,0,-1*$I$5,1),F946:S946,0)</f>
        <v>23.782082804768983</v>
      </c>
      <c r="U946" s="7" cm="1">
        <f t="array" aca="1" ref="U946" ca="1">z_score_diff(OFFSET(T946,0,0,$I$5*-1,1),OFFSET(E946,0,0,$I$5*-1,1))</f>
        <v>-0.64668653681467569</v>
      </c>
      <c r="V946" s="7">
        <f t="shared" ca="1" si="987"/>
        <v>-0.49724161302153125</v>
      </c>
      <c r="W946" s="14">
        <f t="shared" ca="1" si="982"/>
        <v>8.8511462576208053E-2</v>
      </c>
      <c r="X946" s="10">
        <f t="shared" ref="X946:Y946" ca="1" si="1031">+X945</f>
        <v>0</v>
      </c>
      <c r="Y946" s="10">
        <f t="shared" ca="1" si="1031"/>
        <v>0</v>
      </c>
      <c r="Z946">
        <f t="shared" ca="1" si="989"/>
        <v>1</v>
      </c>
      <c r="AA946">
        <f t="shared" ca="1" si="990"/>
        <v>0</v>
      </c>
      <c r="AB946" s="19">
        <f t="shared" ca="1" si="991"/>
        <v>8.8511462576208053E-2</v>
      </c>
      <c r="AC946" s="19">
        <f t="shared" ca="1" si="992"/>
        <v>0</v>
      </c>
    </row>
    <row r="947" spans="3:29" x14ac:dyDescent="0.25">
      <c r="C947" s="4">
        <v>940</v>
      </c>
      <c r="D947" s="28">
        <v>43342</v>
      </c>
      <c r="E947" s="30">
        <v>26.13</v>
      </c>
      <c r="F947" s="30">
        <v>66.640959725792627</v>
      </c>
      <c r="G947" s="30">
        <v>9.9914310197086547</v>
      </c>
      <c r="H947" s="30">
        <v>85.347043701799478</v>
      </c>
      <c r="I947" s="8">
        <v>0</v>
      </c>
      <c r="J947" s="31">
        <v>0</v>
      </c>
      <c r="K947" s="31">
        <v>0</v>
      </c>
      <c r="L947" s="31">
        <v>0</v>
      </c>
      <c r="M947" s="31">
        <v>0</v>
      </c>
      <c r="N947" s="31">
        <v>0</v>
      </c>
      <c r="O947" s="31">
        <v>0</v>
      </c>
      <c r="P947" s="31">
        <v>1</v>
      </c>
      <c r="Q947" s="31">
        <v>0</v>
      </c>
      <c r="R947" s="31">
        <v>0</v>
      </c>
      <c r="S947" s="31">
        <v>0</v>
      </c>
      <c r="T947" s="21" cm="1">
        <f t="array" aca="1" ref="T947" ca="1">+fair_value_gap(OFFSET(S946,0,0,-1*$I$5,-1*$Z$1),OFFSET(E946,0,0,-1*$I$5,1),F947:S947,0)</f>
        <v>24.108107809361346</v>
      </c>
      <c r="U947" s="7" cm="1">
        <f t="array" aca="1" ref="U947" ca="1">z_score_diff(OFFSET(T947,0,0,$I$5*-1,1),OFFSET(E947,0,0,$I$5*-1,1))</f>
        <v>-0.57058274681517496</v>
      </c>
      <c r="V947" s="7">
        <f t="shared" ca="1" si="987"/>
        <v>-0.51345971087356967</v>
      </c>
      <c r="W947" s="14">
        <f t="shared" ca="1" si="982"/>
        <v>5.3898012442005837E-2</v>
      </c>
      <c r="X947" s="10">
        <f t="shared" ref="X947:Y947" ca="1" si="1032">+X946</f>
        <v>0</v>
      </c>
      <c r="Y947" s="10">
        <f t="shared" ca="1" si="1032"/>
        <v>0</v>
      </c>
      <c r="Z947">
        <f t="shared" ca="1" si="989"/>
        <v>1</v>
      </c>
      <c r="AA947">
        <f t="shared" ca="1" si="990"/>
        <v>0</v>
      </c>
      <c r="AB947" s="19">
        <f t="shared" ca="1" si="991"/>
        <v>5.3898012442005837E-2</v>
      </c>
      <c r="AC947" s="19">
        <f t="shared" ca="1" si="992"/>
        <v>0</v>
      </c>
    </row>
    <row r="948" spans="3:29" x14ac:dyDescent="0.25">
      <c r="C948" s="4">
        <v>941</v>
      </c>
      <c r="D948" s="28">
        <v>43343</v>
      </c>
      <c r="E948" s="30">
        <v>25.837</v>
      </c>
      <c r="F948" s="30">
        <v>66.747133373566697</v>
      </c>
      <c r="G948" s="30">
        <v>10.013794292611433</v>
      </c>
      <c r="H948" s="30">
        <v>85.869471506164331</v>
      </c>
      <c r="I948" s="8">
        <v>0</v>
      </c>
      <c r="J948" s="31">
        <v>0</v>
      </c>
      <c r="K948" s="31">
        <v>0</v>
      </c>
      <c r="L948" s="31">
        <v>0</v>
      </c>
      <c r="M948" s="31">
        <v>0</v>
      </c>
      <c r="N948" s="31">
        <v>0</v>
      </c>
      <c r="O948" s="31">
        <v>0</v>
      </c>
      <c r="P948" s="31">
        <v>1</v>
      </c>
      <c r="Q948" s="31">
        <v>0</v>
      </c>
      <c r="R948" s="31">
        <v>0</v>
      </c>
      <c r="S948" s="31">
        <v>0</v>
      </c>
      <c r="T948" s="21" cm="1">
        <f t="array" aca="1" ref="T948" ca="1">+fair_value_gap(OFFSET(S947,0,0,-1*$I$5,-1*$Z$1),OFFSET(E947,0,0,-1*$I$5,1),F948:S948,0)</f>
        <v>24.356831111437607</v>
      </c>
      <c r="U948" s="7" cm="1">
        <f t="array" aca="1" ref="U948" ca="1">z_score_diff(OFFSET(T948,0,0,$I$5*-1,1),OFFSET(E948,0,0,$I$5*-1,1))</f>
        <v>-0.27873079817147772</v>
      </c>
      <c r="V948" s="7">
        <f t="shared" ca="1" si="987"/>
        <v>-0.50907685465927899</v>
      </c>
      <c r="W948" s="14">
        <f t="shared" ca="1" si="982"/>
        <v>5.614083633934993E-2</v>
      </c>
      <c r="X948" s="10">
        <f t="shared" ref="X948:Y948" ca="1" si="1033">+X947</f>
        <v>0</v>
      </c>
      <c r="Y948" s="10">
        <f t="shared" ca="1" si="1033"/>
        <v>0</v>
      </c>
      <c r="Z948">
        <f t="shared" ca="1" si="989"/>
        <v>1</v>
      </c>
      <c r="AA948">
        <f t="shared" ca="1" si="990"/>
        <v>0</v>
      </c>
      <c r="AB948" s="19">
        <f t="shared" ca="1" si="991"/>
        <v>5.614083633934993E-2</v>
      </c>
      <c r="AC948" s="19">
        <f t="shared" ca="1" si="992"/>
        <v>0</v>
      </c>
    </row>
    <row r="949" spans="3:29" x14ac:dyDescent="0.25">
      <c r="C949" s="4">
        <v>942</v>
      </c>
      <c r="D949" s="28">
        <v>43346</v>
      </c>
      <c r="E949" s="30">
        <v>26.239000000000001</v>
      </c>
      <c r="F949" s="30">
        <v>67.237374171900541</v>
      </c>
      <c r="G949" s="30">
        <v>9.9931170954142647</v>
      </c>
      <c r="H949" s="30">
        <v>84.315581175255943</v>
      </c>
      <c r="I949" s="8">
        <v>0</v>
      </c>
      <c r="J949" s="31">
        <v>0</v>
      </c>
      <c r="K949" s="31">
        <v>0</v>
      </c>
      <c r="L949" s="31">
        <v>0</v>
      </c>
      <c r="M949" s="31">
        <v>0</v>
      </c>
      <c r="N949" s="31">
        <v>0</v>
      </c>
      <c r="O949" s="31">
        <v>0</v>
      </c>
      <c r="P949" s="31">
        <v>0</v>
      </c>
      <c r="Q949" s="31">
        <v>1</v>
      </c>
      <c r="R949" s="31">
        <v>0</v>
      </c>
      <c r="S949" s="31">
        <v>0</v>
      </c>
      <c r="T949" s="21" cm="1">
        <f t="array" aca="1" ref="T949" ca="1">+fair_value_gap(OFFSET(S948,0,0,-1*$I$5,-1*$Z$1),OFFSET(E948,0,0,-1*$I$5,1),F949:S949,0)</f>
        <v>22.607338618866887</v>
      </c>
      <c r="U949" s="7" cm="1">
        <f t="array" aca="1" ref="U949" ca="1">z_score_diff(OFFSET(T949,0,0,$I$5*-1,1),OFFSET(E949,0,0,$I$5*-1,1))</f>
        <v>-1.3664998393893857</v>
      </c>
      <c r="V949" s="7">
        <f t="shared" ca="1" si="987"/>
        <v>-0.56037398739011646</v>
      </c>
      <c r="W949" s="14">
        <f t="shared" ca="1" si="982"/>
        <v>4.4864272734124785E-2</v>
      </c>
      <c r="X949" s="10">
        <f t="shared" ref="X949:Y949" ca="1" si="1034">+X948</f>
        <v>0</v>
      </c>
      <c r="Y949" s="10">
        <f t="shared" ca="1" si="1034"/>
        <v>0</v>
      </c>
      <c r="Z949">
        <f t="shared" ca="1" si="989"/>
        <v>1</v>
      </c>
      <c r="AA949">
        <f t="shared" ca="1" si="990"/>
        <v>0</v>
      </c>
      <c r="AB949" s="19">
        <f t="shared" ca="1" si="991"/>
        <v>4.4864272734124785E-2</v>
      </c>
      <c r="AC949" s="19">
        <f t="shared" ca="1" si="992"/>
        <v>0</v>
      </c>
    </row>
    <row r="950" spans="3:29" x14ac:dyDescent="0.25">
      <c r="C950" s="4">
        <v>943</v>
      </c>
      <c r="D950" s="28">
        <v>43347</v>
      </c>
      <c r="E950" s="30">
        <v>26.712</v>
      </c>
      <c r="F950" s="30">
        <v>67.498488904239707</v>
      </c>
      <c r="G950" s="30">
        <v>10.020723598998361</v>
      </c>
      <c r="H950" s="30">
        <v>84.621362576634155</v>
      </c>
      <c r="I950" s="8">
        <v>0</v>
      </c>
      <c r="J950" s="31">
        <v>0</v>
      </c>
      <c r="K950" s="31">
        <v>0</v>
      </c>
      <c r="L950" s="31">
        <v>0</v>
      </c>
      <c r="M950" s="31">
        <v>0</v>
      </c>
      <c r="N950" s="31">
        <v>0</v>
      </c>
      <c r="O950" s="31">
        <v>0</v>
      </c>
      <c r="P950" s="31">
        <v>0</v>
      </c>
      <c r="Q950" s="31">
        <v>1</v>
      </c>
      <c r="R950" s="31">
        <v>0</v>
      </c>
      <c r="S950" s="31">
        <v>0</v>
      </c>
      <c r="T950" s="21" cm="1">
        <f t="array" aca="1" ref="T950" ca="1">+fair_value_gap(OFFSET(S949,0,0,-1*$I$5,-1*$Z$1),OFFSET(E949,0,0,-1*$I$5,1),F950:S950,0)</f>
        <v>23.914470982488819</v>
      </c>
      <c r="U950" s="7" cm="1">
        <f t="array" aca="1" ref="U950" ca="1">z_score_diff(OFFSET(T950,0,0,$I$5*-1,1),OFFSET(E950,0,0,$I$5*-1,1))</f>
        <v>-0.85063849257381241</v>
      </c>
      <c r="V950" s="7">
        <f t="shared" ca="1" si="987"/>
        <v>-0.58862032721557855</v>
      </c>
      <c r="W950" s="14">
        <f t="shared" ca="1" si="982"/>
        <v>2.0197466213638174E-2</v>
      </c>
      <c r="X950" s="10">
        <f t="shared" ref="X950:Y950" ca="1" si="1035">+X949</f>
        <v>0</v>
      </c>
      <c r="Y950" s="10">
        <f t="shared" ca="1" si="1035"/>
        <v>0</v>
      </c>
      <c r="Z950">
        <f t="shared" ca="1" si="989"/>
        <v>1</v>
      </c>
      <c r="AA950">
        <f t="shared" ca="1" si="990"/>
        <v>0</v>
      </c>
      <c r="AB950" s="19">
        <f t="shared" ca="1" si="991"/>
        <v>2.0197466213638174E-2</v>
      </c>
      <c r="AC950" s="19">
        <f t="shared" ca="1" si="992"/>
        <v>0</v>
      </c>
    </row>
    <row r="951" spans="3:29" x14ac:dyDescent="0.25">
      <c r="C951" s="4">
        <v>944</v>
      </c>
      <c r="D951" s="28">
        <v>43348</v>
      </c>
      <c r="E951" s="30">
        <v>27.018999999999998</v>
      </c>
      <c r="F951" s="30">
        <v>66.44595408031644</v>
      </c>
      <c r="G951" s="30">
        <v>9.914868002407772</v>
      </c>
      <c r="H951" s="30">
        <v>84.358070341387901</v>
      </c>
      <c r="I951" s="8">
        <v>0</v>
      </c>
      <c r="J951" s="31">
        <v>0</v>
      </c>
      <c r="K951" s="31">
        <v>0</v>
      </c>
      <c r="L951" s="31">
        <v>0</v>
      </c>
      <c r="M951" s="31">
        <v>0</v>
      </c>
      <c r="N951" s="31">
        <v>0</v>
      </c>
      <c r="O951" s="31">
        <v>0</v>
      </c>
      <c r="P951" s="31">
        <v>0</v>
      </c>
      <c r="Q951" s="31">
        <v>1</v>
      </c>
      <c r="R951" s="31">
        <v>0</v>
      </c>
      <c r="S951" s="31">
        <v>0</v>
      </c>
      <c r="T951" s="21" cm="1">
        <f t="array" aca="1" ref="T951" ca="1">+fair_value_gap(OFFSET(S950,0,0,-1*$I$5,-1*$Z$1),OFFSET(E950,0,0,-1*$I$5,1),F951:S951,0)</f>
        <v>24.275650357297714</v>
      </c>
      <c r="U951" s="7" cm="1">
        <f t="array" aca="1" ref="U951" ca="1">z_score_diff(OFFSET(T951,0,0,$I$5*-1,1),OFFSET(E951,0,0,$I$5*-1,1))</f>
        <v>-0.76406831793183372</v>
      </c>
      <c r="V951" s="7">
        <f t="shared" ca="1" si="987"/>
        <v>-0.60492038000961235</v>
      </c>
      <c r="W951" s="14">
        <f t="shared" ca="1" si="982"/>
        <v>3.5098774325196462E-3</v>
      </c>
      <c r="X951" s="10">
        <f t="shared" ref="X951:Y951" ca="1" si="1036">+X950</f>
        <v>0</v>
      </c>
      <c r="Y951" s="10">
        <f t="shared" ca="1" si="1036"/>
        <v>0</v>
      </c>
      <c r="Z951">
        <f t="shared" ca="1" si="989"/>
        <v>1</v>
      </c>
      <c r="AA951">
        <f t="shared" ca="1" si="990"/>
        <v>0</v>
      </c>
      <c r="AB951" s="19">
        <f t="shared" ca="1" si="991"/>
        <v>3.5098774325196462E-3</v>
      </c>
      <c r="AC951" s="19">
        <f t="shared" ca="1" si="992"/>
        <v>0</v>
      </c>
    </row>
    <row r="952" spans="3:29" x14ac:dyDescent="0.25">
      <c r="C952" s="4">
        <v>945</v>
      </c>
      <c r="D952" s="28">
        <v>43349</v>
      </c>
      <c r="E952" s="30">
        <v>27.454000000000001</v>
      </c>
      <c r="F952" s="30">
        <v>65.829102486877204</v>
      </c>
      <c r="G952" s="30">
        <v>9.9130883744944498</v>
      </c>
      <c r="H952" s="30">
        <v>85.018500989587821</v>
      </c>
      <c r="I952" s="8">
        <v>0</v>
      </c>
      <c r="J952" s="31">
        <v>0</v>
      </c>
      <c r="K952" s="31">
        <v>0</v>
      </c>
      <c r="L952" s="31">
        <v>0</v>
      </c>
      <c r="M952" s="31">
        <v>0</v>
      </c>
      <c r="N952" s="31">
        <v>0</v>
      </c>
      <c r="O952" s="31">
        <v>0</v>
      </c>
      <c r="P952" s="31">
        <v>0</v>
      </c>
      <c r="Q952" s="31">
        <v>1</v>
      </c>
      <c r="R952" s="31">
        <v>0</v>
      </c>
      <c r="S952" s="31">
        <v>0</v>
      </c>
      <c r="T952" s="21" cm="1">
        <f t="array" aca="1" ref="T952" ca="1">+fair_value_gap(OFFSET(S951,0,0,-1*$I$5,-1*$Z$1),OFFSET(E951,0,0,-1*$I$5,1),F952:S952,0)</f>
        <v>24.603588445587459</v>
      </c>
      <c r="U952" s="7" cm="1">
        <f t="array" aca="1" ref="U952" ca="1">z_score_diff(OFFSET(T952,0,0,$I$5*-1,1),OFFSET(E952,0,0,$I$5*-1,1))</f>
        <v>-0.74913625661679184</v>
      </c>
      <c r="V952" s="7">
        <f t="shared" ca="1" si="987"/>
        <v>-0.6231080966714132</v>
      </c>
      <c r="W952" s="14">
        <f t="shared" ca="1" si="982"/>
        <v>6.1902596423692776E-4</v>
      </c>
      <c r="X952" s="10">
        <f t="shared" ref="X952:Y952" ca="1" si="1037">+X951</f>
        <v>0</v>
      </c>
      <c r="Y952" s="10">
        <f t="shared" ca="1" si="1037"/>
        <v>0</v>
      </c>
      <c r="Z952">
        <f t="shared" ca="1" si="989"/>
        <v>1</v>
      </c>
      <c r="AA952">
        <f t="shared" ca="1" si="990"/>
        <v>0</v>
      </c>
      <c r="AB952" s="19">
        <f t="shared" ca="1" si="991"/>
        <v>6.1902596423692776E-4</v>
      </c>
      <c r="AC952" s="19">
        <f t="shared" ca="1" si="992"/>
        <v>0</v>
      </c>
    </row>
    <row r="953" spans="3:29" x14ac:dyDescent="0.25">
      <c r="C953" s="4">
        <v>946</v>
      </c>
      <c r="D953" s="28">
        <v>43350</v>
      </c>
      <c r="E953" s="30">
        <v>27.989000000000001</v>
      </c>
      <c r="F953" s="30">
        <v>66.513721755692146</v>
      </c>
      <c r="G953" s="30">
        <v>9.9731624967535275</v>
      </c>
      <c r="H953" s="30">
        <v>86.139728162063889</v>
      </c>
      <c r="I953" s="8">
        <v>0</v>
      </c>
      <c r="J953" s="31">
        <v>0</v>
      </c>
      <c r="K953" s="31">
        <v>0</v>
      </c>
      <c r="L953" s="31">
        <v>0</v>
      </c>
      <c r="M953" s="31">
        <v>0</v>
      </c>
      <c r="N953" s="31">
        <v>0</v>
      </c>
      <c r="O953" s="31">
        <v>0</v>
      </c>
      <c r="P953" s="31">
        <v>0</v>
      </c>
      <c r="Q953" s="31">
        <v>1</v>
      </c>
      <c r="R953" s="31">
        <v>0</v>
      </c>
      <c r="S953" s="31">
        <v>0</v>
      </c>
      <c r="T953" s="21" cm="1">
        <f t="array" aca="1" ref="T953" ca="1">+fair_value_gap(OFFSET(S952,0,0,-1*$I$5,-1*$Z$1),OFFSET(E952,0,0,-1*$I$5,1),F953:S953,0)</f>
        <v>25.24662013983647</v>
      </c>
      <c r="U953" s="7" cm="1">
        <f t="array" aca="1" ref="U953" ca="1">z_score_diff(OFFSET(T953,0,0,$I$5*-1,1),OFFSET(E953,0,0,$I$5*-1,1))</f>
        <v>-0.61487174027411617</v>
      </c>
      <c r="V953" s="7">
        <f t="shared" ca="1" si="987"/>
        <v>-0.64131775513587796</v>
      </c>
      <c r="W953" s="14">
        <f t="shared" ca="1" si="982"/>
        <v>-3.1132049978464357E-3</v>
      </c>
      <c r="X953" s="10">
        <f t="shared" ref="X953:Y953" ca="1" si="1038">+X952</f>
        <v>0</v>
      </c>
      <c r="Y953" s="10">
        <f t="shared" ca="1" si="1038"/>
        <v>0</v>
      </c>
      <c r="Z953">
        <f t="shared" ca="1" si="989"/>
        <v>1</v>
      </c>
      <c r="AA953">
        <f t="shared" ca="1" si="990"/>
        <v>0</v>
      </c>
      <c r="AB953" s="19">
        <f t="shared" ca="1" si="991"/>
        <v>-3.1132049978464357E-3</v>
      </c>
      <c r="AC953" s="19">
        <f t="shared" ca="1" si="992"/>
        <v>0</v>
      </c>
    </row>
    <row r="954" spans="3:29" x14ac:dyDescent="0.25">
      <c r="C954" s="4">
        <v>947</v>
      </c>
      <c r="D954" s="28">
        <v>43353</v>
      </c>
      <c r="E954" s="30">
        <v>29.125</v>
      </c>
      <c r="F954" s="30">
        <v>66.744306418219466</v>
      </c>
      <c r="G954" s="30">
        <v>9.9292615596963412</v>
      </c>
      <c r="H954" s="30">
        <v>86.956521739130437</v>
      </c>
      <c r="I954" s="8">
        <v>0</v>
      </c>
      <c r="J954" s="31">
        <v>0</v>
      </c>
      <c r="K954" s="31">
        <v>0</v>
      </c>
      <c r="L954" s="31">
        <v>0</v>
      </c>
      <c r="M954" s="31">
        <v>0</v>
      </c>
      <c r="N954" s="31">
        <v>0</v>
      </c>
      <c r="O954" s="31">
        <v>0</v>
      </c>
      <c r="P954" s="31">
        <v>0</v>
      </c>
      <c r="Q954" s="31">
        <v>1</v>
      </c>
      <c r="R954" s="31">
        <v>0</v>
      </c>
      <c r="S954" s="31">
        <v>0</v>
      </c>
      <c r="T954" s="21" cm="1">
        <f t="array" aca="1" ref="T954" ca="1">+fair_value_gap(OFFSET(S953,0,0,-1*$I$5,-1*$Z$1),OFFSET(E953,0,0,-1*$I$5,1),F954:S954,0)</f>
        <v>25.619845237360018</v>
      </c>
      <c r="U954" s="7" cm="1">
        <f t="array" aca="1" ref="U954" ca="1">z_score_diff(OFFSET(T954,0,0,$I$5*-1,1),OFFSET(E954,0,0,$I$5*-1,1))</f>
        <v>-0.86626018397816162</v>
      </c>
      <c r="V954" s="7">
        <f t="shared" ca="1" si="987"/>
        <v>-0.65589647286073927</v>
      </c>
      <c r="W954" s="14">
        <f t="shared" ca="1" si="982"/>
        <v>-6.7718392747738776E-2</v>
      </c>
      <c r="X954" s="10">
        <f t="shared" ref="X954:Y954" ca="1" si="1039">+X953</f>
        <v>0</v>
      </c>
      <c r="Y954" s="10">
        <f t="shared" ca="1" si="1039"/>
        <v>0</v>
      </c>
      <c r="Z954">
        <f t="shared" ca="1" si="989"/>
        <v>1</v>
      </c>
      <c r="AA954">
        <f t="shared" ca="1" si="990"/>
        <v>0</v>
      </c>
      <c r="AB954" s="19">
        <f t="shared" ca="1" si="991"/>
        <v>-6.7718392747738776E-2</v>
      </c>
      <c r="AC954" s="19">
        <f t="shared" ca="1" si="992"/>
        <v>0</v>
      </c>
    </row>
    <row r="955" spans="3:29" x14ac:dyDescent="0.25">
      <c r="C955" s="4">
        <v>948</v>
      </c>
      <c r="D955" s="28">
        <v>43354</v>
      </c>
      <c r="E955" s="30">
        <v>28.782</v>
      </c>
      <c r="F955" s="30">
        <v>68.125807841447653</v>
      </c>
      <c r="G955" s="30">
        <v>9.9095217578629899</v>
      </c>
      <c r="H955" s="30">
        <v>87.548470486859102</v>
      </c>
      <c r="I955" s="8">
        <v>0</v>
      </c>
      <c r="J955" s="31">
        <v>0</v>
      </c>
      <c r="K955" s="31">
        <v>0</v>
      </c>
      <c r="L955" s="31">
        <v>0</v>
      </c>
      <c r="M955" s="31">
        <v>0</v>
      </c>
      <c r="N955" s="31">
        <v>0</v>
      </c>
      <c r="O955" s="31">
        <v>0</v>
      </c>
      <c r="P955" s="31">
        <v>0</v>
      </c>
      <c r="Q955" s="31">
        <v>1</v>
      </c>
      <c r="R955" s="31">
        <v>0</v>
      </c>
      <c r="S955" s="31">
        <v>0</v>
      </c>
      <c r="T955" s="21" cm="1">
        <f t="array" aca="1" ref="T955" ca="1">+fair_value_gap(OFFSET(S954,0,0,-1*$I$5,-1*$Z$1),OFFSET(E954,0,0,-1*$I$5,1),F955:S955,0)</f>
        <v>26.466380010204556</v>
      </c>
      <c r="U955" s="7" cm="1">
        <f t="array" aca="1" ref="U955" ca="1">z_score_diff(OFFSET(T955,0,0,$I$5*-1,1),OFFSET(E955,0,0,$I$5*-1,1))</f>
        <v>-0.26994019063189123</v>
      </c>
      <c r="V955" s="7">
        <f t="shared" ca="1" si="987"/>
        <v>-0.64236514387467514</v>
      </c>
      <c r="W955" s="14">
        <f t="shared" ca="1" si="982"/>
        <v>-7.0043186119189665E-2</v>
      </c>
      <c r="X955" s="10">
        <f t="shared" ref="X955:Y955" ca="1" si="1040">+X954</f>
        <v>0</v>
      </c>
      <c r="Y955" s="10">
        <f t="shared" ca="1" si="1040"/>
        <v>0</v>
      </c>
      <c r="Z955">
        <f t="shared" ca="1" si="989"/>
        <v>1</v>
      </c>
      <c r="AA955">
        <f t="shared" ca="1" si="990"/>
        <v>0</v>
      </c>
      <c r="AB955" s="19">
        <f t="shared" ca="1" si="991"/>
        <v>-7.0043186119189665E-2</v>
      </c>
      <c r="AC955" s="19">
        <f t="shared" ca="1" si="992"/>
        <v>0</v>
      </c>
    </row>
    <row r="956" spans="3:29" x14ac:dyDescent="0.25">
      <c r="C956" s="4">
        <v>949</v>
      </c>
      <c r="D956" s="28">
        <v>43355</v>
      </c>
      <c r="E956" s="30">
        <v>27.494</v>
      </c>
      <c r="F956" s="30">
        <v>68.599449415003434</v>
      </c>
      <c r="G956" s="30">
        <v>9.8718169304886434</v>
      </c>
      <c r="H956" s="30">
        <v>86.932209222298681</v>
      </c>
      <c r="I956" s="8">
        <v>0</v>
      </c>
      <c r="J956" s="31">
        <v>0</v>
      </c>
      <c r="K956" s="31">
        <v>0</v>
      </c>
      <c r="L956" s="31">
        <v>0</v>
      </c>
      <c r="M956" s="31">
        <v>0</v>
      </c>
      <c r="N956" s="31">
        <v>0</v>
      </c>
      <c r="O956" s="31">
        <v>0</v>
      </c>
      <c r="P956" s="31">
        <v>0</v>
      </c>
      <c r="Q956" s="31">
        <v>1</v>
      </c>
      <c r="R956" s="31">
        <v>0</v>
      </c>
      <c r="S956" s="31">
        <v>0</v>
      </c>
      <c r="T956" s="21" cm="1">
        <f t="array" aca="1" ref="T956" ca="1">+fair_value_gap(OFFSET(S955,0,0,-1*$I$5,-1*$Z$1),OFFSET(E955,0,0,-1*$I$5,1),F956:S956,0)</f>
        <v>26.900973447615648</v>
      </c>
      <c r="U956" s="7" cm="1">
        <f t="array" aca="1" ref="U956" ca="1">z_score_diff(OFFSET(T956,0,0,$I$5*-1,1),OFFSET(E956,0,0,$I$5*-1,1))</f>
        <v>0.45621208988431627</v>
      </c>
      <c r="V956" s="7">
        <f t="shared" ca="1" si="987"/>
        <v>-0.59263419137655637</v>
      </c>
      <c r="W956" s="14">
        <f t="shared" ca="1" si="982"/>
        <v>-4.7445320713674542E-2</v>
      </c>
      <c r="X956" s="10">
        <f t="shared" ref="X956:Y956" ca="1" si="1041">+X955</f>
        <v>0</v>
      </c>
      <c r="Y956" s="10">
        <f t="shared" ca="1" si="1041"/>
        <v>0</v>
      </c>
      <c r="Z956">
        <f t="shared" ca="1" si="989"/>
        <v>1</v>
      </c>
      <c r="AA956">
        <f t="shared" ca="1" si="990"/>
        <v>0</v>
      </c>
      <c r="AB956" s="19">
        <f t="shared" ca="1" si="991"/>
        <v>-4.7445320713674542E-2</v>
      </c>
      <c r="AC956" s="19">
        <f t="shared" ca="1" si="992"/>
        <v>0</v>
      </c>
    </row>
    <row r="957" spans="3:29" x14ac:dyDescent="0.25">
      <c r="C957" s="4">
        <v>950</v>
      </c>
      <c r="D957" s="28">
        <v>43356</v>
      </c>
      <c r="E957" s="30">
        <v>26.808</v>
      </c>
      <c r="F957" s="30">
        <v>66.889117043121146</v>
      </c>
      <c r="G957" s="30">
        <v>9.8092060232717309</v>
      </c>
      <c r="H957" s="30">
        <v>86.199520876112246</v>
      </c>
      <c r="I957" s="8">
        <v>0</v>
      </c>
      <c r="J957" s="31">
        <v>0</v>
      </c>
      <c r="K957" s="31">
        <v>0</v>
      </c>
      <c r="L957" s="31">
        <v>0</v>
      </c>
      <c r="M957" s="31">
        <v>0</v>
      </c>
      <c r="N957" s="31">
        <v>0</v>
      </c>
      <c r="O957" s="31">
        <v>0</v>
      </c>
      <c r="P957" s="31">
        <v>0</v>
      </c>
      <c r="Q957" s="31">
        <v>1</v>
      </c>
      <c r="R957" s="31">
        <v>0</v>
      </c>
      <c r="S957" s="31">
        <v>0</v>
      </c>
      <c r="T957" s="21" cm="1">
        <f t="array" aca="1" ref="T957" ca="1">+fair_value_gap(OFFSET(S956,0,0,-1*$I$5,-1*$Z$1),OFFSET(E956,0,0,-1*$I$5,1),F957:S957,0)</f>
        <v>26.344596587947102</v>
      </c>
      <c r="U957" s="7" cm="1">
        <f t="array" aca="1" ref="U957" ca="1">z_score_diff(OFFSET(T957,0,0,$I$5*-1,1),OFFSET(E957,0,0,$I$5*-1,1))</f>
        <v>0.44200178711401694</v>
      </c>
      <c r="V957" s="7">
        <f t="shared" ca="1" si="987"/>
        <v>-0.53806447595428375</v>
      </c>
      <c r="W957" s="14">
        <f t="shared" ca="1" si="982"/>
        <v>-3.9916269828143655E-2</v>
      </c>
      <c r="X957" s="10">
        <f t="shared" ref="X957:Y957" ca="1" si="1042">+X956</f>
        <v>0</v>
      </c>
      <c r="Y957" s="10">
        <f t="shared" ca="1" si="1042"/>
        <v>0</v>
      </c>
      <c r="Z957">
        <f t="shared" ca="1" si="989"/>
        <v>1</v>
      </c>
      <c r="AA957">
        <f t="shared" ca="1" si="990"/>
        <v>0</v>
      </c>
      <c r="AB957" s="19">
        <f t="shared" ca="1" si="991"/>
        <v>-3.9916269828143655E-2</v>
      </c>
      <c r="AC957" s="19">
        <f t="shared" ca="1" si="992"/>
        <v>0</v>
      </c>
    </row>
    <row r="958" spans="3:29" x14ac:dyDescent="0.25">
      <c r="C958" s="4">
        <v>951</v>
      </c>
      <c r="D958" s="28">
        <v>43357</v>
      </c>
      <c r="E958" s="30">
        <v>26.928999999999998</v>
      </c>
      <c r="F958" s="30">
        <v>67.156862745098039</v>
      </c>
      <c r="G958" s="30">
        <v>9.8512211902304774</v>
      </c>
      <c r="H958" s="30">
        <v>86.128310973512214</v>
      </c>
      <c r="I958" s="8">
        <v>0</v>
      </c>
      <c r="J958" s="31">
        <v>0</v>
      </c>
      <c r="K958" s="31">
        <v>0</v>
      </c>
      <c r="L958" s="31">
        <v>0</v>
      </c>
      <c r="M958" s="31">
        <v>0</v>
      </c>
      <c r="N958" s="31">
        <v>0</v>
      </c>
      <c r="O958" s="31">
        <v>0</v>
      </c>
      <c r="P958" s="31">
        <v>0</v>
      </c>
      <c r="Q958" s="31">
        <v>1</v>
      </c>
      <c r="R958" s="31">
        <v>0</v>
      </c>
      <c r="S958" s="31">
        <v>0</v>
      </c>
      <c r="T958" s="21" cm="1">
        <f t="array" aca="1" ref="T958" ca="1">+fair_value_gap(OFFSET(S957,0,0,-1*$I$5,-1*$Z$1),OFFSET(E957,0,0,-1*$I$5,1),F958:S958,0)</f>
        <v>26.537699309756345</v>
      </c>
      <c r="U958" s="7" cm="1">
        <f t="array" aca="1" ref="U958" ca="1">z_score_diff(OFFSET(T958,0,0,$I$5*-1,1),OFFSET(E958,0,0,$I$5*-1,1))</f>
        <v>0.4558243738612977</v>
      </c>
      <c r="V958" s="7">
        <f t="shared" ca="1" si="987"/>
        <v>-0.4820987803197358</v>
      </c>
      <c r="W958" s="14">
        <f t="shared" ca="1" si="982"/>
        <v>-1.1240479087014095E-2</v>
      </c>
      <c r="X958" s="10">
        <f t="shared" ref="X958:Y958" ca="1" si="1043">+X957</f>
        <v>0</v>
      </c>
      <c r="Y958" s="10">
        <f t="shared" ca="1" si="1043"/>
        <v>0</v>
      </c>
      <c r="Z958">
        <f t="shared" ca="1" si="989"/>
        <v>1</v>
      </c>
      <c r="AA958">
        <f t="shared" ca="1" si="990"/>
        <v>0</v>
      </c>
      <c r="AB958" s="19">
        <f t="shared" ca="1" si="991"/>
        <v>-1.1240479087014095E-2</v>
      </c>
      <c r="AC958" s="19">
        <f t="shared" ca="1" si="992"/>
        <v>0</v>
      </c>
    </row>
    <row r="959" spans="3:29" x14ac:dyDescent="0.25">
      <c r="C959" s="4">
        <v>952</v>
      </c>
      <c r="D959" s="28">
        <v>43360</v>
      </c>
      <c r="E959" s="30">
        <v>28.077000000000002</v>
      </c>
      <c r="F959" s="30">
        <v>66.806470940683042</v>
      </c>
      <c r="G959" s="30">
        <v>10.104425233244886</v>
      </c>
      <c r="H959" s="30">
        <v>85.252075665496875</v>
      </c>
      <c r="I959" s="8">
        <v>0</v>
      </c>
      <c r="J959" s="31">
        <v>0</v>
      </c>
      <c r="K959" s="31">
        <v>0</v>
      </c>
      <c r="L959" s="31">
        <v>0</v>
      </c>
      <c r="M959" s="31">
        <v>0</v>
      </c>
      <c r="N959" s="31">
        <v>0</v>
      </c>
      <c r="O959" s="31">
        <v>0</v>
      </c>
      <c r="P959" s="31">
        <v>0</v>
      </c>
      <c r="Q959" s="31">
        <v>1</v>
      </c>
      <c r="R959" s="31">
        <v>0</v>
      </c>
      <c r="S959" s="31">
        <v>0</v>
      </c>
      <c r="T959" s="21" cm="1">
        <f t="array" aca="1" ref="T959" ca="1">+fair_value_gap(OFFSET(S958,0,0,-1*$I$5,-1*$Z$1),OFFSET(E958,0,0,-1*$I$5,1),F959:S959,0)</f>
        <v>26.637400017318797</v>
      </c>
      <c r="U959" s="7" cm="1">
        <f t="array" aca="1" ref="U959" ca="1">z_score_diff(OFFSET(T959,0,0,$I$5*-1,1),OFFSET(E959,0,0,$I$5*-1,1))</f>
        <v>2.8498193382107573E-2</v>
      </c>
      <c r="V959" s="7">
        <f t="shared" ca="1" si="987"/>
        <v>-0.45131948898041763</v>
      </c>
      <c r="W959" s="14">
        <f t="shared" ca="1" si="982"/>
        <v>-5.3100111813639952E-2</v>
      </c>
      <c r="X959" s="10">
        <f t="shared" ref="X959:Y959" ca="1" si="1044">+X958</f>
        <v>0</v>
      </c>
      <c r="Y959" s="10">
        <f t="shared" ca="1" si="1044"/>
        <v>0</v>
      </c>
      <c r="Z959">
        <f t="shared" ca="1" si="989"/>
        <v>1</v>
      </c>
      <c r="AA959">
        <f t="shared" ca="1" si="990"/>
        <v>0</v>
      </c>
      <c r="AB959" s="19">
        <f t="shared" ca="1" si="991"/>
        <v>-5.3100111813639952E-2</v>
      </c>
      <c r="AC959" s="19">
        <f t="shared" ca="1" si="992"/>
        <v>0</v>
      </c>
    </row>
    <row r="960" spans="3:29" x14ac:dyDescent="0.25">
      <c r="C960" s="4">
        <v>953</v>
      </c>
      <c r="D960" s="28">
        <v>43361</v>
      </c>
      <c r="E960" s="30">
        <v>27.41</v>
      </c>
      <c r="F960" s="30">
        <v>67.74967852550364</v>
      </c>
      <c r="G960" s="30">
        <v>9.9014144877839687</v>
      </c>
      <c r="H960" s="30">
        <v>84.740677239605645</v>
      </c>
      <c r="I960" s="8">
        <v>0</v>
      </c>
      <c r="J960" s="31">
        <v>0</v>
      </c>
      <c r="K960" s="31">
        <v>0</v>
      </c>
      <c r="L960" s="31">
        <v>0</v>
      </c>
      <c r="M960" s="31">
        <v>0</v>
      </c>
      <c r="N960" s="31">
        <v>0</v>
      </c>
      <c r="O960" s="31">
        <v>0</v>
      </c>
      <c r="P960" s="31">
        <v>0</v>
      </c>
      <c r="Q960" s="31">
        <v>1</v>
      </c>
      <c r="R960" s="31">
        <v>0</v>
      </c>
      <c r="S960" s="31">
        <v>0</v>
      </c>
      <c r="T960" s="21" cm="1">
        <f t="array" aca="1" ref="T960" ca="1">+fair_value_gap(OFFSET(S959,0,0,-1*$I$5,-1*$Z$1),OFFSET(E959,0,0,-1*$I$5,1),F960:S960,0)</f>
        <v>27.057859978335543</v>
      </c>
      <c r="U960" s="7" cm="1">
        <f t="array" aca="1" ref="U960" ca="1">z_score_diff(OFFSET(T960,0,0,$I$5*-1,1),OFFSET(E960,0,0,$I$5*-1,1))</f>
        <v>0.4640647953281678</v>
      </c>
      <c r="V960" s="7">
        <f t="shared" ca="1" si="987"/>
        <v>-0.393369517238224</v>
      </c>
      <c r="W960" s="14">
        <f t="shared" ca="1" si="982"/>
        <v>-4.027489867365569E-2</v>
      </c>
      <c r="X960" s="10">
        <f t="shared" ref="X960:Y960" ca="1" si="1045">+X959</f>
        <v>0</v>
      </c>
      <c r="Y960" s="10">
        <f t="shared" ca="1" si="1045"/>
        <v>0</v>
      </c>
      <c r="Z960">
        <f t="shared" ca="1" si="989"/>
        <v>1</v>
      </c>
      <c r="AA960">
        <f t="shared" ca="1" si="990"/>
        <v>0</v>
      </c>
      <c r="AB960" s="19">
        <f t="shared" ca="1" si="991"/>
        <v>-4.027489867365569E-2</v>
      </c>
      <c r="AC960" s="19">
        <f t="shared" ca="1" si="992"/>
        <v>0</v>
      </c>
    </row>
    <row r="961" spans="3:29" x14ac:dyDescent="0.25">
      <c r="C961" s="4">
        <v>954</v>
      </c>
      <c r="D961" s="28">
        <v>43362</v>
      </c>
      <c r="E961" s="30">
        <v>28.321999999999999</v>
      </c>
      <c r="F961" s="30">
        <v>68.026045236463332</v>
      </c>
      <c r="G961" s="30">
        <v>9.9383139136394778</v>
      </c>
      <c r="H961" s="30">
        <v>85.246744345442082</v>
      </c>
      <c r="I961" s="8">
        <v>0</v>
      </c>
      <c r="J961" s="31">
        <v>0</v>
      </c>
      <c r="K961" s="31">
        <v>0</v>
      </c>
      <c r="L961" s="31">
        <v>0</v>
      </c>
      <c r="M961" s="31">
        <v>0</v>
      </c>
      <c r="N961" s="31">
        <v>0</v>
      </c>
      <c r="O961" s="31">
        <v>0</v>
      </c>
      <c r="P961" s="31">
        <v>0</v>
      </c>
      <c r="Q961" s="31">
        <v>1</v>
      </c>
      <c r="R961" s="31">
        <v>0</v>
      </c>
      <c r="S961" s="31">
        <v>0</v>
      </c>
      <c r="T961" s="21" cm="1">
        <f t="array" aca="1" ref="T961" ca="1">+fair_value_gap(OFFSET(S960,0,0,-1*$I$5,-1*$Z$1),OFFSET(E960,0,0,-1*$I$5,1),F961:S961,0)</f>
        <v>27.247568736849637</v>
      </c>
      <c r="U961" s="7" cm="1">
        <f t="array" aca="1" ref="U961" ca="1">z_score_diff(OFFSET(T961,0,0,$I$5*-1,1),OFFSET(E961,0,0,$I$5*-1,1))</f>
        <v>0.17423197933155921</v>
      </c>
      <c r="V961" s="7">
        <f t="shared" ca="1" si="987"/>
        <v>-0.36059774173520154</v>
      </c>
      <c r="W961" s="14">
        <f t="shared" ca="1" si="982"/>
        <v>-8.7775610882385599E-2</v>
      </c>
      <c r="X961" s="10">
        <f t="shared" ref="X961:Y961" ca="1" si="1046">+X960</f>
        <v>0</v>
      </c>
      <c r="Y961" s="10">
        <f t="shared" ca="1" si="1046"/>
        <v>0</v>
      </c>
      <c r="Z961">
        <f t="shared" ca="1" si="989"/>
        <v>1</v>
      </c>
      <c r="AA961">
        <f t="shared" ca="1" si="990"/>
        <v>0</v>
      </c>
      <c r="AB961" s="19">
        <f t="shared" ca="1" si="991"/>
        <v>-8.7775610882385599E-2</v>
      </c>
      <c r="AC961" s="19">
        <f t="shared" ca="1" si="992"/>
        <v>0</v>
      </c>
    </row>
    <row r="962" spans="3:29" x14ac:dyDescent="0.25">
      <c r="C962" s="4">
        <v>955</v>
      </c>
      <c r="D962" s="28">
        <v>43363</v>
      </c>
      <c r="E962" s="30">
        <v>28.591000000000001</v>
      </c>
      <c r="F962" s="30">
        <v>66.836518046709131</v>
      </c>
      <c r="G962" s="30">
        <v>9.8556263269639075</v>
      </c>
      <c r="H962" s="30">
        <v>83.354564755838652</v>
      </c>
      <c r="I962" s="8">
        <v>0</v>
      </c>
      <c r="J962" s="31">
        <v>0</v>
      </c>
      <c r="K962" s="31">
        <v>0</v>
      </c>
      <c r="L962" s="31">
        <v>0</v>
      </c>
      <c r="M962" s="31">
        <v>0</v>
      </c>
      <c r="N962" s="31">
        <v>0</v>
      </c>
      <c r="O962" s="31">
        <v>0</v>
      </c>
      <c r="P962" s="31">
        <v>0</v>
      </c>
      <c r="Q962" s="31">
        <v>1</v>
      </c>
      <c r="R962" s="31">
        <v>0</v>
      </c>
      <c r="S962" s="31">
        <v>0</v>
      </c>
      <c r="T962" s="21" cm="1">
        <f t="array" aca="1" ref="T962" ca="1">+fair_value_gap(OFFSET(S961,0,0,-1*$I$5,-1*$Z$1),OFFSET(E961,0,0,-1*$I$5,1),F962:S962,0)</f>
        <v>26.990157817755119</v>
      </c>
      <c r="U962" s="7" cm="1">
        <f t="array" aca="1" ref="U962" ca="1">z_score_diff(OFFSET(T962,0,0,$I$5*-1,1),OFFSET(E962,0,0,$I$5*-1,1))</f>
        <v>-4.5349725297101795E-2</v>
      </c>
      <c r="V962" s="7">
        <f t="shared" ca="1" si="987"/>
        <v>-0.33687821623058511</v>
      </c>
      <c r="W962" s="14">
        <f t="shared" ca="1" si="982"/>
        <v>-9.4034368486275638E-2</v>
      </c>
      <c r="X962" s="10">
        <f t="shared" ref="X962:Y962" ca="1" si="1047">+X961</f>
        <v>0</v>
      </c>
      <c r="Y962" s="10">
        <f t="shared" ca="1" si="1047"/>
        <v>0</v>
      </c>
      <c r="Z962">
        <f t="shared" ca="1" si="989"/>
        <v>1</v>
      </c>
      <c r="AA962">
        <f t="shared" ca="1" si="990"/>
        <v>0</v>
      </c>
      <c r="AB962" s="19">
        <f t="shared" ca="1" si="991"/>
        <v>-9.4034368486275638E-2</v>
      </c>
      <c r="AC962" s="19">
        <f t="shared" ca="1" si="992"/>
        <v>0</v>
      </c>
    </row>
    <row r="963" spans="3:29" x14ac:dyDescent="0.25">
      <c r="C963" s="4">
        <v>956</v>
      </c>
      <c r="D963" s="28">
        <v>43364</v>
      </c>
      <c r="E963" s="30">
        <v>28.724</v>
      </c>
      <c r="F963" s="30">
        <v>67.069537833007061</v>
      </c>
      <c r="G963" s="30">
        <v>9.8689250148948844</v>
      </c>
      <c r="H963" s="30">
        <v>83.964592731296278</v>
      </c>
      <c r="I963" s="8">
        <v>0</v>
      </c>
      <c r="J963" s="31">
        <v>0</v>
      </c>
      <c r="K963" s="31">
        <v>0</v>
      </c>
      <c r="L963" s="31">
        <v>0</v>
      </c>
      <c r="M963" s="31">
        <v>0</v>
      </c>
      <c r="N963" s="31">
        <v>0</v>
      </c>
      <c r="O963" s="31">
        <v>0</v>
      </c>
      <c r="P963" s="31">
        <v>0</v>
      </c>
      <c r="Q963" s="31">
        <v>1</v>
      </c>
      <c r="R963" s="31">
        <v>0</v>
      </c>
      <c r="S963" s="31">
        <v>0</v>
      </c>
      <c r="T963" s="21" cm="1">
        <f t="array" aca="1" ref="T963" ca="1">+fair_value_gap(OFFSET(S962,0,0,-1*$I$5,-1*$Z$1),OFFSET(E962,0,0,-1*$I$5,1),F963:S963,0)</f>
        <v>27.276733950711755</v>
      </c>
      <c r="U963" s="7" cm="1">
        <f t="array" aca="1" ref="U963" ca="1">z_score_diff(OFFSET(T963,0,0,$I$5*-1,1),OFFSET(E963,0,0,$I$5*-1,1))</f>
        <v>2.5672040209241853E-2</v>
      </c>
      <c r="V963" s="7">
        <f t="shared" ca="1" si="987"/>
        <v>-0.30875380636917971</v>
      </c>
      <c r="W963" s="14">
        <f t="shared" ca="1" si="982"/>
        <v>-6.7169282089087554E-2</v>
      </c>
      <c r="X963" s="10">
        <f t="shared" ref="X963:Y963" ca="1" si="1048">+X962</f>
        <v>0</v>
      </c>
      <c r="Y963" s="10">
        <f t="shared" ca="1" si="1048"/>
        <v>0</v>
      </c>
      <c r="Z963">
        <f t="shared" ca="1" si="989"/>
        <v>1</v>
      </c>
      <c r="AA963">
        <f t="shared" ca="1" si="990"/>
        <v>0</v>
      </c>
      <c r="AB963" s="19">
        <f t="shared" ca="1" si="991"/>
        <v>-6.7169282089087554E-2</v>
      </c>
      <c r="AC963" s="19">
        <f t="shared" ca="1" si="992"/>
        <v>0</v>
      </c>
    </row>
    <row r="964" spans="3:29" x14ac:dyDescent="0.25">
      <c r="C964" s="4">
        <v>957</v>
      </c>
      <c r="D964" s="28">
        <v>43367</v>
      </c>
      <c r="E964" s="30">
        <v>29.244</v>
      </c>
      <c r="F964" s="30">
        <v>69.129916567342065</v>
      </c>
      <c r="G964" s="30">
        <v>9.8714455985016176</v>
      </c>
      <c r="H964" s="30">
        <v>84.284011578409661</v>
      </c>
      <c r="I964" s="8">
        <v>0</v>
      </c>
      <c r="J964" s="31">
        <v>0</v>
      </c>
      <c r="K964" s="31">
        <v>0</v>
      </c>
      <c r="L964" s="31">
        <v>0</v>
      </c>
      <c r="M964" s="31">
        <v>0</v>
      </c>
      <c r="N964" s="31">
        <v>0</v>
      </c>
      <c r="O964" s="31">
        <v>0</v>
      </c>
      <c r="P964" s="31">
        <v>0</v>
      </c>
      <c r="Q964" s="31">
        <v>1</v>
      </c>
      <c r="R964" s="31">
        <v>0</v>
      </c>
      <c r="S964" s="31">
        <v>0</v>
      </c>
      <c r="T964" s="21" cm="1">
        <f t="array" aca="1" ref="T964" ca="1">+fair_value_gap(OFFSET(S963,0,0,-1*$I$5,-1*$Z$1),OFFSET(E963,0,0,-1*$I$5,1),F964:S964,0)</f>
        <v>27.959206437769154</v>
      </c>
      <c r="U964" s="7" cm="1">
        <f t="array" aca="1" ref="U964" ca="1">z_score_diff(OFFSET(T964,0,0,$I$5*-1,1),OFFSET(E964,0,0,$I$5*-1,1))</f>
        <v>0.11669765800547127</v>
      </c>
      <c r="V964" s="7">
        <f t="shared" ca="1" si="987"/>
        <v>-0.27192240949623236</v>
      </c>
      <c r="W964" s="14">
        <f t="shared" ca="1" si="982"/>
        <v>-0.11320285544522259</v>
      </c>
      <c r="X964" s="10">
        <f t="shared" ref="X964:Y964" ca="1" si="1049">+X963</f>
        <v>0</v>
      </c>
      <c r="Y964" s="10">
        <f t="shared" ca="1" si="1049"/>
        <v>0</v>
      </c>
      <c r="Z964">
        <f t="shared" ca="1" si="989"/>
        <v>1</v>
      </c>
      <c r="AA964">
        <f t="shared" ca="1" si="990"/>
        <v>0</v>
      </c>
      <c r="AB964" s="19">
        <f t="shared" ca="1" si="991"/>
        <v>-0.11320285544522259</v>
      </c>
      <c r="AC964" s="19">
        <f t="shared" ca="1" si="992"/>
        <v>0</v>
      </c>
    </row>
    <row r="965" spans="3:29" x14ac:dyDescent="0.25">
      <c r="C965" s="4">
        <v>958</v>
      </c>
      <c r="D965" s="28">
        <v>43368</v>
      </c>
      <c r="E965" s="30">
        <v>29.231999999999999</v>
      </c>
      <c r="F965" s="30">
        <v>69.552289525104072</v>
      </c>
      <c r="G965" s="30">
        <v>9.8080027185455769</v>
      </c>
      <c r="H965" s="30">
        <v>84.06252654829666</v>
      </c>
      <c r="I965" s="8">
        <v>0</v>
      </c>
      <c r="J965" s="31">
        <v>0</v>
      </c>
      <c r="K965" s="31">
        <v>0</v>
      </c>
      <c r="L965" s="31">
        <v>0</v>
      </c>
      <c r="M965" s="31">
        <v>0</v>
      </c>
      <c r="N965" s="31">
        <v>0</v>
      </c>
      <c r="O965" s="31">
        <v>0</v>
      </c>
      <c r="P965" s="31">
        <v>0</v>
      </c>
      <c r="Q965" s="31">
        <v>1</v>
      </c>
      <c r="R965" s="31">
        <v>0</v>
      </c>
      <c r="S965" s="31">
        <v>0</v>
      </c>
      <c r="T965" s="21" cm="1">
        <f t="array" aca="1" ref="T965" ca="1">+fair_value_gap(OFFSET(S964,0,0,-1*$I$5,-1*$Z$1),OFFSET(E964,0,0,-1*$I$5,1),F965:S965,0)</f>
        <v>28.095807380790763</v>
      </c>
      <c r="U965" s="7" cm="1">
        <f t="array" aca="1" ref="U965" ca="1">z_score_diff(OFFSET(T965,0,0,$I$5*-1,1),OFFSET(E965,0,0,$I$5*-1,1))</f>
        <v>0.1690836834393501</v>
      </c>
      <c r="V965" s="7">
        <f t="shared" ca="1" si="987"/>
        <v>-0.23452391139694467</v>
      </c>
      <c r="W965" s="14">
        <f t="shared" ca="1" si="982"/>
        <v>-0.13005787952142017</v>
      </c>
      <c r="X965" s="10">
        <f t="shared" ref="X965:Y965" ca="1" si="1050">+X964</f>
        <v>0</v>
      </c>
      <c r="Y965" s="10">
        <f t="shared" ca="1" si="1050"/>
        <v>0</v>
      </c>
      <c r="Z965">
        <f t="shared" ca="1" si="989"/>
        <v>1</v>
      </c>
      <c r="AA965">
        <f t="shared" ca="1" si="990"/>
        <v>0</v>
      </c>
      <c r="AB965" s="19">
        <f t="shared" ca="1" si="991"/>
        <v>-0.13005787952142017</v>
      </c>
      <c r="AC965" s="19">
        <f t="shared" ca="1" si="992"/>
        <v>0</v>
      </c>
    </row>
    <row r="966" spans="3:29" x14ac:dyDescent="0.25">
      <c r="C966" s="4">
        <v>959</v>
      </c>
      <c r="D966" s="28">
        <v>43369</v>
      </c>
      <c r="E966" s="30">
        <v>28.262</v>
      </c>
      <c r="F966" s="30">
        <v>69.296302606917706</v>
      </c>
      <c r="G966" s="30">
        <v>9.8398364286931344</v>
      </c>
      <c r="H966" s="30">
        <v>84.298858408587506</v>
      </c>
      <c r="I966" s="8">
        <v>0</v>
      </c>
      <c r="J966" s="31">
        <v>0</v>
      </c>
      <c r="K966" s="31">
        <v>0</v>
      </c>
      <c r="L966" s="31">
        <v>0</v>
      </c>
      <c r="M966" s="31">
        <v>0</v>
      </c>
      <c r="N966" s="31">
        <v>0</v>
      </c>
      <c r="O966" s="31">
        <v>0</v>
      </c>
      <c r="P966" s="31">
        <v>0</v>
      </c>
      <c r="Q966" s="31">
        <v>1</v>
      </c>
      <c r="R966" s="31">
        <v>0</v>
      </c>
      <c r="S966" s="31">
        <v>0</v>
      </c>
      <c r="T966" s="21" cm="1">
        <f t="array" aca="1" ref="T966" ca="1">+fair_value_gap(OFFSET(S965,0,0,-1*$I$5,-1*$Z$1),OFFSET(E965,0,0,-1*$I$5,1),F966:S966,0)</f>
        <v>28.16237733909729</v>
      </c>
      <c r="U966" s="7" cm="1">
        <f t="array" aca="1" ref="U966" ca="1">z_score_diff(OFFSET(T966,0,0,$I$5*-1,1),OFFSET(E966,0,0,$I$5*-1,1))</f>
        <v>0.52358517337384125</v>
      </c>
      <c r="V966" s="7">
        <f t="shared" ca="1" si="987"/>
        <v>-0.17601032588751883</v>
      </c>
      <c r="W966" s="14">
        <f t="shared" ca="1" si="982"/>
        <v>-0.11225644173993621</v>
      </c>
      <c r="X966" s="10">
        <f t="shared" ref="X966:Y966" ca="1" si="1051">+X965</f>
        <v>0</v>
      </c>
      <c r="Y966" s="10">
        <f t="shared" ca="1" si="1051"/>
        <v>0</v>
      </c>
      <c r="Z966">
        <f t="shared" ca="1" si="989"/>
        <v>1</v>
      </c>
      <c r="AA966">
        <f t="shared" ca="1" si="990"/>
        <v>0</v>
      </c>
      <c r="AB966" s="19">
        <f t="shared" ca="1" si="991"/>
        <v>-0.11225644173993621</v>
      </c>
      <c r="AC966" s="19">
        <f t="shared" ca="1" si="992"/>
        <v>0</v>
      </c>
    </row>
    <row r="967" spans="3:29" x14ac:dyDescent="0.25">
      <c r="C967" s="4">
        <v>960</v>
      </c>
      <c r="D967" s="28">
        <v>43370</v>
      </c>
      <c r="E967" s="30">
        <v>27.577000000000002</v>
      </c>
      <c r="F967" s="30">
        <v>70.21221754446259</v>
      </c>
      <c r="G967" s="30">
        <v>9.859094423919581</v>
      </c>
      <c r="H967" s="30">
        <v>84.88701778503308</v>
      </c>
      <c r="I967" s="8">
        <v>0</v>
      </c>
      <c r="J967" s="31">
        <v>0</v>
      </c>
      <c r="K967" s="31">
        <v>0</v>
      </c>
      <c r="L967" s="31">
        <v>0</v>
      </c>
      <c r="M967" s="31">
        <v>0</v>
      </c>
      <c r="N967" s="31">
        <v>0</v>
      </c>
      <c r="O967" s="31">
        <v>0</v>
      </c>
      <c r="P967" s="31">
        <v>0</v>
      </c>
      <c r="Q967" s="31">
        <v>1</v>
      </c>
      <c r="R967" s="31">
        <v>0</v>
      </c>
      <c r="S967" s="31">
        <v>0</v>
      </c>
      <c r="T967" s="21" cm="1">
        <f t="array" aca="1" ref="T967" ca="1">+fair_value_gap(OFFSET(S966,0,0,-1*$I$5,-1*$Z$1),OFFSET(E966,0,0,-1*$I$5,1),F967:S967,0)</f>
        <v>28.412414872063906</v>
      </c>
      <c r="U967" s="7" cm="1">
        <f t="array" aca="1" ref="U967" ca="1">z_score_diff(OFFSET(T967,0,0,$I$5*-1,1),OFFSET(E967,0,0,$I$5*-1,1))</f>
        <v>0.83102021958217964</v>
      </c>
      <c r="V967" s="7">
        <f t="shared" ca="1" si="987"/>
        <v>-0.10593017756765108</v>
      </c>
      <c r="W967" s="14">
        <f t="shared" ref="W967:W1030" ca="1" si="1052">+LN(OFFSET(E967,$W$3,0,1,1)/E967)</f>
        <v>-0.10348068344378115</v>
      </c>
      <c r="X967" s="10">
        <f t="shared" ref="X967:Y967" ca="1" si="1053">+X966</f>
        <v>0</v>
      </c>
      <c r="Y967" s="10">
        <f t="shared" ca="1" si="1053"/>
        <v>0</v>
      </c>
      <c r="Z967">
        <f t="shared" ca="1" si="989"/>
        <v>1</v>
      </c>
      <c r="AA967">
        <f t="shared" ca="1" si="990"/>
        <v>0</v>
      </c>
      <c r="AB967" s="19">
        <f t="shared" ca="1" si="991"/>
        <v>-0.10348068344378115</v>
      </c>
      <c r="AC967" s="19">
        <f t="shared" ca="1" si="992"/>
        <v>0</v>
      </c>
    </row>
    <row r="968" spans="3:29" x14ac:dyDescent="0.25">
      <c r="C968" s="4">
        <v>961</v>
      </c>
      <c r="D968" s="28">
        <v>43371</v>
      </c>
      <c r="E968" s="30">
        <v>27.329000000000001</v>
      </c>
      <c r="F968" s="30">
        <v>71.261199172984149</v>
      </c>
      <c r="G968" s="30">
        <v>9.7906616126809087</v>
      </c>
      <c r="H968" s="30">
        <v>85.113714679531356</v>
      </c>
      <c r="I968" s="8">
        <v>0</v>
      </c>
      <c r="J968" s="31">
        <v>0</v>
      </c>
      <c r="K968" s="31">
        <v>0</v>
      </c>
      <c r="L968" s="31">
        <v>0</v>
      </c>
      <c r="M968" s="31">
        <v>0</v>
      </c>
      <c r="N968" s="31">
        <v>0</v>
      </c>
      <c r="O968" s="31">
        <v>0</v>
      </c>
      <c r="P968" s="31">
        <v>0</v>
      </c>
      <c r="Q968" s="31">
        <v>1</v>
      </c>
      <c r="R968" s="31">
        <v>0</v>
      </c>
      <c r="S968" s="31">
        <v>0</v>
      </c>
      <c r="T968" s="21" cm="1">
        <f t="array" aca="1" ref="T968" ca="1">+fair_value_gap(OFFSET(S967,0,0,-1*$I$5,-1*$Z$1),OFFSET(E967,0,0,-1*$I$5,1),F968:S968,0)</f>
        <v>28.560413476989339</v>
      </c>
      <c r="U968" s="7" cm="1">
        <f t="array" aca="1" ref="U968" ca="1">z_score_diff(OFFSET(T968,0,0,$I$5*-1,1),OFFSET(E968,0,0,$I$5*-1,1))</f>
        <v>0.93360600324702414</v>
      </c>
      <c r="V968" s="7">
        <f t="shared" ca="1" si="987"/>
        <v>-4.5313337496726037E-2</v>
      </c>
      <c r="W968" s="14">
        <f t="shared" ca="1" si="1052"/>
        <v>-0.11825425793790417</v>
      </c>
      <c r="X968" s="10">
        <f t="shared" ref="X968:Y968" ca="1" si="1054">+X967</f>
        <v>0</v>
      </c>
      <c r="Y968" s="10">
        <f t="shared" ca="1" si="1054"/>
        <v>0</v>
      </c>
      <c r="Z968">
        <f t="shared" ca="1" si="989"/>
        <v>1</v>
      </c>
      <c r="AA968">
        <f t="shared" ca="1" si="990"/>
        <v>0</v>
      </c>
      <c r="AB968" s="19">
        <f t="shared" ca="1" si="991"/>
        <v>-0.11825425793790417</v>
      </c>
      <c r="AC968" s="19">
        <f t="shared" ca="1" si="992"/>
        <v>0</v>
      </c>
    </row>
    <row r="969" spans="3:29" x14ac:dyDescent="0.25">
      <c r="C969" s="4">
        <v>962</v>
      </c>
      <c r="D969" s="28">
        <v>43374</v>
      </c>
      <c r="E969" s="30">
        <v>27.443000000000001</v>
      </c>
      <c r="F969" s="30">
        <v>73.410504492052524</v>
      </c>
      <c r="G969" s="30">
        <v>9.7918106427090539</v>
      </c>
      <c r="H969" s="30">
        <v>87.767795438838974</v>
      </c>
      <c r="I969" s="8">
        <v>0</v>
      </c>
      <c r="J969" s="31">
        <v>0</v>
      </c>
      <c r="K969" s="31">
        <v>0</v>
      </c>
      <c r="L969" s="31">
        <v>0</v>
      </c>
      <c r="M969" s="31">
        <v>0</v>
      </c>
      <c r="N969" s="31">
        <v>0</v>
      </c>
      <c r="O969" s="31">
        <v>0</v>
      </c>
      <c r="P969" s="31">
        <v>0</v>
      </c>
      <c r="Q969" s="31">
        <v>0</v>
      </c>
      <c r="R969" s="31">
        <v>1</v>
      </c>
      <c r="S969" s="31">
        <v>0</v>
      </c>
      <c r="T969" s="21" cm="1">
        <f t="array" aca="1" ref="T969" ca="1">+fair_value_gap(OFFSET(S968,0,0,-1*$I$5,-1*$Z$1),OFFSET(E968,0,0,-1*$I$5,1),F969:S969,0)</f>
        <v>24.241627802407152</v>
      </c>
      <c r="U969" s="7" cm="1">
        <f t="array" aca="1" ref="U969" ca="1">z_score_diff(OFFSET(T969,0,0,$I$5*-1,1),OFFSET(E969,0,0,$I$5*-1,1))</f>
        <v>-0.78955037198495193</v>
      </c>
      <c r="V969" s="7">
        <f t="shared" ca="1" si="987"/>
        <v>-1.6465864126504349E-2</v>
      </c>
      <c r="W969" s="14">
        <f t="shared" ca="1" si="1052"/>
        <v>-0.11025939246531492</v>
      </c>
      <c r="X969" s="10">
        <f t="shared" ref="X969:Y969" ca="1" si="1055">+X968</f>
        <v>0</v>
      </c>
      <c r="Y969" s="10">
        <f t="shared" ca="1" si="1055"/>
        <v>0</v>
      </c>
      <c r="Z969">
        <f t="shared" ca="1" si="989"/>
        <v>1</v>
      </c>
      <c r="AA969">
        <f t="shared" ca="1" si="990"/>
        <v>0</v>
      </c>
      <c r="AB969" s="19">
        <f t="shared" ca="1" si="991"/>
        <v>-0.11025939246531492</v>
      </c>
      <c r="AC969" s="19">
        <f t="shared" ca="1" si="992"/>
        <v>0</v>
      </c>
    </row>
    <row r="970" spans="3:29" x14ac:dyDescent="0.25">
      <c r="C970" s="4">
        <v>963</v>
      </c>
      <c r="D970" s="28">
        <v>43375</v>
      </c>
      <c r="E970" s="30">
        <v>27.257000000000001</v>
      </c>
      <c r="F970" s="30">
        <v>73.445349038628095</v>
      </c>
      <c r="G970" s="30">
        <v>9.7869391997228483</v>
      </c>
      <c r="H970" s="30">
        <v>88.039147756798897</v>
      </c>
      <c r="I970" s="8">
        <v>0</v>
      </c>
      <c r="J970" s="31">
        <v>0</v>
      </c>
      <c r="K970" s="31">
        <v>0</v>
      </c>
      <c r="L970" s="31">
        <v>0</v>
      </c>
      <c r="M970" s="31">
        <v>0</v>
      </c>
      <c r="N970" s="31">
        <v>0</v>
      </c>
      <c r="O970" s="31">
        <v>0</v>
      </c>
      <c r="P970" s="31">
        <v>0</v>
      </c>
      <c r="Q970" s="31">
        <v>0</v>
      </c>
      <c r="R970" s="31">
        <v>1</v>
      </c>
      <c r="S970" s="31">
        <v>0</v>
      </c>
      <c r="T970" s="21" cm="1">
        <f t="array" aca="1" ref="T970" ca="1">+fair_value_gap(OFFSET(S969,0,0,-1*$I$5,-1*$Z$1),OFFSET(E969,0,0,-1*$I$5,1),F970:S970,0)</f>
        <v>25.408833244135099</v>
      </c>
      <c r="U970" s="7" cm="1">
        <f t="array" aca="1" ref="U970" ca="1">z_score_diff(OFFSET(T970,0,0,$I$5*-1,1),OFFSET(E970,0,0,$I$5*-1,1))</f>
        <v>-0.25744577944767033</v>
      </c>
      <c r="V970" s="7">
        <f t="shared" ca="1" si="987"/>
        <v>1.3193771529802755E-2</v>
      </c>
      <c r="W970" s="14">
        <f t="shared" ca="1" si="1052"/>
        <v>-0.13256225563057719</v>
      </c>
      <c r="X970" s="10">
        <f t="shared" ref="X970:Y970" ca="1" si="1056">+X969</f>
        <v>0</v>
      </c>
      <c r="Y970" s="10">
        <f t="shared" ca="1" si="1056"/>
        <v>0</v>
      </c>
      <c r="Z970">
        <f t="shared" ca="1" si="989"/>
        <v>0</v>
      </c>
      <c r="AA970">
        <f t="shared" ca="1" si="990"/>
        <v>1</v>
      </c>
      <c r="AB970" s="19">
        <f t="shared" ca="1" si="991"/>
        <v>0</v>
      </c>
      <c r="AC970" s="19">
        <f t="shared" ca="1" si="992"/>
        <v>-0.13256225563057719</v>
      </c>
    </row>
    <row r="971" spans="3:29" x14ac:dyDescent="0.25">
      <c r="C971" s="4">
        <v>964</v>
      </c>
      <c r="D971" s="28">
        <v>43376</v>
      </c>
      <c r="E971" s="30">
        <v>27.114000000000001</v>
      </c>
      <c r="F971" s="30">
        <v>75.191704426629499</v>
      </c>
      <c r="G971" s="30">
        <v>9.8684210526315788</v>
      </c>
      <c r="H971" s="30">
        <v>88.445451376786338</v>
      </c>
      <c r="I971" s="8">
        <v>0</v>
      </c>
      <c r="J971" s="31">
        <v>0</v>
      </c>
      <c r="K971" s="31">
        <v>0</v>
      </c>
      <c r="L971" s="31">
        <v>0</v>
      </c>
      <c r="M971" s="31">
        <v>0</v>
      </c>
      <c r="N971" s="31">
        <v>0</v>
      </c>
      <c r="O971" s="31">
        <v>0</v>
      </c>
      <c r="P971" s="31">
        <v>0</v>
      </c>
      <c r="Q971" s="31">
        <v>0</v>
      </c>
      <c r="R971" s="31">
        <v>1</v>
      </c>
      <c r="S971" s="31">
        <v>0</v>
      </c>
      <c r="T971" s="21" cm="1">
        <f t="array" aca="1" ref="T971" ca="1">+fair_value_gap(OFFSET(S970,0,0,-1*$I$5,-1*$Z$1),OFFSET(E970,0,0,-1*$I$5,1),F971:S971,0)</f>
        <v>26.411497835850859</v>
      </c>
      <c r="U971" s="7" cm="1">
        <f t="array" aca="1" ref="U971" ca="1">z_score_diff(OFFSET(T971,0,0,$I$5*-1,1),OFFSET(E971,0,0,$I$5*-1,1))</f>
        <v>0.17921513139386214</v>
      </c>
      <c r="V971" s="7">
        <f t="shared" ref="V971:V1034" ca="1" si="1057">+IF(ISERROR(AVERAGE(OFFSET(U971,0,0,$V$5*-1,1))),"",AVERAGE(OFFSET(U971,0,0,$V$5*-1,1)))</f>
        <v>6.035794399608755E-2</v>
      </c>
      <c r="W971" s="14">
        <f t="shared" ca="1" si="1052"/>
        <v>-0.10821674590088033</v>
      </c>
      <c r="X971" s="10">
        <f t="shared" ref="X971:Y971" ca="1" si="1058">+X970</f>
        <v>0</v>
      </c>
      <c r="Y971" s="10">
        <f t="shared" ca="1" si="1058"/>
        <v>0</v>
      </c>
      <c r="Z971">
        <f t="shared" ref="Z971:Z1034" ca="1" si="1059">+IF(V971="","",IF(V971&lt;X971,1,0))</f>
        <v>0</v>
      </c>
      <c r="AA971">
        <f t="shared" ref="AA971:AA1034" ca="1" si="1060">+IF(V971="","",IF(V971&gt;Y971,1,0))</f>
        <v>1</v>
      </c>
      <c r="AB971" s="19">
        <f t="shared" ref="AB971:AB1034" ca="1" si="1061">+IF(ISERROR(Z971*W971),"",Z971*W971)</f>
        <v>0</v>
      </c>
      <c r="AC971" s="19">
        <f t="shared" ref="AC971:AC1034" ca="1" si="1062">+IF(ISERROR(AA971*W971),"",AA971*W971)</f>
        <v>-0.10821674590088033</v>
      </c>
    </row>
    <row r="972" spans="3:29" x14ac:dyDescent="0.25">
      <c r="C972" s="4">
        <v>965</v>
      </c>
      <c r="D972" s="28">
        <v>43377</v>
      </c>
      <c r="E972" s="30">
        <v>27.471</v>
      </c>
      <c r="F972" s="30">
        <v>73.46477894553982</v>
      </c>
      <c r="G972" s="30">
        <v>9.8106488317554064</v>
      </c>
      <c r="H972" s="30">
        <v>88.552071571267263</v>
      </c>
      <c r="I972" s="8">
        <v>0</v>
      </c>
      <c r="J972" s="31">
        <v>0</v>
      </c>
      <c r="K972" s="31">
        <v>0</v>
      </c>
      <c r="L972" s="31">
        <v>0</v>
      </c>
      <c r="M972" s="31">
        <v>0</v>
      </c>
      <c r="N972" s="31">
        <v>0</v>
      </c>
      <c r="O972" s="31">
        <v>0</v>
      </c>
      <c r="P972" s="31">
        <v>0</v>
      </c>
      <c r="Q972" s="31">
        <v>0</v>
      </c>
      <c r="R972" s="31">
        <v>1</v>
      </c>
      <c r="S972" s="31">
        <v>0</v>
      </c>
      <c r="T972" s="21" cm="1">
        <f t="array" aca="1" ref="T972" ca="1">+fair_value_gap(OFFSET(S971,0,0,-1*$I$5,-1*$Z$1),OFFSET(E971,0,0,-1*$I$5,1),F972:S972,0)</f>
        <v>26.045756995055481</v>
      </c>
      <c r="U972" s="7" cm="1">
        <f t="array" aca="1" ref="U972" ca="1">z_score_diff(OFFSET(T972,0,0,$I$5*-1,1),OFFSET(E972,0,0,$I$5*-1,1))</f>
        <v>-8.4594188499273582E-2</v>
      </c>
      <c r="V972" s="7">
        <f t="shared" ca="1" si="1057"/>
        <v>9.3585047401963467E-2</v>
      </c>
      <c r="W972" s="14">
        <f t="shared" ca="1" si="1052"/>
        <v>-0.14981007204782384</v>
      </c>
      <c r="X972" s="10">
        <f t="shared" ref="X972:Y972" ca="1" si="1063">+X971</f>
        <v>0</v>
      </c>
      <c r="Y972" s="10">
        <f t="shared" ca="1" si="1063"/>
        <v>0</v>
      </c>
      <c r="Z972">
        <f t="shared" ca="1" si="1059"/>
        <v>0</v>
      </c>
      <c r="AA972">
        <f t="shared" ca="1" si="1060"/>
        <v>1</v>
      </c>
      <c r="AB972" s="19">
        <f t="shared" ca="1" si="1061"/>
        <v>0</v>
      </c>
      <c r="AC972" s="19">
        <f t="shared" ca="1" si="1062"/>
        <v>-0.14981007204782384</v>
      </c>
    </row>
    <row r="973" spans="3:29" x14ac:dyDescent="0.25">
      <c r="C973" s="4">
        <v>966</v>
      </c>
      <c r="D973" s="28">
        <v>43378</v>
      </c>
      <c r="E973" s="30">
        <v>27.902000000000001</v>
      </c>
      <c r="F973" s="30">
        <v>73.036535624403356</v>
      </c>
      <c r="G973" s="30">
        <v>9.7760999739651133</v>
      </c>
      <c r="H973" s="30">
        <v>88.73557233359368</v>
      </c>
      <c r="I973" s="8">
        <v>0</v>
      </c>
      <c r="J973" s="31">
        <v>0</v>
      </c>
      <c r="K973" s="31">
        <v>0</v>
      </c>
      <c r="L973" s="31">
        <v>0</v>
      </c>
      <c r="M973" s="31">
        <v>0</v>
      </c>
      <c r="N973" s="31">
        <v>0</v>
      </c>
      <c r="O973" s="31">
        <v>0</v>
      </c>
      <c r="P973" s="31">
        <v>0</v>
      </c>
      <c r="Q973" s="31">
        <v>0</v>
      </c>
      <c r="R973" s="31">
        <v>1</v>
      </c>
      <c r="S973" s="31">
        <v>0</v>
      </c>
      <c r="T973" s="21" cm="1">
        <f t="array" aca="1" ref="T973" ca="1">+fair_value_gap(OFFSET(S972,0,0,-1*$I$5,-1*$Z$1),OFFSET(E972,0,0,-1*$I$5,1),F973:S973,0)</f>
        <v>26.132420897505224</v>
      </c>
      <c r="U973" s="7" cm="1">
        <f t="array" aca="1" ref="U973" ca="1">z_score_diff(OFFSET(T973,0,0,$I$5*-1,1),OFFSET(E973,0,0,$I$5*-1,1))</f>
        <v>-0.19399212999465743</v>
      </c>
      <c r="V973" s="7">
        <f t="shared" ca="1" si="1057"/>
        <v>0.11462902791593639</v>
      </c>
      <c r="W973" s="14">
        <f t="shared" ca="1" si="1052"/>
        <v>-0.1389218538029903</v>
      </c>
      <c r="X973" s="10">
        <f t="shared" ref="X973:Y973" ca="1" si="1064">+X972</f>
        <v>0</v>
      </c>
      <c r="Y973" s="10">
        <f t="shared" ca="1" si="1064"/>
        <v>0</v>
      </c>
      <c r="Z973">
        <f t="shared" ca="1" si="1059"/>
        <v>0</v>
      </c>
      <c r="AA973">
        <f t="shared" ca="1" si="1060"/>
        <v>1</v>
      </c>
      <c r="AB973" s="19">
        <f t="shared" ca="1" si="1061"/>
        <v>0</v>
      </c>
      <c r="AC973" s="19">
        <f t="shared" ca="1" si="1062"/>
        <v>-0.1389218538029903</v>
      </c>
    </row>
    <row r="974" spans="3:29" x14ac:dyDescent="0.25">
      <c r="C974" s="4">
        <v>967</v>
      </c>
      <c r="D974" s="28">
        <v>43381</v>
      </c>
      <c r="E974" s="30">
        <v>27.218</v>
      </c>
      <c r="F974" s="30">
        <v>73.028720626631852</v>
      </c>
      <c r="G974" s="30">
        <v>9.6649260226283733</v>
      </c>
      <c r="H974" s="30">
        <v>88.381201044386415</v>
      </c>
      <c r="I974" s="8">
        <v>0</v>
      </c>
      <c r="J974" s="31">
        <v>0</v>
      </c>
      <c r="K974" s="31">
        <v>0</v>
      </c>
      <c r="L974" s="31">
        <v>0</v>
      </c>
      <c r="M974" s="31">
        <v>0</v>
      </c>
      <c r="N974" s="31">
        <v>0</v>
      </c>
      <c r="O974" s="31">
        <v>0</v>
      </c>
      <c r="P974" s="31">
        <v>0</v>
      </c>
      <c r="Q974" s="31">
        <v>0</v>
      </c>
      <c r="R974" s="31">
        <v>1</v>
      </c>
      <c r="S974" s="31">
        <v>0</v>
      </c>
      <c r="T974" s="21" cm="1">
        <f t="array" aca="1" ref="T974" ca="1">+fair_value_gap(OFFSET(S973,0,0,-1*$I$5,-1*$Z$1),OFFSET(E973,0,0,-1*$I$5,1),F974:S974,0)</f>
        <v>26.320079671620121</v>
      </c>
      <c r="U974" s="7" cm="1">
        <f t="array" aca="1" ref="U974" ca="1">z_score_diff(OFFSET(T974,0,0,$I$5*-1,1),OFFSET(E974,0,0,$I$5*-1,1))</f>
        <v>0.10762062862545152</v>
      </c>
      <c r="V974" s="7">
        <f t="shared" ca="1" si="1057"/>
        <v>0.16332306854611706</v>
      </c>
      <c r="W974" s="14">
        <f t="shared" ca="1" si="1052"/>
        <v>-0.13385686048744447</v>
      </c>
      <c r="X974" s="10">
        <f t="shared" ref="X974:Y974" ca="1" si="1065">+X973</f>
        <v>0</v>
      </c>
      <c r="Y974" s="10">
        <f t="shared" ca="1" si="1065"/>
        <v>0</v>
      </c>
      <c r="Z974">
        <f t="shared" ca="1" si="1059"/>
        <v>0</v>
      </c>
      <c r="AA974">
        <f t="shared" ca="1" si="1060"/>
        <v>1</v>
      </c>
      <c r="AB974" s="19">
        <f t="shared" ca="1" si="1061"/>
        <v>0</v>
      </c>
      <c r="AC974" s="19">
        <f t="shared" ca="1" si="1062"/>
        <v>-0.13385686048744447</v>
      </c>
    </row>
    <row r="975" spans="3:29" x14ac:dyDescent="0.25">
      <c r="C975" s="4">
        <v>968</v>
      </c>
      <c r="D975" s="28">
        <v>43382</v>
      </c>
      <c r="E975" s="30">
        <v>26.835000000000001</v>
      </c>
      <c r="F975" s="30">
        <v>73.983810601444858</v>
      </c>
      <c r="G975" s="30">
        <v>9.7528070328139957</v>
      </c>
      <c r="H975" s="30">
        <v>87.997214727130284</v>
      </c>
      <c r="I975" s="8">
        <v>0</v>
      </c>
      <c r="J975" s="31">
        <v>0</v>
      </c>
      <c r="K975" s="31">
        <v>0</v>
      </c>
      <c r="L975" s="31">
        <v>0</v>
      </c>
      <c r="M975" s="31">
        <v>0</v>
      </c>
      <c r="N975" s="31">
        <v>0</v>
      </c>
      <c r="O975" s="31">
        <v>0</v>
      </c>
      <c r="P975" s="31">
        <v>0</v>
      </c>
      <c r="Q975" s="31">
        <v>0</v>
      </c>
      <c r="R975" s="31">
        <v>1</v>
      </c>
      <c r="S975" s="31">
        <v>0</v>
      </c>
      <c r="T975" s="21" cm="1">
        <f t="array" aca="1" ref="T975" ca="1">+fair_value_gap(OFFSET(S974,0,0,-1*$I$5,-1*$Z$1),OFFSET(E974,0,0,-1*$I$5,1),F975:S975,0)</f>
        <v>26.765890893300217</v>
      </c>
      <c r="U975" s="7" cm="1">
        <f t="array" aca="1" ref="U975" ca="1">z_score_diff(OFFSET(T975,0,0,$I$5*-1,1),OFFSET(E975,0,0,$I$5*-1,1))</f>
        <v>0.39411872995556974</v>
      </c>
      <c r="V975" s="7">
        <f t="shared" ca="1" si="1057"/>
        <v>0.19652601457549013</v>
      </c>
      <c r="W975" s="14">
        <f t="shared" ca="1" si="1052"/>
        <v>-0.11599592471498348</v>
      </c>
      <c r="X975" s="10">
        <f t="shared" ref="X975:Y975" ca="1" si="1066">+X974</f>
        <v>0</v>
      </c>
      <c r="Y975" s="10">
        <f t="shared" ca="1" si="1066"/>
        <v>0</v>
      </c>
      <c r="Z975">
        <f t="shared" ca="1" si="1059"/>
        <v>0</v>
      </c>
      <c r="AA975">
        <f t="shared" ca="1" si="1060"/>
        <v>1</v>
      </c>
      <c r="AB975" s="19">
        <f t="shared" ca="1" si="1061"/>
        <v>0</v>
      </c>
      <c r="AC975" s="19">
        <f t="shared" ca="1" si="1062"/>
        <v>-0.11599592471498348</v>
      </c>
    </row>
    <row r="976" spans="3:29" x14ac:dyDescent="0.25">
      <c r="C976" s="4">
        <v>969</v>
      </c>
      <c r="D976" s="28">
        <v>43383</v>
      </c>
      <c r="E976" s="30">
        <v>26.22</v>
      </c>
      <c r="F976" s="30">
        <v>72.1392602882445</v>
      </c>
      <c r="G976" s="30">
        <v>9.732592463969441</v>
      </c>
      <c r="H976" s="30">
        <v>86.733807952769581</v>
      </c>
      <c r="I976" s="8">
        <v>0</v>
      </c>
      <c r="J976" s="31">
        <v>0</v>
      </c>
      <c r="K976" s="31">
        <v>0</v>
      </c>
      <c r="L976" s="31">
        <v>0</v>
      </c>
      <c r="M976" s="31">
        <v>0</v>
      </c>
      <c r="N976" s="31">
        <v>0</v>
      </c>
      <c r="O976" s="31">
        <v>0</v>
      </c>
      <c r="P976" s="31">
        <v>0</v>
      </c>
      <c r="Q976" s="31">
        <v>0</v>
      </c>
      <c r="R976" s="31">
        <v>1</v>
      </c>
      <c r="S976" s="31">
        <v>0</v>
      </c>
      <c r="T976" s="21" cm="1">
        <f t="array" aca="1" ref="T976" ca="1">+fair_value_gap(OFFSET(S975,0,0,-1*$I$5,-1*$Z$1),OFFSET(E975,0,0,-1*$I$5,1),F976:S976,0)</f>
        <v>26.161381428940828</v>
      </c>
      <c r="U976" s="7" cm="1">
        <f t="array" aca="1" ref="U976" ca="1">z_score_diff(OFFSET(T976,0,0,$I$5*-1,1),OFFSET(E976,0,0,$I$5*-1,1))</f>
        <v>0.36574120180052239</v>
      </c>
      <c r="V976" s="7">
        <f t="shared" ca="1" si="1057"/>
        <v>0.1920024701713004</v>
      </c>
      <c r="W976" s="14">
        <f t="shared" ca="1" si="1052"/>
        <v>-7.1120009652995045E-2</v>
      </c>
      <c r="X976" s="10">
        <f t="shared" ref="X976:Y976" ca="1" si="1067">+X975</f>
        <v>0</v>
      </c>
      <c r="Y976" s="10">
        <f t="shared" ca="1" si="1067"/>
        <v>0</v>
      </c>
      <c r="Z976">
        <f t="shared" ca="1" si="1059"/>
        <v>0</v>
      </c>
      <c r="AA976">
        <f t="shared" ca="1" si="1060"/>
        <v>1</v>
      </c>
      <c r="AB976" s="19">
        <f t="shared" ca="1" si="1061"/>
        <v>0</v>
      </c>
      <c r="AC976" s="19">
        <f t="shared" ca="1" si="1062"/>
        <v>-7.1120009652995045E-2</v>
      </c>
    </row>
    <row r="977" spans="3:29" x14ac:dyDescent="0.25">
      <c r="C977" s="4">
        <v>970</v>
      </c>
      <c r="D977" s="28">
        <v>43384</v>
      </c>
      <c r="E977" s="30">
        <v>25.759</v>
      </c>
      <c r="F977" s="30">
        <v>69.23143276114898</v>
      </c>
      <c r="G977" s="30">
        <v>9.6264987492452345</v>
      </c>
      <c r="H977" s="30">
        <v>85.612007245751741</v>
      </c>
      <c r="I977" s="8">
        <v>0</v>
      </c>
      <c r="J977" s="31">
        <v>0</v>
      </c>
      <c r="K977" s="31">
        <v>0</v>
      </c>
      <c r="L977" s="31">
        <v>0</v>
      </c>
      <c r="M977" s="31">
        <v>0</v>
      </c>
      <c r="N977" s="31">
        <v>0</v>
      </c>
      <c r="O977" s="31">
        <v>0</v>
      </c>
      <c r="P977" s="31">
        <v>0</v>
      </c>
      <c r="Q977" s="31">
        <v>0</v>
      </c>
      <c r="R977" s="31">
        <v>1</v>
      </c>
      <c r="S977" s="31">
        <v>0</v>
      </c>
      <c r="T977" s="21" cm="1">
        <f t="array" aca="1" ref="T977" ca="1">+fair_value_gap(OFFSET(S976,0,0,-1*$I$5,-1*$Z$1),OFFSET(E976,0,0,-1*$I$5,1),F977:S977,0)</f>
        <v>25.168915902414366</v>
      </c>
      <c r="U977" s="7" cm="1">
        <f t="array" aca="1" ref="U977" ca="1">z_score_diff(OFFSET(T977,0,0,$I$5*-1,1),OFFSET(E977,0,0,$I$5*-1,1))</f>
        <v>0.14782422077327451</v>
      </c>
      <c r="V977" s="7">
        <f t="shared" ca="1" si="1057"/>
        <v>0.1772935918542633</v>
      </c>
      <c r="W977" s="14">
        <f t="shared" ca="1" si="1052"/>
        <v>-5.3013129453761708E-2</v>
      </c>
      <c r="X977" s="10">
        <f t="shared" ref="X977:Y977" ca="1" si="1068">+X976</f>
        <v>0</v>
      </c>
      <c r="Y977" s="10">
        <f t="shared" ca="1" si="1068"/>
        <v>0</v>
      </c>
      <c r="Z977">
        <f t="shared" ca="1" si="1059"/>
        <v>0</v>
      </c>
      <c r="AA977">
        <f t="shared" ca="1" si="1060"/>
        <v>1</v>
      </c>
      <c r="AB977" s="19">
        <f t="shared" ca="1" si="1061"/>
        <v>0</v>
      </c>
      <c r="AC977" s="19">
        <f t="shared" ca="1" si="1062"/>
        <v>-5.3013129453761708E-2</v>
      </c>
    </row>
    <row r="978" spans="3:29" x14ac:dyDescent="0.25">
      <c r="C978" s="4">
        <v>971</v>
      </c>
      <c r="D978" s="28">
        <v>43385</v>
      </c>
      <c r="E978" s="30">
        <v>26.628</v>
      </c>
      <c r="F978" s="30">
        <v>69.564089257913864</v>
      </c>
      <c r="G978" s="30">
        <v>9.6177131984085804</v>
      </c>
      <c r="H978" s="30">
        <v>85.798304791558564</v>
      </c>
      <c r="I978" s="8">
        <v>0</v>
      </c>
      <c r="J978" s="31">
        <v>0</v>
      </c>
      <c r="K978" s="31">
        <v>0</v>
      </c>
      <c r="L978" s="31">
        <v>0</v>
      </c>
      <c r="M978" s="31">
        <v>0</v>
      </c>
      <c r="N978" s="31">
        <v>0</v>
      </c>
      <c r="O978" s="31">
        <v>0</v>
      </c>
      <c r="P978" s="31">
        <v>0</v>
      </c>
      <c r="Q978" s="31">
        <v>0</v>
      </c>
      <c r="R978" s="31">
        <v>1</v>
      </c>
      <c r="S978" s="31">
        <v>0</v>
      </c>
      <c r="T978" s="21" cm="1">
        <f t="array" aca="1" ref="T978" ca="1">+fair_value_gap(OFFSET(S977,0,0,-1*$I$5,-1*$Z$1),OFFSET(E977,0,0,-1*$I$5,1),F978:S978,0)</f>
        <v>25.306321324661301</v>
      </c>
      <c r="U978" s="7" cm="1">
        <f t="array" aca="1" ref="U978" ca="1">z_score_diff(OFFSET(T978,0,0,$I$5*-1,1),OFFSET(E978,0,0,$I$5*-1,1))</f>
        <v>-9.1951928645897851E-2</v>
      </c>
      <c r="V978" s="7">
        <f t="shared" ca="1" si="1057"/>
        <v>0.14990477672890351</v>
      </c>
      <c r="W978" s="14">
        <f t="shared" ca="1" si="1052"/>
        <v>-9.0417556542212521E-2</v>
      </c>
      <c r="X978" s="10">
        <f t="shared" ref="X978:Y978" ca="1" si="1069">+X977</f>
        <v>0</v>
      </c>
      <c r="Y978" s="10">
        <f t="shared" ca="1" si="1069"/>
        <v>0</v>
      </c>
      <c r="Z978">
        <f t="shared" ca="1" si="1059"/>
        <v>0</v>
      </c>
      <c r="AA978">
        <f t="shared" ca="1" si="1060"/>
        <v>1</v>
      </c>
      <c r="AB978" s="19">
        <f t="shared" ca="1" si="1061"/>
        <v>0</v>
      </c>
      <c r="AC978" s="19">
        <f t="shared" ca="1" si="1062"/>
        <v>-9.0417556542212521E-2</v>
      </c>
    </row>
    <row r="979" spans="3:29" x14ac:dyDescent="0.25">
      <c r="C979" s="4">
        <v>972</v>
      </c>
      <c r="D979" s="28">
        <v>43388</v>
      </c>
      <c r="E979" s="30">
        <v>26.625</v>
      </c>
      <c r="F979" s="30">
        <v>69.776280556275381</v>
      </c>
      <c r="G979" s="30">
        <v>9.600932884166884</v>
      </c>
      <c r="H979" s="30">
        <v>85.903083700440533</v>
      </c>
      <c r="I979" s="8">
        <v>0</v>
      </c>
      <c r="J979" s="31">
        <v>0</v>
      </c>
      <c r="K979" s="31">
        <v>0</v>
      </c>
      <c r="L979" s="31">
        <v>0</v>
      </c>
      <c r="M979" s="31">
        <v>0</v>
      </c>
      <c r="N979" s="31">
        <v>0</v>
      </c>
      <c r="O979" s="31">
        <v>0</v>
      </c>
      <c r="P979" s="31">
        <v>0</v>
      </c>
      <c r="Q979" s="31">
        <v>0</v>
      </c>
      <c r="R979" s="31">
        <v>1</v>
      </c>
      <c r="S979" s="31">
        <v>0</v>
      </c>
      <c r="T979" s="21" cm="1">
        <f t="array" aca="1" ref="T979" ca="1">+fair_value_gap(OFFSET(S978,0,0,-1*$I$5,-1*$Z$1),OFFSET(E978,0,0,-1*$I$5,1),F979:S979,0)</f>
        <v>25.467709138333568</v>
      </c>
      <c r="U979" s="7" cm="1">
        <f t="array" aca="1" ref="U979" ca="1">z_score_diff(OFFSET(T979,0,0,$I$5*-1,1),OFFSET(E979,0,0,$I$5*-1,1))</f>
        <v>-3.1554818411867247E-2</v>
      </c>
      <c r="V979" s="7">
        <f t="shared" ca="1" si="1057"/>
        <v>0.14690212613920478</v>
      </c>
      <c r="W979" s="14">
        <f t="shared" ca="1" si="1052"/>
        <v>-2.5486354750396886E-2</v>
      </c>
      <c r="X979" s="10">
        <f t="shared" ref="X979:Y979" ca="1" si="1070">+X978</f>
        <v>0</v>
      </c>
      <c r="Y979" s="10">
        <f t="shared" ca="1" si="1070"/>
        <v>0</v>
      </c>
      <c r="Z979">
        <f t="shared" ca="1" si="1059"/>
        <v>0</v>
      </c>
      <c r="AA979">
        <f t="shared" ca="1" si="1060"/>
        <v>1</v>
      </c>
      <c r="AB979" s="19">
        <f t="shared" ca="1" si="1061"/>
        <v>0</v>
      </c>
      <c r="AC979" s="19">
        <f t="shared" ca="1" si="1062"/>
        <v>-2.5486354750396886E-2</v>
      </c>
    </row>
    <row r="980" spans="3:29" x14ac:dyDescent="0.25">
      <c r="C980" s="4">
        <v>973</v>
      </c>
      <c r="D980" s="28">
        <v>43389</v>
      </c>
      <c r="E980" s="30">
        <v>26.327999999999999</v>
      </c>
      <c r="F980" s="30">
        <v>70.34476799446989</v>
      </c>
      <c r="G980" s="30">
        <v>9.3277456147930522</v>
      </c>
      <c r="H980" s="30">
        <v>85.889570552147248</v>
      </c>
      <c r="I980" s="8">
        <v>0</v>
      </c>
      <c r="J980" s="31">
        <v>0</v>
      </c>
      <c r="K980" s="31">
        <v>0</v>
      </c>
      <c r="L980" s="31">
        <v>0</v>
      </c>
      <c r="M980" s="31">
        <v>0</v>
      </c>
      <c r="N980" s="31">
        <v>0</v>
      </c>
      <c r="O980" s="31">
        <v>0</v>
      </c>
      <c r="P980" s="31">
        <v>0</v>
      </c>
      <c r="Q980" s="31">
        <v>0</v>
      </c>
      <c r="R980" s="31">
        <v>1</v>
      </c>
      <c r="S980" s="31">
        <v>0</v>
      </c>
      <c r="T980" s="21" cm="1">
        <f t="array" aca="1" ref="T980" ca="1">+fair_value_gap(OFFSET(S979,0,0,-1*$I$5,-1*$Z$1),OFFSET(E979,0,0,-1*$I$5,1),F980:S980,0)</f>
        <v>25.649650202442441</v>
      </c>
      <c r="U980" s="7" cm="1">
        <f t="array" aca="1" ref="U980" ca="1">z_score_diff(OFFSET(T980,0,0,$I$5*-1,1),OFFSET(E980,0,0,$I$5*-1,1))</f>
        <v>0.13071609596088685</v>
      </c>
      <c r="V980" s="7">
        <f t="shared" ca="1" si="1057"/>
        <v>0.13023469117084074</v>
      </c>
      <c r="W980" s="14">
        <f t="shared" ca="1" si="1052"/>
        <v>7.2284455750327575E-3</v>
      </c>
      <c r="X980" s="10">
        <f t="shared" ref="X980:Y980" ca="1" si="1071">+X979</f>
        <v>0</v>
      </c>
      <c r="Y980" s="10">
        <f t="shared" ca="1" si="1071"/>
        <v>0</v>
      </c>
      <c r="Z980">
        <f t="shared" ca="1" si="1059"/>
        <v>0</v>
      </c>
      <c r="AA980">
        <f t="shared" ca="1" si="1060"/>
        <v>1</v>
      </c>
      <c r="AB980" s="19">
        <f t="shared" ca="1" si="1061"/>
        <v>0</v>
      </c>
      <c r="AC980" s="19">
        <f t="shared" ca="1" si="1062"/>
        <v>7.2284455750327575E-3</v>
      </c>
    </row>
    <row r="981" spans="3:29" x14ac:dyDescent="0.25">
      <c r="C981" s="4">
        <v>974</v>
      </c>
      <c r="D981" s="28">
        <v>43390</v>
      </c>
      <c r="E981" s="30">
        <v>25.942</v>
      </c>
      <c r="F981" s="30">
        <v>69.614749108618142</v>
      </c>
      <c r="G981" s="30">
        <v>9.2616749282546316</v>
      </c>
      <c r="H981" s="30">
        <v>86.529263414209936</v>
      </c>
      <c r="I981" s="8">
        <v>0</v>
      </c>
      <c r="J981" s="31">
        <v>0</v>
      </c>
      <c r="K981" s="31">
        <v>0</v>
      </c>
      <c r="L981" s="31">
        <v>0</v>
      </c>
      <c r="M981" s="31">
        <v>0</v>
      </c>
      <c r="N981" s="31">
        <v>0</v>
      </c>
      <c r="O981" s="31">
        <v>0</v>
      </c>
      <c r="P981" s="31">
        <v>0</v>
      </c>
      <c r="Q981" s="31">
        <v>0</v>
      </c>
      <c r="R981" s="31">
        <v>1</v>
      </c>
      <c r="S981" s="31">
        <v>0</v>
      </c>
      <c r="T981" s="21" cm="1">
        <f t="array" aca="1" ref="T981" ca="1">+fair_value_gap(OFFSET(S980,0,0,-1*$I$5,-1*$Z$1),OFFSET(E980,0,0,-1*$I$5,1),F981:S981,0)</f>
        <v>25.436200946357687</v>
      </c>
      <c r="U981" s="7" cm="1">
        <f t="array" aca="1" ref="U981" ca="1">z_score_diff(OFFSET(T981,0,0,$I$5*-1,1),OFFSET(E981,0,0,$I$5*-1,1))</f>
        <v>0.17706565102355309</v>
      </c>
      <c r="V981" s="7">
        <f t="shared" ca="1" si="1057"/>
        <v>0.13037637475544042</v>
      </c>
      <c r="W981" s="14">
        <f t="shared" ca="1" si="1052"/>
        <v>1.2868810301148885E-2</v>
      </c>
      <c r="X981" s="10">
        <f t="shared" ref="X981:Y981" ca="1" si="1072">+X980</f>
        <v>0</v>
      </c>
      <c r="Y981" s="10">
        <f t="shared" ca="1" si="1072"/>
        <v>0</v>
      </c>
      <c r="Z981">
        <f t="shared" ca="1" si="1059"/>
        <v>0</v>
      </c>
      <c r="AA981">
        <f t="shared" ca="1" si="1060"/>
        <v>1</v>
      </c>
      <c r="AB981" s="19">
        <f t="shared" ca="1" si="1061"/>
        <v>0</v>
      </c>
      <c r="AC981" s="19">
        <f t="shared" ca="1" si="1062"/>
        <v>1.2868810301148885E-2</v>
      </c>
    </row>
    <row r="982" spans="3:29" x14ac:dyDescent="0.25">
      <c r="C982" s="4">
        <v>975</v>
      </c>
      <c r="D982" s="28">
        <v>43391</v>
      </c>
      <c r="E982" s="30">
        <v>26.024999999999999</v>
      </c>
      <c r="F982" s="30">
        <v>69.236814530213067</v>
      </c>
      <c r="G982" s="30">
        <v>9.369542438002096</v>
      </c>
      <c r="H982" s="30">
        <v>87.102689486552563</v>
      </c>
      <c r="I982" s="8">
        <v>0</v>
      </c>
      <c r="J982" s="31">
        <v>0</v>
      </c>
      <c r="K982" s="31">
        <v>0</v>
      </c>
      <c r="L982" s="31">
        <v>0</v>
      </c>
      <c r="M982" s="31">
        <v>0</v>
      </c>
      <c r="N982" s="31">
        <v>0</v>
      </c>
      <c r="O982" s="31">
        <v>0</v>
      </c>
      <c r="P982" s="31">
        <v>0</v>
      </c>
      <c r="Q982" s="31">
        <v>0</v>
      </c>
      <c r="R982" s="31">
        <v>1</v>
      </c>
      <c r="S982" s="31">
        <v>0</v>
      </c>
      <c r="T982" s="21" cm="1">
        <f t="array" aca="1" ref="T982" ca="1">+fair_value_gap(OFFSET(S981,0,0,-1*$I$5,-1*$Z$1),OFFSET(E981,0,0,-1*$I$5,1),F982:S982,0)</f>
        <v>25.388837326317084</v>
      </c>
      <c r="U982" s="7" cm="1">
        <f t="array" aca="1" ref="U982" ca="1">z_score_diff(OFFSET(T982,0,0,$I$5*-1,1),OFFSET(E982,0,0,$I$5*-1,1))</f>
        <v>0.12892014114599415</v>
      </c>
      <c r="V982" s="7">
        <f t="shared" ca="1" si="1057"/>
        <v>0.13908986807759524</v>
      </c>
      <c r="W982" s="14">
        <f t="shared" ca="1" si="1052"/>
        <v>2.4744156446004029E-2</v>
      </c>
      <c r="X982" s="10">
        <f t="shared" ref="X982:Y982" ca="1" si="1073">+X981</f>
        <v>0</v>
      </c>
      <c r="Y982" s="10">
        <f t="shared" ca="1" si="1073"/>
        <v>0</v>
      </c>
      <c r="Z982">
        <f t="shared" ca="1" si="1059"/>
        <v>0</v>
      </c>
      <c r="AA982">
        <f t="shared" ca="1" si="1060"/>
        <v>1</v>
      </c>
      <c r="AB982" s="19">
        <f t="shared" ca="1" si="1061"/>
        <v>0</v>
      </c>
      <c r="AC982" s="19">
        <f t="shared" ca="1" si="1062"/>
        <v>2.4744156446004029E-2</v>
      </c>
    </row>
    <row r="983" spans="3:29" x14ac:dyDescent="0.25">
      <c r="C983" s="4">
        <v>976</v>
      </c>
      <c r="D983" s="28">
        <v>43392</v>
      </c>
      <c r="E983" s="30">
        <v>26.858000000000001</v>
      </c>
      <c r="F983" s="30">
        <v>69.295578910796493</v>
      </c>
      <c r="G983" s="30">
        <v>9.4849300790410833</v>
      </c>
      <c r="H983" s="30">
        <v>86.641188222009902</v>
      </c>
      <c r="I983" s="8">
        <v>0</v>
      </c>
      <c r="J983" s="31">
        <v>0</v>
      </c>
      <c r="K983" s="31">
        <v>0</v>
      </c>
      <c r="L983" s="31">
        <v>0</v>
      </c>
      <c r="M983" s="31">
        <v>0</v>
      </c>
      <c r="N983" s="31">
        <v>0</v>
      </c>
      <c r="O983" s="31">
        <v>0</v>
      </c>
      <c r="P983" s="31">
        <v>0</v>
      </c>
      <c r="Q983" s="31">
        <v>0</v>
      </c>
      <c r="R983" s="31">
        <v>1</v>
      </c>
      <c r="S983" s="31">
        <v>0</v>
      </c>
      <c r="T983" s="21" cm="1">
        <f t="array" aca="1" ref="T983" ca="1">+fair_value_gap(OFFSET(S982,0,0,-1*$I$5,-1*$Z$1),OFFSET(E982,0,0,-1*$I$5,1),F983:S983,0)</f>
        <v>25.545945731028361</v>
      </c>
      <c r="U983" s="7" cm="1">
        <f t="array" aca="1" ref="U983" ca="1">z_score_diff(OFFSET(T983,0,0,$I$5*-1,1),OFFSET(E983,0,0,$I$5*-1,1))</f>
        <v>-8.9690173634301873E-2</v>
      </c>
      <c r="V983" s="7">
        <f t="shared" ca="1" si="1057"/>
        <v>0.13332175738541804</v>
      </c>
      <c r="W983" s="14">
        <f t="shared" ca="1" si="1052"/>
        <v>-3.4160931400061559E-2</v>
      </c>
      <c r="X983" s="10">
        <f t="shared" ref="X983:Y983" ca="1" si="1074">+X982</f>
        <v>0</v>
      </c>
      <c r="Y983" s="10">
        <f t="shared" ca="1" si="1074"/>
        <v>0</v>
      </c>
      <c r="Z983">
        <f t="shared" ca="1" si="1059"/>
        <v>0</v>
      </c>
      <c r="AA983">
        <f t="shared" ca="1" si="1060"/>
        <v>1</v>
      </c>
      <c r="AB983" s="19">
        <f t="shared" ca="1" si="1061"/>
        <v>0</v>
      </c>
      <c r="AC983" s="19">
        <f t="shared" ca="1" si="1062"/>
        <v>-3.4160931400061559E-2</v>
      </c>
    </row>
    <row r="984" spans="3:29" x14ac:dyDescent="0.25">
      <c r="C984" s="4">
        <v>977</v>
      </c>
      <c r="D984" s="28">
        <v>43395</v>
      </c>
      <c r="E984" s="30">
        <v>26.114000000000001</v>
      </c>
      <c r="F984" s="30">
        <v>69.641455116461657</v>
      </c>
      <c r="G984" s="30">
        <v>9.4695978365174902</v>
      </c>
      <c r="H984" s="30">
        <v>86.975486347378521</v>
      </c>
      <c r="I984" s="8">
        <v>0</v>
      </c>
      <c r="J984" s="31">
        <v>0</v>
      </c>
      <c r="K984" s="31">
        <v>0</v>
      </c>
      <c r="L984" s="31">
        <v>0</v>
      </c>
      <c r="M984" s="31">
        <v>0</v>
      </c>
      <c r="N984" s="31">
        <v>0</v>
      </c>
      <c r="O984" s="31">
        <v>0</v>
      </c>
      <c r="P984" s="31">
        <v>0</v>
      </c>
      <c r="Q984" s="31">
        <v>0</v>
      </c>
      <c r="R984" s="31">
        <v>1</v>
      </c>
      <c r="S984" s="31">
        <v>0</v>
      </c>
      <c r="T984" s="21" cm="1">
        <f t="array" aca="1" ref="T984" ca="1">+fair_value_gap(OFFSET(S983,0,0,-1*$I$5,-1*$Z$1),OFFSET(E983,0,0,-1*$I$5,1),F984:S984,0)</f>
        <v>25.836047921874385</v>
      </c>
      <c r="U984" s="7" cm="1">
        <f t="array" aca="1" ref="U984" ca="1">z_score_diff(OFFSET(T984,0,0,$I$5*-1,1),OFFSET(E984,0,0,$I$5*-1,1))</f>
        <v>0.25511793448118647</v>
      </c>
      <c r="V984" s="7">
        <f t="shared" ca="1" si="1057"/>
        <v>0.14024277120920384</v>
      </c>
      <c r="W984" s="14">
        <f t="shared" ca="1" si="1052"/>
        <v>-7.8104376581309184E-2</v>
      </c>
      <c r="X984" s="10">
        <f t="shared" ref="X984:Y984" ca="1" si="1075">+X983</f>
        <v>0</v>
      </c>
      <c r="Y984" s="10">
        <f t="shared" ca="1" si="1075"/>
        <v>0</v>
      </c>
      <c r="Z984">
        <f t="shared" ca="1" si="1059"/>
        <v>0</v>
      </c>
      <c r="AA984">
        <f t="shared" ca="1" si="1060"/>
        <v>1</v>
      </c>
      <c r="AB984" s="19">
        <f t="shared" ca="1" si="1061"/>
        <v>0</v>
      </c>
      <c r="AC984" s="19">
        <f t="shared" ca="1" si="1062"/>
        <v>-7.8104376581309184E-2</v>
      </c>
    </row>
    <row r="985" spans="3:29" x14ac:dyDescent="0.25">
      <c r="C985" s="4">
        <v>978</v>
      </c>
      <c r="D985" s="28">
        <v>43396</v>
      </c>
      <c r="E985" s="30">
        <v>25.667000000000002</v>
      </c>
      <c r="F985" s="30">
        <v>66.649228354695268</v>
      </c>
      <c r="G985" s="30">
        <v>9.2205074548783674</v>
      </c>
      <c r="H985" s="30">
        <v>86.886389397506321</v>
      </c>
      <c r="I985" s="8">
        <v>0</v>
      </c>
      <c r="J985" s="31">
        <v>0</v>
      </c>
      <c r="K985" s="31">
        <v>0</v>
      </c>
      <c r="L985" s="31">
        <v>0</v>
      </c>
      <c r="M985" s="31">
        <v>0</v>
      </c>
      <c r="N985" s="31">
        <v>0</v>
      </c>
      <c r="O985" s="31">
        <v>0</v>
      </c>
      <c r="P985" s="31">
        <v>0</v>
      </c>
      <c r="Q985" s="31">
        <v>0</v>
      </c>
      <c r="R985" s="31">
        <v>1</v>
      </c>
      <c r="S985" s="31">
        <v>0</v>
      </c>
      <c r="T985" s="21" cm="1">
        <f t="array" aca="1" ref="T985" ca="1">+fair_value_gap(OFFSET(S984,0,0,-1*$I$5,-1*$Z$1),OFFSET(E984,0,0,-1*$I$5,1),F985:S985,0)</f>
        <v>25.142820374728537</v>
      </c>
      <c r="U985" s="7" cm="1">
        <f t="array" aca="1" ref="U985" ca="1">z_score_diff(OFFSET(T985,0,0,$I$5*-1,1),OFFSET(E985,0,0,$I$5*-1,1))</f>
        <v>0.15013378971748681</v>
      </c>
      <c r="V985" s="7">
        <f t="shared" ca="1" si="1057"/>
        <v>0.13929527652311066</v>
      </c>
      <c r="W985" s="14">
        <f t="shared" ca="1" si="1052"/>
        <v>-5.2592138434955367E-2</v>
      </c>
      <c r="X985" s="10">
        <f t="shared" ref="X985:Y985" ca="1" si="1076">+X984</f>
        <v>0</v>
      </c>
      <c r="Y985" s="10">
        <f t="shared" ca="1" si="1076"/>
        <v>0</v>
      </c>
      <c r="Z985">
        <f t="shared" ca="1" si="1059"/>
        <v>0</v>
      </c>
      <c r="AA985">
        <f t="shared" ca="1" si="1060"/>
        <v>1</v>
      </c>
      <c r="AB985" s="19">
        <f t="shared" ca="1" si="1061"/>
        <v>0</v>
      </c>
      <c r="AC985" s="19">
        <f t="shared" ca="1" si="1062"/>
        <v>-5.2592138434955367E-2</v>
      </c>
    </row>
    <row r="986" spans="3:29" x14ac:dyDescent="0.25">
      <c r="C986" s="4">
        <v>979</v>
      </c>
      <c r="D986" s="28">
        <v>43397</v>
      </c>
      <c r="E986" s="30">
        <v>25.260999999999999</v>
      </c>
      <c r="F986" s="30">
        <v>66.868580458256517</v>
      </c>
      <c r="G986" s="30">
        <v>9.1256254938109027</v>
      </c>
      <c r="H986" s="30">
        <v>87.437450618909665</v>
      </c>
      <c r="I986" s="8">
        <v>0</v>
      </c>
      <c r="J986" s="31">
        <v>0</v>
      </c>
      <c r="K986" s="31">
        <v>0</v>
      </c>
      <c r="L986" s="31">
        <v>0</v>
      </c>
      <c r="M986" s="31">
        <v>0</v>
      </c>
      <c r="N986" s="31">
        <v>0</v>
      </c>
      <c r="O986" s="31">
        <v>0</v>
      </c>
      <c r="P986" s="31">
        <v>0</v>
      </c>
      <c r="Q986" s="31">
        <v>0</v>
      </c>
      <c r="R986" s="31">
        <v>1</v>
      </c>
      <c r="S986" s="31">
        <v>0</v>
      </c>
      <c r="T986" s="21" cm="1">
        <f t="array" aca="1" ref="T986" ca="1">+fair_value_gap(OFFSET(S985,0,0,-1*$I$5,-1*$Z$1),OFFSET(E985,0,0,-1*$I$5,1),F986:S986,0)</f>
        <v>25.648926861532317</v>
      </c>
      <c r="U986" s="7" cm="1">
        <f t="array" aca="1" ref="U986" ca="1">z_score_diff(OFFSET(T986,0,0,$I$5*-1,1),OFFSET(E986,0,0,$I$5*-1,1))</f>
        <v>0.45899089137050142</v>
      </c>
      <c r="V986" s="7">
        <f t="shared" ca="1" si="1057"/>
        <v>0.13606556242294363</v>
      </c>
      <c r="W986" s="14">
        <f t="shared" ca="1" si="1052"/>
        <v>-3.0588586869936953E-2</v>
      </c>
      <c r="X986" s="10">
        <f t="shared" ref="X986:Y986" ca="1" si="1077">+X985</f>
        <v>0</v>
      </c>
      <c r="Y986" s="10">
        <f t="shared" ca="1" si="1077"/>
        <v>0</v>
      </c>
      <c r="Z986">
        <f t="shared" ca="1" si="1059"/>
        <v>0</v>
      </c>
      <c r="AA986">
        <f t="shared" ca="1" si="1060"/>
        <v>1</v>
      </c>
      <c r="AB986" s="19">
        <f t="shared" ca="1" si="1061"/>
        <v>0</v>
      </c>
      <c r="AC986" s="19">
        <f t="shared" ca="1" si="1062"/>
        <v>-3.0588586869936953E-2</v>
      </c>
    </row>
    <row r="987" spans="3:29" x14ac:dyDescent="0.25">
      <c r="C987" s="4">
        <v>980</v>
      </c>
      <c r="D987" s="28">
        <v>43398</v>
      </c>
      <c r="E987" s="30">
        <v>24.866</v>
      </c>
      <c r="F987" s="30">
        <v>67.601547388781441</v>
      </c>
      <c r="G987" s="30">
        <v>9.1216810269034649</v>
      </c>
      <c r="H987" s="30">
        <v>87.70001758396343</v>
      </c>
      <c r="I987" s="8">
        <v>0</v>
      </c>
      <c r="J987" s="31">
        <v>0</v>
      </c>
      <c r="K987" s="31">
        <v>0</v>
      </c>
      <c r="L987" s="31">
        <v>0</v>
      </c>
      <c r="M987" s="31">
        <v>0</v>
      </c>
      <c r="N987" s="31">
        <v>0</v>
      </c>
      <c r="O987" s="31">
        <v>0</v>
      </c>
      <c r="P987" s="31">
        <v>0</v>
      </c>
      <c r="Q987" s="31">
        <v>0</v>
      </c>
      <c r="R987" s="31">
        <v>1</v>
      </c>
      <c r="S987" s="31">
        <v>0</v>
      </c>
      <c r="T987" s="21" cm="1">
        <f t="array" aca="1" ref="T987" ca="1">+fair_value_gap(OFFSET(S986,0,0,-1*$I$5,-1*$Z$1),OFFSET(E986,0,0,-1*$I$5,1),F987:S987,0)</f>
        <v>25.802637363066559</v>
      </c>
      <c r="U987" s="7" cm="1">
        <f t="array" aca="1" ref="U987" ca="1">z_score_diff(OFFSET(T987,0,0,$I$5*-1,1),OFFSET(E987,0,0,$I$5*-1,1))</f>
        <v>0.63529070789229181</v>
      </c>
      <c r="V987" s="7">
        <f t="shared" ca="1" si="1057"/>
        <v>0.12627908683844924</v>
      </c>
      <c r="W987" s="14">
        <f t="shared" ca="1" si="1052"/>
        <v>-6.2933885302270641E-3</v>
      </c>
      <c r="X987" s="10">
        <f t="shared" ref="X987:Y987" ca="1" si="1078">+X986</f>
        <v>0</v>
      </c>
      <c r="Y987" s="10">
        <f t="shared" ca="1" si="1078"/>
        <v>0</v>
      </c>
      <c r="Z987">
        <f t="shared" ca="1" si="1059"/>
        <v>0</v>
      </c>
      <c r="AA987">
        <f t="shared" ca="1" si="1060"/>
        <v>1</v>
      </c>
      <c r="AB987" s="19">
        <f t="shared" ca="1" si="1061"/>
        <v>0</v>
      </c>
      <c r="AC987" s="19">
        <f t="shared" ca="1" si="1062"/>
        <v>-6.2933885302270641E-3</v>
      </c>
    </row>
    <row r="988" spans="3:29" x14ac:dyDescent="0.25">
      <c r="C988" s="4">
        <v>981</v>
      </c>
      <c r="D988" s="28">
        <v>43399</v>
      </c>
      <c r="E988" s="30">
        <v>24.280999999999999</v>
      </c>
      <c r="F988" s="30">
        <v>68.081747215156582</v>
      </c>
      <c r="G988" s="30">
        <v>9.2974300499956151</v>
      </c>
      <c r="H988" s="30">
        <v>87.273046224015445</v>
      </c>
      <c r="I988" s="8">
        <v>0</v>
      </c>
      <c r="J988" s="31">
        <v>0</v>
      </c>
      <c r="K988" s="31">
        <v>0</v>
      </c>
      <c r="L988" s="31">
        <v>0</v>
      </c>
      <c r="M988" s="31">
        <v>0</v>
      </c>
      <c r="N988" s="31">
        <v>0</v>
      </c>
      <c r="O988" s="31">
        <v>0</v>
      </c>
      <c r="P988" s="31">
        <v>0</v>
      </c>
      <c r="Q988" s="31">
        <v>0</v>
      </c>
      <c r="R988" s="31">
        <v>1</v>
      </c>
      <c r="S988" s="31">
        <v>0</v>
      </c>
      <c r="T988" s="21" cm="1">
        <f t="array" aca="1" ref="T988" ca="1">+fair_value_gap(OFFSET(S987,0,0,-1*$I$5,-1*$Z$1),OFFSET(E987,0,0,-1*$I$5,1),F988:S988,0)</f>
        <v>25.87393127981202</v>
      </c>
      <c r="U988" s="7" cm="1">
        <f t="array" aca="1" ref="U988" ca="1">z_score_diff(OFFSET(T988,0,0,$I$5*-1,1),OFFSET(E988,0,0,$I$5*-1,1))</f>
        <v>0.84282664547774555</v>
      </c>
      <c r="V988" s="7">
        <f t="shared" ca="1" si="1057"/>
        <v>0.12174011894998531</v>
      </c>
      <c r="W988" s="14">
        <f t="shared" ca="1" si="1052"/>
        <v>2.1915337371534852E-2</v>
      </c>
      <c r="X988" s="10">
        <f t="shared" ref="X988:Y988" ca="1" si="1079">+X987</f>
        <v>0</v>
      </c>
      <c r="Y988" s="10">
        <f t="shared" ca="1" si="1079"/>
        <v>0</v>
      </c>
      <c r="Z988">
        <f t="shared" ca="1" si="1059"/>
        <v>0</v>
      </c>
      <c r="AA988">
        <f t="shared" ca="1" si="1060"/>
        <v>1</v>
      </c>
      <c r="AB988" s="19">
        <f t="shared" ca="1" si="1061"/>
        <v>0</v>
      </c>
      <c r="AC988" s="19">
        <f t="shared" ca="1" si="1062"/>
        <v>2.1915337371534852E-2</v>
      </c>
    </row>
    <row r="989" spans="3:29" x14ac:dyDescent="0.25">
      <c r="C989" s="4">
        <v>982</v>
      </c>
      <c r="D989" s="28">
        <v>43402</v>
      </c>
      <c r="E989" s="30">
        <v>24.577999999999999</v>
      </c>
      <c r="F989" s="30">
        <v>68.015126198223555</v>
      </c>
      <c r="G989" s="30">
        <v>9.3043707677425029</v>
      </c>
      <c r="H989" s="30">
        <v>86.623867733708551</v>
      </c>
      <c r="I989" s="8">
        <v>0</v>
      </c>
      <c r="J989" s="31">
        <v>0</v>
      </c>
      <c r="K989" s="31">
        <v>0</v>
      </c>
      <c r="L989" s="31">
        <v>0</v>
      </c>
      <c r="M989" s="31">
        <v>0</v>
      </c>
      <c r="N989" s="31">
        <v>0</v>
      </c>
      <c r="O989" s="31">
        <v>0</v>
      </c>
      <c r="P989" s="31">
        <v>0</v>
      </c>
      <c r="Q989" s="31">
        <v>0</v>
      </c>
      <c r="R989" s="31">
        <v>1</v>
      </c>
      <c r="S989" s="31">
        <v>0</v>
      </c>
      <c r="T989" s="21" cm="1">
        <f t="array" aca="1" ref="T989" ca="1">+fair_value_gap(OFFSET(S988,0,0,-1*$I$5,-1*$Z$1),OFFSET(E988,0,0,-1*$I$5,1),F989:S989,0)</f>
        <v>25.722243716903392</v>
      </c>
      <c r="U989" s="7" cm="1">
        <f t="array" aca="1" ref="U989" ca="1">z_score_diff(OFFSET(T989,0,0,$I$5*-1,1),OFFSET(E989,0,0,$I$5*-1,1))</f>
        <v>0.68265210865155401</v>
      </c>
      <c r="V989" s="7">
        <f t="shared" ca="1" si="1057"/>
        <v>0.19535024298181061</v>
      </c>
      <c r="W989" s="14">
        <f t="shared" ca="1" si="1052"/>
        <v>-1.4250526627346712E-3</v>
      </c>
      <c r="X989" s="10">
        <f t="shared" ref="X989:Y989" ca="1" si="1080">+X988</f>
        <v>0</v>
      </c>
      <c r="Y989" s="10">
        <f t="shared" ca="1" si="1080"/>
        <v>0</v>
      </c>
      <c r="Z989">
        <f t="shared" ca="1" si="1059"/>
        <v>0</v>
      </c>
      <c r="AA989">
        <f t="shared" ca="1" si="1060"/>
        <v>1</v>
      </c>
      <c r="AB989" s="19">
        <f t="shared" ca="1" si="1061"/>
        <v>0</v>
      </c>
      <c r="AC989" s="19">
        <f t="shared" ca="1" si="1062"/>
        <v>-1.4250526627346712E-3</v>
      </c>
    </row>
    <row r="990" spans="3:29" x14ac:dyDescent="0.25">
      <c r="C990" s="4">
        <v>983</v>
      </c>
      <c r="D990" s="28">
        <v>43403</v>
      </c>
      <c r="E990" s="30">
        <v>23.873000000000001</v>
      </c>
      <c r="F990" s="30">
        <v>66.916431593794073</v>
      </c>
      <c r="G990" s="30">
        <v>9.3221086036671359</v>
      </c>
      <c r="H990" s="30">
        <v>86.477433004231301</v>
      </c>
      <c r="I990" s="8">
        <v>0</v>
      </c>
      <c r="J990" s="31">
        <v>0</v>
      </c>
      <c r="K990" s="31">
        <v>0</v>
      </c>
      <c r="L990" s="31">
        <v>0</v>
      </c>
      <c r="M990" s="31">
        <v>0</v>
      </c>
      <c r="N990" s="31">
        <v>0</v>
      </c>
      <c r="O990" s="31">
        <v>0</v>
      </c>
      <c r="P990" s="31">
        <v>0</v>
      </c>
      <c r="Q990" s="31">
        <v>0</v>
      </c>
      <c r="R990" s="31">
        <v>1</v>
      </c>
      <c r="S990" s="31">
        <v>0</v>
      </c>
      <c r="T990" s="21" cm="1">
        <f t="array" aca="1" ref="T990" ca="1">+fair_value_gap(OFFSET(S989,0,0,-1*$I$5,-1*$Z$1),OFFSET(E989,0,0,-1*$I$5,1),F990:S990,0)</f>
        <v>25.425082886935861</v>
      </c>
      <c r="U990" s="7" cm="1">
        <f t="array" aca="1" ref="U990" ca="1">z_score_diff(OFFSET(T990,0,0,$I$5*-1,1),OFFSET(E990,0,0,$I$5*-1,1))</f>
        <v>0.8011351249115487</v>
      </c>
      <c r="V990" s="7">
        <f t="shared" ca="1" si="1057"/>
        <v>0.2482792881997716</v>
      </c>
      <c r="W990" s="14">
        <f t="shared" ca="1" si="1052"/>
        <v>5.2467572189965964E-2</v>
      </c>
      <c r="X990" s="10">
        <f t="shared" ref="X990:Y990" ca="1" si="1081">+X989</f>
        <v>0</v>
      </c>
      <c r="Y990" s="10">
        <f t="shared" ca="1" si="1081"/>
        <v>0</v>
      </c>
      <c r="Z990">
        <f t="shared" ca="1" si="1059"/>
        <v>0</v>
      </c>
      <c r="AA990">
        <f t="shared" ca="1" si="1060"/>
        <v>1</v>
      </c>
      <c r="AB990" s="19">
        <f t="shared" ca="1" si="1061"/>
        <v>0</v>
      </c>
      <c r="AC990" s="19">
        <f t="shared" ca="1" si="1062"/>
        <v>5.2467572189965964E-2</v>
      </c>
    </row>
    <row r="991" spans="3:29" x14ac:dyDescent="0.25">
      <c r="C991" s="4">
        <v>984</v>
      </c>
      <c r="D991" s="28">
        <v>43404</v>
      </c>
      <c r="E991" s="30">
        <v>24.332999999999998</v>
      </c>
      <c r="F991" s="30">
        <v>66.728558797524315</v>
      </c>
      <c r="G991" s="30">
        <v>9.2617152961980551</v>
      </c>
      <c r="H991" s="30">
        <v>86.206896551724142</v>
      </c>
      <c r="I991" s="8">
        <v>0</v>
      </c>
      <c r="J991" s="31">
        <v>0</v>
      </c>
      <c r="K991" s="31">
        <v>0</v>
      </c>
      <c r="L991" s="31">
        <v>0</v>
      </c>
      <c r="M991" s="31">
        <v>0</v>
      </c>
      <c r="N991" s="31">
        <v>0</v>
      </c>
      <c r="O991" s="31">
        <v>0</v>
      </c>
      <c r="P991" s="31">
        <v>0</v>
      </c>
      <c r="Q991" s="31">
        <v>0</v>
      </c>
      <c r="R991" s="31">
        <v>1</v>
      </c>
      <c r="S991" s="31">
        <v>0</v>
      </c>
      <c r="T991" s="21" cm="1">
        <f t="array" aca="1" ref="T991" ca="1">+fair_value_gap(OFFSET(S990,0,0,-1*$I$5,-1*$Z$1),OFFSET(E990,0,0,-1*$I$5,1),F991:S991,0)</f>
        <v>25.251843024509775</v>
      </c>
      <c r="U991" s="7" cm="1">
        <f t="array" aca="1" ref="U991" ca="1">z_score_diff(OFFSET(T991,0,0,$I$5*-1,1),OFFSET(E991,0,0,$I$5*-1,1))</f>
        <v>0.5821309453074206</v>
      </c>
      <c r="V991" s="7">
        <f t="shared" ca="1" si="1057"/>
        <v>0.26842507889544953</v>
      </c>
      <c r="W991" s="14">
        <f t="shared" ca="1" si="1052"/>
        <v>-1.274802269897287E-3</v>
      </c>
      <c r="X991" s="10">
        <f t="shared" ref="X991:Y991" ca="1" si="1082">+X990</f>
        <v>0</v>
      </c>
      <c r="Y991" s="10">
        <f t="shared" ca="1" si="1082"/>
        <v>0</v>
      </c>
      <c r="Z991">
        <f t="shared" ca="1" si="1059"/>
        <v>0</v>
      </c>
      <c r="AA991">
        <f t="shared" ca="1" si="1060"/>
        <v>1</v>
      </c>
      <c r="AB991" s="19">
        <f t="shared" ca="1" si="1061"/>
        <v>0</v>
      </c>
      <c r="AC991" s="19">
        <f t="shared" ca="1" si="1062"/>
        <v>-1.274802269897287E-3</v>
      </c>
    </row>
    <row r="992" spans="3:29" x14ac:dyDescent="0.25">
      <c r="C992" s="4">
        <v>985</v>
      </c>
      <c r="D992" s="28">
        <v>43405</v>
      </c>
      <c r="E992" s="30">
        <v>23.649000000000001</v>
      </c>
      <c r="F992" s="30">
        <v>63.899360042079422</v>
      </c>
      <c r="G992" s="30">
        <v>9.1478916454808452</v>
      </c>
      <c r="H992" s="30">
        <v>83.808187954764605</v>
      </c>
      <c r="I992" s="8">
        <v>0</v>
      </c>
      <c r="J992" s="31">
        <v>0</v>
      </c>
      <c r="K992" s="31">
        <v>0</v>
      </c>
      <c r="L992" s="31">
        <v>0</v>
      </c>
      <c r="M992" s="31">
        <v>0</v>
      </c>
      <c r="N992" s="31">
        <v>0</v>
      </c>
      <c r="O992" s="31">
        <v>0</v>
      </c>
      <c r="P992" s="31">
        <v>0</v>
      </c>
      <c r="Q992" s="31">
        <v>0</v>
      </c>
      <c r="R992" s="31">
        <v>0</v>
      </c>
      <c r="S992" s="31">
        <v>1</v>
      </c>
      <c r="T992" s="21" cm="1">
        <f t="array" aca="1" ref="T992" ca="1">+fair_value_gap(OFFSET(S991,0,0,-1*$I$5,-1*$Z$1),OFFSET(E991,0,0,-1*$I$5,1),F992:S992,0)</f>
        <v>22.753823878709827</v>
      </c>
      <c r="U992" s="7" cm="1">
        <f t="array" aca="1" ref="U992" ca="1">z_score_diff(OFFSET(T992,0,0,$I$5*-1,1),OFFSET(E992,0,0,$I$5*-1,1))</f>
        <v>-7.3196174079810383E-2</v>
      </c>
      <c r="V992" s="7">
        <f t="shared" ca="1" si="1057"/>
        <v>0.2689949796164226</v>
      </c>
      <c r="W992" s="14">
        <f t="shared" ca="1" si="1052"/>
        <v>4.0766176648880353E-2</v>
      </c>
      <c r="X992" s="10">
        <f t="shared" ref="X992:Y992" ca="1" si="1083">+X991</f>
        <v>0</v>
      </c>
      <c r="Y992" s="10">
        <f t="shared" ca="1" si="1083"/>
        <v>0</v>
      </c>
      <c r="Z992">
        <f t="shared" ca="1" si="1059"/>
        <v>0</v>
      </c>
      <c r="AA992">
        <f t="shared" ca="1" si="1060"/>
        <v>1</v>
      </c>
      <c r="AB992" s="19">
        <f t="shared" ca="1" si="1061"/>
        <v>0</v>
      </c>
      <c r="AC992" s="19">
        <f t="shared" ca="1" si="1062"/>
        <v>4.0766176648880353E-2</v>
      </c>
    </row>
    <row r="993" spans="3:29" x14ac:dyDescent="0.25">
      <c r="C993" s="4">
        <v>986</v>
      </c>
      <c r="D993" s="28">
        <v>43406</v>
      </c>
      <c r="E993" s="30">
        <v>24.283000000000001</v>
      </c>
      <c r="F993" s="30">
        <v>63.970136144049185</v>
      </c>
      <c r="G993" s="30">
        <v>9.2797540623627572</v>
      </c>
      <c r="H993" s="30">
        <v>85.858585858585855</v>
      </c>
      <c r="I993" s="8">
        <v>0</v>
      </c>
      <c r="J993" s="31">
        <v>0</v>
      </c>
      <c r="K993" s="31">
        <v>0</v>
      </c>
      <c r="L993" s="31">
        <v>0</v>
      </c>
      <c r="M993" s="31">
        <v>0</v>
      </c>
      <c r="N993" s="31">
        <v>0</v>
      </c>
      <c r="O993" s="31">
        <v>0</v>
      </c>
      <c r="P993" s="31">
        <v>0</v>
      </c>
      <c r="Q993" s="31">
        <v>0</v>
      </c>
      <c r="R993" s="31">
        <v>0</v>
      </c>
      <c r="S993" s="31">
        <v>1</v>
      </c>
      <c r="T993" s="21" cm="1">
        <f t="array" aca="1" ref="T993" ca="1">+fair_value_gap(OFFSET(S992,0,0,-1*$I$5,-1*$Z$1),OFFSET(E992,0,0,-1*$I$5,1),F993:S993,0)</f>
        <v>23.104010427272243</v>
      </c>
      <c r="U993" s="7" cm="1">
        <f t="array" aca="1" ref="U993" ca="1">z_score_diff(OFFSET(T993,0,0,$I$5*-1,1),OFFSET(E993,0,0,$I$5*-1,1))</f>
        <v>-0.15781786412848997</v>
      </c>
      <c r="V993" s="7">
        <f t="shared" ca="1" si="1057"/>
        <v>0.270803692909731</v>
      </c>
      <c r="W993" s="14">
        <f t="shared" ca="1" si="1052"/>
        <v>1.6662287721591434E-2</v>
      </c>
      <c r="X993" s="10">
        <f t="shared" ref="X993:Y993" ca="1" si="1084">+X992</f>
        <v>0</v>
      </c>
      <c r="Y993" s="10">
        <f t="shared" ca="1" si="1084"/>
        <v>0</v>
      </c>
      <c r="Z993">
        <f t="shared" ca="1" si="1059"/>
        <v>0</v>
      </c>
      <c r="AA993">
        <f t="shared" ca="1" si="1060"/>
        <v>1</v>
      </c>
      <c r="AB993" s="19">
        <f t="shared" ca="1" si="1061"/>
        <v>0</v>
      </c>
      <c r="AC993" s="19">
        <f t="shared" ca="1" si="1062"/>
        <v>1.6662287721591434E-2</v>
      </c>
    </row>
    <row r="994" spans="3:29" x14ac:dyDescent="0.25">
      <c r="C994" s="4">
        <v>987</v>
      </c>
      <c r="D994" s="28">
        <v>43409</v>
      </c>
      <c r="E994" s="30">
        <v>23.808</v>
      </c>
      <c r="F994" s="30">
        <v>64.150447133087852</v>
      </c>
      <c r="G994" s="30">
        <v>9.2582851130983688</v>
      </c>
      <c r="H994" s="30">
        <v>85.305979309135537</v>
      </c>
      <c r="I994" s="8">
        <v>0</v>
      </c>
      <c r="J994" s="31">
        <v>0</v>
      </c>
      <c r="K994" s="31">
        <v>0</v>
      </c>
      <c r="L994" s="31">
        <v>0</v>
      </c>
      <c r="M994" s="31">
        <v>0</v>
      </c>
      <c r="N994" s="31">
        <v>0</v>
      </c>
      <c r="O994" s="31">
        <v>0</v>
      </c>
      <c r="P994" s="31">
        <v>0</v>
      </c>
      <c r="Q994" s="31">
        <v>0</v>
      </c>
      <c r="R994" s="31">
        <v>0</v>
      </c>
      <c r="S994" s="31">
        <v>1</v>
      </c>
      <c r="T994" s="21" cm="1">
        <f t="array" aca="1" ref="T994" ca="1">+fair_value_gap(OFFSET(S993,0,0,-1*$I$5,-1*$Z$1),OFFSET(E993,0,0,-1*$I$5,1),F994:S994,0)</f>
        <v>23.241396171861012</v>
      </c>
      <c r="U994" s="7" cm="1">
        <f t="array" aca="1" ref="U994" ca="1">z_score_diff(OFFSET(T994,0,0,$I$5*-1,1),OFFSET(E994,0,0,$I$5*-1,1))</f>
        <v>4.6184272624295142E-2</v>
      </c>
      <c r="V994" s="7">
        <f t="shared" ca="1" si="1057"/>
        <v>0.26773187510967322</v>
      </c>
      <c r="W994" s="14">
        <f t="shared" ca="1" si="1052"/>
        <v>5.2168667185349106E-2</v>
      </c>
      <c r="X994" s="10">
        <f t="shared" ref="X994:Y994" ca="1" si="1085">+X993</f>
        <v>0</v>
      </c>
      <c r="Y994" s="10">
        <f t="shared" ca="1" si="1085"/>
        <v>0</v>
      </c>
      <c r="Z994">
        <f t="shared" ca="1" si="1059"/>
        <v>0</v>
      </c>
      <c r="AA994">
        <f t="shared" ca="1" si="1060"/>
        <v>1</v>
      </c>
      <c r="AB994" s="19">
        <f t="shared" ca="1" si="1061"/>
        <v>0</v>
      </c>
      <c r="AC994" s="19">
        <f t="shared" ca="1" si="1062"/>
        <v>5.2168667185349106E-2</v>
      </c>
    </row>
    <row r="995" spans="3:29" x14ac:dyDescent="0.25">
      <c r="C995" s="4">
        <v>988</v>
      </c>
      <c r="D995" s="28">
        <v>43410</v>
      </c>
      <c r="E995" s="30">
        <v>23.896000000000001</v>
      </c>
      <c r="F995" s="30">
        <v>63.127953789602657</v>
      </c>
      <c r="G995" s="30">
        <v>9.2420794678802736</v>
      </c>
      <c r="H995" s="30">
        <v>84.719061788902494</v>
      </c>
      <c r="I995" s="8">
        <v>0</v>
      </c>
      <c r="J995" s="31">
        <v>0</v>
      </c>
      <c r="K995" s="31">
        <v>0</v>
      </c>
      <c r="L995" s="31">
        <v>0</v>
      </c>
      <c r="M995" s="31">
        <v>0</v>
      </c>
      <c r="N995" s="31">
        <v>0</v>
      </c>
      <c r="O995" s="31">
        <v>0</v>
      </c>
      <c r="P995" s="31">
        <v>0</v>
      </c>
      <c r="Q995" s="31">
        <v>0</v>
      </c>
      <c r="R995" s="31">
        <v>0</v>
      </c>
      <c r="S995" s="31">
        <v>1</v>
      </c>
      <c r="T995" s="21" cm="1">
        <f t="array" aca="1" ref="T995" ca="1">+fair_value_gap(OFFSET(S994,0,0,-1*$I$5,-1*$Z$1),OFFSET(E994,0,0,-1*$I$5,1),F995:S995,0)</f>
        <v>23.023756203083305</v>
      </c>
      <c r="U995" s="7" cm="1">
        <f t="array" aca="1" ref="U995" ca="1">z_score_diff(OFFSET(T995,0,0,$I$5*-1,1),OFFSET(E995,0,0,$I$5*-1,1))</f>
        <v>-5.965803015513671E-2</v>
      </c>
      <c r="V995" s="7">
        <f t="shared" ca="1" si="1057"/>
        <v>0.24504303710413783</v>
      </c>
      <c r="W995" s="14">
        <f t="shared" ca="1" si="1052"/>
        <v>2.1568530099205455E-2</v>
      </c>
      <c r="X995" s="10">
        <f t="shared" ref="X995:Y995" ca="1" si="1086">+X994</f>
        <v>0</v>
      </c>
      <c r="Y995" s="10">
        <f t="shared" ca="1" si="1086"/>
        <v>0</v>
      </c>
      <c r="Z995">
        <f t="shared" ca="1" si="1059"/>
        <v>0</v>
      </c>
      <c r="AA995">
        <f t="shared" ca="1" si="1060"/>
        <v>1</v>
      </c>
      <c r="AB995" s="19">
        <f t="shared" ca="1" si="1061"/>
        <v>0</v>
      </c>
      <c r="AC995" s="19">
        <f t="shared" ca="1" si="1062"/>
        <v>2.1568530099205455E-2</v>
      </c>
    </row>
    <row r="996" spans="3:29" x14ac:dyDescent="0.25">
      <c r="C996" s="4">
        <v>989</v>
      </c>
      <c r="D996" s="28">
        <v>43411</v>
      </c>
      <c r="E996" s="30">
        <v>24.42</v>
      </c>
      <c r="F996" s="30">
        <v>63.086484593837525</v>
      </c>
      <c r="G996" s="30">
        <v>9.1955532212885149</v>
      </c>
      <c r="H996" s="30">
        <v>85.040266106442573</v>
      </c>
      <c r="I996" s="8">
        <v>0</v>
      </c>
      <c r="J996" s="31">
        <v>0</v>
      </c>
      <c r="K996" s="31">
        <v>0</v>
      </c>
      <c r="L996" s="31">
        <v>0</v>
      </c>
      <c r="M996" s="31">
        <v>0</v>
      </c>
      <c r="N996" s="31">
        <v>0</v>
      </c>
      <c r="O996" s="31">
        <v>0</v>
      </c>
      <c r="P996" s="31">
        <v>0</v>
      </c>
      <c r="Q996" s="31">
        <v>0</v>
      </c>
      <c r="R996" s="31">
        <v>0</v>
      </c>
      <c r="S996" s="31">
        <v>1</v>
      </c>
      <c r="T996" s="21" cm="1">
        <f t="array" aca="1" ref="T996" ca="1">+fair_value_gap(OFFSET(S995,0,0,-1*$I$5,-1*$Z$1),OFFSET(E995,0,0,-1*$I$5,1),F996:S996,0)</f>
        <v>23.114278290415356</v>
      </c>
      <c r="U996" s="7" cm="1">
        <f t="array" aca="1" ref="U996" ca="1">z_score_diff(OFFSET(T996,0,0,$I$5*-1,1),OFFSET(E996,0,0,$I$5*-1,1))</f>
        <v>-0.1989446892519785</v>
      </c>
      <c r="V996" s="7">
        <f t="shared" ca="1" si="1057"/>
        <v>0.21680874255151278</v>
      </c>
      <c r="W996" s="14">
        <f t="shared" ca="1" si="1052"/>
        <v>-2.4792945223849495E-2</v>
      </c>
      <c r="X996" s="10">
        <f t="shared" ref="X996:Y996" ca="1" si="1087">+X995</f>
        <v>0</v>
      </c>
      <c r="Y996" s="10">
        <f t="shared" ca="1" si="1087"/>
        <v>0</v>
      </c>
      <c r="Z996">
        <f t="shared" ca="1" si="1059"/>
        <v>0</v>
      </c>
      <c r="AA996">
        <f t="shared" ca="1" si="1060"/>
        <v>1</v>
      </c>
      <c r="AB996" s="19">
        <f t="shared" ca="1" si="1061"/>
        <v>0</v>
      </c>
      <c r="AC996" s="19">
        <f t="shared" ca="1" si="1062"/>
        <v>-2.4792945223849495E-2</v>
      </c>
    </row>
    <row r="997" spans="3:29" x14ac:dyDescent="0.25">
      <c r="C997" s="4">
        <v>990</v>
      </c>
      <c r="D997" s="28">
        <v>43412</v>
      </c>
      <c r="E997" s="30">
        <v>24.428999999999998</v>
      </c>
      <c r="F997" s="30">
        <v>62.180954057384263</v>
      </c>
      <c r="G997" s="30">
        <v>9.241330751628233</v>
      </c>
      <c r="H997" s="30">
        <v>84.668192219679625</v>
      </c>
      <c r="I997" s="8">
        <v>0</v>
      </c>
      <c r="J997" s="31">
        <v>0</v>
      </c>
      <c r="K997" s="31">
        <v>0</v>
      </c>
      <c r="L997" s="31">
        <v>0</v>
      </c>
      <c r="M997" s="31">
        <v>0</v>
      </c>
      <c r="N997" s="31">
        <v>0</v>
      </c>
      <c r="O997" s="31">
        <v>0</v>
      </c>
      <c r="P997" s="31">
        <v>0</v>
      </c>
      <c r="Q997" s="31">
        <v>0</v>
      </c>
      <c r="R997" s="31">
        <v>0</v>
      </c>
      <c r="S997" s="31">
        <v>1</v>
      </c>
      <c r="T997" s="21" cm="1">
        <f t="array" aca="1" ref="T997" ca="1">+fair_value_gap(OFFSET(S996,0,0,-1*$I$5,-1*$Z$1),OFFSET(E996,0,0,-1*$I$5,1),F997:S997,0)</f>
        <v>23.02522049874592</v>
      </c>
      <c r="U997" s="7" cm="1">
        <f t="array" aca="1" ref="U997" ca="1">z_score_diff(OFFSET(T997,0,0,$I$5*-1,1),OFFSET(E997,0,0,$I$5*-1,1))</f>
        <v>-0.23205964185007377</v>
      </c>
      <c r="V997" s="7">
        <f t="shared" ca="1" si="1057"/>
        <v>0.19781454942034543</v>
      </c>
      <c r="W997" s="14">
        <f t="shared" ca="1" si="1052"/>
        <v>-5.3085264642949631E-2</v>
      </c>
      <c r="X997" s="10">
        <f t="shared" ref="X997:Y997" ca="1" si="1088">+X996</f>
        <v>0</v>
      </c>
      <c r="Y997" s="10">
        <f t="shared" ca="1" si="1088"/>
        <v>0</v>
      </c>
      <c r="Z997">
        <f t="shared" ca="1" si="1059"/>
        <v>0</v>
      </c>
      <c r="AA997">
        <f t="shared" ca="1" si="1060"/>
        <v>1</v>
      </c>
      <c r="AB997" s="19">
        <f t="shared" ca="1" si="1061"/>
        <v>0</v>
      </c>
      <c r="AC997" s="19">
        <f t="shared" ca="1" si="1062"/>
        <v>-5.3085264642949631E-2</v>
      </c>
    </row>
    <row r="998" spans="3:29" x14ac:dyDescent="0.25">
      <c r="C998" s="4">
        <v>991</v>
      </c>
      <c r="D998" s="28">
        <v>43413</v>
      </c>
      <c r="E998" s="30">
        <v>24.326000000000001</v>
      </c>
      <c r="F998" s="30">
        <v>61.919887065466746</v>
      </c>
      <c r="G998" s="30">
        <v>9.2509264160931703</v>
      </c>
      <c r="H998" s="30">
        <v>84.480324686783135</v>
      </c>
      <c r="I998" s="8">
        <v>0</v>
      </c>
      <c r="J998" s="31">
        <v>0</v>
      </c>
      <c r="K998" s="31">
        <v>0</v>
      </c>
      <c r="L998" s="31">
        <v>0</v>
      </c>
      <c r="M998" s="31">
        <v>0</v>
      </c>
      <c r="N998" s="31">
        <v>0</v>
      </c>
      <c r="O998" s="31">
        <v>0</v>
      </c>
      <c r="P998" s="31">
        <v>0</v>
      </c>
      <c r="Q998" s="31">
        <v>0</v>
      </c>
      <c r="R998" s="31">
        <v>0</v>
      </c>
      <c r="S998" s="31">
        <v>1</v>
      </c>
      <c r="T998" s="21" cm="1">
        <f t="array" aca="1" ref="T998" ca="1">+fair_value_gap(OFFSET(S997,0,0,-1*$I$5,-1*$Z$1),OFFSET(E997,0,0,-1*$I$5,1),F998:S998,0)</f>
        <v>23.085568163812546</v>
      </c>
      <c r="U998" s="7" cm="1">
        <f t="array" aca="1" ref="U998" ca="1">z_score_diff(OFFSET(T998,0,0,$I$5*-1,1),OFFSET(E998,0,0,$I$5*-1,1))</f>
        <v>-0.1756582124864543</v>
      </c>
      <c r="V998" s="7">
        <f t="shared" ca="1" si="1057"/>
        <v>0.1936292352283176</v>
      </c>
      <c r="W998" s="14">
        <f t="shared" ca="1" si="1052"/>
        <v>-4.9853378198719656E-2</v>
      </c>
      <c r="X998" s="10">
        <f t="shared" ref="X998:Y998" ca="1" si="1089">+X997</f>
        <v>0</v>
      </c>
      <c r="Y998" s="10">
        <f t="shared" ca="1" si="1089"/>
        <v>0</v>
      </c>
      <c r="Z998">
        <f t="shared" ca="1" si="1059"/>
        <v>0</v>
      </c>
      <c r="AA998">
        <f t="shared" ca="1" si="1060"/>
        <v>1</v>
      </c>
      <c r="AB998" s="19">
        <f t="shared" ca="1" si="1061"/>
        <v>0</v>
      </c>
      <c r="AC998" s="19">
        <f t="shared" ca="1" si="1062"/>
        <v>-4.9853378198719656E-2</v>
      </c>
    </row>
    <row r="999" spans="3:29" x14ac:dyDescent="0.25">
      <c r="C999" s="4">
        <v>992</v>
      </c>
      <c r="D999" s="28">
        <v>43416</v>
      </c>
      <c r="E999" s="30">
        <v>25.954999999999998</v>
      </c>
      <c r="F999" s="30">
        <v>62.512258179548908</v>
      </c>
      <c r="G999" s="30">
        <v>9.3518766158509408</v>
      </c>
      <c r="H999" s="30">
        <v>85.450655255415882</v>
      </c>
      <c r="I999" s="8">
        <v>0</v>
      </c>
      <c r="J999" s="31">
        <v>0</v>
      </c>
      <c r="K999" s="31">
        <v>0</v>
      </c>
      <c r="L999" s="31">
        <v>0</v>
      </c>
      <c r="M999" s="31">
        <v>0</v>
      </c>
      <c r="N999" s="31">
        <v>0</v>
      </c>
      <c r="O999" s="31">
        <v>0</v>
      </c>
      <c r="P999" s="31">
        <v>0</v>
      </c>
      <c r="Q999" s="31">
        <v>0</v>
      </c>
      <c r="R999" s="31">
        <v>0</v>
      </c>
      <c r="S999" s="31">
        <v>1</v>
      </c>
      <c r="T999" s="21" cm="1">
        <f t="array" aca="1" ref="T999" ca="1">+fair_value_gap(OFFSET(S998,0,0,-1*$I$5,-1*$Z$1),OFFSET(E998,0,0,-1*$I$5,1),F999:S999,0)</f>
        <v>23.47997946046771</v>
      </c>
      <c r="U999" s="7" cm="1">
        <f t="array" aca="1" ref="U999" ca="1">z_score_diff(OFFSET(T999,0,0,$I$5*-1,1),OFFSET(E999,0,0,$I$5*-1,1))</f>
        <v>-0.56665513974847881</v>
      </c>
      <c r="V999" s="7">
        <f t="shared" ca="1" si="1057"/>
        <v>0.16687421916148695</v>
      </c>
      <c r="W999" s="14">
        <f t="shared" ca="1" si="1052"/>
        <v>-0.11005913724582699</v>
      </c>
      <c r="X999" s="10">
        <f t="shared" ref="X999:Y999" ca="1" si="1090">+X998</f>
        <v>0</v>
      </c>
      <c r="Y999" s="10">
        <f t="shared" ca="1" si="1090"/>
        <v>0</v>
      </c>
      <c r="Z999">
        <f t="shared" ca="1" si="1059"/>
        <v>0</v>
      </c>
      <c r="AA999">
        <f t="shared" ca="1" si="1060"/>
        <v>1</v>
      </c>
      <c r="AB999" s="19">
        <f t="shared" ca="1" si="1061"/>
        <v>0</v>
      </c>
      <c r="AC999" s="19">
        <f t="shared" ca="1" si="1062"/>
        <v>-0.11005913724582699</v>
      </c>
    </row>
    <row r="1000" spans="3:29" x14ac:dyDescent="0.25">
      <c r="C1000" s="4">
        <v>993</v>
      </c>
      <c r="D1000" s="28">
        <v>43417</v>
      </c>
      <c r="E1000" s="30">
        <v>26.518999999999998</v>
      </c>
      <c r="F1000" s="30">
        <v>57.99450792807157</v>
      </c>
      <c r="G1000" s="30">
        <v>9.2922313756754367</v>
      </c>
      <c r="H1000" s="30">
        <v>84.684205864115498</v>
      </c>
      <c r="I1000" s="8">
        <v>0</v>
      </c>
      <c r="J1000" s="31">
        <v>0</v>
      </c>
      <c r="K1000" s="31">
        <v>0</v>
      </c>
      <c r="L1000" s="31">
        <v>0</v>
      </c>
      <c r="M1000" s="31">
        <v>0</v>
      </c>
      <c r="N1000" s="31">
        <v>0</v>
      </c>
      <c r="O1000" s="31">
        <v>0</v>
      </c>
      <c r="P1000" s="31">
        <v>0</v>
      </c>
      <c r="Q1000" s="31">
        <v>0</v>
      </c>
      <c r="R1000" s="31">
        <v>0</v>
      </c>
      <c r="S1000" s="31">
        <v>1</v>
      </c>
      <c r="T1000" s="21" cm="1">
        <f t="array" aca="1" ref="T1000" ca="1">+fair_value_gap(OFFSET(S999,0,0,-1*$I$5,-1*$Z$1),OFFSET(E999,0,0,-1*$I$5,1),F1000:S1000,0)</f>
        <v>22.525506394595581</v>
      </c>
      <c r="U1000" s="7" cm="1">
        <f t="array" aca="1" ref="U1000" ca="1">z_score_diff(OFFSET(T1000,0,0,$I$5*-1,1),OFFSET(E1000,0,0,$I$5*-1,1))</f>
        <v>-1.0804765873869573</v>
      </c>
      <c r="V1000" s="7">
        <f t="shared" ca="1" si="1057"/>
        <v>0.10631458499409474</v>
      </c>
      <c r="W1000" s="14">
        <f t="shared" ca="1" si="1052"/>
        <v>-0.11572531034050074</v>
      </c>
      <c r="X1000" s="10">
        <f t="shared" ref="X1000:Y1000" ca="1" si="1091">+X999</f>
        <v>0</v>
      </c>
      <c r="Y1000" s="10">
        <f t="shared" ca="1" si="1091"/>
        <v>0</v>
      </c>
      <c r="Z1000">
        <f t="shared" ca="1" si="1059"/>
        <v>0</v>
      </c>
      <c r="AA1000">
        <f t="shared" ca="1" si="1060"/>
        <v>1</v>
      </c>
      <c r="AB1000" s="19">
        <f t="shared" ca="1" si="1061"/>
        <v>0</v>
      </c>
      <c r="AC1000" s="19">
        <f t="shared" ca="1" si="1062"/>
        <v>-0.11572531034050074</v>
      </c>
    </row>
    <row r="1001" spans="3:29" x14ac:dyDescent="0.25">
      <c r="C1001" s="4">
        <v>994</v>
      </c>
      <c r="D1001" s="28">
        <v>43418</v>
      </c>
      <c r="E1001" s="30">
        <v>26.277999999999999</v>
      </c>
      <c r="F1001" s="30">
        <v>58.471878316236293</v>
      </c>
      <c r="G1001" s="30">
        <v>9.2721966749204103</v>
      </c>
      <c r="H1001" s="30">
        <v>83.480721613017337</v>
      </c>
      <c r="I1001" s="8">
        <v>0</v>
      </c>
      <c r="J1001" s="31">
        <v>0</v>
      </c>
      <c r="K1001" s="31">
        <v>0</v>
      </c>
      <c r="L1001" s="31">
        <v>0</v>
      </c>
      <c r="M1001" s="31">
        <v>0</v>
      </c>
      <c r="N1001" s="31">
        <v>0</v>
      </c>
      <c r="O1001" s="31">
        <v>0</v>
      </c>
      <c r="P1001" s="31">
        <v>0</v>
      </c>
      <c r="Q1001" s="31">
        <v>0</v>
      </c>
      <c r="R1001" s="31">
        <v>0</v>
      </c>
      <c r="S1001" s="31">
        <v>1</v>
      </c>
      <c r="T1001" s="21" cm="1">
        <f t="array" aca="1" ref="T1001" ca="1">+fair_value_gap(OFFSET(S1000,0,0,-1*$I$5,-1*$Z$1),OFFSET(E1000,0,0,-1*$I$5,1),F1001:S1001,0)</f>
        <v>22.903157421129194</v>
      </c>
      <c r="U1001" s="7" cm="1">
        <f t="array" aca="1" ref="U1001" ca="1">z_score_diff(OFFSET(T1001,0,0,$I$5*-1,1),OFFSET(E1001,0,0,$I$5*-1,1))</f>
        <v>-0.8596801005877146</v>
      </c>
      <c r="V1001" s="7">
        <f t="shared" ca="1" si="1057"/>
        <v>5.4477297413531398E-2</v>
      </c>
      <c r="W1001" s="14">
        <f t="shared" ca="1" si="1052"/>
        <v>-9.4017158137199255E-2</v>
      </c>
      <c r="X1001" s="10">
        <f t="shared" ref="X1001:Y1001" ca="1" si="1092">+X1000</f>
        <v>0</v>
      </c>
      <c r="Y1001" s="10">
        <f t="shared" ca="1" si="1092"/>
        <v>0</v>
      </c>
      <c r="Z1001">
        <f t="shared" ca="1" si="1059"/>
        <v>0</v>
      </c>
      <c r="AA1001">
        <f t="shared" ca="1" si="1060"/>
        <v>1</v>
      </c>
      <c r="AB1001" s="19">
        <f t="shared" ca="1" si="1061"/>
        <v>0</v>
      </c>
      <c r="AC1001" s="19">
        <f t="shared" ca="1" si="1062"/>
        <v>-9.4017158137199255E-2</v>
      </c>
    </row>
    <row r="1002" spans="3:29" x14ac:dyDescent="0.25">
      <c r="C1002" s="4">
        <v>995</v>
      </c>
      <c r="D1002" s="28">
        <v>43419</v>
      </c>
      <c r="E1002" s="30">
        <v>26.677</v>
      </c>
      <c r="F1002" s="30">
        <v>58.820413208546711</v>
      </c>
      <c r="G1002" s="30">
        <v>9.2530460886455934</v>
      </c>
      <c r="H1002" s="30">
        <v>83.303902525163338</v>
      </c>
      <c r="I1002" s="8">
        <v>0</v>
      </c>
      <c r="J1002" s="31">
        <v>0</v>
      </c>
      <c r="K1002" s="31">
        <v>0</v>
      </c>
      <c r="L1002" s="31">
        <v>0</v>
      </c>
      <c r="M1002" s="31">
        <v>0</v>
      </c>
      <c r="N1002" s="31">
        <v>0</v>
      </c>
      <c r="O1002" s="31">
        <v>0</v>
      </c>
      <c r="P1002" s="31">
        <v>0</v>
      </c>
      <c r="Q1002" s="31">
        <v>0</v>
      </c>
      <c r="R1002" s="31">
        <v>0</v>
      </c>
      <c r="S1002" s="31">
        <v>1</v>
      </c>
      <c r="T1002" s="21" cm="1">
        <f t="array" aca="1" ref="T1002" ca="1">+fair_value_gap(OFFSET(S1001,0,0,-1*$I$5,-1*$Z$1),OFFSET(E1001,0,0,-1*$I$5,1),F1002:S1002,0)</f>
        <v>23.278187633846528</v>
      </c>
      <c r="U1002" s="7" cm="1">
        <f t="array" aca="1" ref="U1002" ca="1">z_score_diff(OFFSET(T1002,0,0,$I$5*-1,1),OFFSET(E1002,0,0,$I$5*-1,1))</f>
        <v>-0.84741361639394353</v>
      </c>
      <c r="V1002" s="7">
        <f t="shared" ca="1" si="1057"/>
        <v>5.6606095365344614E-3</v>
      </c>
      <c r="W1002" s="14">
        <f t="shared" ca="1" si="1052"/>
        <v>-9.6375334352426067E-2</v>
      </c>
      <c r="X1002" s="10">
        <f t="shared" ref="X1002:Y1002" ca="1" si="1093">+X1001</f>
        <v>0</v>
      </c>
      <c r="Y1002" s="10">
        <f t="shared" ca="1" si="1093"/>
        <v>0</v>
      </c>
      <c r="Z1002">
        <f t="shared" ca="1" si="1059"/>
        <v>0</v>
      </c>
      <c r="AA1002">
        <f t="shared" ca="1" si="1060"/>
        <v>1</v>
      </c>
      <c r="AB1002" s="19">
        <f t="shared" ca="1" si="1061"/>
        <v>0</v>
      </c>
      <c r="AC1002" s="19">
        <f t="shared" ca="1" si="1062"/>
        <v>-9.6375334352426067E-2</v>
      </c>
    </row>
    <row r="1003" spans="3:29" x14ac:dyDescent="0.25">
      <c r="C1003" s="4">
        <v>996</v>
      </c>
      <c r="D1003" s="28">
        <v>43420</v>
      </c>
      <c r="E1003" s="30">
        <v>25.956</v>
      </c>
      <c r="F1003" s="30">
        <v>58.469083902609924</v>
      </c>
      <c r="G1003" s="30">
        <v>9.4324750394114556</v>
      </c>
      <c r="H1003" s="30">
        <v>82.10719915922229</v>
      </c>
      <c r="I1003" s="8">
        <v>0</v>
      </c>
      <c r="J1003" s="31">
        <v>0</v>
      </c>
      <c r="K1003" s="31">
        <v>0</v>
      </c>
      <c r="L1003" s="31">
        <v>0</v>
      </c>
      <c r="M1003" s="31">
        <v>0</v>
      </c>
      <c r="N1003" s="31">
        <v>0</v>
      </c>
      <c r="O1003" s="31">
        <v>0</v>
      </c>
      <c r="P1003" s="31">
        <v>0</v>
      </c>
      <c r="Q1003" s="31">
        <v>0</v>
      </c>
      <c r="R1003" s="31">
        <v>0</v>
      </c>
      <c r="S1003" s="31">
        <v>1</v>
      </c>
      <c r="T1003" s="21" cm="1">
        <f t="array" aca="1" ref="T1003" ca="1">+fair_value_gap(OFFSET(S1002,0,0,-1*$I$5,-1*$Z$1),OFFSET(E1002,0,0,-1*$I$5,1),F1003:S1003,0)</f>
        <v>23.490749786112637</v>
      </c>
      <c r="U1003" s="7" cm="1">
        <f t="array" aca="1" ref="U1003" ca="1">z_score_diff(OFFSET(T1003,0,0,$I$5*-1,1),OFFSET(E1003,0,0,$I$5*-1,1))</f>
        <v>-0.53286969849714927</v>
      </c>
      <c r="V1003" s="7">
        <f t="shared" ca="1" si="1057"/>
        <v>-1.6498366706607877E-2</v>
      </c>
      <c r="W1003" s="14">
        <f t="shared" ca="1" si="1052"/>
        <v>-5.1788181242990623E-2</v>
      </c>
      <c r="X1003" s="10">
        <f t="shared" ref="X1003:Y1003" ca="1" si="1094">+X1002</f>
        <v>0</v>
      </c>
      <c r="Y1003" s="10">
        <f t="shared" ca="1" si="1094"/>
        <v>0</v>
      </c>
      <c r="Z1003">
        <f t="shared" ca="1" si="1059"/>
        <v>1</v>
      </c>
      <c r="AA1003">
        <f t="shared" ca="1" si="1060"/>
        <v>0</v>
      </c>
      <c r="AB1003" s="19">
        <f t="shared" ca="1" si="1061"/>
        <v>-5.1788181242990623E-2</v>
      </c>
      <c r="AC1003" s="19">
        <f t="shared" ca="1" si="1062"/>
        <v>0</v>
      </c>
    </row>
    <row r="1004" spans="3:29" x14ac:dyDescent="0.25">
      <c r="C1004" s="4">
        <v>997</v>
      </c>
      <c r="D1004" s="28">
        <v>43423</v>
      </c>
      <c r="E1004" s="30">
        <v>24.152000000000001</v>
      </c>
      <c r="F1004" s="30">
        <v>58.326783687014242</v>
      </c>
      <c r="G1004" s="30">
        <v>9.0821762291502921</v>
      </c>
      <c r="H1004" s="30">
        <v>81.477600209588672</v>
      </c>
      <c r="I1004" s="8">
        <v>0</v>
      </c>
      <c r="J1004" s="31">
        <v>0</v>
      </c>
      <c r="K1004" s="31">
        <v>0</v>
      </c>
      <c r="L1004" s="31">
        <v>0</v>
      </c>
      <c r="M1004" s="31">
        <v>0</v>
      </c>
      <c r="N1004" s="31">
        <v>0</v>
      </c>
      <c r="O1004" s="31">
        <v>0</v>
      </c>
      <c r="P1004" s="31">
        <v>0</v>
      </c>
      <c r="Q1004" s="31">
        <v>0</v>
      </c>
      <c r="R1004" s="31">
        <v>0</v>
      </c>
      <c r="S1004" s="31">
        <v>1</v>
      </c>
      <c r="T1004" s="21" cm="1">
        <f t="array" aca="1" ref="T1004" ca="1">+fair_value_gap(OFFSET(S1003,0,0,-1*$I$5,-1*$Z$1),OFFSET(E1003,0,0,-1*$I$5,1),F1004:S1004,0)</f>
        <v>23.514474841454494</v>
      </c>
      <c r="U1004" s="7" cm="1">
        <f t="array" aca="1" ref="U1004" ca="1">z_score_diff(OFFSET(T1004,0,0,$I$5*-1,1),OFFSET(E1004,0,0,$I$5*-1,1))</f>
        <v>5.8796355903439901E-2</v>
      </c>
      <c r="V1004" s="7">
        <f t="shared" ca="1" si="1057"/>
        <v>-2.6314445635495183E-2</v>
      </c>
      <c r="W1004" s="14">
        <f t="shared" ca="1" si="1052"/>
        <v>2.1666524450365196E-2</v>
      </c>
      <c r="X1004" s="10">
        <f t="shared" ref="X1004:Y1004" ca="1" si="1095">+X1003</f>
        <v>0</v>
      </c>
      <c r="Y1004" s="10">
        <f t="shared" ca="1" si="1095"/>
        <v>0</v>
      </c>
      <c r="Z1004">
        <f t="shared" ca="1" si="1059"/>
        <v>1</v>
      </c>
      <c r="AA1004">
        <f t="shared" ca="1" si="1060"/>
        <v>0</v>
      </c>
      <c r="AB1004" s="19">
        <f t="shared" ca="1" si="1061"/>
        <v>2.1666524450365196E-2</v>
      </c>
      <c r="AC1004" s="19">
        <f t="shared" ca="1" si="1062"/>
        <v>0</v>
      </c>
    </row>
    <row r="1005" spans="3:29" x14ac:dyDescent="0.25">
      <c r="C1005" s="4">
        <v>998</v>
      </c>
      <c r="D1005" s="28">
        <v>43424</v>
      </c>
      <c r="E1005" s="30">
        <v>24.352</v>
      </c>
      <c r="F1005" s="30">
        <v>54.99560246262093</v>
      </c>
      <c r="G1005" s="30">
        <v>8.9709762532981525</v>
      </c>
      <c r="H1005" s="30">
        <v>81.794195250659627</v>
      </c>
      <c r="I1005" s="8">
        <v>0</v>
      </c>
      <c r="J1005" s="31">
        <v>0</v>
      </c>
      <c r="K1005" s="31">
        <v>0</v>
      </c>
      <c r="L1005" s="31">
        <v>0</v>
      </c>
      <c r="M1005" s="31">
        <v>0</v>
      </c>
      <c r="N1005" s="31">
        <v>0</v>
      </c>
      <c r="O1005" s="31">
        <v>0</v>
      </c>
      <c r="P1005" s="31">
        <v>0</v>
      </c>
      <c r="Q1005" s="31">
        <v>0</v>
      </c>
      <c r="R1005" s="31">
        <v>0</v>
      </c>
      <c r="S1005" s="31">
        <v>1</v>
      </c>
      <c r="T1005" s="21" cm="1">
        <f t="array" aca="1" ref="T1005" ca="1">+fair_value_gap(OFFSET(S1004,0,0,-1*$I$5,-1*$Z$1),OFFSET(E1004,0,0,-1*$I$5,1),F1005:S1005,0)</f>
        <v>22.962600850864998</v>
      </c>
      <c r="U1005" s="7" cm="1">
        <f t="array" aca="1" ref="U1005" ca="1">z_score_diff(OFFSET(T1005,0,0,$I$5*-1,1),OFFSET(E1005,0,0,$I$5*-1,1))</f>
        <v>-0.20120018346268576</v>
      </c>
      <c r="V1005" s="7">
        <f t="shared" ca="1" si="1057"/>
        <v>-4.3881144294503835E-2</v>
      </c>
      <c r="W1005" s="14">
        <f t="shared" ca="1" si="1052"/>
        <v>-2.5789633282878515E-2</v>
      </c>
      <c r="X1005" s="10">
        <f t="shared" ref="X1005:Y1005" ca="1" si="1096">+X1004</f>
        <v>0</v>
      </c>
      <c r="Y1005" s="10">
        <f t="shared" ca="1" si="1096"/>
        <v>0</v>
      </c>
      <c r="Z1005">
        <f t="shared" ca="1" si="1059"/>
        <v>1</v>
      </c>
      <c r="AA1005">
        <f t="shared" ca="1" si="1060"/>
        <v>0</v>
      </c>
      <c r="AB1005" s="19">
        <f t="shared" ca="1" si="1061"/>
        <v>-2.5789633282878515E-2</v>
      </c>
      <c r="AC1005" s="19">
        <f t="shared" ca="1" si="1062"/>
        <v>0</v>
      </c>
    </row>
    <row r="1006" spans="3:29" x14ac:dyDescent="0.25">
      <c r="C1006" s="4">
        <v>999</v>
      </c>
      <c r="D1006" s="28">
        <v>43425</v>
      </c>
      <c r="E1006" s="30">
        <v>24.5</v>
      </c>
      <c r="F1006" s="30">
        <v>55.767372397434762</v>
      </c>
      <c r="G1006" s="30">
        <v>8.899235702363173</v>
      </c>
      <c r="H1006" s="30">
        <v>81.700781867697444</v>
      </c>
      <c r="I1006" s="8">
        <v>0</v>
      </c>
      <c r="J1006" s="31">
        <v>0</v>
      </c>
      <c r="K1006" s="31">
        <v>0</v>
      </c>
      <c r="L1006" s="31">
        <v>0</v>
      </c>
      <c r="M1006" s="31">
        <v>0</v>
      </c>
      <c r="N1006" s="31">
        <v>0</v>
      </c>
      <c r="O1006" s="31">
        <v>0</v>
      </c>
      <c r="P1006" s="31">
        <v>0</v>
      </c>
      <c r="Q1006" s="31">
        <v>0</v>
      </c>
      <c r="R1006" s="31">
        <v>0</v>
      </c>
      <c r="S1006" s="31">
        <v>1</v>
      </c>
      <c r="T1006" s="21" cm="1">
        <f t="array" aca="1" ref="T1006" ca="1">+fair_value_gap(OFFSET(S1005,0,0,-1*$I$5,-1*$Z$1),OFFSET(E1005,0,0,-1*$I$5,1),F1006:S1006,0)</f>
        <v>23.341963015242225</v>
      </c>
      <c r="U1006" s="7" cm="1">
        <f t="array" aca="1" ref="U1006" ca="1">z_score_diff(OFFSET(T1006,0,0,$I$5*-1,1),OFFSET(E1006,0,0,$I$5*-1,1))</f>
        <v>-0.11356313766417991</v>
      </c>
      <c r="V1006" s="7">
        <f t="shared" ca="1" si="1057"/>
        <v>-7.2508845746237865E-2</v>
      </c>
      <c r="W1006" s="14">
        <f t="shared" ca="1" si="1052"/>
        <v>-1.1907346600714099E-2</v>
      </c>
      <c r="X1006" s="10">
        <f t="shared" ref="X1006:Y1006" ca="1" si="1097">+X1005</f>
        <v>0</v>
      </c>
      <c r="Y1006" s="10">
        <f t="shared" ca="1" si="1097"/>
        <v>0</v>
      </c>
      <c r="Z1006">
        <f t="shared" ca="1" si="1059"/>
        <v>1</v>
      </c>
      <c r="AA1006">
        <f t="shared" ca="1" si="1060"/>
        <v>0</v>
      </c>
      <c r="AB1006" s="19">
        <f t="shared" ca="1" si="1061"/>
        <v>-1.1907346600714099E-2</v>
      </c>
      <c r="AC1006" s="19">
        <f t="shared" ca="1" si="1062"/>
        <v>0</v>
      </c>
    </row>
    <row r="1007" spans="3:29" x14ac:dyDescent="0.25">
      <c r="C1007" s="4">
        <v>1000</v>
      </c>
      <c r="D1007" s="28">
        <v>43426</v>
      </c>
      <c r="E1007" s="30">
        <v>24.71</v>
      </c>
      <c r="F1007" s="30">
        <v>54.878583326027879</v>
      </c>
      <c r="G1007" s="30">
        <v>8.88051196633646</v>
      </c>
      <c r="H1007" s="30">
        <v>82.011045849040059</v>
      </c>
      <c r="I1007" s="8">
        <v>0</v>
      </c>
      <c r="J1007" s="31">
        <v>0</v>
      </c>
      <c r="K1007" s="31">
        <v>0</v>
      </c>
      <c r="L1007" s="31">
        <v>0</v>
      </c>
      <c r="M1007" s="31">
        <v>0</v>
      </c>
      <c r="N1007" s="31">
        <v>0</v>
      </c>
      <c r="O1007" s="31">
        <v>0</v>
      </c>
      <c r="P1007" s="31">
        <v>0</v>
      </c>
      <c r="Q1007" s="31">
        <v>0</v>
      </c>
      <c r="R1007" s="31">
        <v>0</v>
      </c>
      <c r="S1007" s="31">
        <v>1</v>
      </c>
      <c r="T1007" s="21" cm="1">
        <f t="array" aca="1" ref="T1007" ca="1">+fair_value_gap(OFFSET(S1006,0,0,-1*$I$5,-1*$Z$1),OFFSET(E1006,0,0,-1*$I$5,1),F1007:S1007,0)</f>
        <v>23.471124593709767</v>
      </c>
      <c r="U1007" s="7" cm="1">
        <f t="array" aca="1" ref="U1007" ca="1">z_score_diff(OFFSET(T1007,0,0,$I$5*-1,1),OFFSET(E1007,0,0,$I$5*-1,1))</f>
        <v>-0.13474448206612155</v>
      </c>
      <c r="V1007" s="7">
        <f t="shared" ca="1" si="1057"/>
        <v>-0.11101060524415854</v>
      </c>
      <c r="W1007" s="14">
        <f t="shared" ca="1" si="1052"/>
        <v>-4.258345682577192E-3</v>
      </c>
      <c r="X1007" s="10">
        <f t="shared" ref="X1007:Y1007" ca="1" si="1098">+X1006</f>
        <v>0</v>
      </c>
      <c r="Y1007" s="10">
        <f t="shared" ca="1" si="1098"/>
        <v>0</v>
      </c>
      <c r="Z1007">
        <f t="shared" ca="1" si="1059"/>
        <v>1</v>
      </c>
      <c r="AA1007">
        <f t="shared" ca="1" si="1060"/>
        <v>0</v>
      </c>
      <c r="AB1007" s="19">
        <f t="shared" ca="1" si="1061"/>
        <v>-4.258345682577192E-3</v>
      </c>
      <c r="AC1007" s="19">
        <f t="shared" ca="1" si="1062"/>
        <v>0</v>
      </c>
    </row>
    <row r="1008" spans="3:29" x14ac:dyDescent="0.25">
      <c r="C1008" s="4">
        <v>1001</v>
      </c>
      <c r="D1008" s="28">
        <v>43427</v>
      </c>
      <c r="E1008" s="30">
        <v>24.818999999999999</v>
      </c>
      <c r="F1008" s="30">
        <v>51.851851851851855</v>
      </c>
      <c r="G1008" s="30">
        <v>9.1269841269841283</v>
      </c>
      <c r="H1008" s="30">
        <v>81.569664902998241</v>
      </c>
      <c r="I1008" s="8">
        <v>0</v>
      </c>
      <c r="J1008" s="31">
        <v>0</v>
      </c>
      <c r="K1008" s="31">
        <v>0</v>
      </c>
      <c r="L1008" s="31">
        <v>0</v>
      </c>
      <c r="M1008" s="31">
        <v>0</v>
      </c>
      <c r="N1008" s="31">
        <v>0</v>
      </c>
      <c r="O1008" s="31">
        <v>0</v>
      </c>
      <c r="P1008" s="31">
        <v>0</v>
      </c>
      <c r="Q1008" s="31">
        <v>0</v>
      </c>
      <c r="R1008" s="31">
        <v>0</v>
      </c>
      <c r="S1008" s="31">
        <v>1</v>
      </c>
      <c r="T1008" s="21" cm="1">
        <f t="array" aca="1" ref="T1008" ca="1">+fair_value_gap(OFFSET(S1007,0,0,-1*$I$5,-1*$Z$1),OFFSET(E1007,0,0,-1*$I$5,1),F1008:S1008,0)</f>
        <v>23.372958920149124</v>
      </c>
      <c r="U1008" s="7" cm="1">
        <f t="array" aca="1" ref="U1008" ca="1">z_score_diff(OFFSET(T1008,0,0,$I$5*-1,1),OFFSET(E1008,0,0,$I$5*-1,1))</f>
        <v>-0.20477995528354254</v>
      </c>
      <c r="V1008" s="7">
        <f t="shared" ca="1" si="1057"/>
        <v>-0.16339093528222293</v>
      </c>
      <c r="W1008" s="14">
        <f t="shared" ca="1" si="1052"/>
        <v>3.2583145945062845E-3</v>
      </c>
      <c r="X1008" s="10">
        <f t="shared" ref="X1008:Y1008" ca="1" si="1099">+X1007</f>
        <v>0</v>
      </c>
      <c r="Y1008" s="10">
        <f t="shared" ca="1" si="1099"/>
        <v>0</v>
      </c>
      <c r="Z1008">
        <f t="shared" ca="1" si="1059"/>
        <v>1</v>
      </c>
      <c r="AA1008">
        <f t="shared" ca="1" si="1060"/>
        <v>0</v>
      </c>
      <c r="AB1008" s="19">
        <f t="shared" ca="1" si="1061"/>
        <v>3.2583145945062845E-3</v>
      </c>
      <c r="AC1008" s="19">
        <f t="shared" ca="1" si="1062"/>
        <v>0</v>
      </c>
    </row>
    <row r="1009" spans="3:29" x14ac:dyDescent="0.25">
      <c r="C1009" s="4">
        <v>1002</v>
      </c>
      <c r="D1009" s="28">
        <v>43430</v>
      </c>
      <c r="E1009" s="30">
        <v>24.542999999999999</v>
      </c>
      <c r="F1009" s="30">
        <v>53.399258343634109</v>
      </c>
      <c r="G1009" s="30">
        <v>8.9749249514391654</v>
      </c>
      <c r="H1009" s="30">
        <v>81.670492671728766</v>
      </c>
      <c r="I1009" s="8">
        <v>0</v>
      </c>
      <c r="J1009" s="31">
        <v>0</v>
      </c>
      <c r="K1009" s="31">
        <v>0</v>
      </c>
      <c r="L1009" s="31">
        <v>0</v>
      </c>
      <c r="M1009" s="31">
        <v>0</v>
      </c>
      <c r="N1009" s="31">
        <v>0</v>
      </c>
      <c r="O1009" s="31">
        <v>0</v>
      </c>
      <c r="P1009" s="31">
        <v>0</v>
      </c>
      <c r="Q1009" s="31">
        <v>0</v>
      </c>
      <c r="R1009" s="31">
        <v>0</v>
      </c>
      <c r="S1009" s="31">
        <v>1</v>
      </c>
      <c r="T1009" s="21" cm="1">
        <f t="array" aca="1" ref="T1009" ca="1">+fair_value_gap(OFFSET(S1008,0,0,-1*$I$5,-1*$Z$1),OFFSET(E1008,0,0,-1*$I$5,1),F1009:S1009,0)</f>
        <v>23.70395752767724</v>
      </c>
      <c r="U1009" s="7" cm="1">
        <f t="array" aca="1" ref="U1009" ca="1">z_score_diff(OFFSET(T1009,0,0,$I$5*-1,1),OFFSET(E1009,0,0,$I$5*-1,1))</f>
        <v>5.499384752470915E-4</v>
      </c>
      <c r="V1009" s="7">
        <f t="shared" ca="1" si="1057"/>
        <v>-0.1974960437910383</v>
      </c>
      <c r="W1009" s="14">
        <f t="shared" ca="1" si="1052"/>
        <v>-1.2133782809263877E-2</v>
      </c>
      <c r="X1009" s="10">
        <f t="shared" ref="X1009:Y1009" ca="1" si="1100">+X1008</f>
        <v>0</v>
      </c>
      <c r="Y1009" s="10">
        <f t="shared" ca="1" si="1100"/>
        <v>0</v>
      </c>
      <c r="Z1009">
        <f t="shared" ca="1" si="1059"/>
        <v>1</v>
      </c>
      <c r="AA1009">
        <f t="shared" ca="1" si="1060"/>
        <v>0</v>
      </c>
      <c r="AB1009" s="19">
        <f t="shared" ca="1" si="1061"/>
        <v>-1.2133782809263877E-2</v>
      </c>
      <c r="AC1009" s="19">
        <f t="shared" ca="1" si="1062"/>
        <v>0</v>
      </c>
    </row>
    <row r="1010" spans="3:29" x14ac:dyDescent="0.25">
      <c r="C1010" s="4">
        <v>1003</v>
      </c>
      <c r="D1010" s="28">
        <v>43431</v>
      </c>
      <c r="E1010" s="30">
        <v>25.158999999999999</v>
      </c>
      <c r="F1010" s="30">
        <v>53.339829907866758</v>
      </c>
      <c r="G1010" s="30">
        <v>8.8412473423104192</v>
      </c>
      <c r="H1010" s="30">
        <v>82.52126151665486</v>
      </c>
      <c r="I1010" s="8">
        <v>0</v>
      </c>
      <c r="J1010" s="31">
        <v>0</v>
      </c>
      <c r="K1010" s="31">
        <v>0</v>
      </c>
      <c r="L1010" s="31">
        <v>0</v>
      </c>
      <c r="M1010" s="31">
        <v>0</v>
      </c>
      <c r="N1010" s="31">
        <v>0</v>
      </c>
      <c r="O1010" s="31">
        <v>0</v>
      </c>
      <c r="P1010" s="31">
        <v>0</v>
      </c>
      <c r="Q1010" s="31">
        <v>0</v>
      </c>
      <c r="R1010" s="31">
        <v>0</v>
      </c>
      <c r="S1010" s="31">
        <v>1</v>
      </c>
      <c r="T1010" s="21" cm="1">
        <f t="array" aca="1" ref="T1010" ca="1">+fair_value_gap(OFFSET(S1009,0,0,-1*$I$5,-1*$Z$1),OFFSET(E1009,0,0,-1*$I$5,1),F1010:S1010,0)</f>
        <v>23.808335286085274</v>
      </c>
      <c r="U1010" s="7" cm="1">
        <f t="array" aca="1" ref="U1010" ca="1">z_score_diff(OFFSET(T1010,0,0,$I$5*-1,1),OFFSET(E1010,0,0,$I$5*-1,1))</f>
        <v>-0.16069095331288685</v>
      </c>
      <c r="V1010" s="7">
        <f t="shared" ca="1" si="1057"/>
        <v>-0.24558734770226001</v>
      </c>
      <c r="W1010" s="14">
        <f t="shared" ca="1" si="1052"/>
        <v>-7.5904323932088819E-2</v>
      </c>
      <c r="X1010" s="10">
        <f t="shared" ref="X1010:Y1010" ca="1" si="1101">+X1009</f>
        <v>0</v>
      </c>
      <c r="Y1010" s="10">
        <f t="shared" ca="1" si="1101"/>
        <v>0</v>
      </c>
      <c r="Z1010">
        <f t="shared" ca="1" si="1059"/>
        <v>1</v>
      </c>
      <c r="AA1010">
        <f t="shared" ca="1" si="1060"/>
        <v>0</v>
      </c>
      <c r="AB1010" s="19">
        <f t="shared" ca="1" si="1061"/>
        <v>-7.5904323932088819E-2</v>
      </c>
      <c r="AC1010" s="19">
        <f t="shared" ca="1" si="1062"/>
        <v>0</v>
      </c>
    </row>
    <row r="1011" spans="3:29" x14ac:dyDescent="0.25">
      <c r="C1011" s="4">
        <v>1004</v>
      </c>
      <c r="D1011" s="28">
        <v>43432</v>
      </c>
      <c r="E1011" s="30">
        <v>24.302</v>
      </c>
      <c r="F1011" s="30">
        <v>51.698046806264294</v>
      </c>
      <c r="G1011" s="30">
        <v>8.7013901108569414</v>
      </c>
      <c r="H1011" s="30">
        <v>81.954953369699098</v>
      </c>
      <c r="I1011" s="8">
        <v>0</v>
      </c>
      <c r="J1011" s="31">
        <v>0</v>
      </c>
      <c r="K1011" s="31">
        <v>0</v>
      </c>
      <c r="L1011" s="31">
        <v>0</v>
      </c>
      <c r="M1011" s="31">
        <v>0</v>
      </c>
      <c r="N1011" s="31">
        <v>0</v>
      </c>
      <c r="O1011" s="31">
        <v>0</v>
      </c>
      <c r="P1011" s="31">
        <v>0</v>
      </c>
      <c r="Q1011" s="31">
        <v>0</v>
      </c>
      <c r="R1011" s="31">
        <v>0</v>
      </c>
      <c r="S1011" s="31">
        <v>1</v>
      </c>
      <c r="T1011" s="21" cm="1">
        <f t="array" aca="1" ref="T1011" ca="1">+fair_value_gap(OFFSET(S1010,0,0,-1*$I$5,-1*$Z$1),OFFSET(E1010,0,0,-1*$I$5,1),F1011:S1011,0)</f>
        <v>23.583379303238928</v>
      </c>
      <c r="U1011" s="7" cm="1">
        <f t="array" aca="1" ref="U1011" ca="1">z_score_diff(OFFSET(T1011,0,0,$I$5*-1,1),OFFSET(E1011,0,0,$I$5*-1,1))</f>
        <v>3.2970018328096762E-2</v>
      </c>
      <c r="V1011" s="7">
        <f t="shared" ca="1" si="1057"/>
        <v>-0.27304539405122619</v>
      </c>
      <c r="W1011" s="14">
        <f t="shared" ca="1" si="1052"/>
        <v>-6.3359615190123356E-2</v>
      </c>
      <c r="X1011" s="10">
        <f t="shared" ref="X1011:Y1011" ca="1" si="1102">+X1010</f>
        <v>0</v>
      </c>
      <c r="Y1011" s="10">
        <f t="shared" ca="1" si="1102"/>
        <v>0</v>
      </c>
      <c r="Z1011">
        <f t="shared" ca="1" si="1059"/>
        <v>1</v>
      </c>
      <c r="AA1011">
        <f t="shared" ca="1" si="1060"/>
        <v>0</v>
      </c>
      <c r="AB1011" s="19">
        <f t="shared" ca="1" si="1061"/>
        <v>-6.3359615190123356E-2</v>
      </c>
      <c r="AC1011" s="19">
        <f t="shared" ca="1" si="1062"/>
        <v>0</v>
      </c>
    </row>
    <row r="1012" spans="3:29" x14ac:dyDescent="0.25">
      <c r="C1012" s="4">
        <v>1005</v>
      </c>
      <c r="D1012" s="28">
        <v>43433</v>
      </c>
      <c r="E1012" s="30">
        <v>24.632999999999999</v>
      </c>
      <c r="F1012" s="30">
        <v>52.24299885874813</v>
      </c>
      <c r="G1012" s="30">
        <v>8.6779036081116665</v>
      </c>
      <c r="H1012" s="30">
        <v>81.775085593889912</v>
      </c>
      <c r="I1012" s="8">
        <v>0</v>
      </c>
      <c r="J1012" s="31">
        <v>0</v>
      </c>
      <c r="K1012" s="31">
        <v>0</v>
      </c>
      <c r="L1012" s="31">
        <v>0</v>
      </c>
      <c r="M1012" s="31">
        <v>0</v>
      </c>
      <c r="N1012" s="31">
        <v>0</v>
      </c>
      <c r="O1012" s="31">
        <v>0</v>
      </c>
      <c r="P1012" s="31">
        <v>0</v>
      </c>
      <c r="Q1012" s="31">
        <v>0</v>
      </c>
      <c r="R1012" s="31">
        <v>0</v>
      </c>
      <c r="S1012" s="31">
        <v>1</v>
      </c>
      <c r="T1012" s="21" cm="1">
        <f t="array" aca="1" ref="T1012" ca="1">+fair_value_gap(OFFSET(S1011,0,0,-1*$I$5,-1*$Z$1),OFFSET(E1011,0,0,-1*$I$5,1),F1012:S1012,0)</f>
        <v>23.664353578093582</v>
      </c>
      <c r="U1012" s="7" cm="1">
        <f t="array" aca="1" ref="U1012" ca="1">z_score_diff(OFFSET(T1012,0,0,$I$5*-1,1),OFFSET(E1012,0,0,$I$5*-1,1))</f>
        <v>-4.5371797469206943E-2</v>
      </c>
      <c r="V1012" s="7">
        <f t="shared" ca="1" si="1057"/>
        <v>-0.27165417522069613</v>
      </c>
      <c r="W1012" s="14">
        <f t="shared" ca="1" si="1052"/>
        <v>-0.11386307074805278</v>
      </c>
      <c r="X1012" s="10">
        <f t="shared" ref="X1012:Y1012" ca="1" si="1103">+X1011</f>
        <v>0</v>
      </c>
      <c r="Y1012" s="10">
        <f t="shared" ca="1" si="1103"/>
        <v>0</v>
      </c>
      <c r="Z1012">
        <f t="shared" ca="1" si="1059"/>
        <v>1</v>
      </c>
      <c r="AA1012">
        <f t="shared" ca="1" si="1060"/>
        <v>0</v>
      </c>
      <c r="AB1012" s="19">
        <f t="shared" ca="1" si="1061"/>
        <v>-0.11386307074805278</v>
      </c>
      <c r="AC1012" s="19">
        <f t="shared" ca="1" si="1062"/>
        <v>0</v>
      </c>
    </row>
    <row r="1013" spans="3:29" x14ac:dyDescent="0.25">
      <c r="C1013" s="4">
        <v>1006</v>
      </c>
      <c r="D1013" s="28">
        <v>43434</v>
      </c>
      <c r="E1013" s="30">
        <v>24.690999999999999</v>
      </c>
      <c r="F1013" s="30">
        <v>51.886875828546181</v>
      </c>
      <c r="G1013" s="30">
        <v>8.66548828988069</v>
      </c>
      <c r="H1013" s="30">
        <v>82.589482987185164</v>
      </c>
      <c r="I1013" s="8">
        <v>0</v>
      </c>
      <c r="J1013" s="31">
        <v>0</v>
      </c>
      <c r="K1013" s="31">
        <v>0</v>
      </c>
      <c r="L1013" s="31">
        <v>0</v>
      </c>
      <c r="M1013" s="31">
        <v>0</v>
      </c>
      <c r="N1013" s="31">
        <v>0</v>
      </c>
      <c r="O1013" s="31">
        <v>0</v>
      </c>
      <c r="P1013" s="31">
        <v>0</v>
      </c>
      <c r="Q1013" s="31">
        <v>0</v>
      </c>
      <c r="R1013" s="31">
        <v>0</v>
      </c>
      <c r="S1013" s="31">
        <v>1</v>
      </c>
      <c r="T1013" s="21" cm="1">
        <f t="array" aca="1" ref="T1013" ca="1">+fair_value_gap(OFFSET(S1012,0,0,-1*$I$5,-1*$Z$1),OFFSET(E1012,0,0,-1*$I$5,1),F1013:S1013,0)</f>
        <v>23.779758486691968</v>
      </c>
      <c r="U1013" s="7" cm="1">
        <f t="array" aca="1" ref="U1013" ca="1">z_score_diff(OFFSET(T1013,0,0,$I$5*-1,1),OFFSET(E1013,0,0,$I$5*-1,1))</f>
        <v>-2.3263520169522156E-2</v>
      </c>
      <c r="V1013" s="7">
        <f t="shared" ca="1" si="1057"/>
        <v>-0.26492645802274761</v>
      </c>
      <c r="W1013" s="14">
        <f t="shared" ca="1" si="1052"/>
        <v>-9.4124216130662047E-2</v>
      </c>
      <c r="X1013" s="10">
        <f t="shared" ref="X1013:Y1013" ca="1" si="1104">+X1012</f>
        <v>0</v>
      </c>
      <c r="Y1013" s="10">
        <f t="shared" ca="1" si="1104"/>
        <v>0</v>
      </c>
      <c r="Z1013">
        <f t="shared" ca="1" si="1059"/>
        <v>1</v>
      </c>
      <c r="AA1013">
        <f t="shared" ca="1" si="1060"/>
        <v>0</v>
      </c>
      <c r="AB1013" s="19">
        <f t="shared" ca="1" si="1061"/>
        <v>-9.4124216130662047E-2</v>
      </c>
      <c r="AC1013" s="19">
        <f t="shared" ca="1" si="1062"/>
        <v>0</v>
      </c>
    </row>
    <row r="1014" spans="3:29" x14ac:dyDescent="0.25">
      <c r="C1014" s="4">
        <v>1007</v>
      </c>
      <c r="D1014" s="28">
        <v>43437</v>
      </c>
      <c r="E1014" s="30">
        <v>25.082999999999998</v>
      </c>
      <c r="F1014" s="30">
        <v>54.342847075405217</v>
      </c>
      <c r="G1014" s="30">
        <v>8.6372445384073284</v>
      </c>
      <c r="H1014" s="30">
        <v>83.025017618040877</v>
      </c>
      <c r="I1014" s="8">
        <v>0</v>
      </c>
      <c r="J1014" s="31">
        <v>0</v>
      </c>
      <c r="K1014" s="31">
        <v>0</v>
      </c>
      <c r="L1014" s="31">
        <v>0</v>
      </c>
      <c r="M1014" s="31">
        <v>0</v>
      </c>
      <c r="N1014" s="31">
        <v>0</v>
      </c>
      <c r="O1014" s="31">
        <v>0</v>
      </c>
      <c r="P1014" s="31">
        <v>0</v>
      </c>
      <c r="Q1014" s="31">
        <v>0</v>
      </c>
      <c r="R1014" s="31">
        <v>0</v>
      </c>
      <c r="S1014" s="31">
        <v>0</v>
      </c>
      <c r="T1014" s="21" cm="1">
        <f t="array" aca="1" ref="T1014" ca="1">+fair_value_gap(OFFSET(S1013,0,0,-1*$I$5,-1*$Z$1),OFFSET(E1013,0,0,-1*$I$5,1),F1014:S1014,0)</f>
        <v>20.483204915232267</v>
      </c>
      <c r="U1014" s="7" cm="1">
        <f t="array" aca="1" ref="U1014" ca="1">z_score_diff(OFFSET(T1014,0,0,$I$5*-1,1),OFFSET(E1014,0,0,$I$5*-1,1))</f>
        <v>-1.3189944997119052</v>
      </c>
      <c r="V1014" s="7">
        <f t="shared" ca="1" si="1057"/>
        <v>-0.33318539663955765</v>
      </c>
      <c r="W1014" s="14">
        <f t="shared" ca="1" si="1052"/>
        <v>-0.11957869065494338</v>
      </c>
      <c r="X1014" s="10">
        <f t="shared" ref="X1014:Y1014" ca="1" si="1105">+X1013</f>
        <v>0</v>
      </c>
      <c r="Y1014" s="10">
        <f t="shared" ca="1" si="1105"/>
        <v>0</v>
      </c>
      <c r="Z1014">
        <f t="shared" ca="1" si="1059"/>
        <v>1</v>
      </c>
      <c r="AA1014">
        <f t="shared" ca="1" si="1060"/>
        <v>0</v>
      </c>
      <c r="AB1014" s="19">
        <f t="shared" ca="1" si="1061"/>
        <v>-0.11957869065494338</v>
      </c>
      <c r="AC1014" s="19">
        <f t="shared" ca="1" si="1062"/>
        <v>0</v>
      </c>
    </row>
    <row r="1015" spans="3:29" x14ac:dyDescent="0.25">
      <c r="C1015" s="4">
        <v>1008</v>
      </c>
      <c r="D1015" s="28">
        <v>43438</v>
      </c>
      <c r="E1015" s="30">
        <v>24.417000000000002</v>
      </c>
      <c r="F1015" s="30">
        <v>54.724964739069108</v>
      </c>
      <c r="G1015" s="30">
        <v>8.5948519040902678</v>
      </c>
      <c r="H1015" s="30">
        <v>83.612482369534547</v>
      </c>
      <c r="I1015" s="8">
        <v>0</v>
      </c>
      <c r="J1015" s="31">
        <v>0</v>
      </c>
      <c r="K1015" s="31">
        <v>0</v>
      </c>
      <c r="L1015" s="31">
        <v>0</v>
      </c>
      <c r="M1015" s="31">
        <v>0</v>
      </c>
      <c r="N1015" s="31">
        <v>0</v>
      </c>
      <c r="O1015" s="31">
        <v>0</v>
      </c>
      <c r="P1015" s="31">
        <v>0</v>
      </c>
      <c r="Q1015" s="31">
        <v>0</v>
      </c>
      <c r="R1015" s="31">
        <v>0</v>
      </c>
      <c r="S1015" s="31">
        <v>0</v>
      </c>
      <c r="T1015" s="21" cm="1">
        <f t="array" aca="1" ref="T1015" ca="1">+fair_value_gap(OFFSET(S1014,0,0,-1*$I$5,-1*$Z$1),OFFSET(E1014,0,0,-1*$I$5,1),F1015:S1015,0)</f>
        <v>20.924859599020344</v>
      </c>
      <c r="U1015" s="7" cm="1">
        <f t="array" aca="1" ref="U1015" ca="1">z_score_diff(OFFSET(T1015,0,0,$I$5*-1,1),OFFSET(E1015,0,0,$I$5*-1,1))</f>
        <v>-0.94491779922731256</v>
      </c>
      <c r="V1015" s="7">
        <f t="shared" ca="1" si="1057"/>
        <v>-0.37744838509316647</v>
      </c>
      <c r="W1015" s="14">
        <f t="shared" ca="1" si="1052"/>
        <v>-6.2833514143201083E-2</v>
      </c>
      <c r="X1015" s="10">
        <f t="shared" ref="X1015:Y1015" ca="1" si="1106">+X1014</f>
        <v>0</v>
      </c>
      <c r="Y1015" s="10">
        <f t="shared" ca="1" si="1106"/>
        <v>0</v>
      </c>
      <c r="Z1015">
        <f t="shared" ca="1" si="1059"/>
        <v>1</v>
      </c>
      <c r="AA1015">
        <f t="shared" ca="1" si="1060"/>
        <v>0</v>
      </c>
      <c r="AB1015" s="19">
        <f t="shared" ca="1" si="1061"/>
        <v>-6.2833514143201083E-2</v>
      </c>
      <c r="AC1015" s="19">
        <f t="shared" ca="1" si="1062"/>
        <v>0</v>
      </c>
    </row>
    <row r="1016" spans="3:29" x14ac:dyDescent="0.25">
      <c r="C1016" s="4">
        <v>1009</v>
      </c>
      <c r="D1016" s="28">
        <v>43439</v>
      </c>
      <c r="E1016" s="30">
        <v>23.821999999999999</v>
      </c>
      <c r="F1016" s="30">
        <v>54.266572637517626</v>
      </c>
      <c r="G1016" s="30">
        <v>8.5243300423131156</v>
      </c>
      <c r="H1016" s="30">
        <v>83.52433004231311</v>
      </c>
      <c r="I1016" s="8">
        <v>0</v>
      </c>
      <c r="J1016" s="31">
        <v>0</v>
      </c>
      <c r="K1016" s="31">
        <v>0</v>
      </c>
      <c r="L1016" s="31">
        <v>0</v>
      </c>
      <c r="M1016" s="31">
        <v>0</v>
      </c>
      <c r="N1016" s="31">
        <v>0</v>
      </c>
      <c r="O1016" s="31">
        <v>0</v>
      </c>
      <c r="P1016" s="31">
        <v>0</v>
      </c>
      <c r="Q1016" s="31">
        <v>0</v>
      </c>
      <c r="R1016" s="31">
        <v>0</v>
      </c>
      <c r="S1016" s="31">
        <v>0</v>
      </c>
      <c r="T1016" s="21" cm="1">
        <f t="array" aca="1" ref="T1016" ca="1">+fair_value_gap(OFFSET(S1015,0,0,-1*$I$5,-1*$Z$1),OFFSET(E1015,0,0,-1*$I$5,1),F1016:S1016,0)</f>
        <v>21.046117526494466</v>
      </c>
      <c r="U1016" s="7" cm="1">
        <f t="array" aca="1" ref="U1016" ca="1">z_score_diff(OFFSET(T1016,0,0,$I$5*-1,1),OFFSET(E1016,0,0,$I$5*-1,1))</f>
        <v>-0.70851559560253285</v>
      </c>
      <c r="V1016" s="7">
        <f t="shared" ca="1" si="1057"/>
        <v>-0.40292693041069416</v>
      </c>
      <c r="W1016" s="14">
        <f t="shared" ca="1" si="1052"/>
        <v>-0.10111576634266464</v>
      </c>
      <c r="X1016" s="10">
        <f t="shared" ref="X1016:Y1016" ca="1" si="1107">+X1015</f>
        <v>0</v>
      </c>
      <c r="Y1016" s="10">
        <f t="shared" ca="1" si="1107"/>
        <v>0</v>
      </c>
      <c r="Z1016">
        <f t="shared" ca="1" si="1059"/>
        <v>1</v>
      </c>
      <c r="AA1016">
        <f t="shared" ca="1" si="1060"/>
        <v>0</v>
      </c>
      <c r="AB1016" s="19">
        <f t="shared" ca="1" si="1061"/>
        <v>-0.10111576634266464</v>
      </c>
      <c r="AC1016" s="19">
        <f t="shared" ca="1" si="1062"/>
        <v>0</v>
      </c>
    </row>
    <row r="1017" spans="3:29" x14ac:dyDescent="0.25">
      <c r="C1017" s="4">
        <v>1010</v>
      </c>
      <c r="D1017" s="28">
        <v>43440</v>
      </c>
      <c r="E1017" s="30">
        <v>23.166</v>
      </c>
      <c r="F1017" s="30">
        <v>52.804642166344294</v>
      </c>
      <c r="G1017" s="30">
        <v>8.3831545630385094</v>
      </c>
      <c r="H1017" s="30">
        <v>83.347986636187798</v>
      </c>
      <c r="I1017" s="8">
        <v>0</v>
      </c>
      <c r="J1017" s="31">
        <v>0</v>
      </c>
      <c r="K1017" s="31">
        <v>0</v>
      </c>
      <c r="L1017" s="31">
        <v>0</v>
      </c>
      <c r="M1017" s="31">
        <v>0</v>
      </c>
      <c r="N1017" s="31">
        <v>0</v>
      </c>
      <c r="O1017" s="31">
        <v>0</v>
      </c>
      <c r="P1017" s="31">
        <v>0</v>
      </c>
      <c r="Q1017" s="31">
        <v>0</v>
      </c>
      <c r="R1017" s="31">
        <v>0</v>
      </c>
      <c r="S1017" s="31">
        <v>0</v>
      </c>
      <c r="T1017" s="21" cm="1">
        <f t="array" aca="1" ref="T1017" ca="1">+fair_value_gap(OFFSET(S1016,0,0,-1*$I$5,-1*$Z$1),OFFSET(E1016,0,0,-1*$I$5,1),F1017:S1017,0)</f>
        <v>21.049897369602348</v>
      </c>
      <c r="U1017" s="7" cm="1">
        <f t="array" aca="1" ref="U1017" ca="1">z_score_diff(OFFSET(T1017,0,0,$I$5*-1,1),OFFSET(E1017,0,0,$I$5*-1,1))</f>
        <v>-0.49590073885284192</v>
      </c>
      <c r="V1017" s="7">
        <f t="shared" ca="1" si="1057"/>
        <v>-0.41611898526083263</v>
      </c>
      <c r="W1017" s="14">
        <f t="shared" ca="1" si="1052"/>
        <v>-4.747013447121326E-2</v>
      </c>
      <c r="X1017" s="10">
        <f t="shared" ref="X1017:Y1017" ca="1" si="1108">+X1016</f>
        <v>0</v>
      </c>
      <c r="Y1017" s="10">
        <f t="shared" ca="1" si="1108"/>
        <v>0</v>
      </c>
      <c r="Z1017">
        <f t="shared" ca="1" si="1059"/>
        <v>1</v>
      </c>
      <c r="AA1017">
        <f t="shared" ca="1" si="1060"/>
        <v>0</v>
      </c>
      <c r="AB1017" s="19">
        <f t="shared" ca="1" si="1061"/>
        <v>-4.747013447121326E-2</v>
      </c>
      <c r="AC1017" s="19">
        <f t="shared" ca="1" si="1062"/>
        <v>0</v>
      </c>
    </row>
    <row r="1018" spans="3:29" x14ac:dyDescent="0.25">
      <c r="C1018" s="4">
        <v>1011</v>
      </c>
      <c r="D1018" s="28">
        <v>43441</v>
      </c>
      <c r="E1018" s="30">
        <v>23.143000000000001</v>
      </c>
      <c r="F1018" s="30">
        <v>54.2106188466948</v>
      </c>
      <c r="G1018" s="30">
        <v>8.3684950773558366</v>
      </c>
      <c r="H1018" s="30">
        <v>83.289381153305214</v>
      </c>
      <c r="I1018" s="8">
        <v>0</v>
      </c>
      <c r="J1018" s="31">
        <v>0</v>
      </c>
      <c r="K1018" s="31">
        <v>0</v>
      </c>
      <c r="L1018" s="31">
        <v>0</v>
      </c>
      <c r="M1018" s="31">
        <v>0</v>
      </c>
      <c r="N1018" s="31">
        <v>0</v>
      </c>
      <c r="O1018" s="31">
        <v>0</v>
      </c>
      <c r="P1018" s="31">
        <v>0</v>
      </c>
      <c r="Q1018" s="31">
        <v>0</v>
      </c>
      <c r="R1018" s="31">
        <v>0</v>
      </c>
      <c r="S1018" s="31">
        <v>0</v>
      </c>
      <c r="T1018" s="21" cm="1">
        <f t="array" aca="1" ref="T1018" ca="1">+fair_value_gap(OFFSET(S1017,0,0,-1*$I$5,-1*$Z$1),OFFSET(E1017,0,0,-1*$I$5,1),F1018:S1018,0)</f>
        <v>21.328286525582005</v>
      </c>
      <c r="U1018" s="7" cm="1">
        <f t="array" aca="1" ref="U1018" ca="1">z_score_diff(OFFSET(T1018,0,0,$I$5*-1,1),OFFSET(E1018,0,0,$I$5*-1,1))</f>
        <v>-0.38728645256380112</v>
      </c>
      <c r="V1018" s="7">
        <f t="shared" ca="1" si="1057"/>
        <v>-0.42670039726469994</v>
      </c>
      <c r="W1018" s="14">
        <f t="shared" ca="1" si="1052"/>
        <v>-6.3504905507341239E-2</v>
      </c>
      <c r="X1018" s="10">
        <f t="shared" ref="X1018:Y1018" ca="1" si="1109">+X1017</f>
        <v>0</v>
      </c>
      <c r="Y1018" s="10">
        <f t="shared" ca="1" si="1109"/>
        <v>0</v>
      </c>
      <c r="Z1018">
        <f t="shared" ca="1" si="1059"/>
        <v>1</v>
      </c>
      <c r="AA1018">
        <f t="shared" ca="1" si="1060"/>
        <v>0</v>
      </c>
      <c r="AB1018" s="19">
        <f t="shared" ca="1" si="1061"/>
        <v>-6.3504905507341239E-2</v>
      </c>
      <c r="AC1018" s="19">
        <f t="shared" ca="1" si="1062"/>
        <v>0</v>
      </c>
    </row>
    <row r="1019" spans="3:29" x14ac:dyDescent="0.25">
      <c r="C1019" s="4">
        <v>1012</v>
      </c>
      <c r="D1019" s="28">
        <v>43444</v>
      </c>
      <c r="E1019" s="30">
        <v>23.25</v>
      </c>
      <c r="F1019" s="30">
        <v>52.813738441215328</v>
      </c>
      <c r="G1019" s="30">
        <v>8.3663584324086315</v>
      </c>
      <c r="H1019" s="30">
        <v>83.531483927785118</v>
      </c>
      <c r="I1019" s="8">
        <v>0</v>
      </c>
      <c r="J1019" s="31">
        <v>0</v>
      </c>
      <c r="K1019" s="31">
        <v>0</v>
      </c>
      <c r="L1019" s="31">
        <v>0</v>
      </c>
      <c r="M1019" s="31">
        <v>0</v>
      </c>
      <c r="N1019" s="31">
        <v>0</v>
      </c>
      <c r="O1019" s="31">
        <v>0</v>
      </c>
      <c r="P1019" s="31">
        <v>0</v>
      </c>
      <c r="Q1019" s="31">
        <v>0</v>
      </c>
      <c r="R1019" s="31">
        <v>0</v>
      </c>
      <c r="S1019" s="31">
        <v>0</v>
      </c>
      <c r="T1019" s="21" cm="1">
        <f t="array" aca="1" ref="T1019" ca="1">+fair_value_gap(OFFSET(S1018,0,0,-1*$I$5,-1*$Z$1),OFFSET(E1018,0,0,-1*$I$5,1),F1019:S1019,0)</f>
        <v>21.393183764359428</v>
      </c>
      <c r="U1019" s="7" cm="1">
        <f t="array" aca="1" ref="U1019" ca="1">z_score_diff(OFFSET(T1019,0,0,$I$5*-1,1),OFFSET(E1019,0,0,$I$5*-1,1))</f>
        <v>-0.39486391307352109</v>
      </c>
      <c r="V1019" s="7">
        <f t="shared" ca="1" si="1057"/>
        <v>-0.418110835930952</v>
      </c>
      <c r="W1019" s="14">
        <f t="shared" ca="1" si="1052"/>
        <v>-7.0191746532561897E-2</v>
      </c>
      <c r="X1019" s="10">
        <f t="shared" ref="X1019:Y1019" ca="1" si="1110">+X1018</f>
        <v>0</v>
      </c>
      <c r="Y1019" s="10">
        <f t="shared" ca="1" si="1110"/>
        <v>0</v>
      </c>
      <c r="Z1019">
        <f t="shared" ca="1" si="1059"/>
        <v>1</v>
      </c>
      <c r="AA1019">
        <f t="shared" ca="1" si="1060"/>
        <v>0</v>
      </c>
      <c r="AB1019" s="19">
        <f t="shared" ca="1" si="1061"/>
        <v>-7.0191746532561897E-2</v>
      </c>
      <c r="AC1019" s="19">
        <f t="shared" ca="1" si="1062"/>
        <v>0</v>
      </c>
    </row>
    <row r="1020" spans="3:29" x14ac:dyDescent="0.25">
      <c r="C1020" s="4">
        <v>1013</v>
      </c>
      <c r="D1020" s="28">
        <v>43445</v>
      </c>
      <c r="E1020" s="30">
        <v>23.620999999999999</v>
      </c>
      <c r="F1020" s="30">
        <v>53.20841435389783</v>
      </c>
      <c r="G1020" s="30">
        <v>8.3922573802368738</v>
      </c>
      <c r="H1020" s="30">
        <v>84.231925048612339</v>
      </c>
      <c r="I1020" s="8">
        <v>0</v>
      </c>
      <c r="J1020" s="31">
        <v>0</v>
      </c>
      <c r="K1020" s="31">
        <v>0</v>
      </c>
      <c r="L1020" s="31">
        <v>0</v>
      </c>
      <c r="M1020" s="31">
        <v>0</v>
      </c>
      <c r="N1020" s="31">
        <v>0</v>
      </c>
      <c r="O1020" s="31">
        <v>0</v>
      </c>
      <c r="P1020" s="31">
        <v>0</v>
      </c>
      <c r="Q1020" s="31">
        <v>0</v>
      </c>
      <c r="R1020" s="31">
        <v>0</v>
      </c>
      <c r="S1020" s="31">
        <v>0</v>
      </c>
      <c r="T1020" s="21" cm="1">
        <f t="array" aca="1" ref="T1020" ca="1">+fair_value_gap(OFFSET(S1019,0,0,-1*$I$5,-1*$Z$1),OFFSET(E1019,0,0,-1*$I$5,1),F1020:S1020,0)</f>
        <v>21.791242213489181</v>
      </c>
      <c r="U1020" s="7" cm="1">
        <f t="array" aca="1" ref="U1020" ca="1">z_score_diff(OFFSET(T1020,0,0,$I$5*-1,1),OFFSET(E1020,0,0,$I$5*-1,1))</f>
        <v>-0.36752501528779219</v>
      </c>
      <c r="V1020" s="7">
        <f t="shared" ca="1" si="1057"/>
        <v>-0.38246325732599373</v>
      </c>
      <c r="W1020" s="14">
        <f t="shared" ca="1" si="1052"/>
        <v>-5.9569444407753171E-2</v>
      </c>
      <c r="X1020" s="10">
        <f t="shared" ref="X1020:Y1020" ca="1" si="1111">+X1019</f>
        <v>0</v>
      </c>
      <c r="Y1020" s="10">
        <f t="shared" ca="1" si="1111"/>
        <v>0</v>
      </c>
      <c r="Z1020">
        <f t="shared" ca="1" si="1059"/>
        <v>1</v>
      </c>
      <c r="AA1020">
        <f t="shared" ca="1" si="1060"/>
        <v>0</v>
      </c>
      <c r="AB1020" s="19">
        <f t="shared" ca="1" si="1061"/>
        <v>-5.9569444407753171E-2</v>
      </c>
      <c r="AC1020" s="19">
        <f t="shared" ca="1" si="1062"/>
        <v>0</v>
      </c>
    </row>
    <row r="1021" spans="3:29" x14ac:dyDescent="0.25">
      <c r="C1021" s="4">
        <v>1014</v>
      </c>
      <c r="D1021" s="28">
        <v>43446</v>
      </c>
      <c r="E1021" s="30">
        <v>23.92</v>
      </c>
      <c r="F1021" s="30">
        <v>52.911681914144964</v>
      </c>
      <c r="G1021" s="30">
        <v>8.3523926812104143</v>
      </c>
      <c r="H1021" s="30">
        <v>83.699859254046444</v>
      </c>
      <c r="I1021" s="8">
        <v>0</v>
      </c>
      <c r="J1021" s="31">
        <v>0</v>
      </c>
      <c r="K1021" s="31">
        <v>0</v>
      </c>
      <c r="L1021" s="31">
        <v>0</v>
      </c>
      <c r="M1021" s="31">
        <v>0</v>
      </c>
      <c r="N1021" s="31">
        <v>0</v>
      </c>
      <c r="O1021" s="31">
        <v>0</v>
      </c>
      <c r="P1021" s="31">
        <v>0</v>
      </c>
      <c r="Q1021" s="31">
        <v>0</v>
      </c>
      <c r="R1021" s="31">
        <v>0</v>
      </c>
      <c r="S1021" s="31">
        <v>0</v>
      </c>
      <c r="T1021" s="21" cm="1">
        <f t="array" aca="1" ref="T1021" ca="1">+fair_value_gap(OFFSET(S1020,0,0,-1*$I$5,-1*$Z$1),OFFSET(E1020,0,0,-1*$I$5,1),F1021:S1021,0)</f>
        <v>21.931331353283031</v>
      </c>
      <c r="U1021" s="7" cm="1">
        <f t="array" aca="1" ref="U1021" ca="1">z_score_diff(OFFSET(T1021,0,0,$I$5*-1,1),OFFSET(E1021,0,0,$I$5*-1,1))</f>
        <v>-0.40940555539359413</v>
      </c>
      <c r="V1021" s="7">
        <f t="shared" ca="1" si="1057"/>
        <v>-0.35994953006628772</v>
      </c>
      <c r="W1021" s="14">
        <f t="shared" ca="1" si="1052"/>
        <v>-9.8555406415825511E-2</v>
      </c>
      <c r="X1021" s="10">
        <f t="shared" ref="X1021:Y1021" ca="1" si="1112">+X1020</f>
        <v>0</v>
      </c>
      <c r="Y1021" s="10">
        <f t="shared" ca="1" si="1112"/>
        <v>0</v>
      </c>
      <c r="Z1021">
        <f t="shared" ca="1" si="1059"/>
        <v>1</v>
      </c>
      <c r="AA1021">
        <f t="shared" ca="1" si="1060"/>
        <v>0</v>
      </c>
      <c r="AB1021" s="19">
        <f t="shared" ca="1" si="1061"/>
        <v>-9.8555406415825511E-2</v>
      </c>
      <c r="AC1021" s="19">
        <f t="shared" ca="1" si="1062"/>
        <v>0</v>
      </c>
    </row>
    <row r="1022" spans="3:29" x14ac:dyDescent="0.25">
      <c r="C1022" s="4">
        <v>1015</v>
      </c>
      <c r="D1022" s="28">
        <v>43447</v>
      </c>
      <c r="E1022" s="30">
        <v>24.225999999999999</v>
      </c>
      <c r="F1022" s="30">
        <v>54.088548543262036</v>
      </c>
      <c r="G1022" s="30">
        <v>8.3575389490361758</v>
      </c>
      <c r="H1022" s="30">
        <v>84.191532435525033</v>
      </c>
      <c r="I1022" s="8">
        <v>0</v>
      </c>
      <c r="J1022" s="31">
        <v>0</v>
      </c>
      <c r="K1022" s="31">
        <v>0</v>
      </c>
      <c r="L1022" s="31">
        <v>0</v>
      </c>
      <c r="M1022" s="31">
        <v>0</v>
      </c>
      <c r="N1022" s="31">
        <v>0</v>
      </c>
      <c r="O1022" s="31">
        <v>0</v>
      </c>
      <c r="P1022" s="31">
        <v>0</v>
      </c>
      <c r="Q1022" s="31">
        <v>0</v>
      </c>
      <c r="R1022" s="31">
        <v>0</v>
      </c>
      <c r="S1022" s="31">
        <v>0</v>
      </c>
      <c r="T1022" s="21" cm="1">
        <f t="array" aca="1" ref="T1022" ca="1">+fair_value_gap(OFFSET(S1021,0,0,-1*$I$5,-1*$Z$1),OFFSET(E1021,0,0,-1*$I$5,1),F1022:S1022,0)</f>
        <v>22.391239539545118</v>
      </c>
      <c r="U1022" s="7" cm="1">
        <f t="array" aca="1" ref="U1022" ca="1">z_score_diff(OFFSET(T1022,0,0,$I$5*-1,1),OFFSET(E1022,0,0,$I$5*-1,1))</f>
        <v>-0.33937385151188026</v>
      </c>
      <c r="V1022" s="7">
        <f t="shared" ca="1" si="1057"/>
        <v>-0.3345475418221846</v>
      </c>
      <c r="W1022" s="14">
        <f t="shared" ca="1" si="1052"/>
        <v>-9.6429438814838273E-2</v>
      </c>
      <c r="X1022" s="10">
        <f t="shared" ref="X1022:Y1022" ca="1" si="1113">+X1021</f>
        <v>0</v>
      </c>
      <c r="Y1022" s="10">
        <f t="shared" ca="1" si="1113"/>
        <v>0</v>
      </c>
      <c r="Z1022">
        <f t="shared" ca="1" si="1059"/>
        <v>1</v>
      </c>
      <c r="AA1022">
        <f t="shared" ca="1" si="1060"/>
        <v>0</v>
      </c>
      <c r="AB1022" s="19">
        <f t="shared" ca="1" si="1061"/>
        <v>-9.6429438814838273E-2</v>
      </c>
      <c r="AC1022" s="19">
        <f t="shared" ca="1" si="1062"/>
        <v>0</v>
      </c>
    </row>
    <row r="1023" spans="3:29" x14ac:dyDescent="0.25">
      <c r="C1023" s="4">
        <v>1016</v>
      </c>
      <c r="D1023" s="28">
        <v>43448</v>
      </c>
      <c r="E1023" s="30">
        <v>24.646000000000001</v>
      </c>
      <c r="F1023" s="30">
        <v>53.312107543999289</v>
      </c>
      <c r="G1023" s="30">
        <v>8.401874944724506</v>
      </c>
      <c r="H1023" s="30">
        <v>85.301140886176711</v>
      </c>
      <c r="I1023" s="8">
        <v>0</v>
      </c>
      <c r="J1023" s="31">
        <v>0</v>
      </c>
      <c r="K1023" s="31">
        <v>0</v>
      </c>
      <c r="L1023" s="31">
        <v>0</v>
      </c>
      <c r="M1023" s="31">
        <v>0</v>
      </c>
      <c r="N1023" s="31">
        <v>0</v>
      </c>
      <c r="O1023" s="31">
        <v>0</v>
      </c>
      <c r="P1023" s="31">
        <v>0</v>
      </c>
      <c r="Q1023" s="31">
        <v>0</v>
      </c>
      <c r="R1023" s="31">
        <v>0</v>
      </c>
      <c r="S1023" s="31">
        <v>0</v>
      </c>
      <c r="T1023" s="21" cm="1">
        <f t="array" aca="1" ref="T1023" ca="1">+fair_value_gap(OFFSET(S1022,0,0,-1*$I$5,-1*$Z$1),OFFSET(E1022,0,0,-1*$I$5,1),F1023:S1023,0)</f>
        <v>22.842926094441584</v>
      </c>
      <c r="U1023" s="7" cm="1">
        <f t="array" aca="1" ref="U1023" ca="1">z_score_diff(OFFSET(T1023,0,0,$I$5*-1,1),OFFSET(E1023,0,0,$I$5*-1,1))</f>
        <v>-0.30865197817645962</v>
      </c>
      <c r="V1023" s="7">
        <f t="shared" ca="1" si="1057"/>
        <v>-0.32333665580615012</v>
      </c>
      <c r="W1023" s="14">
        <f t="shared" ca="1" si="1052"/>
        <v>-0.11334491525287679</v>
      </c>
      <c r="X1023" s="10">
        <f t="shared" ref="X1023:Y1023" ca="1" si="1114">+X1022</f>
        <v>0</v>
      </c>
      <c r="Y1023" s="10">
        <f t="shared" ca="1" si="1114"/>
        <v>0</v>
      </c>
      <c r="Z1023">
        <f t="shared" ca="1" si="1059"/>
        <v>1</v>
      </c>
      <c r="AA1023">
        <f t="shared" ca="1" si="1060"/>
        <v>0</v>
      </c>
      <c r="AB1023" s="19">
        <f t="shared" ca="1" si="1061"/>
        <v>-0.11334491525287679</v>
      </c>
      <c r="AC1023" s="19">
        <f t="shared" ca="1" si="1062"/>
        <v>0</v>
      </c>
    </row>
    <row r="1024" spans="3:29" x14ac:dyDescent="0.25">
      <c r="C1024" s="4">
        <v>1017</v>
      </c>
      <c r="D1024" s="28">
        <v>43451</v>
      </c>
      <c r="E1024" s="30">
        <v>24.681000000000001</v>
      </c>
      <c r="F1024" s="30">
        <v>52.538339502908514</v>
      </c>
      <c r="G1024" s="30">
        <v>8.4611316763617133</v>
      </c>
      <c r="H1024" s="30">
        <v>84.875727128503428</v>
      </c>
      <c r="I1024" s="8">
        <v>0</v>
      </c>
      <c r="J1024" s="31">
        <v>0</v>
      </c>
      <c r="K1024" s="31">
        <v>0</v>
      </c>
      <c r="L1024" s="31">
        <v>0</v>
      </c>
      <c r="M1024" s="31">
        <v>0</v>
      </c>
      <c r="N1024" s="31">
        <v>0</v>
      </c>
      <c r="O1024" s="31">
        <v>0</v>
      </c>
      <c r="P1024" s="31">
        <v>0</v>
      </c>
      <c r="Q1024" s="31">
        <v>0</v>
      </c>
      <c r="R1024" s="31">
        <v>0</v>
      </c>
      <c r="S1024" s="31">
        <v>0</v>
      </c>
      <c r="T1024" s="21" cm="1">
        <f t="array" aca="1" ref="T1024" ca="1">+fair_value_gap(OFFSET(S1023,0,0,-1*$I$5,-1*$Z$1),OFFSET(E1023,0,0,-1*$I$5,1),F1024:S1024,0)</f>
        <v>23.066566380532301</v>
      </c>
      <c r="U1024" s="7" cm="1">
        <f t="array" aca="1" ref="U1024" ca="1">z_score_diff(OFFSET(T1024,0,0,$I$5*-1,1),OFFSET(E1024,0,0,$I$5*-1,1))</f>
        <v>-0.2366959676106104</v>
      </c>
      <c r="V1024" s="7">
        <f t="shared" ca="1" si="1057"/>
        <v>-0.3381112719818527</v>
      </c>
      <c r="W1024" s="14">
        <f t="shared" ca="1" si="1052"/>
        <v>-7.0800404523354482E-2</v>
      </c>
      <c r="X1024" s="10">
        <f t="shared" ref="X1024:Y1024" ca="1" si="1115">+X1023</f>
        <v>0</v>
      </c>
      <c r="Y1024" s="10">
        <f t="shared" ca="1" si="1115"/>
        <v>0</v>
      </c>
      <c r="Z1024">
        <f t="shared" ca="1" si="1059"/>
        <v>1</v>
      </c>
      <c r="AA1024">
        <f t="shared" ca="1" si="1060"/>
        <v>0</v>
      </c>
      <c r="AB1024" s="19">
        <f t="shared" ca="1" si="1061"/>
        <v>-7.0800404523354482E-2</v>
      </c>
      <c r="AC1024" s="19">
        <f t="shared" ca="1" si="1062"/>
        <v>0</v>
      </c>
    </row>
    <row r="1025" spans="3:29" x14ac:dyDescent="0.25">
      <c r="C1025" s="4">
        <v>1018</v>
      </c>
      <c r="D1025" s="28">
        <v>43452</v>
      </c>
      <c r="E1025" s="30">
        <v>23.731999999999999</v>
      </c>
      <c r="F1025" s="30">
        <v>49.520288706980011</v>
      </c>
      <c r="G1025" s="30">
        <v>8.1462899392659089</v>
      </c>
      <c r="H1025" s="30">
        <v>84.719654959950702</v>
      </c>
      <c r="I1025" s="8">
        <v>0</v>
      </c>
      <c r="J1025" s="31">
        <v>0</v>
      </c>
      <c r="K1025" s="31">
        <v>0</v>
      </c>
      <c r="L1025" s="31">
        <v>0</v>
      </c>
      <c r="M1025" s="31">
        <v>0</v>
      </c>
      <c r="N1025" s="31">
        <v>0</v>
      </c>
      <c r="O1025" s="31">
        <v>0</v>
      </c>
      <c r="P1025" s="31">
        <v>0</v>
      </c>
      <c r="Q1025" s="31">
        <v>0</v>
      </c>
      <c r="R1025" s="31">
        <v>0</v>
      </c>
      <c r="S1025" s="31">
        <v>0</v>
      </c>
      <c r="T1025" s="21" cm="1">
        <f t="array" aca="1" ref="T1025" ca="1">+fair_value_gap(OFFSET(S1024,0,0,-1*$I$5,-1*$Z$1),OFFSET(E1024,0,0,-1*$I$5,1),F1025:S1025,0)</f>
        <v>23.010608422231378</v>
      </c>
      <c r="U1025" s="7" cm="1">
        <f t="array" aca="1" ref="U1025" ca="1">z_score_diff(OFFSET(T1025,0,0,$I$5*-1,1),OFFSET(E1025,0,0,$I$5*-1,1))</f>
        <v>4.8315692626562656E-2</v>
      </c>
      <c r="V1025" s="7">
        <f t="shared" ca="1" si="1057"/>
        <v>-0.32563547817739019</v>
      </c>
      <c r="W1025" s="14">
        <f t="shared" ca="1" si="1052"/>
        <v>-4.8697466628799882E-2</v>
      </c>
      <c r="X1025" s="10">
        <f t="shared" ref="X1025:Y1025" ca="1" si="1116">+X1024</f>
        <v>0</v>
      </c>
      <c r="Y1025" s="10">
        <f t="shared" ca="1" si="1116"/>
        <v>0</v>
      </c>
      <c r="Z1025">
        <f t="shared" ca="1" si="1059"/>
        <v>1</v>
      </c>
      <c r="AA1025">
        <f t="shared" ca="1" si="1060"/>
        <v>0</v>
      </c>
      <c r="AB1025" s="19">
        <f t="shared" ca="1" si="1061"/>
        <v>-4.8697466628799882E-2</v>
      </c>
      <c r="AC1025" s="19">
        <f t="shared" ca="1" si="1062"/>
        <v>0</v>
      </c>
    </row>
    <row r="1026" spans="3:29" x14ac:dyDescent="0.25">
      <c r="C1026" s="4">
        <v>1019</v>
      </c>
      <c r="D1026" s="28">
        <v>43453</v>
      </c>
      <c r="E1026" s="30">
        <v>24.21</v>
      </c>
      <c r="F1026" s="30">
        <v>50.320879120879127</v>
      </c>
      <c r="G1026" s="30">
        <v>8.1714285714285708</v>
      </c>
      <c r="H1026" s="30">
        <v>84.395604395604394</v>
      </c>
      <c r="I1026" s="8">
        <v>0</v>
      </c>
      <c r="J1026" s="31">
        <v>0</v>
      </c>
      <c r="K1026" s="31">
        <v>0</v>
      </c>
      <c r="L1026" s="31">
        <v>0</v>
      </c>
      <c r="M1026" s="31">
        <v>0</v>
      </c>
      <c r="N1026" s="31">
        <v>0</v>
      </c>
      <c r="O1026" s="31">
        <v>0</v>
      </c>
      <c r="P1026" s="31">
        <v>0</v>
      </c>
      <c r="Q1026" s="31">
        <v>0</v>
      </c>
      <c r="R1026" s="31">
        <v>0</v>
      </c>
      <c r="S1026" s="31">
        <v>0</v>
      </c>
      <c r="T1026" s="21" cm="1">
        <f t="array" aca="1" ref="T1026" ca="1">+fair_value_gap(OFFSET(S1025,0,0,-1*$I$5,-1*$Z$1),OFFSET(E1025,0,0,-1*$I$5,1),F1026:S1026,0)</f>
        <v>23.291193036137187</v>
      </c>
      <c r="U1026" s="7" cm="1">
        <f t="array" aca="1" ref="U1026" ca="1">z_score_diff(OFFSET(T1026,0,0,$I$5*-1,1),OFFSET(E1026,0,0,$I$5*-1,1))</f>
        <v>-3.3604932224738926E-3</v>
      </c>
      <c r="V1026" s="7">
        <f t="shared" ca="1" si="1057"/>
        <v>-0.32012534595530495</v>
      </c>
      <c r="W1026" s="14">
        <f t="shared" ca="1" si="1052"/>
        <v>-0.10604917349097884</v>
      </c>
      <c r="X1026" s="10">
        <f t="shared" ref="X1026:Y1026" ca="1" si="1117">+X1025</f>
        <v>0</v>
      </c>
      <c r="Y1026" s="10">
        <f t="shared" ca="1" si="1117"/>
        <v>0</v>
      </c>
      <c r="Z1026">
        <f t="shared" ca="1" si="1059"/>
        <v>1</v>
      </c>
      <c r="AA1026">
        <f t="shared" ca="1" si="1060"/>
        <v>0</v>
      </c>
      <c r="AB1026" s="19">
        <f t="shared" ca="1" si="1061"/>
        <v>-0.10604917349097884</v>
      </c>
      <c r="AC1026" s="19">
        <f t="shared" ca="1" si="1062"/>
        <v>0</v>
      </c>
    </row>
    <row r="1027" spans="3:29" x14ac:dyDescent="0.25">
      <c r="C1027" s="4">
        <v>1020</v>
      </c>
      <c r="D1027" s="28">
        <v>43454</v>
      </c>
      <c r="E1027" s="30">
        <v>24.605</v>
      </c>
      <c r="F1027" s="30">
        <v>47.49213561691716</v>
      </c>
      <c r="G1027" s="30">
        <v>7.9736106256553647</v>
      </c>
      <c r="H1027" s="30">
        <v>84.411045089129658</v>
      </c>
      <c r="I1027" s="8">
        <v>0</v>
      </c>
      <c r="J1027" s="31">
        <v>0</v>
      </c>
      <c r="K1027" s="31">
        <v>0</v>
      </c>
      <c r="L1027" s="31">
        <v>0</v>
      </c>
      <c r="M1027" s="31">
        <v>0</v>
      </c>
      <c r="N1027" s="31">
        <v>0</v>
      </c>
      <c r="O1027" s="31">
        <v>0</v>
      </c>
      <c r="P1027" s="31">
        <v>0</v>
      </c>
      <c r="Q1027" s="31">
        <v>0</v>
      </c>
      <c r="R1027" s="31">
        <v>0</v>
      </c>
      <c r="S1027" s="31">
        <v>0</v>
      </c>
      <c r="T1027" s="21" cm="1">
        <f t="array" aca="1" ref="T1027" ca="1">+fair_value_gap(OFFSET(S1026,0,0,-1*$I$5,-1*$Z$1),OFFSET(E1026,0,0,-1*$I$5,1),F1027:S1027,0)</f>
        <v>23.15048221596868</v>
      </c>
      <c r="U1027" s="7" cm="1">
        <f t="array" aca="1" ref="U1027" ca="1">z_score_diff(OFFSET(T1027,0,0,$I$5*-1,1),OFFSET(E1027,0,0,$I$5*-1,1))</f>
        <v>-0.17770800262051023</v>
      </c>
      <c r="V1027" s="7">
        <f t="shared" ca="1" si="1057"/>
        <v>-0.32227352198302434</v>
      </c>
      <c r="W1027" s="14">
        <f t="shared" ca="1" si="1052"/>
        <v>-0.12044355198191217</v>
      </c>
      <c r="X1027" s="10">
        <f t="shared" ref="X1027:Y1027" ca="1" si="1118">+X1026</f>
        <v>0</v>
      </c>
      <c r="Y1027" s="10">
        <f t="shared" ca="1" si="1118"/>
        <v>0</v>
      </c>
      <c r="Z1027">
        <f t="shared" ca="1" si="1059"/>
        <v>1</v>
      </c>
      <c r="AA1027">
        <f t="shared" ca="1" si="1060"/>
        <v>0</v>
      </c>
      <c r="AB1027" s="19">
        <f t="shared" ca="1" si="1061"/>
        <v>-0.12044355198191217</v>
      </c>
      <c r="AC1027" s="19">
        <f t="shared" ca="1" si="1062"/>
        <v>0</v>
      </c>
    </row>
    <row r="1028" spans="3:29" x14ac:dyDescent="0.25">
      <c r="C1028" s="4">
        <v>1021</v>
      </c>
      <c r="D1028" s="28">
        <v>43455</v>
      </c>
      <c r="E1028" s="30">
        <v>24.9</v>
      </c>
      <c r="F1028" s="30">
        <v>47.347585114806016</v>
      </c>
      <c r="G1028" s="30">
        <v>8.0056303334213066</v>
      </c>
      <c r="H1028" s="30">
        <v>84.191079440485609</v>
      </c>
      <c r="I1028" s="8">
        <v>0</v>
      </c>
      <c r="J1028" s="31">
        <v>0</v>
      </c>
      <c r="K1028" s="31">
        <v>0</v>
      </c>
      <c r="L1028" s="31">
        <v>0</v>
      </c>
      <c r="M1028" s="31">
        <v>0</v>
      </c>
      <c r="N1028" s="31">
        <v>0</v>
      </c>
      <c r="O1028" s="31">
        <v>0</v>
      </c>
      <c r="P1028" s="31">
        <v>0</v>
      </c>
      <c r="Q1028" s="31">
        <v>0</v>
      </c>
      <c r="R1028" s="31">
        <v>0</v>
      </c>
      <c r="S1028" s="31">
        <v>0</v>
      </c>
      <c r="T1028" s="21" cm="1">
        <f t="array" aca="1" ref="T1028" ca="1">+fair_value_gap(OFFSET(S1027,0,0,-1*$I$5,-1*$Z$1),OFFSET(E1027,0,0,-1*$I$5,1),F1028:S1028,0)</f>
        <v>23.258749818731658</v>
      </c>
      <c r="U1028" s="7" cm="1">
        <f t="array" aca="1" ref="U1028" ca="1">z_score_diff(OFFSET(T1028,0,0,$I$5*-1,1),OFFSET(E1028,0,0,$I$5*-1,1))</f>
        <v>-0.23103040328202229</v>
      </c>
      <c r="V1028" s="7">
        <f t="shared" ca="1" si="1057"/>
        <v>-0.3235860443829483</v>
      </c>
      <c r="W1028" s="14">
        <f t="shared" ca="1" si="1052"/>
        <v>-0.11518100219682158</v>
      </c>
      <c r="X1028" s="10">
        <f t="shared" ref="X1028:Y1028" ca="1" si="1119">+X1027</f>
        <v>0</v>
      </c>
      <c r="Y1028" s="10">
        <f t="shared" ca="1" si="1119"/>
        <v>0</v>
      </c>
      <c r="Z1028">
        <f t="shared" ca="1" si="1059"/>
        <v>1</v>
      </c>
      <c r="AA1028">
        <f t="shared" ca="1" si="1060"/>
        <v>0</v>
      </c>
      <c r="AB1028" s="19">
        <f t="shared" ca="1" si="1061"/>
        <v>-0.11518100219682158</v>
      </c>
      <c r="AC1028" s="19">
        <f t="shared" ca="1" si="1062"/>
        <v>0</v>
      </c>
    </row>
    <row r="1029" spans="3:29" x14ac:dyDescent="0.25">
      <c r="C1029" s="4">
        <v>1022</v>
      </c>
      <c r="D1029" s="28">
        <v>43458</v>
      </c>
      <c r="E1029" s="30">
        <v>24.247</v>
      </c>
      <c r="F1029" s="30">
        <v>44.275813667865606</v>
      </c>
      <c r="G1029" s="30">
        <v>7.9831564172295817</v>
      </c>
      <c r="H1029" s="30">
        <v>83.954732871304515</v>
      </c>
      <c r="I1029" s="8">
        <v>0</v>
      </c>
      <c r="J1029" s="31">
        <v>0</v>
      </c>
      <c r="K1029" s="31">
        <v>0</v>
      </c>
      <c r="L1029" s="31">
        <v>0</v>
      </c>
      <c r="M1029" s="31">
        <v>0</v>
      </c>
      <c r="N1029" s="31">
        <v>0</v>
      </c>
      <c r="O1029" s="31">
        <v>0</v>
      </c>
      <c r="P1029" s="31">
        <v>0</v>
      </c>
      <c r="Q1029" s="31">
        <v>0</v>
      </c>
      <c r="R1029" s="31">
        <v>0</v>
      </c>
      <c r="S1029" s="31">
        <v>0</v>
      </c>
      <c r="T1029" s="21" cm="1">
        <f t="array" aca="1" ref="T1029" ca="1">+fair_value_gap(OFFSET(S1028,0,0,-1*$I$5,-1*$Z$1),OFFSET(E1028,0,0,-1*$I$5,1),F1029:S1029,0)</f>
        <v>23.047752496599252</v>
      </c>
      <c r="U1029" s="7" cm="1">
        <f t="array" aca="1" ref="U1029" ca="1">z_score_diff(OFFSET(T1029,0,0,$I$5*-1,1),OFFSET(E1029,0,0,$I$5*-1,1))</f>
        <v>-9.4914487144828197E-2</v>
      </c>
      <c r="V1029" s="7">
        <f t="shared" ca="1" si="1057"/>
        <v>-0.32835926566395213</v>
      </c>
      <c r="W1029" s="14">
        <f t="shared" ca="1" si="1052"/>
        <v>-0.13057222750234757</v>
      </c>
      <c r="X1029" s="10">
        <f t="shared" ref="X1029:Y1029" ca="1" si="1120">+X1028</f>
        <v>0</v>
      </c>
      <c r="Y1029" s="10">
        <f t="shared" ca="1" si="1120"/>
        <v>0</v>
      </c>
      <c r="Z1029">
        <f t="shared" ca="1" si="1059"/>
        <v>1</v>
      </c>
      <c r="AA1029">
        <f t="shared" ca="1" si="1060"/>
        <v>0</v>
      </c>
      <c r="AB1029" s="19">
        <f t="shared" ca="1" si="1061"/>
        <v>-0.13057222750234757</v>
      </c>
      <c r="AC1029" s="19">
        <f t="shared" ca="1" si="1062"/>
        <v>0</v>
      </c>
    </row>
    <row r="1030" spans="3:29" x14ac:dyDescent="0.25">
      <c r="C1030" s="4">
        <v>1023</v>
      </c>
      <c r="D1030" s="28">
        <v>43461</v>
      </c>
      <c r="E1030" s="30">
        <v>23.32</v>
      </c>
      <c r="F1030" s="30">
        <v>45.638288564178836</v>
      </c>
      <c r="G1030" s="30">
        <v>7.9009537142357154</v>
      </c>
      <c r="H1030" s="30">
        <v>83.73435996150144</v>
      </c>
      <c r="I1030" s="8">
        <v>0</v>
      </c>
      <c r="J1030" s="31">
        <v>0</v>
      </c>
      <c r="K1030" s="31">
        <v>0</v>
      </c>
      <c r="L1030" s="31">
        <v>0</v>
      </c>
      <c r="M1030" s="31">
        <v>0</v>
      </c>
      <c r="N1030" s="31">
        <v>0</v>
      </c>
      <c r="O1030" s="31">
        <v>0</v>
      </c>
      <c r="P1030" s="31">
        <v>0</v>
      </c>
      <c r="Q1030" s="31">
        <v>0</v>
      </c>
      <c r="R1030" s="31">
        <v>0</v>
      </c>
      <c r="S1030" s="31">
        <v>0</v>
      </c>
      <c r="T1030" s="21" cm="1">
        <f t="array" aca="1" ref="T1030" ca="1">+fair_value_gap(OFFSET(S1029,0,0,-1*$I$5,-1*$Z$1),OFFSET(E1029,0,0,-1*$I$5,1),F1030:S1030,0)</f>
        <v>23.224843967050592</v>
      </c>
      <c r="U1030" s="7" cm="1">
        <f t="array" aca="1" ref="U1030" ca="1">z_score_diff(OFFSET(T1030,0,0,$I$5*-1,1),OFFSET(E1030,0,0,$I$5*-1,1))</f>
        <v>0.26649251807734908</v>
      </c>
      <c r="V1030" s="7">
        <f t="shared" ca="1" si="1057"/>
        <v>-0.30700009209444029</v>
      </c>
      <c r="W1030" s="14">
        <f t="shared" ca="1" si="1052"/>
        <v>-0.11008865685377227</v>
      </c>
      <c r="X1030" s="10">
        <f t="shared" ref="X1030:Y1030" ca="1" si="1121">+X1029</f>
        <v>0</v>
      </c>
      <c r="Y1030" s="10">
        <f t="shared" ca="1" si="1121"/>
        <v>0</v>
      </c>
      <c r="Z1030">
        <f t="shared" ca="1" si="1059"/>
        <v>1</v>
      </c>
      <c r="AA1030">
        <f t="shared" ca="1" si="1060"/>
        <v>0</v>
      </c>
      <c r="AB1030" s="19">
        <f t="shared" ca="1" si="1061"/>
        <v>-0.11008865685377227</v>
      </c>
      <c r="AC1030" s="19">
        <f t="shared" ca="1" si="1062"/>
        <v>0</v>
      </c>
    </row>
    <row r="1031" spans="3:29" x14ac:dyDescent="0.25">
      <c r="C1031" s="4">
        <v>1024</v>
      </c>
      <c r="D1031" s="28">
        <v>43462</v>
      </c>
      <c r="E1031" s="30">
        <v>22.81</v>
      </c>
      <c r="F1031" s="30">
        <v>45.645330535152155</v>
      </c>
      <c r="G1031" s="30">
        <v>7.8917453655124179</v>
      </c>
      <c r="H1031" s="30">
        <v>83.683105981112277</v>
      </c>
      <c r="I1031" s="8">
        <v>0</v>
      </c>
      <c r="J1031" s="31">
        <v>0</v>
      </c>
      <c r="K1031" s="31">
        <v>0</v>
      </c>
      <c r="L1031" s="31">
        <v>0</v>
      </c>
      <c r="M1031" s="31">
        <v>0</v>
      </c>
      <c r="N1031" s="31">
        <v>0</v>
      </c>
      <c r="O1031" s="31">
        <v>0</v>
      </c>
      <c r="P1031" s="31">
        <v>0</v>
      </c>
      <c r="Q1031" s="31">
        <v>0</v>
      </c>
      <c r="R1031" s="31">
        <v>0</v>
      </c>
      <c r="S1031" s="31">
        <v>0</v>
      </c>
      <c r="T1031" s="21" cm="1">
        <f t="array" aca="1" ref="T1031" ca="1">+fair_value_gap(OFFSET(S1030,0,0,-1*$I$5,-1*$Z$1),OFFSET(E1030,0,0,-1*$I$5,1),F1031:S1031,0)</f>
        <v>23.220211281406844</v>
      </c>
      <c r="U1031" s="7" cm="1">
        <f t="array" aca="1" ref="U1031" ca="1">z_score_diff(OFFSET(T1031,0,0,$I$5*-1,1),OFFSET(E1031,0,0,$I$5*-1,1))</f>
        <v>0.4292484690916008</v>
      </c>
      <c r="V1031" s="7">
        <f t="shared" ca="1" si="1057"/>
        <v>-0.28718616955626508</v>
      </c>
      <c r="W1031" s="14">
        <f t="shared" ref="W1031:W1094" ca="1" si="1122">+LN(OFFSET(E1031,$W$3,0,1,1)/E1031)</f>
        <v>-0.10424077648871423</v>
      </c>
      <c r="X1031" s="10">
        <f t="shared" ref="X1031:Y1031" ca="1" si="1123">+X1030</f>
        <v>0</v>
      </c>
      <c r="Y1031" s="10">
        <f t="shared" ca="1" si="1123"/>
        <v>0</v>
      </c>
      <c r="Z1031">
        <f t="shared" ca="1" si="1059"/>
        <v>1</v>
      </c>
      <c r="AA1031">
        <f t="shared" ca="1" si="1060"/>
        <v>0</v>
      </c>
      <c r="AB1031" s="19">
        <f t="shared" ca="1" si="1061"/>
        <v>-0.10424077648871423</v>
      </c>
      <c r="AC1031" s="19">
        <f t="shared" ca="1" si="1062"/>
        <v>0</v>
      </c>
    </row>
    <row r="1032" spans="3:29" x14ac:dyDescent="0.25">
      <c r="C1032" s="4">
        <v>1025</v>
      </c>
      <c r="D1032" s="28">
        <v>43465</v>
      </c>
      <c r="E1032" s="30">
        <v>21.981999999999999</v>
      </c>
      <c r="F1032" s="30">
        <v>46.909059203069141</v>
      </c>
      <c r="G1032" s="30">
        <v>7.8428808091376743</v>
      </c>
      <c r="H1032" s="30">
        <v>84.009067922225128</v>
      </c>
      <c r="I1032" s="8">
        <v>0</v>
      </c>
      <c r="J1032" s="31">
        <v>0</v>
      </c>
      <c r="K1032" s="31">
        <v>0</v>
      </c>
      <c r="L1032" s="31">
        <v>0</v>
      </c>
      <c r="M1032" s="31">
        <v>0</v>
      </c>
      <c r="N1032" s="31">
        <v>0</v>
      </c>
      <c r="O1032" s="31">
        <v>0</v>
      </c>
      <c r="P1032" s="31">
        <v>0</v>
      </c>
      <c r="Q1032" s="31">
        <v>0</v>
      </c>
      <c r="R1032" s="31">
        <v>0</v>
      </c>
      <c r="S1032" s="31">
        <v>0</v>
      </c>
      <c r="T1032" s="21" cm="1">
        <f t="array" aca="1" ref="T1032" ca="1">+fair_value_gap(OFFSET(S1031,0,0,-1*$I$5,-1*$Z$1),OFFSET(E1031,0,0,-1*$I$5,1),F1032:S1032,0)</f>
        <v>23.336417717046551</v>
      </c>
      <c r="U1032" s="7" cm="1">
        <f t="array" aca="1" ref="U1032" ca="1">z_score_diff(OFFSET(T1032,0,0,$I$5*-1,1),OFFSET(E1032,0,0,$I$5*-1,1))</f>
        <v>0.73663367853321782</v>
      </c>
      <c r="V1032" s="7">
        <f t="shared" ca="1" si="1057"/>
        <v>-0.2480858957561439</v>
      </c>
      <c r="W1032" s="14">
        <f t="shared" ca="1" si="1122"/>
        <v>-6.5612703542341E-2</v>
      </c>
      <c r="X1032" s="10">
        <f t="shared" ref="X1032:Y1032" ca="1" si="1124">+X1031</f>
        <v>0</v>
      </c>
      <c r="Y1032" s="10">
        <f t="shared" ca="1" si="1124"/>
        <v>0</v>
      </c>
      <c r="Z1032">
        <f t="shared" ca="1" si="1059"/>
        <v>1</v>
      </c>
      <c r="AA1032">
        <f t="shared" ca="1" si="1060"/>
        <v>0</v>
      </c>
      <c r="AB1032" s="19">
        <f t="shared" ca="1" si="1061"/>
        <v>-6.5612703542341E-2</v>
      </c>
      <c r="AC1032" s="19">
        <f t="shared" ca="1" si="1062"/>
        <v>0</v>
      </c>
    </row>
    <row r="1033" spans="3:29" x14ac:dyDescent="0.25">
      <c r="C1033" s="4">
        <v>1026</v>
      </c>
      <c r="D1033" s="28">
        <v>43467</v>
      </c>
      <c r="E1033" s="30">
        <v>22.472999999999999</v>
      </c>
      <c r="F1033" s="30">
        <v>48.412978310703572</v>
      </c>
      <c r="G1033" s="30">
        <v>7.9086580849938279</v>
      </c>
      <c r="H1033" s="30">
        <v>83.406806559689642</v>
      </c>
      <c r="I1033" s="8">
        <v>1</v>
      </c>
      <c r="J1033" s="31">
        <v>0</v>
      </c>
      <c r="K1033" s="31">
        <v>0</v>
      </c>
      <c r="L1033" s="31">
        <v>0</v>
      </c>
      <c r="M1033" s="31">
        <v>0</v>
      </c>
      <c r="N1033" s="31">
        <v>0</v>
      </c>
      <c r="O1033" s="31">
        <v>0</v>
      </c>
      <c r="P1033" s="31">
        <v>0</v>
      </c>
      <c r="Q1033" s="31">
        <v>0</v>
      </c>
      <c r="R1033" s="31">
        <v>0</v>
      </c>
      <c r="S1033" s="31">
        <v>0</v>
      </c>
      <c r="T1033" s="21" cm="1">
        <f t="array" aca="1" ref="T1033" ca="1">+fair_value_gap(OFFSET(S1032,0,0,-1*$I$5,-1*$Z$1),OFFSET(E1032,0,0,-1*$I$5,1),F1033:S1033,0)</f>
        <v>17.958177593870186</v>
      </c>
      <c r="U1033" s="7" cm="1">
        <f t="array" aca="1" ref="U1033" ca="1">z_score_diff(OFFSET(T1033,0,0,$I$5*-1,1),OFFSET(E1033,0,0,$I$5*-1,1))</f>
        <v>-1.324340295432948</v>
      </c>
      <c r="V1033" s="7">
        <f t="shared" ca="1" si="1057"/>
        <v>-0.3131397345193152</v>
      </c>
      <c r="W1033" s="14">
        <f t="shared" ca="1" si="1122"/>
        <v>-0.10757302092227707</v>
      </c>
      <c r="X1033" s="10">
        <f t="shared" ref="X1033:Y1033" ca="1" si="1125">+X1032</f>
        <v>0</v>
      </c>
      <c r="Y1033" s="10">
        <f t="shared" ca="1" si="1125"/>
        <v>0</v>
      </c>
      <c r="Z1033">
        <f t="shared" ca="1" si="1059"/>
        <v>1</v>
      </c>
      <c r="AA1033">
        <f t="shared" ca="1" si="1060"/>
        <v>0</v>
      </c>
      <c r="AB1033" s="19">
        <f t="shared" ca="1" si="1061"/>
        <v>-0.10757302092227707</v>
      </c>
      <c r="AC1033" s="19">
        <f t="shared" ca="1" si="1062"/>
        <v>0</v>
      </c>
    </row>
    <row r="1034" spans="3:29" x14ac:dyDescent="0.25">
      <c r="C1034" s="4">
        <v>1027</v>
      </c>
      <c r="D1034" s="28">
        <v>43468</v>
      </c>
      <c r="E1034" s="30">
        <v>22.256</v>
      </c>
      <c r="F1034" s="30">
        <v>49.113412921348321</v>
      </c>
      <c r="G1034" s="30">
        <v>7.8520014044943824</v>
      </c>
      <c r="H1034" s="30">
        <v>81.548455056179776</v>
      </c>
      <c r="I1034" s="8">
        <v>1</v>
      </c>
      <c r="J1034" s="31">
        <v>0</v>
      </c>
      <c r="K1034" s="31">
        <v>0</v>
      </c>
      <c r="L1034" s="31">
        <v>0</v>
      </c>
      <c r="M1034" s="31">
        <v>0</v>
      </c>
      <c r="N1034" s="31">
        <v>0</v>
      </c>
      <c r="O1034" s="31">
        <v>0</v>
      </c>
      <c r="P1034" s="31">
        <v>0</v>
      </c>
      <c r="Q1034" s="31">
        <v>0</v>
      </c>
      <c r="R1034" s="31">
        <v>0</v>
      </c>
      <c r="S1034" s="31">
        <v>0</v>
      </c>
      <c r="T1034" s="21" cm="1">
        <f t="array" aca="1" ref="T1034" ca="1">+fair_value_gap(OFFSET(S1033,0,0,-1*$I$5,-1*$Z$1),OFFSET(E1033,0,0,-1*$I$5,1),F1034:S1034,0)</f>
        <v>18.25661937053588</v>
      </c>
      <c r="U1034" s="7" cm="1">
        <f t="array" aca="1" ref="U1034" ca="1">z_score_diff(OFFSET(T1034,0,0,$I$5*-1,1),OFFSET(E1034,0,0,$I$5*-1,1))</f>
        <v>-1.1395109962084278</v>
      </c>
      <c r="V1034" s="7">
        <f t="shared" ca="1" si="1057"/>
        <v>-0.3041655593441413</v>
      </c>
      <c r="W1034" s="14">
        <f t="shared" ca="1" si="1122"/>
        <v>-0.11430687745589273</v>
      </c>
      <c r="X1034" s="10">
        <f t="shared" ref="X1034:Y1034" ca="1" si="1126">+X1033</f>
        <v>0</v>
      </c>
      <c r="Y1034" s="10">
        <f t="shared" ca="1" si="1126"/>
        <v>0</v>
      </c>
      <c r="Z1034">
        <f t="shared" ca="1" si="1059"/>
        <v>1</v>
      </c>
      <c r="AA1034">
        <f t="shared" ca="1" si="1060"/>
        <v>0</v>
      </c>
      <c r="AB1034" s="19">
        <f t="shared" ca="1" si="1061"/>
        <v>-0.11430687745589273</v>
      </c>
      <c r="AC1034" s="19">
        <f t="shared" ca="1" si="1062"/>
        <v>0</v>
      </c>
    </row>
    <row r="1035" spans="3:29" x14ac:dyDescent="0.25">
      <c r="C1035" s="4">
        <v>1028</v>
      </c>
      <c r="D1035" s="28">
        <v>43469</v>
      </c>
      <c r="E1035" s="30">
        <v>22.93</v>
      </c>
      <c r="F1035" s="30">
        <v>50.083384534363205</v>
      </c>
      <c r="G1035" s="30">
        <v>7.7986482928113752</v>
      </c>
      <c r="H1035" s="30">
        <v>81.190204511542177</v>
      </c>
      <c r="I1035" s="8">
        <v>1</v>
      </c>
      <c r="J1035" s="31">
        <v>0</v>
      </c>
      <c r="K1035" s="31">
        <v>0</v>
      </c>
      <c r="L1035" s="31">
        <v>0</v>
      </c>
      <c r="M1035" s="31">
        <v>0</v>
      </c>
      <c r="N1035" s="31">
        <v>0</v>
      </c>
      <c r="O1035" s="31">
        <v>0</v>
      </c>
      <c r="P1035" s="31">
        <v>0</v>
      </c>
      <c r="Q1035" s="31">
        <v>0</v>
      </c>
      <c r="R1035" s="31">
        <v>0</v>
      </c>
      <c r="S1035" s="31">
        <v>0</v>
      </c>
      <c r="T1035" s="21" cm="1">
        <f t="array" aca="1" ref="T1035" ca="1">+fair_value_gap(OFFSET(S1034,0,0,-1*$I$5,-1*$Z$1),OFFSET(E1034,0,0,-1*$I$5,1),F1035:S1035,0)</f>
        <v>18.630028775500818</v>
      </c>
      <c r="U1035" s="7" cm="1">
        <f t="array" aca="1" ref="U1035" ca="1">z_score_diff(OFFSET(T1035,0,0,$I$5*-1,1),OFFSET(E1035,0,0,$I$5*-1,1))</f>
        <v>-1.2194516164994376</v>
      </c>
      <c r="V1035" s="7">
        <f t="shared" ref="V1035:V1098" ca="1" si="1127">+IF(ISERROR(AVERAGE(OFFSET(U1035,0,0,$V$5*-1,1))),"",AVERAGE(OFFSET(U1035,0,0,$V$5*-1,1)))</f>
        <v>-0.31789225020774758</v>
      </c>
      <c r="W1035" s="14">
        <f t="shared" ca="1" si="1122"/>
        <v>-0.17239281577284005</v>
      </c>
      <c r="X1035" s="10">
        <f t="shared" ref="X1035:Y1035" ca="1" si="1128">+X1034</f>
        <v>0</v>
      </c>
      <c r="Y1035" s="10">
        <f t="shared" ca="1" si="1128"/>
        <v>0</v>
      </c>
      <c r="Z1035">
        <f t="shared" ref="Z1035:Z1098" ca="1" si="1129">+IF(V1035="","",IF(V1035&lt;X1035,1,0))</f>
        <v>1</v>
      </c>
      <c r="AA1035">
        <f t="shared" ref="AA1035:AA1098" ca="1" si="1130">+IF(V1035="","",IF(V1035&gt;Y1035,1,0))</f>
        <v>0</v>
      </c>
      <c r="AB1035" s="19">
        <f t="shared" ref="AB1035:AB1098" ca="1" si="1131">+IF(ISERROR(Z1035*W1035),"",Z1035*W1035)</f>
        <v>-0.17239281577284005</v>
      </c>
      <c r="AC1035" s="19">
        <f t="shared" ref="AC1035:AC1098" ca="1" si="1132">+IF(ISERROR(AA1035*W1035),"",AA1035*W1035)</f>
        <v>0</v>
      </c>
    </row>
    <row r="1036" spans="3:29" x14ac:dyDescent="0.25">
      <c r="C1036" s="4">
        <v>1029</v>
      </c>
      <c r="D1036" s="28">
        <v>43472</v>
      </c>
      <c r="E1036" s="30">
        <v>21.530999999999999</v>
      </c>
      <c r="F1036" s="30">
        <v>49.965138574167682</v>
      </c>
      <c r="G1036" s="30">
        <v>7.695659752483877</v>
      </c>
      <c r="H1036" s="30">
        <v>79.963395502876068</v>
      </c>
      <c r="I1036" s="8">
        <v>1</v>
      </c>
      <c r="J1036" s="31">
        <v>0</v>
      </c>
      <c r="K1036" s="31">
        <v>0</v>
      </c>
      <c r="L1036" s="31">
        <v>0</v>
      </c>
      <c r="M1036" s="31">
        <v>0</v>
      </c>
      <c r="N1036" s="31">
        <v>0</v>
      </c>
      <c r="O1036" s="31">
        <v>0</v>
      </c>
      <c r="P1036" s="31">
        <v>0</v>
      </c>
      <c r="Q1036" s="31">
        <v>0</v>
      </c>
      <c r="R1036" s="31">
        <v>0</v>
      </c>
      <c r="S1036" s="31">
        <v>0</v>
      </c>
      <c r="T1036" s="21" cm="1">
        <f t="array" aca="1" ref="T1036" ca="1">+fair_value_gap(OFFSET(S1035,0,0,-1*$I$5,-1*$Z$1),OFFSET(E1035,0,0,-1*$I$5,1),F1036:S1036,0)</f>
        <v>18.667046327701122</v>
      </c>
      <c r="U1036" s="7" cm="1">
        <f t="array" aca="1" ref="U1036" ca="1">z_score_diff(OFFSET(T1036,0,0,$I$5*-1,1),OFFSET(E1036,0,0,$I$5*-1,1))</f>
        <v>-0.74624176110476781</v>
      </c>
      <c r="V1036" s="7">
        <f t="shared" ca="1" si="1127"/>
        <v>-0.3197785584828593</v>
      </c>
      <c r="W1036" s="14">
        <f t="shared" ca="1" si="1122"/>
        <v>-0.10654297308643297</v>
      </c>
      <c r="X1036" s="10">
        <f t="shared" ref="X1036:Y1036" ca="1" si="1133">+X1035</f>
        <v>0</v>
      </c>
      <c r="Y1036" s="10">
        <f t="shared" ca="1" si="1133"/>
        <v>0</v>
      </c>
      <c r="Z1036">
        <f t="shared" ca="1" si="1129"/>
        <v>1</v>
      </c>
      <c r="AA1036">
        <f t="shared" ca="1" si="1130"/>
        <v>0</v>
      </c>
      <c r="AB1036" s="19">
        <f t="shared" ca="1" si="1131"/>
        <v>-0.10654297308643297</v>
      </c>
      <c r="AC1036" s="19">
        <f t="shared" ca="1" si="1132"/>
        <v>0</v>
      </c>
    </row>
    <row r="1037" spans="3:29" x14ac:dyDescent="0.25">
      <c r="C1037" s="4">
        <v>1030</v>
      </c>
      <c r="D1037" s="28">
        <v>43473</v>
      </c>
      <c r="E1037" s="30">
        <v>22.091999999999999</v>
      </c>
      <c r="F1037" s="30">
        <v>51.328671328671334</v>
      </c>
      <c r="G1037" s="30">
        <v>7.7097902097902109</v>
      </c>
      <c r="H1037" s="30">
        <v>79.938811188811201</v>
      </c>
      <c r="I1037" s="8">
        <v>1</v>
      </c>
      <c r="J1037" s="31">
        <v>0</v>
      </c>
      <c r="K1037" s="31">
        <v>0</v>
      </c>
      <c r="L1037" s="31">
        <v>0</v>
      </c>
      <c r="M1037" s="31">
        <v>0</v>
      </c>
      <c r="N1037" s="31">
        <v>0</v>
      </c>
      <c r="O1037" s="31">
        <v>0</v>
      </c>
      <c r="P1037" s="31">
        <v>0</v>
      </c>
      <c r="Q1037" s="31">
        <v>0</v>
      </c>
      <c r="R1037" s="31">
        <v>0</v>
      </c>
      <c r="S1037" s="31">
        <v>0</v>
      </c>
      <c r="T1037" s="21" cm="1">
        <f t="array" aca="1" ref="T1037" ca="1">+fair_value_gap(OFFSET(S1036,0,0,-1*$I$5,-1*$Z$1),OFFSET(E1036,0,0,-1*$I$5,1),F1037:S1037,0)</f>
        <v>18.929353195325124</v>
      </c>
      <c r="U1037" s="7" cm="1">
        <f t="array" aca="1" ref="U1037" ca="1">z_score_diff(OFFSET(T1037,0,0,$I$5*-1,1),OFFSET(E1037,0,0,$I$5*-1,1))</f>
        <v>-0.8310703498384302</v>
      </c>
      <c r="V1037" s="7">
        <f t="shared" ca="1" si="1127"/>
        <v>-0.33653703903213872</v>
      </c>
      <c r="W1037" s="14">
        <f t="shared" ca="1" si="1122"/>
        <v>-0.14353966468186979</v>
      </c>
      <c r="X1037" s="10">
        <f t="shared" ref="X1037:Y1037" ca="1" si="1134">+X1036</f>
        <v>0</v>
      </c>
      <c r="Y1037" s="10">
        <f t="shared" ca="1" si="1134"/>
        <v>0</v>
      </c>
      <c r="Z1037">
        <f t="shared" ca="1" si="1129"/>
        <v>1</v>
      </c>
      <c r="AA1037">
        <f t="shared" ca="1" si="1130"/>
        <v>0</v>
      </c>
      <c r="AB1037" s="19">
        <f t="shared" ca="1" si="1131"/>
        <v>-0.14353966468186979</v>
      </c>
      <c r="AC1037" s="19">
        <f t="shared" ca="1" si="1132"/>
        <v>0</v>
      </c>
    </row>
    <row r="1038" spans="3:29" x14ac:dyDescent="0.25">
      <c r="C1038" s="4">
        <v>1031</v>
      </c>
      <c r="D1038" s="28">
        <v>43474</v>
      </c>
      <c r="E1038" s="30">
        <v>21.719000000000001</v>
      </c>
      <c r="F1038" s="30">
        <v>53.236288016636344</v>
      </c>
      <c r="G1038" s="30">
        <v>7.5600034659041677</v>
      </c>
      <c r="H1038" s="30">
        <v>79.282557837275803</v>
      </c>
      <c r="I1038" s="8">
        <v>1</v>
      </c>
      <c r="J1038" s="31">
        <v>0</v>
      </c>
      <c r="K1038" s="31">
        <v>0</v>
      </c>
      <c r="L1038" s="31">
        <v>0</v>
      </c>
      <c r="M1038" s="31">
        <v>0</v>
      </c>
      <c r="N1038" s="31">
        <v>0</v>
      </c>
      <c r="O1038" s="31">
        <v>0</v>
      </c>
      <c r="P1038" s="31">
        <v>0</v>
      </c>
      <c r="Q1038" s="31">
        <v>0</v>
      </c>
      <c r="R1038" s="31">
        <v>0</v>
      </c>
      <c r="S1038" s="31">
        <v>0</v>
      </c>
      <c r="T1038" s="21" cm="1">
        <f t="array" aca="1" ref="T1038" ca="1">+fair_value_gap(OFFSET(S1037,0,0,-1*$I$5,-1*$Z$1),OFFSET(E1037,0,0,-1*$I$5,1),F1038:S1038,0)</f>
        <v>18.959683297717874</v>
      </c>
      <c r="U1038" s="7" cm="1">
        <f t="array" aca="1" ref="U1038" ca="1">z_score_diff(OFFSET(T1038,0,0,$I$5*-1,1),OFFSET(E1038,0,0,$I$5*-1,1))</f>
        <v>-0.69295827658249132</v>
      </c>
      <c r="V1038" s="7">
        <f t="shared" ca="1" si="1127"/>
        <v>-0.35182063023307331</v>
      </c>
      <c r="W1038" s="14">
        <f t="shared" ca="1" si="1122"/>
        <v>-0.13817932870855459</v>
      </c>
      <c r="X1038" s="10">
        <f t="shared" ref="X1038:Y1038" ca="1" si="1135">+X1037</f>
        <v>0</v>
      </c>
      <c r="Y1038" s="10">
        <f t="shared" ca="1" si="1135"/>
        <v>0</v>
      </c>
      <c r="Z1038">
        <f t="shared" ca="1" si="1129"/>
        <v>1</v>
      </c>
      <c r="AA1038">
        <f t="shared" ca="1" si="1130"/>
        <v>0</v>
      </c>
      <c r="AB1038" s="19">
        <f t="shared" ca="1" si="1131"/>
        <v>-0.13817932870855459</v>
      </c>
      <c r="AC1038" s="19">
        <f t="shared" ca="1" si="1132"/>
        <v>0</v>
      </c>
    </row>
    <row r="1039" spans="3:29" x14ac:dyDescent="0.25">
      <c r="C1039" s="4">
        <v>1032</v>
      </c>
      <c r="D1039" s="28">
        <v>43475</v>
      </c>
      <c r="E1039" s="30">
        <v>21.673999999999999</v>
      </c>
      <c r="F1039" s="30">
        <v>53.644112019481653</v>
      </c>
      <c r="G1039" s="30">
        <v>7.6491563750217431</v>
      </c>
      <c r="H1039" s="30">
        <v>79.448599756479382</v>
      </c>
      <c r="I1039" s="8">
        <v>1</v>
      </c>
      <c r="J1039" s="31">
        <v>0</v>
      </c>
      <c r="K1039" s="31">
        <v>0</v>
      </c>
      <c r="L1039" s="31">
        <v>0</v>
      </c>
      <c r="M1039" s="31">
        <v>0</v>
      </c>
      <c r="N1039" s="31">
        <v>0</v>
      </c>
      <c r="O1039" s="31">
        <v>0</v>
      </c>
      <c r="P1039" s="31">
        <v>0</v>
      </c>
      <c r="Q1039" s="31">
        <v>0</v>
      </c>
      <c r="R1039" s="31">
        <v>0</v>
      </c>
      <c r="S1039" s="31">
        <v>0</v>
      </c>
      <c r="T1039" s="21" cm="1">
        <f t="array" aca="1" ref="T1039" ca="1">+fair_value_gap(OFFSET(S1038,0,0,-1*$I$5,-1*$Z$1),OFFSET(E1038,0,0,-1*$I$5,1),F1039:S1039,0)</f>
        <v>19.291400826714547</v>
      </c>
      <c r="U1039" s="7" cm="1">
        <f t="array" aca="1" ref="U1039" ca="1">z_score_diff(OFFSET(T1039,0,0,$I$5*-1,1),OFFSET(E1039,0,0,$I$5*-1,1))</f>
        <v>-0.55627304502992558</v>
      </c>
      <c r="V1039" s="7">
        <f t="shared" ca="1" si="1127"/>
        <v>-0.35989108683089349</v>
      </c>
      <c r="W1039" s="14">
        <f t="shared" ca="1" si="1122"/>
        <v>-0.13631674427711585</v>
      </c>
      <c r="X1039" s="10">
        <f t="shared" ref="X1039:Y1039" ca="1" si="1136">+X1038</f>
        <v>0</v>
      </c>
      <c r="Y1039" s="10">
        <f t="shared" ca="1" si="1136"/>
        <v>0</v>
      </c>
      <c r="Z1039">
        <f t="shared" ca="1" si="1129"/>
        <v>1</v>
      </c>
      <c r="AA1039">
        <f t="shared" ca="1" si="1130"/>
        <v>0</v>
      </c>
      <c r="AB1039" s="19">
        <f t="shared" ca="1" si="1131"/>
        <v>-0.13631674427711585</v>
      </c>
      <c r="AC1039" s="19">
        <f t="shared" ca="1" si="1132"/>
        <v>0</v>
      </c>
    </row>
    <row r="1040" spans="3:29" x14ac:dyDescent="0.25">
      <c r="C1040" s="4">
        <v>1033</v>
      </c>
      <c r="D1040" s="28">
        <v>43476</v>
      </c>
      <c r="E1040" s="30">
        <v>22.254999999999999</v>
      </c>
      <c r="F1040" s="30">
        <v>52.742652829859594</v>
      </c>
      <c r="G1040" s="30">
        <v>7.665474840847649</v>
      </c>
      <c r="H1040" s="30">
        <v>79.837795412924038</v>
      </c>
      <c r="I1040" s="8">
        <v>1</v>
      </c>
      <c r="J1040" s="31">
        <v>0</v>
      </c>
      <c r="K1040" s="31">
        <v>0</v>
      </c>
      <c r="L1040" s="31">
        <v>0</v>
      </c>
      <c r="M1040" s="31">
        <v>0</v>
      </c>
      <c r="N1040" s="31">
        <v>0</v>
      </c>
      <c r="O1040" s="31">
        <v>0</v>
      </c>
      <c r="P1040" s="31">
        <v>0</v>
      </c>
      <c r="Q1040" s="31">
        <v>0</v>
      </c>
      <c r="R1040" s="31">
        <v>0</v>
      </c>
      <c r="S1040" s="31">
        <v>0</v>
      </c>
      <c r="T1040" s="21" cm="1">
        <f t="array" aca="1" ref="T1040" ca="1">+fair_value_gap(OFFSET(S1039,0,0,-1*$I$5,-1*$Z$1),OFFSET(E1039,0,0,-1*$I$5,1),F1040:S1040,0)</f>
        <v>19.620239911687488</v>
      </c>
      <c r="U1040" s="7" cm="1">
        <f t="array" aca="1" ref="U1040" ca="1">z_score_diff(OFFSET(T1040,0,0,$I$5*-1,1),OFFSET(E1040,0,0,$I$5*-1,1))</f>
        <v>-0.62644534188696355</v>
      </c>
      <c r="V1040" s="7">
        <f t="shared" ca="1" si="1127"/>
        <v>-0.37283710316085206</v>
      </c>
      <c r="W1040" s="14">
        <f t="shared" ca="1" si="1122"/>
        <v>-0.19763479324032329</v>
      </c>
      <c r="X1040" s="10">
        <f t="shared" ref="X1040:Y1040" ca="1" si="1137">+X1039</f>
        <v>0</v>
      </c>
      <c r="Y1040" s="10">
        <f t="shared" ca="1" si="1137"/>
        <v>0</v>
      </c>
      <c r="Z1040">
        <f t="shared" ca="1" si="1129"/>
        <v>1</v>
      </c>
      <c r="AA1040">
        <f t="shared" ca="1" si="1130"/>
        <v>0</v>
      </c>
      <c r="AB1040" s="19">
        <f t="shared" ca="1" si="1131"/>
        <v>-0.19763479324032329</v>
      </c>
      <c r="AC1040" s="19">
        <f t="shared" ca="1" si="1132"/>
        <v>0</v>
      </c>
    </row>
    <row r="1041" spans="3:29" x14ac:dyDescent="0.25">
      <c r="C1041" s="4">
        <v>1034</v>
      </c>
      <c r="D1041" s="28">
        <v>43479</v>
      </c>
      <c r="E1041" s="30">
        <v>21.675000000000001</v>
      </c>
      <c r="F1041" s="30">
        <v>51.411887746208819</v>
      </c>
      <c r="G1041" s="30">
        <v>7.6607983266515598</v>
      </c>
      <c r="H1041" s="30">
        <v>79.832665156004879</v>
      </c>
      <c r="I1041" s="8">
        <v>1</v>
      </c>
      <c r="J1041" s="31">
        <v>0</v>
      </c>
      <c r="K1041" s="31">
        <v>0</v>
      </c>
      <c r="L1041" s="31">
        <v>0</v>
      </c>
      <c r="M1041" s="31">
        <v>0</v>
      </c>
      <c r="N1041" s="31">
        <v>0</v>
      </c>
      <c r="O1041" s="31">
        <v>0</v>
      </c>
      <c r="P1041" s="31">
        <v>0</v>
      </c>
      <c r="Q1041" s="31">
        <v>0</v>
      </c>
      <c r="R1041" s="31">
        <v>0</v>
      </c>
      <c r="S1041" s="31">
        <v>0</v>
      </c>
      <c r="T1041" s="21" cm="1">
        <f t="array" aca="1" ref="T1041" ca="1">+fair_value_gap(OFFSET(S1040,0,0,-1*$I$5,-1*$Z$1),OFFSET(E1040,0,0,-1*$I$5,1),F1041:S1041,0)</f>
        <v>19.880796148361462</v>
      </c>
      <c r="U1041" s="7" cm="1">
        <f t="array" aca="1" ref="U1041" ca="1">z_score_diff(OFFSET(T1041,0,0,$I$5*-1,1),OFFSET(E1041,0,0,$I$5*-1,1))</f>
        <v>-0.34020092548466069</v>
      </c>
      <c r="V1041" s="7">
        <f t="shared" ca="1" si="1127"/>
        <v>-0.36937687166540528</v>
      </c>
      <c r="W1041" s="14">
        <f t="shared" ca="1" si="1122"/>
        <v>-0.18284764671208453</v>
      </c>
      <c r="X1041" s="10">
        <f t="shared" ref="X1041:Y1041" ca="1" si="1138">+X1040</f>
        <v>0</v>
      </c>
      <c r="Y1041" s="10">
        <f t="shared" ca="1" si="1138"/>
        <v>0</v>
      </c>
      <c r="Z1041">
        <f t="shared" ca="1" si="1129"/>
        <v>1</v>
      </c>
      <c r="AA1041">
        <f t="shared" ca="1" si="1130"/>
        <v>0</v>
      </c>
      <c r="AB1041" s="19">
        <f t="shared" ca="1" si="1131"/>
        <v>-0.18284764671208453</v>
      </c>
      <c r="AC1041" s="19">
        <f t="shared" ca="1" si="1132"/>
        <v>0</v>
      </c>
    </row>
    <row r="1042" spans="3:29" x14ac:dyDescent="0.25">
      <c r="C1042" s="4">
        <v>1035</v>
      </c>
      <c r="D1042" s="28">
        <v>43480</v>
      </c>
      <c r="E1042" s="30">
        <v>21.998999999999999</v>
      </c>
      <c r="F1042" s="30">
        <v>53.127737865778869</v>
      </c>
      <c r="G1042" s="30">
        <v>7.6966882775538812</v>
      </c>
      <c r="H1042" s="30">
        <v>80.208515857718595</v>
      </c>
      <c r="I1042" s="8">
        <v>1</v>
      </c>
      <c r="J1042" s="31">
        <v>0</v>
      </c>
      <c r="K1042" s="31">
        <v>0</v>
      </c>
      <c r="L1042" s="31">
        <v>0</v>
      </c>
      <c r="M1042" s="31">
        <v>0</v>
      </c>
      <c r="N1042" s="31">
        <v>0</v>
      </c>
      <c r="O1042" s="31">
        <v>0</v>
      </c>
      <c r="P1042" s="31">
        <v>0</v>
      </c>
      <c r="Q1042" s="31">
        <v>0</v>
      </c>
      <c r="R1042" s="31">
        <v>0</v>
      </c>
      <c r="S1042" s="31">
        <v>0</v>
      </c>
      <c r="T1042" s="21" cm="1">
        <f t="array" aca="1" ref="T1042" ca="1">+fair_value_gap(OFFSET(S1041,0,0,-1*$I$5,-1*$Z$1),OFFSET(E1041,0,0,-1*$I$5,1),F1042:S1042,0)</f>
        <v>20.225236439496747</v>
      </c>
      <c r="U1042" s="7" cm="1">
        <f t="array" aca="1" ref="U1042" ca="1">z_score_diff(OFFSET(T1042,0,0,$I$5*-1,1),OFFSET(E1042,0,0,$I$5*-1,1))</f>
        <v>-0.32346640126275394</v>
      </c>
      <c r="V1042" s="7">
        <f t="shared" ca="1" si="1127"/>
        <v>-0.36858149915294902</v>
      </c>
      <c r="W1042" s="14">
        <f t="shared" ca="1" si="1122"/>
        <v>-0.21264159237935357</v>
      </c>
      <c r="X1042" s="10">
        <f t="shared" ref="X1042:Y1042" ca="1" si="1139">+X1041</f>
        <v>0</v>
      </c>
      <c r="Y1042" s="10">
        <f t="shared" ca="1" si="1139"/>
        <v>0</v>
      </c>
      <c r="Z1042">
        <f t="shared" ca="1" si="1129"/>
        <v>1</v>
      </c>
      <c r="AA1042">
        <f t="shared" ca="1" si="1130"/>
        <v>0</v>
      </c>
      <c r="AB1042" s="19">
        <f t="shared" ca="1" si="1131"/>
        <v>-0.21264159237935357</v>
      </c>
      <c r="AC1042" s="19">
        <f t="shared" ca="1" si="1132"/>
        <v>0</v>
      </c>
    </row>
    <row r="1043" spans="3:29" x14ac:dyDescent="0.25">
      <c r="C1043" s="4">
        <v>1036</v>
      </c>
      <c r="D1043" s="28">
        <v>43481</v>
      </c>
      <c r="E1043" s="30">
        <v>22.004999999999999</v>
      </c>
      <c r="F1043" s="30">
        <v>53.8036325348776</v>
      </c>
      <c r="G1043" s="30">
        <v>7.0851978590857243</v>
      </c>
      <c r="H1043" s="30">
        <v>81.117838027551116</v>
      </c>
      <c r="I1043" s="8">
        <v>1</v>
      </c>
      <c r="J1043" s="31">
        <v>0</v>
      </c>
      <c r="K1043" s="31">
        <v>0</v>
      </c>
      <c r="L1043" s="31">
        <v>0</v>
      </c>
      <c r="M1043" s="31">
        <v>0</v>
      </c>
      <c r="N1043" s="31">
        <v>0</v>
      </c>
      <c r="O1043" s="31">
        <v>0</v>
      </c>
      <c r="P1043" s="31">
        <v>0</v>
      </c>
      <c r="Q1043" s="31">
        <v>0</v>
      </c>
      <c r="R1043" s="31">
        <v>0</v>
      </c>
      <c r="S1043" s="31">
        <v>0</v>
      </c>
      <c r="T1043" s="21" cm="1">
        <f t="array" aca="1" ref="T1043" ca="1">+fair_value_gap(OFFSET(S1042,0,0,-1*$I$5,-1*$Z$1),OFFSET(E1042,0,0,-1*$I$5,1),F1043:S1043,0)</f>
        <v>20.408612468466018</v>
      </c>
      <c r="U1043" s="7" cm="1">
        <f t="array" aca="1" ref="U1043" ca="1">z_score_diff(OFFSET(T1043,0,0,$I$5*-1,1),OFFSET(E1043,0,0,$I$5*-1,1))</f>
        <v>-0.25887698562074341</v>
      </c>
      <c r="V1043" s="7">
        <f t="shared" ca="1" si="1127"/>
        <v>-0.36609274952516324</v>
      </c>
      <c r="W1043" s="14">
        <f t="shared" ca="1" si="1122"/>
        <v>-0.1996764664502092</v>
      </c>
      <c r="X1043" s="10">
        <f t="shared" ref="X1043:Y1043" ca="1" si="1140">+X1042</f>
        <v>0</v>
      </c>
      <c r="Y1043" s="10">
        <f t="shared" ca="1" si="1140"/>
        <v>0</v>
      </c>
      <c r="Z1043">
        <f t="shared" ca="1" si="1129"/>
        <v>1</v>
      </c>
      <c r="AA1043">
        <f t="shared" ca="1" si="1130"/>
        <v>0</v>
      </c>
      <c r="AB1043" s="19">
        <f t="shared" ca="1" si="1131"/>
        <v>-0.1996764664502092</v>
      </c>
      <c r="AC1043" s="19">
        <f t="shared" ca="1" si="1132"/>
        <v>0</v>
      </c>
    </row>
    <row r="1044" spans="3:29" x14ac:dyDescent="0.25">
      <c r="C1044" s="4">
        <v>1037</v>
      </c>
      <c r="D1044" s="28">
        <v>43482</v>
      </c>
      <c r="E1044" s="30">
        <v>22.994</v>
      </c>
      <c r="F1044" s="30">
        <v>53.690215006581838</v>
      </c>
      <c r="G1044" s="30">
        <v>7.2882843352347519</v>
      </c>
      <c r="H1044" s="30">
        <v>81.351469942957436</v>
      </c>
      <c r="I1044" s="8">
        <v>1</v>
      </c>
      <c r="J1044" s="31">
        <v>0</v>
      </c>
      <c r="K1044" s="31">
        <v>0</v>
      </c>
      <c r="L1044" s="31">
        <v>0</v>
      </c>
      <c r="M1044" s="31">
        <v>0</v>
      </c>
      <c r="N1044" s="31">
        <v>0</v>
      </c>
      <c r="O1044" s="31">
        <v>0</v>
      </c>
      <c r="P1044" s="31">
        <v>0</v>
      </c>
      <c r="Q1044" s="31">
        <v>0</v>
      </c>
      <c r="R1044" s="31">
        <v>0</v>
      </c>
      <c r="S1044" s="31">
        <v>0</v>
      </c>
      <c r="T1044" s="21" cm="1">
        <f t="array" aca="1" ref="T1044" ca="1">+fair_value_gap(OFFSET(S1043,0,0,-1*$I$5,-1*$Z$1),OFFSET(E1043,0,0,-1*$I$5,1),F1044:S1044,0)</f>
        <v>20.819525669664362</v>
      </c>
      <c r="U1044" s="7" cm="1">
        <f t="array" aca="1" ref="U1044" ca="1">z_score_diff(OFFSET(T1044,0,0,$I$5*-1,1),OFFSET(E1044,0,0,$I$5*-1,1))</f>
        <v>-0.44142184842962712</v>
      </c>
      <c r="V1044" s="7">
        <f t="shared" ca="1" si="1127"/>
        <v>-0.37632904356611407</v>
      </c>
      <c r="W1044" s="14">
        <f t="shared" ca="1" si="1122"/>
        <v>-0.25856614593649724</v>
      </c>
      <c r="X1044" s="10">
        <f t="shared" ref="X1044:Y1044" ca="1" si="1141">+X1043</f>
        <v>0</v>
      </c>
      <c r="Y1044" s="10">
        <f t="shared" ca="1" si="1141"/>
        <v>0</v>
      </c>
      <c r="Z1044">
        <f t="shared" ca="1" si="1129"/>
        <v>1</v>
      </c>
      <c r="AA1044">
        <f t="shared" ca="1" si="1130"/>
        <v>0</v>
      </c>
      <c r="AB1044" s="19">
        <f t="shared" ca="1" si="1131"/>
        <v>-0.25856614593649724</v>
      </c>
      <c r="AC1044" s="19">
        <f t="shared" ca="1" si="1132"/>
        <v>0</v>
      </c>
    </row>
    <row r="1045" spans="3:29" x14ac:dyDescent="0.25">
      <c r="C1045" s="4">
        <v>1038</v>
      </c>
      <c r="D1045" s="28">
        <v>43483</v>
      </c>
      <c r="E1045" s="30">
        <v>22.603999999999999</v>
      </c>
      <c r="F1045" s="30">
        <v>55.18880380248217</v>
      </c>
      <c r="G1045" s="30">
        <v>7.349705131590528</v>
      </c>
      <c r="H1045" s="30">
        <v>81.286858551183869</v>
      </c>
      <c r="I1045" s="8">
        <v>1</v>
      </c>
      <c r="J1045" s="31">
        <v>0</v>
      </c>
      <c r="K1045" s="31">
        <v>0</v>
      </c>
      <c r="L1045" s="31">
        <v>0</v>
      </c>
      <c r="M1045" s="31">
        <v>0</v>
      </c>
      <c r="N1045" s="31">
        <v>0</v>
      </c>
      <c r="O1045" s="31">
        <v>0</v>
      </c>
      <c r="P1045" s="31">
        <v>0</v>
      </c>
      <c r="Q1045" s="31">
        <v>0</v>
      </c>
      <c r="R1045" s="31">
        <v>0</v>
      </c>
      <c r="S1045" s="31">
        <v>0</v>
      </c>
      <c r="T1045" s="21" cm="1">
        <f t="array" aca="1" ref="T1045" ca="1">+fair_value_gap(OFFSET(S1044,0,0,-1*$I$5,-1*$Z$1),OFFSET(E1044,0,0,-1*$I$5,1),F1045:S1045,0)</f>
        <v>21.221869892935661</v>
      </c>
      <c r="U1045" s="7" cm="1">
        <f t="array" aca="1" ref="U1045" ca="1">z_score_diff(OFFSET(T1045,0,0,$I$5*-1,1),OFFSET(E1045,0,0,$I$5*-1,1))</f>
        <v>-0.16597128033910458</v>
      </c>
      <c r="V1045" s="7">
        <f t="shared" ca="1" si="1127"/>
        <v>-0.38704339221439743</v>
      </c>
      <c r="W1045" s="14">
        <f t="shared" ca="1" si="1122"/>
        <v>-0.22221494349581672</v>
      </c>
      <c r="X1045" s="10">
        <f t="shared" ref="X1045:Y1045" ca="1" si="1142">+X1044</f>
        <v>0</v>
      </c>
      <c r="Y1045" s="10">
        <f t="shared" ca="1" si="1142"/>
        <v>0</v>
      </c>
      <c r="Z1045">
        <f t="shared" ca="1" si="1129"/>
        <v>1</v>
      </c>
      <c r="AA1045">
        <f t="shared" ca="1" si="1130"/>
        <v>0</v>
      </c>
      <c r="AB1045" s="19">
        <f t="shared" ca="1" si="1131"/>
        <v>-0.22221494349581672</v>
      </c>
      <c r="AC1045" s="19">
        <f t="shared" ca="1" si="1132"/>
        <v>0</v>
      </c>
    </row>
    <row r="1046" spans="3:29" x14ac:dyDescent="0.25">
      <c r="C1046" s="4">
        <v>1039</v>
      </c>
      <c r="D1046" s="28">
        <v>43486</v>
      </c>
      <c r="E1046" s="30">
        <v>21.774000000000001</v>
      </c>
      <c r="F1046" s="30">
        <v>55.209433298134456</v>
      </c>
      <c r="G1046" s="30">
        <v>7.3477648715241104</v>
      </c>
      <c r="H1046" s="30">
        <v>80.64941921858501</v>
      </c>
      <c r="I1046" s="8">
        <v>1</v>
      </c>
      <c r="J1046" s="31">
        <v>0</v>
      </c>
      <c r="K1046" s="31">
        <v>0</v>
      </c>
      <c r="L1046" s="31">
        <v>0</v>
      </c>
      <c r="M1046" s="31">
        <v>0</v>
      </c>
      <c r="N1046" s="31">
        <v>0</v>
      </c>
      <c r="O1046" s="31">
        <v>0</v>
      </c>
      <c r="P1046" s="31">
        <v>0</v>
      </c>
      <c r="Q1046" s="31">
        <v>0</v>
      </c>
      <c r="R1046" s="31">
        <v>0</v>
      </c>
      <c r="S1046" s="31">
        <v>0</v>
      </c>
      <c r="T1046" s="21" cm="1">
        <f t="array" aca="1" ref="T1046" ca="1">+fair_value_gap(OFFSET(S1045,0,0,-1*$I$5,-1*$Z$1),OFFSET(E1045,0,0,-1*$I$5,1),F1046:S1046,0)</f>
        <v>21.399368481788748</v>
      </c>
      <c r="U1046" s="7" cm="1">
        <f t="array" aca="1" ref="U1046" ca="1">z_score_diff(OFFSET(T1046,0,0,$I$5*-1,1),OFFSET(E1046,0,0,$I$5*-1,1))</f>
        <v>0.17972159726434861</v>
      </c>
      <c r="V1046" s="7">
        <f t="shared" ca="1" si="1127"/>
        <v>-0.37788928769005631</v>
      </c>
      <c r="W1046" s="14">
        <f t="shared" ca="1" si="1122"/>
        <v>-0.22258111191944385</v>
      </c>
      <c r="X1046" s="10">
        <f t="shared" ref="X1046:Y1046" ca="1" si="1143">+X1045</f>
        <v>0</v>
      </c>
      <c r="Y1046" s="10">
        <f t="shared" ca="1" si="1143"/>
        <v>0</v>
      </c>
      <c r="Z1046">
        <f t="shared" ca="1" si="1129"/>
        <v>1</v>
      </c>
      <c r="AA1046">
        <f t="shared" ca="1" si="1130"/>
        <v>0</v>
      </c>
      <c r="AB1046" s="19">
        <f t="shared" ca="1" si="1131"/>
        <v>-0.22258111191944385</v>
      </c>
      <c r="AC1046" s="19">
        <f t="shared" ca="1" si="1132"/>
        <v>0</v>
      </c>
    </row>
    <row r="1047" spans="3:29" x14ac:dyDescent="0.25">
      <c r="C1047" s="4">
        <v>1040</v>
      </c>
      <c r="D1047" s="28">
        <v>43487</v>
      </c>
      <c r="E1047" s="30">
        <v>21.812999999999999</v>
      </c>
      <c r="F1047" s="30">
        <v>54.146856840993138</v>
      </c>
      <c r="G1047" s="30">
        <v>7.1711568938193349</v>
      </c>
      <c r="H1047" s="30">
        <v>80.471914069378428</v>
      </c>
      <c r="I1047" s="8">
        <v>1</v>
      </c>
      <c r="J1047" s="31">
        <v>0</v>
      </c>
      <c r="K1047" s="31">
        <v>0</v>
      </c>
      <c r="L1047" s="31">
        <v>0</v>
      </c>
      <c r="M1047" s="31">
        <v>0</v>
      </c>
      <c r="N1047" s="31">
        <v>0</v>
      </c>
      <c r="O1047" s="31">
        <v>0</v>
      </c>
      <c r="P1047" s="31">
        <v>0</v>
      </c>
      <c r="Q1047" s="31">
        <v>0</v>
      </c>
      <c r="R1047" s="31">
        <v>0</v>
      </c>
      <c r="S1047" s="31">
        <v>0</v>
      </c>
      <c r="T1047" s="21" cm="1">
        <f t="array" aca="1" ref="T1047" ca="1">+fair_value_gap(OFFSET(S1046,0,0,-1*$I$5,-1*$Z$1),OFFSET(E1046,0,0,-1*$I$5,1),F1047:S1047,0)</f>
        <v>21.50742894657575</v>
      </c>
      <c r="U1047" s="7" cm="1">
        <f t="array" aca="1" ref="U1047" ca="1">z_score_diff(OFFSET(T1047,0,0,$I$5*-1,1),OFFSET(E1047,0,0,$I$5*-1,1))</f>
        <v>0.20790974714101146</v>
      </c>
      <c r="V1047" s="7">
        <f t="shared" ca="1" si="1127"/>
        <v>-0.3586084002019802</v>
      </c>
      <c r="W1047" s="14">
        <f t="shared" ca="1" si="1122"/>
        <v>-0.20877200559288811</v>
      </c>
      <c r="X1047" s="10">
        <f t="shared" ref="X1047:Y1047" ca="1" si="1144">+X1046</f>
        <v>0</v>
      </c>
      <c r="Y1047" s="10">
        <f t="shared" ca="1" si="1144"/>
        <v>0</v>
      </c>
      <c r="Z1047">
        <f t="shared" ca="1" si="1129"/>
        <v>1</v>
      </c>
      <c r="AA1047">
        <f t="shared" ca="1" si="1130"/>
        <v>0</v>
      </c>
      <c r="AB1047" s="19">
        <f t="shared" ca="1" si="1131"/>
        <v>-0.20877200559288811</v>
      </c>
      <c r="AC1047" s="19">
        <f t="shared" ca="1" si="1132"/>
        <v>0</v>
      </c>
    </row>
    <row r="1048" spans="3:29" x14ac:dyDescent="0.25">
      <c r="C1048" s="4">
        <v>1041</v>
      </c>
      <c r="D1048" s="28">
        <v>43488</v>
      </c>
      <c r="E1048" s="30">
        <v>22.190999999999999</v>
      </c>
      <c r="F1048" s="30">
        <v>53.725834797891039</v>
      </c>
      <c r="G1048" s="30">
        <v>7.1616871704745177</v>
      </c>
      <c r="H1048" s="30">
        <v>80.184534270650275</v>
      </c>
      <c r="I1048" s="8">
        <v>1</v>
      </c>
      <c r="J1048" s="31">
        <v>0</v>
      </c>
      <c r="K1048" s="31">
        <v>0</v>
      </c>
      <c r="L1048" s="31">
        <v>0</v>
      </c>
      <c r="M1048" s="31">
        <v>0</v>
      </c>
      <c r="N1048" s="31">
        <v>0</v>
      </c>
      <c r="O1048" s="31">
        <v>0</v>
      </c>
      <c r="P1048" s="31">
        <v>0</v>
      </c>
      <c r="Q1048" s="31">
        <v>0</v>
      </c>
      <c r="R1048" s="31">
        <v>0</v>
      </c>
      <c r="S1048" s="31">
        <v>0</v>
      </c>
      <c r="T1048" s="21" cm="1">
        <f t="array" aca="1" ref="T1048" ca="1">+fair_value_gap(OFFSET(S1047,0,0,-1*$I$5,-1*$Z$1),OFFSET(E1047,0,0,-1*$I$5,1),F1048:S1048,0)</f>
        <v>21.699865391084053</v>
      </c>
      <c r="U1048" s="7" cm="1">
        <f t="array" aca="1" ref="U1048" ca="1">z_score_diff(OFFSET(T1048,0,0,$I$5*-1,1),OFFSET(E1048,0,0,$I$5*-1,1))</f>
        <v>0.14933046181962675</v>
      </c>
      <c r="V1048" s="7">
        <f t="shared" ca="1" si="1127"/>
        <v>-0.33959035694689776</v>
      </c>
      <c r="W1048" s="14">
        <f t="shared" ca="1" si="1122"/>
        <v>-0.20134687372849883</v>
      </c>
      <c r="X1048" s="10">
        <f t="shared" ref="X1048:Y1048" ca="1" si="1145">+X1047</f>
        <v>0</v>
      </c>
      <c r="Y1048" s="10">
        <f t="shared" ca="1" si="1145"/>
        <v>0</v>
      </c>
      <c r="Z1048">
        <f t="shared" ca="1" si="1129"/>
        <v>1</v>
      </c>
      <c r="AA1048">
        <f t="shared" ca="1" si="1130"/>
        <v>0</v>
      </c>
      <c r="AB1048" s="19">
        <f t="shared" ca="1" si="1131"/>
        <v>-0.20134687372849883</v>
      </c>
      <c r="AC1048" s="19">
        <f t="shared" ca="1" si="1132"/>
        <v>0</v>
      </c>
    </row>
    <row r="1049" spans="3:29" x14ac:dyDescent="0.25">
      <c r="C1049" s="4">
        <v>1042</v>
      </c>
      <c r="D1049" s="28">
        <v>43489</v>
      </c>
      <c r="E1049" s="30">
        <v>21.279</v>
      </c>
      <c r="F1049" s="30">
        <v>54.038036267138438</v>
      </c>
      <c r="G1049" s="30">
        <v>7.098628925254312</v>
      </c>
      <c r="H1049" s="30">
        <v>80.628040689960201</v>
      </c>
      <c r="I1049" s="8">
        <v>1</v>
      </c>
      <c r="J1049" s="31">
        <v>0</v>
      </c>
      <c r="K1049" s="31">
        <v>0</v>
      </c>
      <c r="L1049" s="31">
        <v>0</v>
      </c>
      <c r="M1049" s="31">
        <v>0</v>
      </c>
      <c r="N1049" s="31">
        <v>0</v>
      </c>
      <c r="O1049" s="31">
        <v>0</v>
      </c>
      <c r="P1049" s="31">
        <v>0</v>
      </c>
      <c r="Q1049" s="31">
        <v>0</v>
      </c>
      <c r="R1049" s="31">
        <v>0</v>
      </c>
      <c r="S1049" s="31">
        <v>0</v>
      </c>
      <c r="T1049" s="21" cm="1">
        <f t="array" aca="1" ref="T1049" ca="1">+fair_value_gap(OFFSET(S1048,0,0,-1*$I$5,-1*$Z$1),OFFSET(E1048,0,0,-1*$I$5,1),F1049:S1049,0)</f>
        <v>22.051014712740379</v>
      </c>
      <c r="U1049" s="7" cm="1">
        <f t="array" aca="1" ref="U1049" ca="1">z_score_diff(OFFSET(T1049,0,0,$I$5*-1,1),OFFSET(E1049,0,0,$I$5*-1,1))</f>
        <v>0.5899619519586583</v>
      </c>
      <c r="V1049" s="7">
        <f t="shared" ca="1" si="1127"/>
        <v>-0.30534653499172343</v>
      </c>
      <c r="W1049" s="14">
        <f t="shared" ca="1" si="1122"/>
        <v>-0.19432050938310888</v>
      </c>
      <c r="X1049" s="10">
        <f t="shared" ref="X1049:Y1049" ca="1" si="1146">+X1048</f>
        <v>0</v>
      </c>
      <c r="Y1049" s="10">
        <f t="shared" ca="1" si="1146"/>
        <v>0</v>
      </c>
      <c r="Z1049">
        <f t="shared" ca="1" si="1129"/>
        <v>1</v>
      </c>
      <c r="AA1049">
        <f t="shared" ca="1" si="1130"/>
        <v>0</v>
      </c>
      <c r="AB1049" s="19">
        <f t="shared" ca="1" si="1131"/>
        <v>-0.19432050938310888</v>
      </c>
      <c r="AC1049" s="19">
        <f t="shared" ca="1" si="1132"/>
        <v>0</v>
      </c>
    </row>
    <row r="1050" spans="3:29" x14ac:dyDescent="0.25">
      <c r="C1050" s="4">
        <v>1043</v>
      </c>
      <c r="D1050" s="28">
        <v>43490</v>
      </c>
      <c r="E1050" s="30">
        <v>20.888999999999999</v>
      </c>
      <c r="F1050" s="30">
        <v>54.013319313003855</v>
      </c>
      <c r="G1050" s="30">
        <v>6.8305292674377851</v>
      </c>
      <c r="H1050" s="30">
        <v>79.69681037504381</v>
      </c>
      <c r="I1050" s="8">
        <v>1</v>
      </c>
      <c r="J1050" s="31">
        <v>0</v>
      </c>
      <c r="K1050" s="31">
        <v>0</v>
      </c>
      <c r="L1050" s="31">
        <v>0</v>
      </c>
      <c r="M1050" s="31">
        <v>0</v>
      </c>
      <c r="N1050" s="31">
        <v>0</v>
      </c>
      <c r="O1050" s="31">
        <v>0</v>
      </c>
      <c r="P1050" s="31">
        <v>0</v>
      </c>
      <c r="Q1050" s="31">
        <v>0</v>
      </c>
      <c r="R1050" s="31">
        <v>0</v>
      </c>
      <c r="S1050" s="31">
        <v>0</v>
      </c>
      <c r="T1050" s="21" cm="1">
        <f t="array" aca="1" ref="T1050" ca="1">+fair_value_gap(OFFSET(S1049,0,0,-1*$I$5,-1*$Z$1),OFFSET(E1049,0,0,-1*$I$5,1),F1050:S1050,0)</f>
        <v>21.691168512453643</v>
      </c>
      <c r="U1050" s="7" cm="1">
        <f t="array" aca="1" ref="U1050" ca="1">z_score_diff(OFFSET(T1050,0,0,$I$5*-1,1),OFFSET(E1050,0,0,$I$5*-1,1))</f>
        <v>0.5954625962375294</v>
      </c>
      <c r="V1050" s="7">
        <f t="shared" ca="1" si="1127"/>
        <v>-0.28889803108371448</v>
      </c>
      <c r="W1050" s="14">
        <f t="shared" ca="1" si="1122"/>
        <v>-0.1925126174675568</v>
      </c>
      <c r="X1050" s="10">
        <f t="shared" ref="X1050:Y1050" ca="1" si="1147">+X1049</f>
        <v>0</v>
      </c>
      <c r="Y1050" s="10">
        <f t="shared" ca="1" si="1147"/>
        <v>0</v>
      </c>
      <c r="Z1050">
        <f t="shared" ca="1" si="1129"/>
        <v>1</v>
      </c>
      <c r="AA1050">
        <f t="shared" ca="1" si="1130"/>
        <v>0</v>
      </c>
      <c r="AB1050" s="19">
        <f t="shared" ca="1" si="1131"/>
        <v>-0.1925126174675568</v>
      </c>
      <c r="AC1050" s="19">
        <f t="shared" ca="1" si="1132"/>
        <v>0</v>
      </c>
    </row>
    <row r="1051" spans="3:29" x14ac:dyDescent="0.25">
      <c r="C1051" s="4">
        <v>1044</v>
      </c>
      <c r="D1051" s="28">
        <v>43493</v>
      </c>
      <c r="E1051" s="30">
        <v>20.552</v>
      </c>
      <c r="F1051" s="30">
        <v>52.418437855331057</v>
      </c>
      <c r="G1051" s="30">
        <v>6.7305169246916821</v>
      </c>
      <c r="H1051" s="30">
        <v>79.244292836525844</v>
      </c>
      <c r="I1051" s="8">
        <v>1</v>
      </c>
      <c r="J1051" s="31">
        <v>0</v>
      </c>
      <c r="K1051" s="31">
        <v>0</v>
      </c>
      <c r="L1051" s="31">
        <v>0</v>
      </c>
      <c r="M1051" s="31">
        <v>0</v>
      </c>
      <c r="N1051" s="31">
        <v>0</v>
      </c>
      <c r="O1051" s="31">
        <v>0</v>
      </c>
      <c r="P1051" s="31">
        <v>0</v>
      </c>
      <c r="Q1051" s="31">
        <v>0</v>
      </c>
      <c r="R1051" s="31">
        <v>0</v>
      </c>
      <c r="S1051" s="31">
        <v>0</v>
      </c>
      <c r="T1051" s="21" cm="1">
        <f t="array" aca="1" ref="T1051" ca="1">+fair_value_gap(OFFSET(S1050,0,0,-1*$I$5,-1*$Z$1),OFFSET(E1050,0,0,-1*$I$5,1),F1051:S1051,0)</f>
        <v>21.3496901531147</v>
      </c>
      <c r="U1051" s="7" cm="1">
        <f t="array" aca="1" ref="U1051" ca="1">z_score_diff(OFFSET(T1051,0,0,$I$5*-1,1),OFFSET(E1051,0,0,$I$5*-1,1))</f>
        <v>0.59107308846227569</v>
      </c>
      <c r="V1051" s="7">
        <f t="shared" ca="1" si="1127"/>
        <v>-0.28080680011518072</v>
      </c>
      <c r="W1051" s="14">
        <f t="shared" ca="1" si="1122"/>
        <v>-0.19292644203130993</v>
      </c>
      <c r="X1051" s="10">
        <f t="shared" ref="X1051:Y1051" ca="1" si="1148">+X1050</f>
        <v>0</v>
      </c>
      <c r="Y1051" s="10">
        <f t="shared" ca="1" si="1148"/>
        <v>0</v>
      </c>
      <c r="Z1051">
        <f t="shared" ca="1" si="1129"/>
        <v>1</v>
      </c>
      <c r="AA1051">
        <f t="shared" ca="1" si="1130"/>
        <v>0</v>
      </c>
      <c r="AB1051" s="19">
        <f t="shared" ca="1" si="1131"/>
        <v>-0.19292644203130993</v>
      </c>
      <c r="AC1051" s="19">
        <f t="shared" ca="1" si="1132"/>
        <v>0</v>
      </c>
    </row>
    <row r="1052" spans="3:29" x14ac:dyDescent="0.25">
      <c r="C1052" s="4">
        <v>1045</v>
      </c>
      <c r="D1052" s="28">
        <v>43494</v>
      </c>
      <c r="E1052" s="30">
        <v>20.585999999999999</v>
      </c>
      <c r="F1052" s="30">
        <v>53.648293963254595</v>
      </c>
      <c r="G1052" s="30">
        <v>6.5660542432195976</v>
      </c>
      <c r="H1052" s="30">
        <v>79.221347331583544</v>
      </c>
      <c r="I1052" s="8">
        <v>1</v>
      </c>
      <c r="J1052" s="31">
        <v>0</v>
      </c>
      <c r="K1052" s="31">
        <v>0</v>
      </c>
      <c r="L1052" s="31">
        <v>0</v>
      </c>
      <c r="M1052" s="31">
        <v>0</v>
      </c>
      <c r="N1052" s="31">
        <v>0</v>
      </c>
      <c r="O1052" s="31">
        <v>0</v>
      </c>
      <c r="P1052" s="31">
        <v>0</v>
      </c>
      <c r="Q1052" s="31">
        <v>0</v>
      </c>
      <c r="R1052" s="31">
        <v>0</v>
      </c>
      <c r="S1052" s="31">
        <v>0</v>
      </c>
      <c r="T1052" s="21" cm="1">
        <f t="array" aca="1" ref="T1052" ca="1">+fair_value_gap(OFFSET(S1051,0,0,-1*$I$5,-1*$Z$1),OFFSET(E1051,0,0,-1*$I$5,1),F1052:S1052,0)</f>
        <v>21.303699231856392</v>
      </c>
      <c r="U1052" s="7" cm="1">
        <f t="array" aca="1" ref="U1052" ca="1">z_score_diff(OFFSET(T1052,0,0,$I$5*-1,1),OFFSET(E1052,0,0,$I$5*-1,1))</f>
        <v>0.56393864557845519</v>
      </c>
      <c r="V1052" s="7">
        <f t="shared" ca="1" si="1127"/>
        <v>-0.28944155176291886</v>
      </c>
      <c r="W1052" s="14">
        <f t="shared" ca="1" si="1122"/>
        <v>-0.18881299746670191</v>
      </c>
      <c r="X1052" s="10">
        <f t="shared" ref="X1052:Y1052" ca="1" si="1149">+X1051</f>
        <v>0</v>
      </c>
      <c r="Y1052" s="10">
        <f t="shared" ca="1" si="1149"/>
        <v>0</v>
      </c>
      <c r="Z1052">
        <f t="shared" ca="1" si="1129"/>
        <v>1</v>
      </c>
      <c r="AA1052">
        <f t="shared" ca="1" si="1130"/>
        <v>0</v>
      </c>
      <c r="AB1052" s="19">
        <f t="shared" ca="1" si="1131"/>
        <v>-0.18881299746670191</v>
      </c>
      <c r="AC1052" s="19">
        <f t="shared" ca="1" si="1132"/>
        <v>0</v>
      </c>
    </row>
    <row r="1053" spans="3:29" x14ac:dyDescent="0.25">
      <c r="C1053" s="4">
        <v>1046</v>
      </c>
      <c r="D1053" s="28">
        <v>43495</v>
      </c>
      <c r="E1053" s="30">
        <v>20.181000000000001</v>
      </c>
      <c r="F1053" s="30">
        <v>53.716127907989893</v>
      </c>
      <c r="G1053" s="30">
        <v>6.4171821904678925</v>
      </c>
      <c r="H1053" s="30">
        <v>78.722662716737815</v>
      </c>
      <c r="I1053" s="8">
        <v>1</v>
      </c>
      <c r="J1053" s="31">
        <v>0</v>
      </c>
      <c r="K1053" s="31">
        <v>0</v>
      </c>
      <c r="L1053" s="31">
        <v>0</v>
      </c>
      <c r="M1053" s="31">
        <v>0</v>
      </c>
      <c r="N1053" s="31">
        <v>0</v>
      </c>
      <c r="O1053" s="31">
        <v>0</v>
      </c>
      <c r="P1053" s="31">
        <v>0</v>
      </c>
      <c r="Q1053" s="31">
        <v>0</v>
      </c>
      <c r="R1053" s="31">
        <v>0</v>
      </c>
      <c r="S1053" s="31">
        <v>0</v>
      </c>
      <c r="T1053" s="21" cm="1">
        <f t="array" aca="1" ref="T1053" ca="1">+fair_value_gap(OFFSET(S1052,0,0,-1*$I$5,-1*$Z$1),OFFSET(E1052,0,0,-1*$I$5,1),F1053:S1053,0)</f>
        <v>21.074221660127627</v>
      </c>
      <c r="U1053" s="7" cm="1">
        <f t="array" aca="1" ref="U1053" ca="1">z_score_diff(OFFSET(T1053,0,0,$I$5*-1,1),OFFSET(E1053,0,0,$I$5*-1,1))</f>
        <v>0.62141447441156239</v>
      </c>
      <c r="V1053" s="7">
        <f t="shared" ca="1" si="1127"/>
        <v>-0.19215381327069334</v>
      </c>
      <c r="W1053" s="14">
        <f t="shared" ca="1" si="1122"/>
        <v>-0.13587722276657518</v>
      </c>
      <c r="X1053" s="10">
        <f t="shared" ref="X1053:Y1053" ca="1" si="1150">+X1052</f>
        <v>0</v>
      </c>
      <c r="Y1053" s="10">
        <f t="shared" ca="1" si="1150"/>
        <v>0</v>
      </c>
      <c r="Z1053">
        <f t="shared" ca="1" si="1129"/>
        <v>1</v>
      </c>
      <c r="AA1053">
        <f t="shared" ca="1" si="1130"/>
        <v>0</v>
      </c>
      <c r="AB1053" s="19">
        <f t="shared" ca="1" si="1131"/>
        <v>-0.13587722276657518</v>
      </c>
      <c r="AC1053" s="19">
        <f t="shared" ca="1" si="1132"/>
        <v>0</v>
      </c>
    </row>
    <row r="1054" spans="3:29" x14ac:dyDescent="0.25">
      <c r="C1054" s="4">
        <v>1047</v>
      </c>
      <c r="D1054" s="28">
        <v>43496</v>
      </c>
      <c r="E1054" s="30">
        <v>19.852</v>
      </c>
      <c r="F1054" s="30">
        <v>54.080740999650466</v>
      </c>
      <c r="G1054" s="30">
        <v>6.4225795176511697</v>
      </c>
      <c r="H1054" s="30">
        <v>78.250611674239764</v>
      </c>
      <c r="I1054" s="8">
        <v>1</v>
      </c>
      <c r="J1054" s="31">
        <v>0</v>
      </c>
      <c r="K1054" s="31">
        <v>0</v>
      </c>
      <c r="L1054" s="31">
        <v>0</v>
      </c>
      <c r="M1054" s="31">
        <v>0</v>
      </c>
      <c r="N1054" s="31">
        <v>0</v>
      </c>
      <c r="O1054" s="31">
        <v>0</v>
      </c>
      <c r="P1054" s="31">
        <v>0</v>
      </c>
      <c r="Q1054" s="31">
        <v>0</v>
      </c>
      <c r="R1054" s="31">
        <v>0</v>
      </c>
      <c r="S1054" s="31">
        <v>0</v>
      </c>
      <c r="T1054" s="21" cm="1">
        <f t="array" aca="1" ref="T1054" ca="1">+fair_value_gap(OFFSET(S1053,0,0,-1*$I$5,-1*$Z$1),OFFSET(E1053,0,0,-1*$I$5,1),F1054:S1054,0)</f>
        <v>20.959027675889899</v>
      </c>
      <c r="U1054" s="7" cm="1">
        <f t="array" aca="1" ref="U1054" ca="1">z_score_diff(OFFSET(T1054,0,0,$I$5*-1,1),OFFSET(E1054,0,0,$I$5*-1,1))</f>
        <v>0.69479211793336493</v>
      </c>
      <c r="V1054" s="7">
        <f t="shared" ca="1" si="1127"/>
        <v>-0.10043865756360364</v>
      </c>
      <c r="W1054" s="14">
        <f t="shared" ca="1" si="1122"/>
        <v>-0.10832009271551662</v>
      </c>
      <c r="X1054" s="10">
        <f t="shared" ref="X1054:Y1054" ca="1" si="1151">+X1053</f>
        <v>0</v>
      </c>
      <c r="Y1054" s="10">
        <f t="shared" ca="1" si="1151"/>
        <v>0</v>
      </c>
      <c r="Z1054">
        <f t="shared" ca="1" si="1129"/>
        <v>1</v>
      </c>
      <c r="AA1054">
        <f t="shared" ca="1" si="1130"/>
        <v>0</v>
      </c>
      <c r="AB1054" s="19">
        <f t="shared" ca="1" si="1131"/>
        <v>-0.10832009271551662</v>
      </c>
      <c r="AC1054" s="19">
        <f t="shared" ca="1" si="1132"/>
        <v>0</v>
      </c>
    </row>
    <row r="1055" spans="3:29" x14ac:dyDescent="0.25">
      <c r="C1055" s="4">
        <v>1048</v>
      </c>
      <c r="D1055" s="28">
        <v>43497</v>
      </c>
      <c r="E1055" s="30">
        <v>19.298999999999999</v>
      </c>
      <c r="F1055" s="30">
        <v>54.784354810546539</v>
      </c>
      <c r="G1055" s="30">
        <v>6.2860136196961767</v>
      </c>
      <c r="H1055" s="30">
        <v>76.567138117688145</v>
      </c>
      <c r="I1055" s="8">
        <v>0</v>
      </c>
      <c r="J1055" s="31">
        <v>1</v>
      </c>
      <c r="K1055" s="31">
        <v>0</v>
      </c>
      <c r="L1055" s="31">
        <v>0</v>
      </c>
      <c r="M1055" s="31">
        <v>0</v>
      </c>
      <c r="N1055" s="31">
        <v>0</v>
      </c>
      <c r="O1055" s="31">
        <v>0</v>
      </c>
      <c r="P1055" s="31">
        <v>0</v>
      </c>
      <c r="Q1055" s="31">
        <v>0</v>
      </c>
      <c r="R1055" s="31">
        <v>0</v>
      </c>
      <c r="S1055" s="31">
        <v>0</v>
      </c>
      <c r="T1055" s="21" cm="1">
        <f t="array" aca="1" ref="T1055" ca="1">+fair_value_gap(OFFSET(S1054,0,0,-1*$I$5,-1*$Z$1),OFFSET(E1054,0,0,-1*$I$5,1),F1055:S1055,0)</f>
        <v>18.305813735954747</v>
      </c>
      <c r="U1055" s="7" cm="1">
        <f t="array" aca="1" ref="U1055" ca="1">z_score_diff(OFFSET(T1055,0,0,$I$5*-1,1),OFFSET(E1055,0,0,$I$5*-1,1))</f>
        <v>-8.4547890505500378E-2</v>
      </c>
      <c r="V1055" s="7">
        <f t="shared" ca="1" si="1127"/>
        <v>-4.3693471263906769E-2</v>
      </c>
      <c r="W1055" s="14">
        <f t="shared" ca="1" si="1122"/>
        <v>-0.10813364290882976</v>
      </c>
      <c r="X1055" s="10">
        <f t="shared" ref="X1055:Y1055" ca="1" si="1152">+X1054</f>
        <v>0</v>
      </c>
      <c r="Y1055" s="10">
        <f t="shared" ca="1" si="1152"/>
        <v>0</v>
      </c>
      <c r="Z1055">
        <f t="shared" ca="1" si="1129"/>
        <v>1</v>
      </c>
      <c r="AA1055">
        <f t="shared" ca="1" si="1130"/>
        <v>0</v>
      </c>
      <c r="AB1055" s="19">
        <f t="shared" ca="1" si="1131"/>
        <v>-0.10813364290882976</v>
      </c>
      <c r="AC1055" s="19">
        <f t="shared" ca="1" si="1132"/>
        <v>0</v>
      </c>
    </row>
    <row r="1056" spans="3:29" x14ac:dyDescent="0.25">
      <c r="C1056" s="4">
        <v>1049</v>
      </c>
      <c r="D1056" s="28">
        <v>43500</v>
      </c>
      <c r="E1056" s="30">
        <v>19.355</v>
      </c>
      <c r="F1056" s="30">
        <v>54.665500655881068</v>
      </c>
      <c r="G1056" s="30">
        <v>6.3839090511587235</v>
      </c>
      <c r="H1056" s="30">
        <v>76.694359422824661</v>
      </c>
      <c r="I1056" s="8">
        <v>0</v>
      </c>
      <c r="J1056" s="31">
        <v>1</v>
      </c>
      <c r="K1056" s="31">
        <v>0</v>
      </c>
      <c r="L1056" s="31">
        <v>0</v>
      </c>
      <c r="M1056" s="31">
        <v>0</v>
      </c>
      <c r="N1056" s="31">
        <v>0</v>
      </c>
      <c r="O1056" s="31">
        <v>0</v>
      </c>
      <c r="P1056" s="31">
        <v>0</v>
      </c>
      <c r="Q1056" s="31">
        <v>0</v>
      </c>
      <c r="R1056" s="31">
        <v>0</v>
      </c>
      <c r="S1056" s="31">
        <v>0</v>
      </c>
      <c r="T1056" s="21" cm="1">
        <f t="array" aca="1" ref="T1056" ca="1">+fair_value_gap(OFFSET(S1055,0,0,-1*$I$5,-1*$Z$1),OFFSET(E1055,0,0,-1*$I$5,1),F1056:S1056,0)</f>
        <v>18.531473961667555</v>
      </c>
      <c r="U1056" s="7" cm="1">
        <f t="array" aca="1" ref="U1056" ca="1">z_score_diff(OFFSET(T1056,0,0,$I$5*-1,1),OFFSET(E1056,0,0,$I$5*-1,1))</f>
        <v>-1.9143805315569473E-2</v>
      </c>
      <c r="V1056" s="7">
        <f t="shared" ca="1" si="1127"/>
        <v>-7.338573474446863E-3</v>
      </c>
      <c r="W1056" s="14">
        <f t="shared" ca="1" si="1122"/>
        <v>-0.10648057780912819</v>
      </c>
      <c r="X1056" s="10">
        <f t="shared" ref="X1056:Y1056" ca="1" si="1153">+X1055</f>
        <v>0</v>
      </c>
      <c r="Y1056" s="10">
        <f t="shared" ca="1" si="1153"/>
        <v>0</v>
      </c>
      <c r="Z1056">
        <f t="shared" ca="1" si="1129"/>
        <v>1</v>
      </c>
      <c r="AA1056">
        <f t="shared" ca="1" si="1130"/>
        <v>0</v>
      </c>
      <c r="AB1056" s="19">
        <f t="shared" ca="1" si="1131"/>
        <v>-0.10648057780912819</v>
      </c>
      <c r="AC1056" s="19">
        <f t="shared" ca="1" si="1132"/>
        <v>0</v>
      </c>
    </row>
    <row r="1057" spans="3:29" x14ac:dyDescent="0.25">
      <c r="C1057" s="4">
        <v>1050</v>
      </c>
      <c r="D1057" s="28">
        <v>43501</v>
      </c>
      <c r="E1057" s="30">
        <v>19.138000000000002</v>
      </c>
      <c r="F1057" s="30">
        <v>54.311251314405887</v>
      </c>
      <c r="G1057" s="30">
        <v>6.3967753242201191</v>
      </c>
      <c r="H1057" s="30">
        <v>76.235541535226076</v>
      </c>
      <c r="I1057" s="8">
        <v>0</v>
      </c>
      <c r="J1057" s="31">
        <v>1</v>
      </c>
      <c r="K1057" s="31">
        <v>0</v>
      </c>
      <c r="L1057" s="31">
        <v>0</v>
      </c>
      <c r="M1057" s="31">
        <v>0</v>
      </c>
      <c r="N1057" s="31">
        <v>0</v>
      </c>
      <c r="O1057" s="31">
        <v>0</v>
      </c>
      <c r="P1057" s="31">
        <v>0</v>
      </c>
      <c r="Q1057" s="31">
        <v>0</v>
      </c>
      <c r="R1057" s="31">
        <v>0</v>
      </c>
      <c r="S1057" s="31">
        <v>0</v>
      </c>
      <c r="T1057" s="21" cm="1">
        <f t="array" aca="1" ref="T1057" ca="1">+fair_value_gap(OFFSET(S1056,0,0,-1*$I$5,-1*$Z$1),OFFSET(E1056,0,0,-1*$I$5,1),F1057:S1057,0)</f>
        <v>18.571247400375984</v>
      </c>
      <c r="U1057" s="7" cm="1">
        <f t="array" aca="1" ref="U1057" ca="1">z_score_diff(OFFSET(T1057,0,0,$I$5*-1,1),OFFSET(E1057,0,0,$I$5*-1,1))</f>
        <v>7.2077974270061462E-2</v>
      </c>
      <c r="V1057" s="7">
        <f t="shared" ca="1" si="1127"/>
        <v>3.7818842730977721E-2</v>
      </c>
      <c r="W1057" s="14">
        <f t="shared" ca="1" si="1122"/>
        <v>-0.10787176527724122</v>
      </c>
      <c r="X1057" s="10">
        <f t="shared" ref="X1057:Y1057" ca="1" si="1154">+X1056</f>
        <v>0</v>
      </c>
      <c r="Y1057" s="10">
        <f t="shared" ca="1" si="1154"/>
        <v>0</v>
      </c>
      <c r="Z1057">
        <f t="shared" ca="1" si="1129"/>
        <v>0</v>
      </c>
      <c r="AA1057">
        <f t="shared" ca="1" si="1130"/>
        <v>1</v>
      </c>
      <c r="AB1057" s="19">
        <f t="shared" ca="1" si="1131"/>
        <v>0</v>
      </c>
      <c r="AC1057" s="19">
        <f t="shared" ca="1" si="1132"/>
        <v>-0.10787176527724122</v>
      </c>
    </row>
    <row r="1058" spans="3:29" x14ac:dyDescent="0.25">
      <c r="C1058" s="4">
        <v>1051</v>
      </c>
      <c r="D1058" s="28">
        <v>43502</v>
      </c>
      <c r="E1058" s="30">
        <v>18.916</v>
      </c>
      <c r="F1058" s="30">
        <v>55.184859154929583</v>
      </c>
      <c r="G1058" s="30">
        <v>6.426056338028169</v>
      </c>
      <c r="H1058" s="30">
        <v>76.232394366197184</v>
      </c>
      <c r="I1058" s="8">
        <v>0</v>
      </c>
      <c r="J1058" s="31">
        <v>1</v>
      </c>
      <c r="K1058" s="31">
        <v>0</v>
      </c>
      <c r="L1058" s="31">
        <v>0</v>
      </c>
      <c r="M1058" s="31">
        <v>0</v>
      </c>
      <c r="N1058" s="31">
        <v>0</v>
      </c>
      <c r="O1058" s="31">
        <v>0</v>
      </c>
      <c r="P1058" s="31">
        <v>0</v>
      </c>
      <c r="Q1058" s="31">
        <v>0</v>
      </c>
      <c r="R1058" s="31">
        <v>0</v>
      </c>
      <c r="S1058" s="31">
        <v>0</v>
      </c>
      <c r="T1058" s="21" cm="1">
        <f t="array" aca="1" ref="T1058" ca="1">+fair_value_gap(OFFSET(S1057,0,0,-1*$I$5,-1*$Z$1),OFFSET(E1057,0,0,-1*$I$5,1),F1058:S1058,0)</f>
        <v>18.775242211264288</v>
      </c>
      <c r="U1058" s="7" cm="1">
        <f t="array" aca="1" ref="U1058" ca="1">z_score_diff(OFFSET(T1058,0,0,$I$5*-1,1),OFFSET(E1058,0,0,$I$5*-1,1))</f>
        <v>0.22582536521051089</v>
      </c>
      <c r="V1058" s="7">
        <f t="shared" ca="1" si="1127"/>
        <v>8.3758024820627802E-2</v>
      </c>
      <c r="W1058" s="14">
        <f t="shared" ca="1" si="1122"/>
        <v>-0.11559812256322403</v>
      </c>
      <c r="X1058" s="10">
        <f t="shared" ref="X1058:Y1058" ca="1" si="1155">+X1057</f>
        <v>0</v>
      </c>
      <c r="Y1058" s="10">
        <f t="shared" ca="1" si="1155"/>
        <v>0</v>
      </c>
      <c r="Z1058">
        <f t="shared" ca="1" si="1129"/>
        <v>0</v>
      </c>
      <c r="AA1058">
        <f t="shared" ca="1" si="1130"/>
        <v>1</v>
      </c>
      <c r="AB1058" s="19">
        <f t="shared" ca="1" si="1131"/>
        <v>0</v>
      </c>
      <c r="AC1058" s="19">
        <f t="shared" ca="1" si="1132"/>
        <v>-0.11559812256322403</v>
      </c>
    </row>
    <row r="1059" spans="3:29" x14ac:dyDescent="0.25">
      <c r="C1059" s="4">
        <v>1052</v>
      </c>
      <c r="D1059" s="28">
        <v>43503</v>
      </c>
      <c r="E1059" s="30">
        <v>18.911999999999999</v>
      </c>
      <c r="F1059" s="30">
        <v>54.34744268077602</v>
      </c>
      <c r="G1059" s="30">
        <v>6.4462081128747801</v>
      </c>
      <c r="H1059" s="30">
        <v>75.881834215167558</v>
      </c>
      <c r="I1059" s="8">
        <v>0</v>
      </c>
      <c r="J1059" s="31">
        <v>1</v>
      </c>
      <c r="K1059" s="31">
        <v>0</v>
      </c>
      <c r="L1059" s="31">
        <v>0</v>
      </c>
      <c r="M1059" s="31">
        <v>0</v>
      </c>
      <c r="N1059" s="31">
        <v>0</v>
      </c>
      <c r="O1059" s="31">
        <v>0</v>
      </c>
      <c r="P1059" s="31">
        <v>0</v>
      </c>
      <c r="Q1059" s="31">
        <v>0</v>
      </c>
      <c r="R1059" s="31">
        <v>0</v>
      </c>
      <c r="S1059" s="31">
        <v>0</v>
      </c>
      <c r="T1059" s="21" cm="1">
        <f t="array" aca="1" ref="T1059" ca="1">+fair_value_gap(OFFSET(S1058,0,0,-1*$I$5,-1*$Z$1),OFFSET(E1058,0,0,-1*$I$5,1),F1059:S1059,0)</f>
        <v>18.781445086422877</v>
      </c>
      <c r="U1059" s="7" cm="1">
        <f t="array" aca="1" ref="U1059" ca="1">z_score_diff(OFFSET(T1059,0,0,$I$5*-1,1),OFFSET(E1059,0,0,$I$5*-1,1))</f>
        <v>0.23089885891159612</v>
      </c>
      <c r="V1059" s="7">
        <f t="shared" ca="1" si="1127"/>
        <v>0.12311662001770389</v>
      </c>
      <c r="W1059" s="14">
        <f t="shared" ca="1" si="1122"/>
        <v>-0.11437830533937425</v>
      </c>
      <c r="X1059" s="10">
        <f t="shared" ref="X1059:Y1059" ca="1" si="1156">+X1058</f>
        <v>0</v>
      </c>
      <c r="Y1059" s="10">
        <f t="shared" ca="1" si="1156"/>
        <v>0</v>
      </c>
      <c r="Z1059">
        <f t="shared" ca="1" si="1129"/>
        <v>0</v>
      </c>
      <c r="AA1059">
        <f t="shared" ca="1" si="1130"/>
        <v>1</v>
      </c>
      <c r="AB1059" s="19">
        <f t="shared" ca="1" si="1131"/>
        <v>0</v>
      </c>
      <c r="AC1059" s="19">
        <f t="shared" ca="1" si="1132"/>
        <v>-0.11437830533937425</v>
      </c>
    </row>
    <row r="1060" spans="3:29" x14ac:dyDescent="0.25">
      <c r="C1060" s="4">
        <v>1053</v>
      </c>
      <c r="D1060" s="28">
        <v>43504</v>
      </c>
      <c r="E1060" s="30">
        <v>18.263999999999999</v>
      </c>
      <c r="F1060" s="30">
        <v>54.819915254237287</v>
      </c>
      <c r="G1060" s="30">
        <v>6.4530367231638417</v>
      </c>
      <c r="H1060" s="30">
        <v>75.211864406779668</v>
      </c>
      <c r="I1060" s="8">
        <v>0</v>
      </c>
      <c r="J1060" s="31">
        <v>1</v>
      </c>
      <c r="K1060" s="31">
        <v>0</v>
      </c>
      <c r="L1060" s="31">
        <v>0</v>
      </c>
      <c r="M1060" s="31">
        <v>0</v>
      </c>
      <c r="N1060" s="31">
        <v>0</v>
      </c>
      <c r="O1060" s="31">
        <v>0</v>
      </c>
      <c r="P1060" s="31">
        <v>0</v>
      </c>
      <c r="Q1060" s="31">
        <v>0</v>
      </c>
      <c r="R1060" s="31">
        <v>0</v>
      </c>
      <c r="S1060" s="31">
        <v>0</v>
      </c>
      <c r="T1060" s="21" cm="1">
        <f t="array" aca="1" ref="T1060" ca="1">+fair_value_gap(OFFSET(S1059,0,0,-1*$I$5,-1*$Z$1),OFFSET(E1059,0,0,-1*$I$5,1),F1060:S1060,0)</f>
        <v>18.885524691578574</v>
      </c>
      <c r="U1060" s="7" cm="1">
        <f t="array" aca="1" ref="U1060" ca="1">z_score_diff(OFFSET(T1060,0,0,$I$5*-1,1),OFFSET(E1060,0,0,$I$5*-1,1))</f>
        <v>0.49362481455887841</v>
      </c>
      <c r="V1060" s="7">
        <f t="shared" ca="1" si="1127"/>
        <v>0.17912012783999601</v>
      </c>
      <c r="W1060" s="14">
        <f t="shared" ca="1" si="1122"/>
        <v>-8.7788168878350739E-2</v>
      </c>
      <c r="X1060" s="10">
        <f t="shared" ref="X1060:Y1060" ca="1" si="1157">+X1059</f>
        <v>0</v>
      </c>
      <c r="Y1060" s="10">
        <f t="shared" ca="1" si="1157"/>
        <v>0</v>
      </c>
      <c r="Z1060">
        <f t="shared" ca="1" si="1129"/>
        <v>0</v>
      </c>
      <c r="AA1060">
        <f t="shared" ca="1" si="1130"/>
        <v>1</v>
      </c>
      <c r="AB1060" s="19">
        <f t="shared" ca="1" si="1131"/>
        <v>0</v>
      </c>
      <c r="AC1060" s="19">
        <f t="shared" ca="1" si="1132"/>
        <v>-8.7788168878350739E-2</v>
      </c>
    </row>
    <row r="1061" spans="3:29" x14ac:dyDescent="0.25">
      <c r="C1061" s="4">
        <v>1054</v>
      </c>
      <c r="D1061" s="28">
        <v>43507</v>
      </c>
      <c r="E1061" s="30">
        <v>18.053000000000001</v>
      </c>
      <c r="F1061" s="30">
        <v>54.554323725055433</v>
      </c>
      <c r="G1061" s="30">
        <v>6.4700665188470072</v>
      </c>
      <c r="H1061" s="30">
        <v>74.944567627494465</v>
      </c>
      <c r="I1061" s="8">
        <v>0</v>
      </c>
      <c r="J1061" s="31">
        <v>1</v>
      </c>
      <c r="K1061" s="31">
        <v>0</v>
      </c>
      <c r="L1061" s="31">
        <v>0</v>
      </c>
      <c r="M1061" s="31">
        <v>0</v>
      </c>
      <c r="N1061" s="31">
        <v>0</v>
      </c>
      <c r="O1061" s="31">
        <v>0</v>
      </c>
      <c r="P1061" s="31">
        <v>0</v>
      </c>
      <c r="Q1061" s="31">
        <v>0</v>
      </c>
      <c r="R1061" s="31">
        <v>0</v>
      </c>
      <c r="S1061" s="31">
        <v>0</v>
      </c>
      <c r="T1061" s="21" cm="1">
        <f t="array" aca="1" ref="T1061" ca="1">+fair_value_gap(OFFSET(S1060,0,0,-1*$I$5,-1*$Z$1),OFFSET(E1060,0,0,-1*$I$5,1),F1061:S1061,0)</f>
        <v>18.84190018419206</v>
      </c>
      <c r="U1061" s="7" cm="1">
        <f t="array" aca="1" ref="U1061" ca="1">z_score_diff(OFFSET(T1061,0,0,$I$5*-1,1),OFFSET(E1061,0,0,$I$5*-1,1))</f>
        <v>0.54131437778948688</v>
      </c>
      <c r="V1061" s="7">
        <f t="shared" ca="1" si="1127"/>
        <v>0.22319589300370338</v>
      </c>
      <c r="W1061" s="14">
        <f t="shared" ca="1" si="1122"/>
        <v>-8.2524597401198718E-2</v>
      </c>
      <c r="X1061" s="10">
        <f t="shared" ref="X1061:Y1061" ca="1" si="1158">+X1060</f>
        <v>0</v>
      </c>
      <c r="Y1061" s="10">
        <f t="shared" ca="1" si="1158"/>
        <v>0</v>
      </c>
      <c r="Z1061">
        <f t="shared" ca="1" si="1129"/>
        <v>0</v>
      </c>
      <c r="AA1061">
        <f t="shared" ca="1" si="1130"/>
        <v>1</v>
      </c>
      <c r="AB1061" s="19">
        <f t="shared" ca="1" si="1131"/>
        <v>0</v>
      </c>
      <c r="AC1061" s="19">
        <f t="shared" ca="1" si="1132"/>
        <v>-8.2524597401198718E-2</v>
      </c>
    </row>
    <row r="1062" spans="3:29" x14ac:dyDescent="0.25">
      <c r="C1062" s="4">
        <v>1055</v>
      </c>
      <c r="D1062" s="28">
        <v>43508</v>
      </c>
      <c r="E1062" s="30">
        <v>17.785</v>
      </c>
      <c r="F1062" s="30">
        <v>55.121865065347933</v>
      </c>
      <c r="G1062" s="30">
        <v>6.4420699399505468</v>
      </c>
      <c r="H1062" s="30">
        <v>73.383963263864345</v>
      </c>
      <c r="I1062" s="8">
        <v>0</v>
      </c>
      <c r="J1062" s="31">
        <v>1</v>
      </c>
      <c r="K1062" s="31">
        <v>0</v>
      </c>
      <c r="L1062" s="31">
        <v>0</v>
      </c>
      <c r="M1062" s="31">
        <v>0</v>
      </c>
      <c r="N1062" s="31">
        <v>0</v>
      </c>
      <c r="O1062" s="31">
        <v>0</v>
      </c>
      <c r="P1062" s="31">
        <v>0</v>
      </c>
      <c r="Q1062" s="31">
        <v>0</v>
      </c>
      <c r="R1062" s="31">
        <v>0</v>
      </c>
      <c r="S1062" s="31">
        <v>0</v>
      </c>
      <c r="T1062" s="21" cm="1">
        <f t="array" aca="1" ref="T1062" ca="1">+fair_value_gap(OFFSET(S1061,0,0,-1*$I$5,-1*$Z$1),OFFSET(E1061,0,0,-1*$I$5,1),F1062:S1062,0)</f>
        <v>18.548319441913883</v>
      </c>
      <c r="U1062" s="7" cm="1">
        <f t="array" aca="1" ref="U1062" ca="1">z_score_diff(OFFSET(T1062,0,0,$I$5*-1,1),OFFSET(E1062,0,0,$I$5*-1,1))</f>
        <v>0.51442237124046541</v>
      </c>
      <c r="V1062" s="7">
        <f t="shared" ca="1" si="1127"/>
        <v>0.26509033162886436</v>
      </c>
      <c r="W1062" s="14">
        <f t="shared" ca="1" si="1122"/>
        <v>-9.2788761870380182E-2</v>
      </c>
      <c r="X1062" s="10">
        <f t="shared" ref="X1062:Y1062" ca="1" si="1159">+X1061</f>
        <v>0</v>
      </c>
      <c r="Y1062" s="10">
        <f t="shared" ca="1" si="1159"/>
        <v>0</v>
      </c>
      <c r="Z1062">
        <f t="shared" ca="1" si="1129"/>
        <v>0</v>
      </c>
      <c r="AA1062">
        <f t="shared" ca="1" si="1130"/>
        <v>1</v>
      </c>
      <c r="AB1062" s="19">
        <f t="shared" ca="1" si="1131"/>
        <v>0</v>
      </c>
      <c r="AC1062" s="19">
        <f t="shared" ca="1" si="1132"/>
        <v>-9.2788761870380182E-2</v>
      </c>
    </row>
    <row r="1063" spans="3:29" x14ac:dyDescent="0.25">
      <c r="C1063" s="4">
        <v>1056</v>
      </c>
      <c r="D1063" s="28">
        <v>43509</v>
      </c>
      <c r="E1063" s="30">
        <v>18.021999999999998</v>
      </c>
      <c r="F1063" s="30">
        <v>56.466932978251215</v>
      </c>
      <c r="G1063" s="30">
        <v>6.4624944518419882</v>
      </c>
      <c r="H1063" s="30">
        <v>74.123391034176649</v>
      </c>
      <c r="I1063" s="8">
        <v>0</v>
      </c>
      <c r="J1063" s="31">
        <v>1</v>
      </c>
      <c r="K1063" s="31">
        <v>0</v>
      </c>
      <c r="L1063" s="31">
        <v>0</v>
      </c>
      <c r="M1063" s="31">
        <v>0</v>
      </c>
      <c r="N1063" s="31">
        <v>0</v>
      </c>
      <c r="O1063" s="31">
        <v>0</v>
      </c>
      <c r="P1063" s="31">
        <v>0</v>
      </c>
      <c r="Q1063" s="31">
        <v>0</v>
      </c>
      <c r="R1063" s="31">
        <v>0</v>
      </c>
      <c r="S1063" s="31">
        <v>0</v>
      </c>
      <c r="T1063" s="21" cm="1">
        <f t="array" aca="1" ref="T1063" ca="1">+fair_value_gap(OFFSET(S1062,0,0,-1*$I$5,-1*$Z$1),OFFSET(E1062,0,0,-1*$I$5,1),F1063:S1063,0)</f>
        <v>18.657731608017734</v>
      </c>
      <c r="U1063" s="7" cm="1">
        <f t="array" aca="1" ref="U1063" ca="1">z_score_diff(OFFSET(T1063,0,0,$I$5*-1,1),OFFSET(E1063,0,0,$I$5*-1,1))</f>
        <v>0.46333211140838704</v>
      </c>
      <c r="V1063" s="7">
        <f t="shared" ca="1" si="1127"/>
        <v>0.30120078648032089</v>
      </c>
      <c r="W1063" s="14">
        <f t="shared" ca="1" si="1122"/>
        <v>-0.13634143122634129</v>
      </c>
      <c r="X1063" s="10">
        <f t="shared" ref="X1063:Y1063" ca="1" si="1160">+X1062</f>
        <v>0</v>
      </c>
      <c r="Y1063" s="10">
        <f t="shared" ca="1" si="1160"/>
        <v>0</v>
      </c>
      <c r="Z1063">
        <f t="shared" ca="1" si="1129"/>
        <v>0</v>
      </c>
      <c r="AA1063">
        <f t="shared" ca="1" si="1130"/>
        <v>1</v>
      </c>
      <c r="AB1063" s="19">
        <f t="shared" ca="1" si="1131"/>
        <v>0</v>
      </c>
      <c r="AC1063" s="19">
        <f t="shared" ca="1" si="1132"/>
        <v>-0.13634143122634129</v>
      </c>
    </row>
    <row r="1064" spans="3:29" x14ac:dyDescent="0.25">
      <c r="C1064" s="4">
        <v>1057</v>
      </c>
      <c r="D1064" s="28">
        <v>43510</v>
      </c>
      <c r="E1064" s="30">
        <v>17.754999999999999</v>
      </c>
      <c r="F1064" s="30">
        <v>57.146650146030623</v>
      </c>
      <c r="G1064" s="30">
        <v>6.4430480573502091</v>
      </c>
      <c r="H1064" s="30">
        <v>73.059562793167544</v>
      </c>
      <c r="I1064" s="8">
        <v>0</v>
      </c>
      <c r="J1064" s="31">
        <v>1</v>
      </c>
      <c r="K1064" s="31">
        <v>0</v>
      </c>
      <c r="L1064" s="31">
        <v>0</v>
      </c>
      <c r="M1064" s="31">
        <v>0</v>
      </c>
      <c r="N1064" s="31">
        <v>0</v>
      </c>
      <c r="O1064" s="31">
        <v>0</v>
      </c>
      <c r="P1064" s="31">
        <v>0</v>
      </c>
      <c r="Q1064" s="31">
        <v>0</v>
      </c>
      <c r="R1064" s="31">
        <v>0</v>
      </c>
      <c r="S1064" s="31">
        <v>0</v>
      </c>
      <c r="T1064" s="21" cm="1">
        <f t="array" aca="1" ref="T1064" ca="1">+fair_value_gap(OFFSET(S1063,0,0,-1*$I$5,-1*$Z$1),OFFSET(E1063,0,0,-1*$I$5,1),F1064:S1064,0)</f>
        <v>18.43867561078363</v>
      </c>
      <c r="U1064" s="7" cm="1">
        <f t="array" aca="1" ref="U1064" ca="1">z_score_diff(OFFSET(T1064,0,0,$I$5*-1,1),OFFSET(E1064,0,0,$I$5*-1,1))</f>
        <v>0.46619128932764764</v>
      </c>
      <c r="V1064" s="7">
        <f t="shared" ca="1" si="1127"/>
        <v>0.34658144336818458</v>
      </c>
      <c r="W1064" s="14">
        <f t="shared" ca="1" si="1122"/>
        <v>-0.12920396293600603</v>
      </c>
      <c r="X1064" s="10">
        <f t="shared" ref="X1064:Y1064" ca="1" si="1161">+X1063</f>
        <v>0</v>
      </c>
      <c r="Y1064" s="10">
        <f t="shared" ca="1" si="1161"/>
        <v>0</v>
      </c>
      <c r="Z1064">
        <f t="shared" ca="1" si="1129"/>
        <v>0</v>
      </c>
      <c r="AA1064">
        <f t="shared" ca="1" si="1130"/>
        <v>1</v>
      </c>
      <c r="AB1064" s="19">
        <f t="shared" ca="1" si="1131"/>
        <v>0</v>
      </c>
      <c r="AC1064" s="19">
        <f t="shared" ca="1" si="1132"/>
        <v>-0.12920396293600603</v>
      </c>
    </row>
    <row r="1065" spans="3:29" x14ac:dyDescent="0.25">
      <c r="C1065" s="4">
        <v>1058</v>
      </c>
      <c r="D1065" s="28">
        <v>43511</v>
      </c>
      <c r="E1065" s="30">
        <v>18.100000000000001</v>
      </c>
      <c r="F1065" s="30">
        <v>58.664659523598694</v>
      </c>
      <c r="G1065" s="30">
        <v>6.4464712653856378</v>
      </c>
      <c r="H1065" s="30">
        <v>73.275480386079877</v>
      </c>
      <c r="I1065" s="8">
        <v>0</v>
      </c>
      <c r="J1065" s="31">
        <v>1</v>
      </c>
      <c r="K1065" s="31">
        <v>0</v>
      </c>
      <c r="L1065" s="31">
        <v>0</v>
      </c>
      <c r="M1065" s="31">
        <v>0</v>
      </c>
      <c r="N1065" s="31">
        <v>0</v>
      </c>
      <c r="O1065" s="31">
        <v>0</v>
      </c>
      <c r="P1065" s="31">
        <v>0</v>
      </c>
      <c r="Q1065" s="31">
        <v>0</v>
      </c>
      <c r="R1065" s="31">
        <v>0</v>
      </c>
      <c r="S1065" s="31">
        <v>0</v>
      </c>
      <c r="T1065" s="21" cm="1">
        <f t="array" aca="1" ref="T1065" ca="1">+fair_value_gap(OFFSET(S1064,0,0,-1*$I$5,-1*$Z$1),OFFSET(E1064,0,0,-1*$I$5,1),F1065:S1065,0)</f>
        <v>18.462673013675577</v>
      </c>
      <c r="U1065" s="7" cm="1">
        <f t="array" aca="1" ref="U1065" ca="1">z_score_diff(OFFSET(T1065,0,0,$I$5*-1,1),OFFSET(E1065,0,0,$I$5*-1,1))</f>
        <v>0.34554190289362574</v>
      </c>
      <c r="V1065" s="7">
        <f t="shared" ca="1" si="1127"/>
        <v>0.37215710252982104</v>
      </c>
      <c r="W1065" s="14">
        <f t="shared" ca="1" si="1122"/>
        <v>-0.17120129627646274</v>
      </c>
      <c r="X1065" s="10">
        <f t="shared" ref="X1065:Y1065" ca="1" si="1162">+X1064</f>
        <v>0</v>
      </c>
      <c r="Y1065" s="10">
        <f t="shared" ca="1" si="1162"/>
        <v>0</v>
      </c>
      <c r="Z1065">
        <f t="shared" ca="1" si="1129"/>
        <v>0</v>
      </c>
      <c r="AA1065">
        <f t="shared" ca="1" si="1130"/>
        <v>1</v>
      </c>
      <c r="AB1065" s="19">
        <f t="shared" ca="1" si="1131"/>
        <v>0</v>
      </c>
      <c r="AC1065" s="19">
        <f t="shared" ca="1" si="1132"/>
        <v>-0.17120129627646274</v>
      </c>
    </row>
    <row r="1066" spans="3:29" x14ac:dyDescent="0.25">
      <c r="C1066" s="4">
        <v>1059</v>
      </c>
      <c r="D1066" s="28">
        <v>43514</v>
      </c>
      <c r="E1066" s="30">
        <v>17.428999999999998</v>
      </c>
      <c r="F1066" s="30">
        <v>58.80792359391581</v>
      </c>
      <c r="G1066" s="30">
        <v>6.4379200565970995</v>
      </c>
      <c r="H1066" s="30">
        <v>73.134064379200566</v>
      </c>
      <c r="I1066" s="8">
        <v>0</v>
      </c>
      <c r="J1066" s="31">
        <v>1</v>
      </c>
      <c r="K1066" s="31">
        <v>0</v>
      </c>
      <c r="L1066" s="31">
        <v>0</v>
      </c>
      <c r="M1066" s="31">
        <v>0</v>
      </c>
      <c r="N1066" s="31">
        <v>0</v>
      </c>
      <c r="O1066" s="31">
        <v>0</v>
      </c>
      <c r="P1066" s="31">
        <v>0</v>
      </c>
      <c r="Q1066" s="31">
        <v>0</v>
      </c>
      <c r="R1066" s="31">
        <v>0</v>
      </c>
      <c r="S1066" s="31">
        <v>0</v>
      </c>
      <c r="T1066" s="21" cm="1">
        <f t="array" aca="1" ref="T1066" ca="1">+fair_value_gap(OFFSET(S1065,0,0,-1*$I$5,-1*$Z$1),OFFSET(E1065,0,0,-1*$I$5,1),F1066:S1066,0)</f>
        <v>18.299717952432481</v>
      </c>
      <c r="U1066" s="7" cm="1">
        <f t="array" aca="1" ref="U1066" ca="1">z_score_diff(OFFSET(T1066,0,0,$I$5*-1,1),OFFSET(E1066,0,0,$I$5*-1,1))</f>
        <v>0.51472057467829724</v>
      </c>
      <c r="V1066" s="7">
        <f t="shared" ca="1" si="1127"/>
        <v>0.38890705140051851</v>
      </c>
      <c r="W1066" s="14">
        <f t="shared" ca="1" si="1122"/>
        <v>-0.15141950745047097</v>
      </c>
      <c r="X1066" s="10">
        <f t="shared" ref="X1066:Y1066" ca="1" si="1163">+X1065</f>
        <v>0</v>
      </c>
      <c r="Y1066" s="10">
        <f t="shared" ca="1" si="1163"/>
        <v>0</v>
      </c>
      <c r="Z1066">
        <f t="shared" ca="1" si="1129"/>
        <v>0</v>
      </c>
      <c r="AA1066">
        <f t="shared" ca="1" si="1130"/>
        <v>1</v>
      </c>
      <c r="AB1066" s="19">
        <f t="shared" ca="1" si="1131"/>
        <v>0</v>
      </c>
      <c r="AC1066" s="19">
        <f t="shared" ca="1" si="1132"/>
        <v>-0.15141950745047097</v>
      </c>
    </row>
    <row r="1067" spans="3:29" x14ac:dyDescent="0.25">
      <c r="C1067" s="4">
        <v>1060</v>
      </c>
      <c r="D1067" s="28">
        <v>43515</v>
      </c>
      <c r="E1067" s="30">
        <v>17.702999999999999</v>
      </c>
      <c r="F1067" s="30">
        <v>58.597883597883609</v>
      </c>
      <c r="G1067" s="30">
        <v>5.7275132275132279</v>
      </c>
      <c r="H1067" s="30">
        <v>72.883597883597901</v>
      </c>
      <c r="I1067" s="8">
        <v>0</v>
      </c>
      <c r="J1067" s="31">
        <v>1</v>
      </c>
      <c r="K1067" s="31">
        <v>0</v>
      </c>
      <c r="L1067" s="31">
        <v>0</v>
      </c>
      <c r="M1067" s="31">
        <v>0</v>
      </c>
      <c r="N1067" s="31">
        <v>0</v>
      </c>
      <c r="O1067" s="31">
        <v>0</v>
      </c>
      <c r="P1067" s="31">
        <v>0</v>
      </c>
      <c r="Q1067" s="31">
        <v>0</v>
      </c>
      <c r="R1067" s="31">
        <v>0</v>
      </c>
      <c r="S1067" s="31">
        <v>0</v>
      </c>
      <c r="T1067" s="21" cm="1">
        <f t="array" aca="1" ref="T1067" ca="1">+fair_value_gap(OFFSET(S1066,0,0,-1*$I$5,-1*$Z$1),OFFSET(E1066,0,0,-1*$I$5,1),F1067:S1067,0)</f>
        <v>17.479467947587224</v>
      </c>
      <c r="U1067" s="7" cm="1">
        <f t="array" aca="1" ref="U1067" ca="1">z_score_diff(OFFSET(T1067,0,0,$I$5*-1,1),OFFSET(E1067,0,0,$I$5*-1,1))</f>
        <v>0.11399240961372037</v>
      </c>
      <c r="V1067" s="7">
        <f t="shared" ca="1" si="1127"/>
        <v>0.38421118452415398</v>
      </c>
      <c r="W1067" s="14">
        <f t="shared" ca="1" si="1122"/>
        <v>-0.16548393563826508</v>
      </c>
      <c r="X1067" s="10">
        <f t="shared" ref="X1067:Y1067" ca="1" si="1164">+X1066</f>
        <v>0</v>
      </c>
      <c r="Y1067" s="10">
        <f t="shared" ca="1" si="1164"/>
        <v>0</v>
      </c>
      <c r="Z1067">
        <f t="shared" ca="1" si="1129"/>
        <v>0</v>
      </c>
      <c r="AA1067">
        <f t="shared" ca="1" si="1130"/>
        <v>1</v>
      </c>
      <c r="AB1067" s="19">
        <f t="shared" ca="1" si="1131"/>
        <v>0</v>
      </c>
      <c r="AC1067" s="19">
        <f t="shared" ca="1" si="1132"/>
        <v>-0.16548393563826508</v>
      </c>
    </row>
    <row r="1068" spans="3:29" x14ac:dyDescent="0.25">
      <c r="C1068" s="4">
        <v>1061</v>
      </c>
      <c r="D1068" s="28">
        <v>43516</v>
      </c>
      <c r="E1068" s="30">
        <v>18.143999999999998</v>
      </c>
      <c r="F1068" s="30">
        <v>59.179532421702689</v>
      </c>
      <c r="G1068" s="30">
        <v>5.6903396559329513</v>
      </c>
      <c r="H1068" s="30">
        <v>73.003970004411116</v>
      </c>
      <c r="I1068" s="8">
        <v>0</v>
      </c>
      <c r="J1068" s="31">
        <v>1</v>
      </c>
      <c r="K1068" s="31">
        <v>0</v>
      </c>
      <c r="L1068" s="31">
        <v>0</v>
      </c>
      <c r="M1068" s="31">
        <v>0</v>
      </c>
      <c r="N1068" s="31">
        <v>0</v>
      </c>
      <c r="O1068" s="31">
        <v>0</v>
      </c>
      <c r="P1068" s="31">
        <v>0</v>
      </c>
      <c r="Q1068" s="31">
        <v>0</v>
      </c>
      <c r="R1068" s="31">
        <v>0</v>
      </c>
      <c r="S1068" s="31">
        <v>0</v>
      </c>
      <c r="T1068" s="21" cm="1">
        <f t="array" aca="1" ref="T1068" ca="1">+fair_value_gap(OFFSET(S1067,0,0,-1*$I$5,-1*$Z$1),OFFSET(E1067,0,0,-1*$I$5,1),F1068:S1068,0)</f>
        <v>17.515101696393913</v>
      </c>
      <c r="U1068" s="7" cm="1">
        <f t="array" aca="1" ref="U1068" ca="1">z_score_diff(OFFSET(T1068,0,0,$I$5*-1,1),OFFSET(E1068,0,0,$I$5*-1,1))</f>
        <v>-1.3809690916099182E-2</v>
      </c>
      <c r="V1068" s="7">
        <f t="shared" ca="1" si="1127"/>
        <v>0.37605417688736764</v>
      </c>
      <c r="W1068" s="14">
        <f t="shared" ca="1" si="1122"/>
        <v>-0.1761896020643498</v>
      </c>
      <c r="X1068" s="10">
        <f t="shared" ref="X1068:Y1068" ca="1" si="1165">+X1067</f>
        <v>0</v>
      </c>
      <c r="Y1068" s="10">
        <f t="shared" ca="1" si="1165"/>
        <v>0</v>
      </c>
      <c r="Z1068">
        <f t="shared" ca="1" si="1129"/>
        <v>0</v>
      </c>
      <c r="AA1068">
        <f t="shared" ca="1" si="1130"/>
        <v>1</v>
      </c>
      <c r="AB1068" s="19">
        <f t="shared" ca="1" si="1131"/>
        <v>0</v>
      </c>
      <c r="AC1068" s="19">
        <f t="shared" ca="1" si="1132"/>
        <v>-0.1761896020643498</v>
      </c>
    </row>
    <row r="1069" spans="3:29" x14ac:dyDescent="0.25">
      <c r="C1069" s="4">
        <v>1062</v>
      </c>
      <c r="D1069" s="28">
        <v>43517</v>
      </c>
      <c r="E1069" s="30">
        <v>17.521000000000001</v>
      </c>
      <c r="F1069" s="30">
        <v>59.175930827598371</v>
      </c>
      <c r="G1069" s="30">
        <v>5.514381506970178</v>
      </c>
      <c r="H1069" s="30">
        <v>72.789835892006352</v>
      </c>
      <c r="I1069" s="8">
        <v>0</v>
      </c>
      <c r="J1069" s="31">
        <v>1</v>
      </c>
      <c r="K1069" s="31">
        <v>0</v>
      </c>
      <c r="L1069" s="31">
        <v>0</v>
      </c>
      <c r="M1069" s="31">
        <v>0</v>
      </c>
      <c r="N1069" s="31">
        <v>0</v>
      </c>
      <c r="O1069" s="31">
        <v>0</v>
      </c>
      <c r="P1069" s="31">
        <v>0</v>
      </c>
      <c r="Q1069" s="31">
        <v>0</v>
      </c>
      <c r="R1069" s="31">
        <v>0</v>
      </c>
      <c r="S1069" s="31">
        <v>0</v>
      </c>
      <c r="T1069" s="21" cm="1">
        <f t="array" aca="1" ref="T1069" ca="1">+fair_value_gap(OFFSET(S1068,0,0,-1*$I$5,-1*$Z$1),OFFSET(E1068,0,0,-1*$I$5,1),F1069:S1069,0)</f>
        <v>17.458886654742198</v>
      </c>
      <c r="U1069" s="7" cm="1">
        <f t="array" aca="1" ref="U1069" ca="1">z_score_diff(OFFSET(T1069,0,0,$I$5*-1,1),OFFSET(E1069,0,0,$I$5*-1,1))</f>
        <v>0.17622203000790226</v>
      </c>
      <c r="V1069" s="7">
        <f t="shared" ca="1" si="1127"/>
        <v>0.35536718078982987</v>
      </c>
      <c r="W1069" s="14">
        <f t="shared" ca="1" si="1122"/>
        <v>-0.18491609600450715</v>
      </c>
      <c r="X1069" s="10">
        <f t="shared" ref="X1069:Y1069" ca="1" si="1166">+X1068</f>
        <v>0</v>
      </c>
      <c r="Y1069" s="10">
        <f t="shared" ca="1" si="1166"/>
        <v>0</v>
      </c>
      <c r="Z1069">
        <f t="shared" ca="1" si="1129"/>
        <v>0</v>
      </c>
      <c r="AA1069">
        <f t="shared" ca="1" si="1130"/>
        <v>1</v>
      </c>
      <c r="AB1069" s="19">
        <f t="shared" ca="1" si="1131"/>
        <v>0</v>
      </c>
      <c r="AC1069" s="19">
        <f t="shared" ca="1" si="1132"/>
        <v>-0.18491609600450715</v>
      </c>
    </row>
    <row r="1070" spans="3:29" x14ac:dyDescent="0.25">
      <c r="C1070" s="4">
        <v>1063</v>
      </c>
      <c r="D1070" s="28">
        <v>43518</v>
      </c>
      <c r="E1070" s="30">
        <v>17.231000000000002</v>
      </c>
      <c r="F1070" s="30">
        <v>59.183493519090028</v>
      </c>
      <c r="G1070" s="30">
        <v>5.4933427387355609</v>
      </c>
      <c r="H1070" s="30">
        <v>72.788995679393338</v>
      </c>
      <c r="I1070" s="8">
        <v>0</v>
      </c>
      <c r="J1070" s="31">
        <v>1</v>
      </c>
      <c r="K1070" s="31">
        <v>0</v>
      </c>
      <c r="L1070" s="31">
        <v>0</v>
      </c>
      <c r="M1070" s="31">
        <v>0</v>
      </c>
      <c r="N1070" s="31">
        <v>0</v>
      </c>
      <c r="O1070" s="31">
        <v>0</v>
      </c>
      <c r="P1070" s="31">
        <v>0</v>
      </c>
      <c r="Q1070" s="31">
        <v>0</v>
      </c>
      <c r="R1070" s="31">
        <v>0</v>
      </c>
      <c r="S1070" s="31">
        <v>0</v>
      </c>
      <c r="T1070" s="21" cm="1">
        <f t="array" aca="1" ref="T1070" ca="1">+fair_value_gap(OFFSET(S1069,0,0,-1*$I$5,-1*$Z$1),OFFSET(E1069,0,0,-1*$I$5,1),F1070:S1070,0)</f>
        <v>17.418655638085745</v>
      </c>
      <c r="U1070" s="7" cm="1">
        <f t="array" aca="1" ref="U1070" ca="1">z_score_diff(OFFSET(T1070,0,0,$I$5*-1,1),OFFSET(E1070,0,0,$I$5*-1,1))</f>
        <v>0.25345876439178361</v>
      </c>
      <c r="V1070" s="7">
        <f t="shared" ca="1" si="1127"/>
        <v>0.33826698919754261</v>
      </c>
      <c r="W1070" s="14">
        <f t="shared" ca="1" si="1122"/>
        <v>-0.17573889430017323</v>
      </c>
      <c r="X1070" s="10">
        <f t="shared" ref="X1070:Y1070" ca="1" si="1167">+X1069</f>
        <v>0</v>
      </c>
      <c r="Y1070" s="10">
        <f t="shared" ca="1" si="1167"/>
        <v>0</v>
      </c>
      <c r="Z1070">
        <f t="shared" ca="1" si="1129"/>
        <v>0</v>
      </c>
      <c r="AA1070">
        <f t="shared" ca="1" si="1130"/>
        <v>1</v>
      </c>
      <c r="AB1070" s="19">
        <f t="shared" ca="1" si="1131"/>
        <v>0</v>
      </c>
      <c r="AC1070" s="19">
        <f t="shared" ca="1" si="1132"/>
        <v>-0.17573889430017323</v>
      </c>
    </row>
    <row r="1071" spans="3:29" x14ac:dyDescent="0.25">
      <c r="C1071" s="4">
        <v>1064</v>
      </c>
      <c r="D1071" s="28">
        <v>43521</v>
      </c>
      <c r="E1071" s="30">
        <v>16.946000000000002</v>
      </c>
      <c r="F1071" s="30">
        <v>57.017080471914078</v>
      </c>
      <c r="G1071" s="30">
        <v>5.4190878675823217</v>
      </c>
      <c r="H1071" s="30">
        <v>74.352879027997901</v>
      </c>
      <c r="I1071" s="8">
        <v>0</v>
      </c>
      <c r="J1071" s="31">
        <v>1</v>
      </c>
      <c r="K1071" s="31">
        <v>0</v>
      </c>
      <c r="L1071" s="31">
        <v>0</v>
      </c>
      <c r="M1071" s="31">
        <v>0</v>
      </c>
      <c r="N1071" s="31">
        <v>0</v>
      </c>
      <c r="O1071" s="31">
        <v>0</v>
      </c>
      <c r="P1071" s="31">
        <v>0</v>
      </c>
      <c r="Q1071" s="31">
        <v>0</v>
      </c>
      <c r="R1071" s="31">
        <v>0</v>
      </c>
      <c r="S1071" s="31">
        <v>0</v>
      </c>
      <c r="T1071" s="21" cm="1">
        <f t="array" aca="1" ref="T1071" ca="1">+fair_value_gap(OFFSET(S1070,0,0,-1*$I$5,-1*$Z$1),OFFSET(E1070,0,0,-1*$I$5,1),F1071:S1071,0)</f>
        <v>17.428535896666347</v>
      </c>
      <c r="U1071" s="7" cm="1">
        <f t="array" aca="1" ref="U1071" ca="1">z_score_diff(OFFSET(T1071,0,0,$I$5*-1,1),OFFSET(E1071,0,0,$I$5*-1,1))</f>
        <v>0.34805615604700657</v>
      </c>
      <c r="V1071" s="7">
        <f t="shared" ca="1" si="1127"/>
        <v>0.32611614257677912</v>
      </c>
      <c r="W1071" s="14">
        <f t="shared" ca="1" si="1122"/>
        <v>-0.17784674951545767</v>
      </c>
      <c r="X1071" s="10">
        <f t="shared" ref="X1071:Y1071" ca="1" si="1168">+X1070</f>
        <v>0</v>
      </c>
      <c r="Y1071" s="10">
        <f t="shared" ca="1" si="1168"/>
        <v>0</v>
      </c>
      <c r="Z1071">
        <f t="shared" ca="1" si="1129"/>
        <v>0</v>
      </c>
      <c r="AA1071">
        <f t="shared" ca="1" si="1130"/>
        <v>1</v>
      </c>
      <c r="AB1071" s="19">
        <f t="shared" ca="1" si="1131"/>
        <v>0</v>
      </c>
      <c r="AC1071" s="19">
        <f t="shared" ca="1" si="1132"/>
        <v>-0.17784674951545767</v>
      </c>
    </row>
    <row r="1072" spans="3:29" x14ac:dyDescent="0.25">
      <c r="C1072" s="4">
        <v>1065</v>
      </c>
      <c r="D1072" s="28">
        <v>43522</v>
      </c>
      <c r="E1072" s="30">
        <v>17.044</v>
      </c>
      <c r="F1072" s="30">
        <v>57.277119016249443</v>
      </c>
      <c r="G1072" s="30">
        <v>5.4062362758014935</v>
      </c>
      <c r="H1072" s="30">
        <v>74.703557312252954</v>
      </c>
      <c r="I1072" s="8">
        <v>0</v>
      </c>
      <c r="J1072" s="31">
        <v>1</v>
      </c>
      <c r="K1072" s="31">
        <v>0</v>
      </c>
      <c r="L1072" s="31">
        <v>0</v>
      </c>
      <c r="M1072" s="31">
        <v>0</v>
      </c>
      <c r="N1072" s="31">
        <v>0</v>
      </c>
      <c r="O1072" s="31">
        <v>0</v>
      </c>
      <c r="P1072" s="31">
        <v>0</v>
      </c>
      <c r="Q1072" s="31">
        <v>0</v>
      </c>
      <c r="R1072" s="31">
        <v>0</v>
      </c>
      <c r="S1072" s="31">
        <v>0</v>
      </c>
      <c r="T1072" s="21" cm="1">
        <f t="array" aca="1" ref="T1072" ca="1">+fair_value_gap(OFFSET(S1071,0,0,-1*$I$5,-1*$Z$1),OFFSET(E1071,0,0,-1*$I$5,1),F1072:S1072,0)</f>
        <v>17.427735538611564</v>
      </c>
      <c r="U1072" s="7" cm="1">
        <f t="array" aca="1" ref="U1072" ca="1">z_score_diff(OFFSET(T1072,0,0,$I$5*-1,1),OFFSET(E1072,0,0,$I$5*-1,1))</f>
        <v>0.30429194227803724</v>
      </c>
      <c r="V1072" s="7">
        <f t="shared" ca="1" si="1127"/>
        <v>0.31313380741175822</v>
      </c>
      <c r="W1072" s="14">
        <f t="shared" ca="1" si="1122"/>
        <v>-0.16968175790840115</v>
      </c>
      <c r="X1072" s="10">
        <f t="shared" ref="X1072:Y1072" ca="1" si="1169">+X1071</f>
        <v>0</v>
      </c>
      <c r="Y1072" s="10">
        <f t="shared" ca="1" si="1169"/>
        <v>0</v>
      </c>
      <c r="Z1072">
        <f t="shared" ca="1" si="1129"/>
        <v>0</v>
      </c>
      <c r="AA1072">
        <f t="shared" ca="1" si="1130"/>
        <v>1</v>
      </c>
      <c r="AB1072" s="19">
        <f t="shared" ca="1" si="1131"/>
        <v>0</v>
      </c>
      <c r="AC1072" s="19">
        <f t="shared" ca="1" si="1132"/>
        <v>-0.16968175790840115</v>
      </c>
    </row>
    <row r="1073" spans="3:29" x14ac:dyDescent="0.25">
      <c r="C1073" s="4">
        <v>1066</v>
      </c>
      <c r="D1073" s="28">
        <v>43523</v>
      </c>
      <c r="E1073" s="30">
        <v>17.617000000000001</v>
      </c>
      <c r="F1073" s="30">
        <v>58.39563725921365</v>
      </c>
      <c r="G1073" s="30">
        <v>5.4094467411381828</v>
      </c>
      <c r="H1073" s="30">
        <v>73.929105462221827</v>
      </c>
      <c r="I1073" s="8">
        <v>0</v>
      </c>
      <c r="J1073" s="31">
        <v>1</v>
      </c>
      <c r="K1073" s="31">
        <v>0</v>
      </c>
      <c r="L1073" s="31">
        <v>0</v>
      </c>
      <c r="M1073" s="31">
        <v>0</v>
      </c>
      <c r="N1073" s="31">
        <v>0</v>
      </c>
      <c r="O1073" s="31">
        <v>0</v>
      </c>
      <c r="P1073" s="31">
        <v>0</v>
      </c>
      <c r="Q1073" s="31">
        <v>0</v>
      </c>
      <c r="R1073" s="31">
        <v>0</v>
      </c>
      <c r="S1073" s="31">
        <v>0</v>
      </c>
      <c r="T1073" s="21" cm="1">
        <f t="array" aca="1" ref="T1073" ca="1">+fair_value_gap(OFFSET(S1072,0,0,-1*$I$5,-1*$Z$1),OFFSET(E1072,0,0,-1*$I$5,1),F1073:S1073,0)</f>
        <v>17.322198423220264</v>
      </c>
      <c r="U1073" s="7" cm="1">
        <f t="array" aca="1" ref="U1073" ca="1">z_score_diff(OFFSET(T1073,0,0,$I$5*-1,1),OFFSET(E1073,0,0,$I$5*-1,1))</f>
        <v>5.9877235938669671E-2</v>
      </c>
      <c r="V1073" s="7">
        <f t="shared" ca="1" si="1127"/>
        <v>0.28505694548811361</v>
      </c>
      <c r="W1073" s="14">
        <f t="shared" ca="1" si="1122"/>
        <v>-0.16121422386413289</v>
      </c>
      <c r="X1073" s="10">
        <f t="shared" ref="X1073:Y1073" ca="1" si="1170">+X1072</f>
        <v>0</v>
      </c>
      <c r="Y1073" s="10">
        <f t="shared" ca="1" si="1170"/>
        <v>0</v>
      </c>
      <c r="Z1073">
        <f t="shared" ca="1" si="1129"/>
        <v>0</v>
      </c>
      <c r="AA1073">
        <f t="shared" ca="1" si="1130"/>
        <v>1</v>
      </c>
      <c r="AB1073" s="19">
        <f t="shared" ca="1" si="1131"/>
        <v>0</v>
      </c>
      <c r="AC1073" s="19">
        <f t="shared" ca="1" si="1132"/>
        <v>-0.16121422386413289</v>
      </c>
    </row>
    <row r="1074" spans="3:29" x14ac:dyDescent="0.25">
      <c r="C1074" s="4">
        <v>1067</v>
      </c>
      <c r="D1074" s="28">
        <v>43524</v>
      </c>
      <c r="E1074" s="30">
        <v>17.814</v>
      </c>
      <c r="F1074" s="30">
        <v>58.073878627968341</v>
      </c>
      <c r="G1074" s="30">
        <v>5.3869832893579597</v>
      </c>
      <c r="H1074" s="30">
        <v>73.834652594547052</v>
      </c>
      <c r="I1074" s="8">
        <v>0</v>
      </c>
      <c r="J1074" s="31">
        <v>1</v>
      </c>
      <c r="K1074" s="31">
        <v>0</v>
      </c>
      <c r="L1074" s="31">
        <v>0</v>
      </c>
      <c r="M1074" s="31">
        <v>0</v>
      </c>
      <c r="N1074" s="31">
        <v>0</v>
      </c>
      <c r="O1074" s="31">
        <v>0</v>
      </c>
      <c r="P1074" s="31">
        <v>0</v>
      </c>
      <c r="Q1074" s="31">
        <v>0</v>
      </c>
      <c r="R1074" s="31">
        <v>0</v>
      </c>
      <c r="S1074" s="31">
        <v>0</v>
      </c>
      <c r="T1074" s="21" cm="1">
        <f t="array" aca="1" ref="T1074" ca="1">+fair_value_gap(OFFSET(S1073,0,0,-1*$I$5,-1*$Z$1),OFFSET(E1073,0,0,-1*$I$5,1),F1074:S1074,0)</f>
        <v>17.269317000257267</v>
      </c>
      <c r="U1074" s="7" cm="1">
        <f t="array" aca="1" ref="U1074" ca="1">z_score_diff(OFFSET(T1074,0,0,$I$5*-1,1),OFFSET(E1074,0,0,$I$5*-1,1))</f>
        <v>-3.4097310955216731E-2</v>
      </c>
      <c r="V1074" s="7">
        <f t="shared" ca="1" si="1127"/>
        <v>0.24861247404368453</v>
      </c>
      <c r="W1074" s="14">
        <f t="shared" ca="1" si="1122"/>
        <v>-0.21081390196838515</v>
      </c>
      <c r="X1074" s="10">
        <f t="shared" ref="X1074:Y1074" ca="1" si="1171">+X1073</f>
        <v>0</v>
      </c>
      <c r="Y1074" s="10">
        <f t="shared" ca="1" si="1171"/>
        <v>0</v>
      </c>
      <c r="Z1074">
        <f t="shared" ca="1" si="1129"/>
        <v>0</v>
      </c>
      <c r="AA1074">
        <f t="shared" ca="1" si="1130"/>
        <v>1</v>
      </c>
      <c r="AB1074" s="19">
        <f t="shared" ca="1" si="1131"/>
        <v>0</v>
      </c>
      <c r="AC1074" s="19">
        <f t="shared" ca="1" si="1132"/>
        <v>-0.21081390196838515</v>
      </c>
    </row>
    <row r="1075" spans="3:29" x14ac:dyDescent="0.25">
      <c r="C1075" s="4">
        <v>1068</v>
      </c>
      <c r="D1075" s="28">
        <v>43525</v>
      </c>
      <c r="E1075" s="30">
        <v>17.321000000000002</v>
      </c>
      <c r="F1075" s="30">
        <v>57.209425004395989</v>
      </c>
      <c r="G1075" s="30">
        <v>5.3806928081589591</v>
      </c>
      <c r="H1075" s="30">
        <v>73.588886935115184</v>
      </c>
      <c r="I1075" s="8">
        <v>0</v>
      </c>
      <c r="J1075" s="31">
        <v>0</v>
      </c>
      <c r="K1075" s="31">
        <v>1</v>
      </c>
      <c r="L1075" s="31">
        <v>0</v>
      </c>
      <c r="M1075" s="31">
        <v>0</v>
      </c>
      <c r="N1075" s="31">
        <v>0</v>
      </c>
      <c r="O1075" s="31">
        <v>0</v>
      </c>
      <c r="P1075" s="31">
        <v>0</v>
      </c>
      <c r="Q1075" s="31">
        <v>0</v>
      </c>
      <c r="R1075" s="31">
        <v>0</v>
      </c>
      <c r="S1075" s="31">
        <v>0</v>
      </c>
      <c r="T1075" s="21" cm="1">
        <f t="array" aca="1" ref="T1075" ca="1">+fair_value_gap(OFFSET(S1074,0,0,-1*$I$5,-1*$Z$1),OFFSET(E1074,0,0,-1*$I$5,1),F1075:S1075,0)</f>
        <v>17.868056180111736</v>
      </c>
      <c r="U1075" s="7" cm="1">
        <f t="array" aca="1" ref="U1075" ca="1">z_score_diff(OFFSET(T1075,0,0,$I$5*-1,1),OFFSET(E1075,0,0,$I$5*-1,1))</f>
        <v>0.34734314506413488</v>
      </c>
      <c r="V1075" s="7">
        <f t="shared" ca="1" si="1127"/>
        <v>0.27020702582216627</v>
      </c>
      <c r="W1075" s="14">
        <f t="shared" ca="1" si="1122"/>
        <v>-0.1977625994312685</v>
      </c>
      <c r="X1075" s="10">
        <f t="shared" ref="X1075:Y1075" ca="1" si="1172">+X1074</f>
        <v>0</v>
      </c>
      <c r="Y1075" s="10">
        <f t="shared" ca="1" si="1172"/>
        <v>0</v>
      </c>
      <c r="Z1075">
        <f t="shared" ca="1" si="1129"/>
        <v>0</v>
      </c>
      <c r="AA1075">
        <f t="shared" ca="1" si="1130"/>
        <v>1</v>
      </c>
      <c r="AB1075" s="19">
        <f t="shared" ca="1" si="1131"/>
        <v>0</v>
      </c>
      <c r="AC1075" s="19">
        <f t="shared" ca="1" si="1132"/>
        <v>-0.1977625994312685</v>
      </c>
    </row>
    <row r="1076" spans="3:29" x14ac:dyDescent="0.25">
      <c r="C1076" s="4">
        <v>1069</v>
      </c>
      <c r="D1076" s="28">
        <v>43528</v>
      </c>
      <c r="E1076" s="30">
        <v>17.399999999999999</v>
      </c>
      <c r="F1076" s="30">
        <v>57.925377083884634</v>
      </c>
      <c r="G1076" s="30">
        <v>5.34973979006792</v>
      </c>
      <c r="H1076" s="30">
        <v>74.005468818911538</v>
      </c>
      <c r="I1076" s="8">
        <v>0</v>
      </c>
      <c r="J1076" s="31">
        <v>0</v>
      </c>
      <c r="K1076" s="31">
        <v>1</v>
      </c>
      <c r="L1076" s="31">
        <v>0</v>
      </c>
      <c r="M1076" s="31">
        <v>0</v>
      </c>
      <c r="N1076" s="31">
        <v>0</v>
      </c>
      <c r="O1076" s="31">
        <v>0</v>
      </c>
      <c r="P1076" s="31">
        <v>0</v>
      </c>
      <c r="Q1076" s="31">
        <v>0</v>
      </c>
      <c r="R1076" s="31">
        <v>0</v>
      </c>
      <c r="S1076" s="31">
        <v>0</v>
      </c>
      <c r="T1076" s="21" cm="1">
        <f t="array" aca="1" ref="T1076" ca="1">+fair_value_gap(OFFSET(S1075,0,0,-1*$I$5,-1*$Z$1),OFFSET(E1075,0,0,-1*$I$5,1),F1076:S1076,0)</f>
        <v>17.905860180597998</v>
      </c>
      <c r="U1076" s="7" cm="1">
        <f t="array" aca="1" ref="U1076" ca="1">z_score_diff(OFFSET(T1076,0,0,$I$5*-1,1),OFFSET(E1076,0,0,$I$5*-1,1))</f>
        <v>0.31778783539165101</v>
      </c>
      <c r="V1076" s="7">
        <f t="shared" ca="1" si="1127"/>
        <v>0.28705360785752732</v>
      </c>
      <c r="W1076" s="14">
        <f t="shared" ca="1" si="1122"/>
        <v>-0.22861828044738547</v>
      </c>
      <c r="X1076" s="10">
        <f t="shared" ref="X1076:Y1076" ca="1" si="1173">+X1075</f>
        <v>0</v>
      </c>
      <c r="Y1076" s="10">
        <f t="shared" ca="1" si="1173"/>
        <v>0</v>
      </c>
      <c r="Z1076">
        <f t="shared" ca="1" si="1129"/>
        <v>0</v>
      </c>
      <c r="AA1076">
        <f t="shared" ca="1" si="1130"/>
        <v>1</v>
      </c>
      <c r="AB1076" s="19">
        <f t="shared" ca="1" si="1131"/>
        <v>0</v>
      </c>
      <c r="AC1076" s="19">
        <f t="shared" ca="1" si="1132"/>
        <v>-0.22861828044738547</v>
      </c>
    </row>
    <row r="1077" spans="3:29" x14ac:dyDescent="0.25">
      <c r="C1077" s="4">
        <v>1070</v>
      </c>
      <c r="D1077" s="28">
        <v>43529</v>
      </c>
      <c r="E1077" s="30">
        <v>17.181000000000001</v>
      </c>
      <c r="F1077" s="30">
        <v>58.252255439589597</v>
      </c>
      <c r="G1077" s="30">
        <v>5.3467185565186623</v>
      </c>
      <c r="H1077" s="30">
        <v>73.987263399964618</v>
      </c>
      <c r="I1077" s="8">
        <v>0</v>
      </c>
      <c r="J1077" s="31">
        <v>0</v>
      </c>
      <c r="K1077" s="31">
        <v>1</v>
      </c>
      <c r="L1077" s="31">
        <v>0</v>
      </c>
      <c r="M1077" s="31">
        <v>0</v>
      </c>
      <c r="N1077" s="31">
        <v>0</v>
      </c>
      <c r="O1077" s="31">
        <v>0</v>
      </c>
      <c r="P1077" s="31">
        <v>0</v>
      </c>
      <c r="Q1077" s="31">
        <v>0</v>
      </c>
      <c r="R1077" s="31">
        <v>0</v>
      </c>
      <c r="S1077" s="31">
        <v>0</v>
      </c>
      <c r="T1077" s="21" cm="1">
        <f t="array" aca="1" ref="T1077" ca="1">+fair_value_gap(OFFSET(S1076,0,0,-1*$I$5,-1*$Z$1),OFFSET(E1076,0,0,-1*$I$5,1),F1077:S1077,0)</f>
        <v>17.853536279476589</v>
      </c>
      <c r="U1077" s="7" cm="1">
        <f t="array" aca="1" ref="U1077" ca="1">z_score_diff(OFFSET(T1077,0,0,$I$5*-1,1),OFFSET(E1077,0,0,$I$5*-1,1))</f>
        <v>0.35692772970891085</v>
      </c>
      <c r="V1077" s="7">
        <f t="shared" ca="1" si="1127"/>
        <v>0.3012960956294698</v>
      </c>
      <c r="W1077" s="14">
        <f t="shared" ca="1" si="1122"/>
        <v>-0.24430470532042556</v>
      </c>
      <c r="X1077" s="10">
        <f t="shared" ref="X1077:Y1077" ca="1" si="1174">+X1076</f>
        <v>0</v>
      </c>
      <c r="Y1077" s="10">
        <f t="shared" ca="1" si="1174"/>
        <v>0</v>
      </c>
      <c r="Z1077">
        <f t="shared" ca="1" si="1129"/>
        <v>0</v>
      </c>
      <c r="AA1077">
        <f t="shared" ca="1" si="1130"/>
        <v>1</v>
      </c>
      <c r="AB1077" s="19">
        <f t="shared" ca="1" si="1131"/>
        <v>0</v>
      </c>
      <c r="AC1077" s="19">
        <f t="shared" ca="1" si="1132"/>
        <v>-0.24430470532042556</v>
      </c>
    </row>
    <row r="1078" spans="3:29" x14ac:dyDescent="0.25">
      <c r="C1078" s="4">
        <v>1071</v>
      </c>
      <c r="D1078" s="28">
        <v>43530</v>
      </c>
      <c r="E1078" s="30">
        <v>16.850999999999999</v>
      </c>
      <c r="F1078" s="30">
        <v>58.372401592215823</v>
      </c>
      <c r="G1078" s="30">
        <v>5.3383458646616537</v>
      </c>
      <c r="H1078" s="30">
        <v>72.357363998230866</v>
      </c>
      <c r="I1078" s="8">
        <v>0</v>
      </c>
      <c r="J1078" s="31">
        <v>0</v>
      </c>
      <c r="K1078" s="31">
        <v>1</v>
      </c>
      <c r="L1078" s="31">
        <v>0</v>
      </c>
      <c r="M1078" s="31">
        <v>0</v>
      </c>
      <c r="N1078" s="31">
        <v>0</v>
      </c>
      <c r="O1078" s="31">
        <v>0</v>
      </c>
      <c r="P1078" s="31">
        <v>0</v>
      </c>
      <c r="Q1078" s="31">
        <v>0</v>
      </c>
      <c r="R1078" s="31">
        <v>0</v>
      </c>
      <c r="S1078" s="31">
        <v>0</v>
      </c>
      <c r="T1078" s="21" cm="1">
        <f t="array" aca="1" ref="T1078" ca="1">+fair_value_gap(OFFSET(S1077,0,0,-1*$I$5,-1*$Z$1),OFFSET(E1077,0,0,-1*$I$5,1),F1078:S1078,0)</f>
        <v>17.534902286864138</v>
      </c>
      <c r="U1078" s="7" cm="1">
        <f t="array" aca="1" ref="U1078" ca="1">z_score_diff(OFFSET(T1078,0,0,$I$5*-1,1),OFFSET(E1078,0,0,$I$5*-1,1))</f>
        <v>0.33850092674387255</v>
      </c>
      <c r="V1078" s="7">
        <f t="shared" ca="1" si="1127"/>
        <v>0.30692987370613783</v>
      </c>
      <c r="W1078" s="14">
        <f t="shared" ca="1" si="1122"/>
        <v>-0.17194298569322905</v>
      </c>
      <c r="X1078" s="10">
        <f t="shared" ref="X1078:Y1078" ca="1" si="1175">+X1077</f>
        <v>0</v>
      </c>
      <c r="Y1078" s="10">
        <f t="shared" ca="1" si="1175"/>
        <v>0</v>
      </c>
      <c r="Z1078">
        <f t="shared" ca="1" si="1129"/>
        <v>0</v>
      </c>
      <c r="AA1078">
        <f t="shared" ca="1" si="1130"/>
        <v>1</v>
      </c>
      <c r="AB1078" s="19">
        <f t="shared" ca="1" si="1131"/>
        <v>0</v>
      </c>
      <c r="AC1078" s="19">
        <f t="shared" ca="1" si="1132"/>
        <v>-0.17194298569322905</v>
      </c>
    </row>
    <row r="1079" spans="3:29" x14ac:dyDescent="0.25">
      <c r="C1079" s="4">
        <v>1072</v>
      </c>
      <c r="D1079" s="28">
        <v>43531</v>
      </c>
      <c r="E1079" s="30">
        <v>16.867999999999999</v>
      </c>
      <c r="F1079" s="30">
        <v>59.238741958541816</v>
      </c>
      <c r="G1079" s="30">
        <v>5.3609721229449612</v>
      </c>
      <c r="H1079" s="30">
        <v>72.149749821300929</v>
      </c>
      <c r="I1079" s="8">
        <v>0</v>
      </c>
      <c r="J1079" s="31">
        <v>0</v>
      </c>
      <c r="K1079" s="31">
        <v>1</v>
      </c>
      <c r="L1079" s="31">
        <v>0</v>
      </c>
      <c r="M1079" s="31">
        <v>0</v>
      </c>
      <c r="N1079" s="31">
        <v>0</v>
      </c>
      <c r="O1079" s="31">
        <v>0</v>
      </c>
      <c r="P1079" s="31">
        <v>0</v>
      </c>
      <c r="Q1079" s="31">
        <v>0</v>
      </c>
      <c r="R1079" s="31">
        <v>0</v>
      </c>
      <c r="S1079" s="31">
        <v>0</v>
      </c>
      <c r="T1079" s="21" cm="1">
        <f t="array" aca="1" ref="T1079" ca="1">+fair_value_gap(OFFSET(S1078,0,0,-1*$I$5,-1*$Z$1),OFFSET(E1078,0,0,-1*$I$5,1),F1079:S1079,0)</f>
        <v>17.539495148242754</v>
      </c>
      <c r="U1079" s="7" cm="1">
        <f t="array" aca="1" ref="U1079" ca="1">z_score_diff(OFFSET(T1079,0,0,$I$5*-1,1),OFFSET(E1079,0,0,$I$5*-1,1))</f>
        <v>0.32305573123837283</v>
      </c>
      <c r="V1079" s="7">
        <f t="shared" ca="1" si="1127"/>
        <v>0.3115377173224767</v>
      </c>
      <c r="W1079" s="14">
        <f t="shared" ca="1" si="1122"/>
        <v>-0.13031829395773153</v>
      </c>
      <c r="X1079" s="10">
        <f t="shared" ref="X1079:Y1079" ca="1" si="1176">+X1078</f>
        <v>0</v>
      </c>
      <c r="Y1079" s="10">
        <f t="shared" ca="1" si="1176"/>
        <v>0</v>
      </c>
      <c r="Z1079">
        <f t="shared" ca="1" si="1129"/>
        <v>0</v>
      </c>
      <c r="AA1079">
        <f t="shared" ca="1" si="1130"/>
        <v>1</v>
      </c>
      <c r="AB1079" s="19">
        <f t="shared" ca="1" si="1131"/>
        <v>0</v>
      </c>
      <c r="AC1079" s="19">
        <f t="shared" ca="1" si="1132"/>
        <v>-0.13031829395773153</v>
      </c>
    </row>
    <row r="1080" spans="3:29" x14ac:dyDescent="0.25">
      <c r="C1080" s="4">
        <v>1073</v>
      </c>
      <c r="D1080" s="28">
        <v>43532</v>
      </c>
      <c r="E1080" s="30">
        <v>16.728999999999999</v>
      </c>
      <c r="F1080" s="30">
        <v>58.497953372486208</v>
      </c>
      <c r="G1080" s="30">
        <v>5.3256807261078487</v>
      </c>
      <c r="H1080" s="30">
        <v>70.83110873820965</v>
      </c>
      <c r="I1080" s="8">
        <v>0</v>
      </c>
      <c r="J1080" s="31">
        <v>0</v>
      </c>
      <c r="K1080" s="31">
        <v>1</v>
      </c>
      <c r="L1080" s="31">
        <v>0</v>
      </c>
      <c r="M1080" s="31">
        <v>0</v>
      </c>
      <c r="N1080" s="31">
        <v>0</v>
      </c>
      <c r="O1080" s="31">
        <v>0</v>
      </c>
      <c r="P1080" s="31">
        <v>0</v>
      </c>
      <c r="Q1080" s="31">
        <v>0</v>
      </c>
      <c r="R1080" s="31">
        <v>0</v>
      </c>
      <c r="S1080" s="31">
        <v>0</v>
      </c>
      <c r="T1080" s="21" cm="1">
        <f t="array" aca="1" ref="T1080" ca="1">+fair_value_gap(OFFSET(S1079,0,0,-1*$I$5,-1*$Z$1),OFFSET(E1079,0,0,-1*$I$5,1),F1080:S1080,0)</f>
        <v>17.247252815399243</v>
      </c>
      <c r="U1080" s="7" cm="1">
        <f t="array" aca="1" ref="U1080" ca="1">z_score_diff(OFFSET(T1080,0,0,$I$5*-1,1),OFFSET(E1080,0,0,$I$5*-1,1))</f>
        <v>0.25074616763466806</v>
      </c>
      <c r="V1080" s="7">
        <f t="shared" ca="1" si="1127"/>
        <v>0.29939378497626634</v>
      </c>
      <c r="W1080" s="14">
        <f t="shared" ca="1" si="1122"/>
        <v>-5.755066540745828E-3</v>
      </c>
      <c r="X1080" s="10">
        <f t="shared" ref="X1080:Y1080" ca="1" si="1177">+X1079</f>
        <v>0</v>
      </c>
      <c r="Y1080" s="10">
        <f t="shared" ca="1" si="1177"/>
        <v>0</v>
      </c>
      <c r="Z1080">
        <f t="shared" ca="1" si="1129"/>
        <v>0</v>
      </c>
      <c r="AA1080">
        <f t="shared" ca="1" si="1130"/>
        <v>1</v>
      </c>
      <c r="AB1080" s="19">
        <f t="shared" ca="1" si="1131"/>
        <v>0</v>
      </c>
      <c r="AC1080" s="19">
        <f t="shared" ca="1" si="1132"/>
        <v>-5.755066540745828E-3</v>
      </c>
    </row>
    <row r="1081" spans="3:29" x14ac:dyDescent="0.25">
      <c r="C1081" s="4">
        <v>1074</v>
      </c>
      <c r="D1081" s="28">
        <v>43535</v>
      </c>
      <c r="E1081" s="30">
        <v>16.623000000000001</v>
      </c>
      <c r="F1081" s="30">
        <v>59.198008357784296</v>
      </c>
      <c r="G1081" s="30">
        <v>5.3125277851871608</v>
      </c>
      <c r="H1081" s="30">
        <v>70.329865741975624</v>
      </c>
      <c r="I1081" s="8">
        <v>0</v>
      </c>
      <c r="J1081" s="31">
        <v>0</v>
      </c>
      <c r="K1081" s="31">
        <v>1</v>
      </c>
      <c r="L1081" s="31">
        <v>0</v>
      </c>
      <c r="M1081" s="31">
        <v>0</v>
      </c>
      <c r="N1081" s="31">
        <v>0</v>
      </c>
      <c r="O1081" s="31">
        <v>0</v>
      </c>
      <c r="P1081" s="31">
        <v>0</v>
      </c>
      <c r="Q1081" s="31">
        <v>0</v>
      </c>
      <c r="R1081" s="31">
        <v>0</v>
      </c>
      <c r="S1081" s="31">
        <v>0</v>
      </c>
      <c r="T1081" s="21" cm="1">
        <f t="array" aca="1" ref="T1081" ca="1">+fair_value_gap(OFFSET(S1080,0,0,-1*$I$5,-1*$Z$1),OFFSET(E1080,0,0,-1*$I$5,1),F1081:S1081,0)</f>
        <v>17.128874843050987</v>
      </c>
      <c r="U1081" s="7" cm="1">
        <f t="array" aca="1" ref="U1081" ca="1">z_score_diff(OFFSET(T1081,0,0,$I$5*-1,1),OFFSET(E1081,0,0,$I$5*-1,1))</f>
        <v>0.23238625397330881</v>
      </c>
      <c r="V1081" s="7">
        <f t="shared" ca="1" si="1127"/>
        <v>0.28394737878545734</v>
      </c>
      <c r="W1081" s="14">
        <f t="shared" ca="1" si="1122"/>
        <v>-4.0451091366834911E-2</v>
      </c>
      <c r="X1081" s="10">
        <f t="shared" ref="X1081:Y1081" ca="1" si="1178">+X1080</f>
        <v>0</v>
      </c>
      <c r="Y1081" s="10">
        <f t="shared" ca="1" si="1178"/>
        <v>0</v>
      </c>
      <c r="Z1081">
        <f t="shared" ca="1" si="1129"/>
        <v>0</v>
      </c>
      <c r="AA1081">
        <f t="shared" ca="1" si="1130"/>
        <v>1</v>
      </c>
      <c r="AB1081" s="19">
        <f t="shared" ca="1" si="1131"/>
        <v>0</v>
      </c>
      <c r="AC1081" s="19">
        <f t="shared" ca="1" si="1132"/>
        <v>-4.0451091366834911E-2</v>
      </c>
    </row>
    <row r="1082" spans="3:29" x14ac:dyDescent="0.25">
      <c r="C1082" s="4">
        <v>1075</v>
      </c>
      <c r="D1082" s="28">
        <v>43536</v>
      </c>
      <c r="E1082" s="30">
        <v>16.209</v>
      </c>
      <c r="F1082" s="30">
        <v>59.073188020556444</v>
      </c>
      <c r="G1082" s="30">
        <v>5.2941697678539779</v>
      </c>
      <c r="H1082" s="30">
        <v>70.131135920609609</v>
      </c>
      <c r="I1082" s="8">
        <v>0</v>
      </c>
      <c r="J1082" s="31">
        <v>0</v>
      </c>
      <c r="K1082" s="31">
        <v>1</v>
      </c>
      <c r="L1082" s="31">
        <v>0</v>
      </c>
      <c r="M1082" s="31">
        <v>0</v>
      </c>
      <c r="N1082" s="31">
        <v>0</v>
      </c>
      <c r="O1082" s="31">
        <v>0</v>
      </c>
      <c r="P1082" s="31">
        <v>0</v>
      </c>
      <c r="Q1082" s="31">
        <v>0</v>
      </c>
      <c r="R1082" s="31">
        <v>0</v>
      </c>
      <c r="S1082" s="31">
        <v>0</v>
      </c>
      <c r="T1082" s="21" cm="1">
        <f t="array" aca="1" ref="T1082" ca="1">+fair_value_gap(OFFSET(S1081,0,0,-1*$I$5,-1*$Z$1),OFFSET(E1081,0,0,-1*$I$5,1),F1082:S1082,0)</f>
        <v>17.017994776304246</v>
      </c>
      <c r="U1082" s="7" cm="1">
        <f t="array" aca="1" ref="U1082" ca="1">z_score_diff(OFFSET(T1082,0,0,$I$5*-1,1),OFFSET(E1082,0,0,$I$5*-1,1))</f>
        <v>0.31828403885665724</v>
      </c>
      <c r="V1082" s="7">
        <f t="shared" ca="1" si="1127"/>
        <v>0.27414046216626692</v>
      </c>
      <c r="W1082" s="14">
        <f t="shared" ca="1" si="1122"/>
        <v>3.3249437888548707E-2</v>
      </c>
      <c r="X1082" s="10">
        <f t="shared" ref="X1082:Y1082" ca="1" si="1179">+X1081</f>
        <v>0</v>
      </c>
      <c r="Y1082" s="10">
        <f t="shared" ca="1" si="1179"/>
        <v>0</v>
      </c>
      <c r="Z1082">
        <f t="shared" ca="1" si="1129"/>
        <v>0</v>
      </c>
      <c r="AA1082">
        <f t="shared" ca="1" si="1130"/>
        <v>1</v>
      </c>
      <c r="AB1082" s="19">
        <f t="shared" ca="1" si="1131"/>
        <v>0</v>
      </c>
      <c r="AC1082" s="19">
        <f t="shared" ca="1" si="1132"/>
        <v>3.3249437888548707E-2</v>
      </c>
    </row>
    <row r="1083" spans="3:29" x14ac:dyDescent="0.25">
      <c r="C1083" s="4">
        <v>1076</v>
      </c>
      <c r="D1083" s="28">
        <v>43537</v>
      </c>
      <c r="E1083" s="30">
        <v>15.725</v>
      </c>
      <c r="F1083" s="30">
        <v>59.646799116997784</v>
      </c>
      <c r="G1083" s="30">
        <v>5.258278145695364</v>
      </c>
      <c r="H1083" s="30">
        <v>69.624724061810142</v>
      </c>
      <c r="I1083" s="8">
        <v>0</v>
      </c>
      <c r="J1083" s="31">
        <v>0</v>
      </c>
      <c r="K1083" s="31">
        <v>1</v>
      </c>
      <c r="L1083" s="31">
        <v>0</v>
      </c>
      <c r="M1083" s="31">
        <v>0</v>
      </c>
      <c r="N1083" s="31">
        <v>0</v>
      </c>
      <c r="O1083" s="31">
        <v>0</v>
      </c>
      <c r="P1083" s="31">
        <v>0</v>
      </c>
      <c r="Q1083" s="31">
        <v>0</v>
      </c>
      <c r="R1083" s="31">
        <v>0</v>
      </c>
      <c r="S1083" s="31">
        <v>0</v>
      </c>
      <c r="T1083" s="21" cm="1">
        <f t="array" aca="1" ref="T1083" ca="1">+fair_value_gap(OFFSET(S1082,0,0,-1*$I$5,-1*$Z$1),OFFSET(E1082,0,0,-1*$I$5,1),F1083:S1083,0)</f>
        <v>16.818011869883428</v>
      </c>
      <c r="U1083" s="7" cm="1">
        <f t="array" aca="1" ref="U1083" ca="1">z_score_diff(OFFSET(T1083,0,0,$I$5*-1,1),OFFSET(E1083,0,0,$I$5*-1,1))</f>
        <v>0.39006251867439201</v>
      </c>
      <c r="V1083" s="7">
        <f t="shared" ca="1" si="1127"/>
        <v>0.27047698252956709</v>
      </c>
      <c r="W1083" s="14">
        <f t="shared" ca="1" si="1122"/>
        <v>3.1791448368225726E-4</v>
      </c>
      <c r="X1083" s="10">
        <f t="shared" ref="X1083:Y1083" ca="1" si="1180">+X1082</f>
        <v>0</v>
      </c>
      <c r="Y1083" s="10">
        <f t="shared" ca="1" si="1180"/>
        <v>0</v>
      </c>
      <c r="Z1083">
        <f t="shared" ca="1" si="1129"/>
        <v>0</v>
      </c>
      <c r="AA1083">
        <f t="shared" ca="1" si="1130"/>
        <v>1</v>
      </c>
      <c r="AB1083" s="19">
        <f t="shared" ca="1" si="1131"/>
        <v>0</v>
      </c>
      <c r="AC1083" s="19">
        <f t="shared" ca="1" si="1132"/>
        <v>3.1791448368225726E-4</v>
      </c>
    </row>
    <row r="1084" spans="3:29" x14ac:dyDescent="0.25">
      <c r="C1084" s="4">
        <v>1077</v>
      </c>
      <c r="D1084" s="28">
        <v>43538</v>
      </c>
      <c r="E1084" s="30">
        <v>15.603</v>
      </c>
      <c r="F1084" s="30">
        <v>59.48504689435498</v>
      </c>
      <c r="G1084" s="30">
        <v>5.2601309502742879</v>
      </c>
      <c r="H1084" s="30">
        <v>69.72217306671385</v>
      </c>
      <c r="I1084" s="8">
        <v>0</v>
      </c>
      <c r="J1084" s="31">
        <v>0</v>
      </c>
      <c r="K1084" s="31">
        <v>1</v>
      </c>
      <c r="L1084" s="31">
        <v>0</v>
      </c>
      <c r="M1084" s="31">
        <v>0</v>
      </c>
      <c r="N1084" s="31">
        <v>0</v>
      </c>
      <c r="O1084" s="31">
        <v>0</v>
      </c>
      <c r="P1084" s="31">
        <v>0</v>
      </c>
      <c r="Q1084" s="31">
        <v>0</v>
      </c>
      <c r="R1084" s="31">
        <v>0</v>
      </c>
      <c r="S1084" s="31">
        <v>0</v>
      </c>
      <c r="T1084" s="21" cm="1">
        <f t="array" aca="1" ref="T1084" ca="1">+fair_value_gap(OFFSET(S1083,0,0,-1*$I$5,-1*$Z$1),OFFSET(E1083,0,0,-1*$I$5,1),F1084:S1084,0)</f>
        <v>16.680719082092637</v>
      </c>
      <c r="U1084" s="7" cm="1">
        <f t="array" aca="1" ref="U1084" ca="1">z_score_diff(OFFSET(T1084,0,0,$I$5*-1,1),OFFSET(E1084,0,0,$I$5*-1,1))</f>
        <v>0.36745377653002453</v>
      </c>
      <c r="V1084" s="7">
        <f t="shared" ca="1" si="1127"/>
        <v>0.26554010688968599</v>
      </c>
      <c r="W1084" s="14">
        <f t="shared" ca="1" si="1122"/>
        <v>2.4812969942436196E-2</v>
      </c>
      <c r="X1084" s="10">
        <f t="shared" ref="X1084:Y1084" ca="1" si="1181">+X1083</f>
        <v>0</v>
      </c>
      <c r="Y1084" s="10">
        <f t="shared" ca="1" si="1181"/>
        <v>0</v>
      </c>
      <c r="Z1084">
        <f t="shared" ca="1" si="1129"/>
        <v>0</v>
      </c>
      <c r="AA1084">
        <f t="shared" ca="1" si="1130"/>
        <v>1</v>
      </c>
      <c r="AB1084" s="19">
        <f t="shared" ca="1" si="1131"/>
        <v>0</v>
      </c>
      <c r="AC1084" s="19">
        <f t="shared" ca="1" si="1132"/>
        <v>2.4812969942436196E-2</v>
      </c>
    </row>
    <row r="1085" spans="3:29" x14ac:dyDescent="0.25">
      <c r="C1085" s="4">
        <v>1078</v>
      </c>
      <c r="D1085" s="28">
        <v>43539</v>
      </c>
      <c r="E1085" s="30">
        <v>15.252000000000001</v>
      </c>
      <c r="F1085" s="30">
        <v>59.302428256070634</v>
      </c>
      <c r="G1085" s="30">
        <v>5.2494481236203088</v>
      </c>
      <c r="H1085" s="30">
        <v>69.183222958057385</v>
      </c>
      <c r="I1085" s="8">
        <v>0</v>
      </c>
      <c r="J1085" s="31">
        <v>0</v>
      </c>
      <c r="K1085" s="31">
        <v>1</v>
      </c>
      <c r="L1085" s="31">
        <v>0</v>
      </c>
      <c r="M1085" s="31">
        <v>0</v>
      </c>
      <c r="N1085" s="31">
        <v>0</v>
      </c>
      <c r="O1085" s="31">
        <v>0</v>
      </c>
      <c r="P1085" s="31">
        <v>0</v>
      </c>
      <c r="Q1085" s="31">
        <v>0</v>
      </c>
      <c r="R1085" s="31">
        <v>0</v>
      </c>
      <c r="S1085" s="31">
        <v>0</v>
      </c>
      <c r="T1085" s="21" cm="1">
        <f t="array" aca="1" ref="T1085" ca="1">+fair_value_gap(OFFSET(S1084,0,0,-1*$I$5,-1*$Z$1),OFFSET(E1084,0,0,-1*$I$5,1),F1085:S1085,0)</f>
        <v>16.443099210140833</v>
      </c>
      <c r="U1085" s="7" cm="1">
        <f t="array" aca="1" ref="U1085" ca="1">z_score_diff(OFFSET(T1085,0,0,$I$5*-1,1),OFFSET(E1085,0,0,$I$5*-1,1))</f>
        <v>0.384715800952524</v>
      </c>
      <c r="V1085" s="7">
        <f t="shared" ca="1" si="1127"/>
        <v>0.26749880179263091</v>
      </c>
      <c r="W1085" s="14">
        <f t="shared" ca="1" si="1122"/>
        <v>3.8648114865773353E-2</v>
      </c>
      <c r="X1085" s="10">
        <f t="shared" ref="X1085:Y1085" ca="1" si="1182">+X1084</f>
        <v>0</v>
      </c>
      <c r="Y1085" s="10">
        <f t="shared" ca="1" si="1182"/>
        <v>0</v>
      </c>
      <c r="Z1085">
        <f t="shared" ca="1" si="1129"/>
        <v>0</v>
      </c>
      <c r="AA1085">
        <f t="shared" ca="1" si="1130"/>
        <v>1</v>
      </c>
      <c r="AB1085" s="19">
        <f t="shared" ca="1" si="1131"/>
        <v>0</v>
      </c>
      <c r="AC1085" s="19">
        <f t="shared" ca="1" si="1132"/>
        <v>3.8648114865773353E-2</v>
      </c>
    </row>
    <row r="1086" spans="3:29" x14ac:dyDescent="0.25">
      <c r="C1086" s="4">
        <v>1079</v>
      </c>
      <c r="D1086" s="28">
        <v>43542</v>
      </c>
      <c r="E1086" s="30">
        <v>14.98</v>
      </c>
      <c r="F1086" s="30">
        <v>59.580098800282293</v>
      </c>
      <c r="G1086" s="30">
        <v>4.5474594213126327</v>
      </c>
      <c r="H1086" s="30">
        <v>69.160197600564587</v>
      </c>
      <c r="I1086" s="8">
        <v>0</v>
      </c>
      <c r="J1086" s="31">
        <v>0</v>
      </c>
      <c r="K1086" s="31">
        <v>1</v>
      </c>
      <c r="L1086" s="31">
        <v>0</v>
      </c>
      <c r="M1086" s="31">
        <v>0</v>
      </c>
      <c r="N1086" s="31">
        <v>0</v>
      </c>
      <c r="O1086" s="31">
        <v>0</v>
      </c>
      <c r="P1086" s="31">
        <v>0</v>
      </c>
      <c r="Q1086" s="31">
        <v>0</v>
      </c>
      <c r="R1086" s="31">
        <v>0</v>
      </c>
      <c r="S1086" s="31">
        <v>0</v>
      </c>
      <c r="T1086" s="21" cm="1">
        <f t="array" aca="1" ref="T1086" ca="1">+fair_value_gap(OFFSET(S1085,0,0,-1*$I$5,-1*$Z$1),OFFSET(E1085,0,0,-1*$I$5,1),F1086:S1086,0)</f>
        <v>15.496928108782811</v>
      </c>
      <c r="U1086" s="7" cm="1">
        <f t="array" aca="1" ref="U1086" ca="1">z_score_diff(OFFSET(T1086,0,0,$I$5*-1,1),OFFSET(E1086,0,0,$I$5*-1,1))</f>
        <v>0.12202422793409484</v>
      </c>
      <c r="V1086" s="7">
        <f t="shared" ca="1" si="1127"/>
        <v>0.24786398445542082</v>
      </c>
      <c r="W1086" s="14">
        <f t="shared" ca="1" si="1122"/>
        <v>2.133903183701004E-3</v>
      </c>
      <c r="X1086" s="10">
        <f t="shared" ref="X1086:Y1086" ca="1" si="1183">+X1085</f>
        <v>0</v>
      </c>
      <c r="Y1086" s="10">
        <f t="shared" ca="1" si="1183"/>
        <v>0</v>
      </c>
      <c r="Z1086">
        <f t="shared" ca="1" si="1129"/>
        <v>0</v>
      </c>
      <c r="AA1086">
        <f t="shared" ca="1" si="1130"/>
        <v>1</v>
      </c>
      <c r="AB1086" s="19">
        <f t="shared" ca="1" si="1131"/>
        <v>0</v>
      </c>
      <c r="AC1086" s="19">
        <f t="shared" ca="1" si="1132"/>
        <v>2.133903183701004E-3</v>
      </c>
    </row>
    <row r="1087" spans="3:29" x14ac:dyDescent="0.25">
      <c r="C1087" s="4">
        <v>1080</v>
      </c>
      <c r="D1087" s="28">
        <v>43543</v>
      </c>
      <c r="E1087" s="30">
        <v>15.003</v>
      </c>
      <c r="F1087" s="30">
        <v>59.573530707551328</v>
      </c>
      <c r="G1087" s="30">
        <v>4.4056745087672926</v>
      </c>
      <c r="H1087" s="30">
        <v>68.684465591682084</v>
      </c>
      <c r="I1087" s="8">
        <v>0</v>
      </c>
      <c r="J1087" s="31">
        <v>0</v>
      </c>
      <c r="K1087" s="31">
        <v>1</v>
      </c>
      <c r="L1087" s="31">
        <v>0</v>
      </c>
      <c r="M1087" s="31">
        <v>0</v>
      </c>
      <c r="N1087" s="31">
        <v>0</v>
      </c>
      <c r="O1087" s="31">
        <v>0</v>
      </c>
      <c r="P1087" s="31">
        <v>0</v>
      </c>
      <c r="Q1087" s="31">
        <v>0</v>
      </c>
      <c r="R1087" s="31">
        <v>0</v>
      </c>
      <c r="S1087" s="31">
        <v>0</v>
      </c>
      <c r="T1087" s="21" cm="1">
        <f t="array" aca="1" ref="T1087" ca="1">+fair_value_gap(OFFSET(S1086,0,0,-1*$I$5,-1*$Z$1),OFFSET(E1086,0,0,-1*$I$5,1),F1087:S1087,0)</f>
        <v>15.186583064443971</v>
      </c>
      <c r="U1087" s="7" cm="1">
        <f t="array" aca="1" ref="U1087" ca="1">z_score_diff(OFFSET(T1087,0,0,$I$5*-1,1),OFFSET(E1087,0,0,$I$5*-1,1))</f>
        <v>2.1161948454953006E-3</v>
      </c>
      <c r="V1087" s="7">
        <f t="shared" ca="1" si="1127"/>
        <v>0.24227017371700957</v>
      </c>
      <c r="W1087" s="14">
        <f t="shared" ca="1" si="1122"/>
        <v>-1.119352147753191E-2</v>
      </c>
      <c r="X1087" s="10">
        <f t="shared" ref="X1087:Y1087" ca="1" si="1184">+X1086</f>
        <v>0</v>
      </c>
      <c r="Y1087" s="10">
        <f t="shared" ca="1" si="1184"/>
        <v>0</v>
      </c>
      <c r="Z1087">
        <f t="shared" ca="1" si="1129"/>
        <v>0</v>
      </c>
      <c r="AA1087">
        <f t="shared" ca="1" si="1130"/>
        <v>1</v>
      </c>
      <c r="AB1087" s="19">
        <f t="shared" ca="1" si="1131"/>
        <v>0</v>
      </c>
      <c r="AC1087" s="19">
        <f t="shared" ca="1" si="1132"/>
        <v>-1.119352147753191E-2</v>
      </c>
    </row>
    <row r="1088" spans="3:29" x14ac:dyDescent="0.25">
      <c r="C1088" s="4">
        <v>1081</v>
      </c>
      <c r="D1088" s="28">
        <v>43544</v>
      </c>
      <c r="E1088" s="30">
        <v>15.212999999999999</v>
      </c>
      <c r="F1088" s="30">
        <v>60.0297958110595</v>
      </c>
      <c r="G1088" s="30">
        <v>4.3379195513101392</v>
      </c>
      <c r="H1088" s="30">
        <v>68.09219174480765</v>
      </c>
      <c r="I1088" s="8">
        <v>0</v>
      </c>
      <c r="J1088" s="31">
        <v>0</v>
      </c>
      <c r="K1088" s="31">
        <v>1</v>
      </c>
      <c r="L1088" s="31">
        <v>0</v>
      </c>
      <c r="M1088" s="31">
        <v>0</v>
      </c>
      <c r="N1088" s="31">
        <v>0</v>
      </c>
      <c r="O1088" s="31">
        <v>0</v>
      </c>
      <c r="P1088" s="31">
        <v>0</v>
      </c>
      <c r="Q1088" s="31">
        <v>0</v>
      </c>
      <c r="R1088" s="31">
        <v>0</v>
      </c>
      <c r="S1088" s="31">
        <v>0</v>
      </c>
      <c r="T1088" s="21" cm="1">
        <f t="array" aca="1" ref="T1088" ca="1">+fair_value_gap(OFFSET(S1087,0,0,-1*$I$5,-1*$Z$1),OFFSET(E1087,0,0,-1*$I$5,1),F1088:S1088,0)</f>
        <v>14.965014621332413</v>
      </c>
      <c r="U1088" s="7" cm="1">
        <f t="array" aca="1" ref="U1088" ca="1">z_score_diff(OFFSET(T1088,0,0,$I$5*-1,1),OFFSET(E1088,0,0,$I$5*-1,1))</f>
        <v>-0.13808748782811664</v>
      </c>
      <c r="V1088" s="7">
        <f t="shared" ca="1" si="1127"/>
        <v>0.23605628387140873</v>
      </c>
      <c r="W1088" s="14">
        <f t="shared" ca="1" si="1122"/>
        <v>-1.1838991122351853E-3</v>
      </c>
      <c r="X1088" s="10">
        <f t="shared" ref="X1088:Y1088" ca="1" si="1185">+X1087</f>
        <v>0</v>
      </c>
      <c r="Y1088" s="10">
        <f t="shared" ca="1" si="1185"/>
        <v>0</v>
      </c>
      <c r="Z1088">
        <f t="shared" ca="1" si="1129"/>
        <v>0</v>
      </c>
      <c r="AA1088">
        <f t="shared" ca="1" si="1130"/>
        <v>1</v>
      </c>
      <c r="AB1088" s="19">
        <f t="shared" ca="1" si="1131"/>
        <v>0</v>
      </c>
      <c r="AC1088" s="19">
        <f t="shared" ca="1" si="1132"/>
        <v>-1.1838991122351853E-3</v>
      </c>
    </row>
    <row r="1089" spans="3:29" x14ac:dyDescent="0.25">
      <c r="C1089" s="4">
        <v>1082</v>
      </c>
      <c r="D1089" s="28">
        <v>43545</v>
      </c>
      <c r="E1089" s="30">
        <v>14.563000000000001</v>
      </c>
      <c r="F1089" s="30">
        <v>59.667633869691372</v>
      </c>
      <c r="G1089" s="30">
        <v>4.1589730062428565</v>
      </c>
      <c r="H1089" s="30">
        <v>68.407632111140416</v>
      </c>
      <c r="I1089" s="8">
        <v>0</v>
      </c>
      <c r="J1089" s="31">
        <v>0</v>
      </c>
      <c r="K1089" s="31">
        <v>1</v>
      </c>
      <c r="L1089" s="31">
        <v>0</v>
      </c>
      <c r="M1089" s="31">
        <v>0</v>
      </c>
      <c r="N1089" s="31">
        <v>0</v>
      </c>
      <c r="O1089" s="31">
        <v>0</v>
      </c>
      <c r="P1089" s="31">
        <v>0</v>
      </c>
      <c r="Q1089" s="31">
        <v>0</v>
      </c>
      <c r="R1089" s="31">
        <v>0</v>
      </c>
      <c r="S1089" s="31">
        <v>0</v>
      </c>
      <c r="T1089" s="21" cm="1">
        <f t="array" aca="1" ref="T1089" ca="1">+fair_value_gap(OFFSET(S1088,0,0,-1*$I$5,-1*$Z$1),OFFSET(E1088,0,0,-1*$I$5,1),F1089:S1089,0)</f>
        <v>14.784427733368014</v>
      </c>
      <c r="U1089" s="7" cm="1">
        <f t="array" aca="1" ref="U1089" ca="1">z_score_diff(OFFSET(T1089,0,0,$I$5*-1,1),OFFSET(E1089,0,0,$I$5*-1,1))</f>
        <v>7.1739657988483252E-3</v>
      </c>
      <c r="V1089" s="7">
        <f t="shared" ca="1" si="1127"/>
        <v>0.22760388066095602</v>
      </c>
      <c r="W1089" s="14">
        <f t="shared" ca="1" si="1122"/>
        <v>-6.9595457476832601E-3</v>
      </c>
      <c r="X1089" s="10">
        <f t="shared" ref="X1089:Y1089" ca="1" si="1186">+X1088</f>
        <v>0</v>
      </c>
      <c r="Y1089" s="10">
        <f t="shared" ca="1" si="1186"/>
        <v>0</v>
      </c>
      <c r="Z1089">
        <f t="shared" ca="1" si="1129"/>
        <v>0</v>
      </c>
      <c r="AA1089">
        <f t="shared" ca="1" si="1130"/>
        <v>1</v>
      </c>
      <c r="AB1089" s="19">
        <f t="shared" ca="1" si="1131"/>
        <v>0</v>
      </c>
      <c r="AC1089" s="19">
        <f t="shared" ca="1" si="1132"/>
        <v>-6.9595457476832601E-3</v>
      </c>
    </row>
    <row r="1090" spans="3:29" x14ac:dyDescent="0.25">
      <c r="C1090" s="4">
        <v>1083</v>
      </c>
      <c r="D1090" s="28">
        <v>43546</v>
      </c>
      <c r="E1090" s="30">
        <v>14.454000000000001</v>
      </c>
      <c r="F1090" s="30">
        <v>59.250419870944931</v>
      </c>
      <c r="G1090" s="30">
        <v>4.0837974012198357</v>
      </c>
      <c r="H1090" s="30">
        <v>68.063290020330598</v>
      </c>
      <c r="I1090" s="8">
        <v>0</v>
      </c>
      <c r="J1090" s="31">
        <v>0</v>
      </c>
      <c r="K1090" s="31">
        <v>1</v>
      </c>
      <c r="L1090" s="31">
        <v>0</v>
      </c>
      <c r="M1090" s="31">
        <v>0</v>
      </c>
      <c r="N1090" s="31">
        <v>0</v>
      </c>
      <c r="O1090" s="31">
        <v>0</v>
      </c>
      <c r="P1090" s="31">
        <v>0</v>
      </c>
      <c r="Q1090" s="31">
        <v>0</v>
      </c>
      <c r="R1090" s="31">
        <v>0</v>
      </c>
      <c r="S1090" s="31">
        <v>0</v>
      </c>
      <c r="T1090" s="21" cm="1">
        <f t="array" aca="1" ref="T1090" ca="1">+fair_value_gap(OFFSET(S1089,0,0,-1*$I$5,-1*$Z$1),OFFSET(E1089,0,0,-1*$I$5,1),F1090:S1090,0)</f>
        <v>14.585654888643674</v>
      </c>
      <c r="U1090" s="7" cm="1">
        <f t="array" aca="1" ref="U1090" ca="1">z_score_diff(OFFSET(T1090,0,0,$I$5*-1,1),OFFSET(E1090,0,0,$I$5*-1,1))</f>
        <v>-3.9676189633156778E-2</v>
      </c>
      <c r="V1090" s="7">
        <f t="shared" ca="1" si="1127"/>
        <v>0.21294713295970896</v>
      </c>
      <c r="W1090" s="14">
        <f t="shared" ca="1" si="1122"/>
        <v>-2.2163743662214912E-3</v>
      </c>
      <c r="X1090" s="10">
        <f t="shared" ref="X1090:Y1090" ca="1" si="1187">+X1089</f>
        <v>0</v>
      </c>
      <c r="Y1090" s="10">
        <f t="shared" ca="1" si="1187"/>
        <v>0</v>
      </c>
      <c r="Z1090">
        <f t="shared" ca="1" si="1129"/>
        <v>0</v>
      </c>
      <c r="AA1090">
        <f t="shared" ca="1" si="1130"/>
        <v>1</v>
      </c>
      <c r="AB1090" s="19">
        <f t="shared" ca="1" si="1131"/>
        <v>0</v>
      </c>
      <c r="AC1090" s="19">
        <f t="shared" ca="1" si="1132"/>
        <v>-2.2163743662214912E-3</v>
      </c>
    </row>
    <row r="1091" spans="3:29" x14ac:dyDescent="0.25">
      <c r="C1091" s="4">
        <v>1084</v>
      </c>
      <c r="D1091" s="28">
        <v>43549</v>
      </c>
      <c r="E1091" s="30">
        <v>14.185</v>
      </c>
      <c r="F1091" s="30">
        <v>59.420033595614882</v>
      </c>
      <c r="G1091" s="30">
        <v>4.0668375917248696</v>
      </c>
      <c r="H1091" s="30">
        <v>68.428962956414111</v>
      </c>
      <c r="I1091" s="8">
        <v>0</v>
      </c>
      <c r="J1091" s="31">
        <v>0</v>
      </c>
      <c r="K1091" s="31">
        <v>1</v>
      </c>
      <c r="L1091" s="31">
        <v>0</v>
      </c>
      <c r="M1091" s="31">
        <v>0</v>
      </c>
      <c r="N1091" s="31">
        <v>0</v>
      </c>
      <c r="O1091" s="31">
        <v>0</v>
      </c>
      <c r="P1091" s="31">
        <v>0</v>
      </c>
      <c r="Q1091" s="31">
        <v>0</v>
      </c>
      <c r="R1091" s="31">
        <v>0</v>
      </c>
      <c r="S1091" s="31">
        <v>0</v>
      </c>
      <c r="T1091" s="21" cm="1">
        <f t="array" aca="1" ref="T1091" ca="1">+fair_value_gap(OFFSET(S1090,0,0,-1*$I$5,-1*$Z$1),OFFSET(E1090,0,0,-1*$I$5,1),F1091:S1091,0)</f>
        <v>14.616109646113863</v>
      </c>
      <c r="U1091" s="7" cm="1">
        <f t="array" aca="1" ref="U1091" ca="1">z_score_diff(OFFSET(T1091,0,0,$I$5*-1,1),OFFSET(E1091,0,0,$I$5*-1,1))</f>
        <v>4.5604863111827765E-2</v>
      </c>
      <c r="V1091" s="7">
        <f t="shared" ca="1" si="1127"/>
        <v>0.19782456831295003</v>
      </c>
      <c r="W1091" s="14">
        <f t="shared" ca="1" si="1122"/>
        <v>5.5538123000244896E-3</v>
      </c>
      <c r="X1091" s="10">
        <f t="shared" ref="X1091:Y1091" ca="1" si="1188">+X1090</f>
        <v>0</v>
      </c>
      <c r="Y1091" s="10">
        <f t="shared" ca="1" si="1188"/>
        <v>0</v>
      </c>
      <c r="Z1091">
        <f t="shared" ca="1" si="1129"/>
        <v>0</v>
      </c>
      <c r="AA1091">
        <f t="shared" ca="1" si="1130"/>
        <v>1</v>
      </c>
      <c r="AB1091" s="19">
        <f t="shared" ca="1" si="1131"/>
        <v>0</v>
      </c>
      <c r="AC1091" s="19">
        <f t="shared" ca="1" si="1132"/>
        <v>5.5538123000244896E-3</v>
      </c>
    </row>
    <row r="1092" spans="3:29" x14ac:dyDescent="0.25">
      <c r="C1092" s="4">
        <v>1085</v>
      </c>
      <c r="D1092" s="28">
        <v>43550</v>
      </c>
      <c r="E1092" s="30">
        <v>14.384</v>
      </c>
      <c r="F1092" s="30">
        <v>60.342684659090907</v>
      </c>
      <c r="G1092" s="30">
        <v>4.0838068181818175</v>
      </c>
      <c r="H1092" s="30">
        <v>68.71448863636364</v>
      </c>
      <c r="I1092" s="8">
        <v>0</v>
      </c>
      <c r="J1092" s="31">
        <v>0</v>
      </c>
      <c r="K1092" s="31">
        <v>1</v>
      </c>
      <c r="L1092" s="31">
        <v>0</v>
      </c>
      <c r="M1092" s="31">
        <v>0</v>
      </c>
      <c r="N1092" s="31">
        <v>0</v>
      </c>
      <c r="O1092" s="31">
        <v>0</v>
      </c>
      <c r="P1092" s="31">
        <v>0</v>
      </c>
      <c r="Q1092" s="31">
        <v>0</v>
      </c>
      <c r="R1092" s="31">
        <v>0</v>
      </c>
      <c r="S1092" s="31">
        <v>0</v>
      </c>
      <c r="T1092" s="21" cm="1">
        <f t="array" aca="1" ref="T1092" ca="1">+fair_value_gap(OFFSET(S1091,0,0,-1*$I$5,-1*$Z$1),OFFSET(E1091,0,0,-1*$I$5,1),F1092:S1092,0)</f>
        <v>14.671150970391299</v>
      </c>
      <c r="U1092" s="7" cm="1">
        <f t="array" aca="1" ref="U1092" ca="1">z_score_diff(OFFSET(T1092,0,0,$I$5*-1,1),OFFSET(E1092,0,0,$I$5*-1,1))</f>
        <v>1.2873611017871767E-4</v>
      </c>
      <c r="V1092" s="7">
        <f t="shared" ca="1" si="1127"/>
        <v>0.18261640800455706</v>
      </c>
      <c r="W1092" s="14">
        <f t="shared" ca="1" si="1122"/>
        <v>1.044305628157481E-2</v>
      </c>
      <c r="X1092" s="10">
        <f t="shared" ref="X1092:Y1092" ca="1" si="1189">+X1091</f>
        <v>0</v>
      </c>
      <c r="Y1092" s="10">
        <f t="shared" ca="1" si="1189"/>
        <v>0</v>
      </c>
      <c r="Z1092">
        <f t="shared" ca="1" si="1129"/>
        <v>0</v>
      </c>
      <c r="AA1092">
        <f t="shared" ca="1" si="1130"/>
        <v>1</v>
      </c>
      <c r="AB1092" s="19">
        <f t="shared" ca="1" si="1131"/>
        <v>0</v>
      </c>
      <c r="AC1092" s="19">
        <f t="shared" ca="1" si="1132"/>
        <v>1.044305628157481E-2</v>
      </c>
    </row>
    <row r="1093" spans="3:29" x14ac:dyDescent="0.25">
      <c r="C1093" s="4">
        <v>1086</v>
      </c>
      <c r="D1093" s="28">
        <v>43551</v>
      </c>
      <c r="E1093" s="30">
        <v>14.994</v>
      </c>
      <c r="F1093" s="30">
        <v>60.309415844225121</v>
      </c>
      <c r="G1093" s="30">
        <v>4.0899795501022487</v>
      </c>
      <c r="H1093" s="30">
        <v>68.729438961500847</v>
      </c>
      <c r="I1093" s="8">
        <v>0</v>
      </c>
      <c r="J1093" s="31">
        <v>0</v>
      </c>
      <c r="K1093" s="31">
        <v>1</v>
      </c>
      <c r="L1093" s="31">
        <v>0</v>
      </c>
      <c r="M1093" s="31">
        <v>0</v>
      </c>
      <c r="N1093" s="31">
        <v>0</v>
      </c>
      <c r="O1093" s="31">
        <v>0</v>
      </c>
      <c r="P1093" s="31">
        <v>0</v>
      </c>
      <c r="Q1093" s="31">
        <v>0</v>
      </c>
      <c r="R1093" s="31">
        <v>0</v>
      </c>
      <c r="S1093" s="31">
        <v>0</v>
      </c>
      <c r="T1093" s="21" cm="1">
        <f t="array" aca="1" ref="T1093" ca="1">+fair_value_gap(OFFSET(S1092,0,0,-1*$I$5,-1*$Z$1),OFFSET(E1092,0,0,-1*$I$5,1),F1093:S1093,0)</f>
        <v>14.656976046980388</v>
      </c>
      <c r="U1093" s="7" cm="1">
        <f t="array" aca="1" ref="U1093" ca="1">z_score_diff(OFFSET(T1093,0,0,$I$5*-1,1),OFFSET(E1093,0,0,$I$5*-1,1))</f>
        <v>-0.18849226072787184</v>
      </c>
      <c r="V1093" s="7">
        <f t="shared" ca="1" si="1127"/>
        <v>0.17019793317122997</v>
      </c>
      <c r="W1093" s="14">
        <f t="shared" ca="1" si="1122"/>
        <v>-3.8825966479497175E-2</v>
      </c>
      <c r="X1093" s="10">
        <f t="shared" ref="X1093:Y1093" ca="1" si="1190">+X1092</f>
        <v>0</v>
      </c>
      <c r="Y1093" s="10">
        <f t="shared" ca="1" si="1190"/>
        <v>0</v>
      </c>
      <c r="Z1093">
        <f t="shared" ca="1" si="1129"/>
        <v>0</v>
      </c>
      <c r="AA1093">
        <f t="shared" ca="1" si="1130"/>
        <v>1</v>
      </c>
      <c r="AB1093" s="19">
        <f t="shared" ca="1" si="1131"/>
        <v>0</v>
      </c>
      <c r="AC1093" s="19">
        <f t="shared" ca="1" si="1132"/>
        <v>-3.8825966479497175E-2</v>
      </c>
    </row>
    <row r="1094" spans="3:29" x14ac:dyDescent="0.25">
      <c r="C1094" s="4">
        <v>1087</v>
      </c>
      <c r="D1094" s="28">
        <v>43552</v>
      </c>
      <c r="E1094" s="30">
        <v>14.428000000000001</v>
      </c>
      <c r="F1094" s="30">
        <v>60.445632798573961</v>
      </c>
      <c r="G1094" s="30">
        <v>4.0953654188948301</v>
      </c>
      <c r="H1094" s="30">
        <v>68.761140819964353</v>
      </c>
      <c r="I1094" s="8">
        <v>0</v>
      </c>
      <c r="J1094" s="31">
        <v>0</v>
      </c>
      <c r="K1094" s="31">
        <v>1</v>
      </c>
      <c r="L1094" s="31">
        <v>0</v>
      </c>
      <c r="M1094" s="31">
        <v>0</v>
      </c>
      <c r="N1094" s="31">
        <v>0</v>
      </c>
      <c r="O1094" s="31">
        <v>0</v>
      </c>
      <c r="P1094" s="31">
        <v>0</v>
      </c>
      <c r="Q1094" s="31">
        <v>0</v>
      </c>
      <c r="R1094" s="31">
        <v>0</v>
      </c>
      <c r="S1094" s="31">
        <v>0</v>
      </c>
      <c r="T1094" s="21" cm="1">
        <f t="array" aca="1" ref="T1094" ca="1">+fair_value_gap(OFFSET(S1093,0,0,-1*$I$5,-1*$Z$1),OFFSET(E1093,0,0,-1*$I$5,1),F1094:S1094,0)</f>
        <v>14.689560901436851</v>
      </c>
      <c r="U1094" s="7" cm="1">
        <f t="array" aca="1" ref="U1094" ca="1">z_score_diff(OFFSET(T1094,0,0,$I$5*-1,1),OFFSET(E1094,0,0,$I$5*-1,1))</f>
        <v>-8.8511626284839551E-3</v>
      </c>
      <c r="V1094" s="7">
        <f t="shared" ca="1" si="1127"/>
        <v>0.17146024058756665</v>
      </c>
      <c r="W1094" s="14">
        <f t="shared" ca="1" si="1122"/>
        <v>6.70053969668233E-3</v>
      </c>
      <c r="X1094" s="10">
        <f t="shared" ref="X1094:Y1094" ca="1" si="1191">+X1093</f>
        <v>0</v>
      </c>
      <c r="Y1094" s="10">
        <f t="shared" ca="1" si="1191"/>
        <v>0</v>
      </c>
      <c r="Z1094">
        <f t="shared" ca="1" si="1129"/>
        <v>0</v>
      </c>
      <c r="AA1094">
        <f t="shared" ca="1" si="1130"/>
        <v>1</v>
      </c>
      <c r="AB1094" s="19">
        <f t="shared" ca="1" si="1131"/>
        <v>0</v>
      </c>
      <c r="AC1094" s="19">
        <f t="shared" ca="1" si="1132"/>
        <v>6.70053969668233E-3</v>
      </c>
    </row>
    <row r="1095" spans="3:29" x14ac:dyDescent="0.25">
      <c r="C1095" s="4">
        <v>1088</v>
      </c>
      <c r="D1095" s="28">
        <v>43553</v>
      </c>
      <c r="E1095" s="30">
        <v>14.212999999999999</v>
      </c>
      <c r="F1095" s="30">
        <v>60.969956316305613</v>
      </c>
      <c r="G1095" s="30">
        <v>4.1009182490862086</v>
      </c>
      <c r="H1095" s="30">
        <v>68.73495587055362</v>
      </c>
      <c r="I1095" s="8">
        <v>0</v>
      </c>
      <c r="J1095" s="31">
        <v>0</v>
      </c>
      <c r="K1095" s="31">
        <v>1</v>
      </c>
      <c r="L1095" s="31">
        <v>0</v>
      </c>
      <c r="M1095" s="31">
        <v>0</v>
      </c>
      <c r="N1095" s="31">
        <v>0</v>
      </c>
      <c r="O1095" s="31">
        <v>0</v>
      </c>
      <c r="P1095" s="31">
        <v>0</v>
      </c>
      <c r="Q1095" s="31">
        <v>0</v>
      </c>
      <c r="R1095" s="31">
        <v>0</v>
      </c>
      <c r="S1095" s="31">
        <v>0</v>
      </c>
      <c r="T1095" s="21" cm="1">
        <f t="array" aca="1" ref="T1095" ca="1">+fair_value_gap(OFFSET(S1094,0,0,-1*$I$5,-1*$Z$1),OFFSET(E1094,0,0,-1*$I$5,1),F1095:S1095,0)</f>
        <v>14.685514662484929</v>
      </c>
      <c r="U1095" s="7" cm="1">
        <f t="array" aca="1" ref="U1095" ca="1">z_score_diff(OFFSET(T1095,0,0,$I$5*-1,1),OFFSET(E1095,0,0,$I$5*-1,1))</f>
        <v>4.9685463343676517E-2</v>
      </c>
      <c r="V1095" s="7">
        <f t="shared" ca="1" si="1127"/>
        <v>0.1565773565015437</v>
      </c>
      <c r="W1095" s="14">
        <f t="shared" ref="W1095:W1158" ca="1" si="1192">+LN(OFFSET(E1095,$W$3,0,1,1)/E1095)</f>
        <v>1.2306987024405686E-2</v>
      </c>
      <c r="X1095" s="10">
        <f t="shared" ref="X1095:Y1095" ca="1" si="1193">+X1094</f>
        <v>0</v>
      </c>
      <c r="Y1095" s="10">
        <f t="shared" ca="1" si="1193"/>
        <v>0</v>
      </c>
      <c r="Z1095">
        <f t="shared" ca="1" si="1129"/>
        <v>0</v>
      </c>
      <c r="AA1095">
        <f t="shared" ca="1" si="1130"/>
        <v>1</v>
      </c>
      <c r="AB1095" s="19">
        <f t="shared" ca="1" si="1131"/>
        <v>0</v>
      </c>
      <c r="AC1095" s="19">
        <f t="shared" ca="1" si="1132"/>
        <v>1.2306987024405686E-2</v>
      </c>
    </row>
    <row r="1096" spans="3:29" x14ac:dyDescent="0.25">
      <c r="C1096" s="4">
        <v>1089</v>
      </c>
      <c r="D1096" s="28">
        <v>43556</v>
      </c>
      <c r="E1096" s="30">
        <v>13.843999999999999</v>
      </c>
      <c r="F1096" s="30">
        <v>61.550124866214773</v>
      </c>
      <c r="G1096" s="30">
        <v>4.0849090260435252</v>
      </c>
      <c r="H1096" s="30">
        <v>62.388512308241175</v>
      </c>
      <c r="I1096" s="8">
        <v>0</v>
      </c>
      <c r="J1096" s="31">
        <v>0</v>
      </c>
      <c r="K1096" s="31">
        <v>0</v>
      </c>
      <c r="L1096" s="31">
        <v>1</v>
      </c>
      <c r="M1096" s="31">
        <v>0</v>
      </c>
      <c r="N1096" s="31">
        <v>0</v>
      </c>
      <c r="O1096" s="31">
        <v>0</v>
      </c>
      <c r="P1096" s="31">
        <v>0</v>
      </c>
      <c r="Q1096" s="31">
        <v>0</v>
      </c>
      <c r="R1096" s="31">
        <v>0</v>
      </c>
      <c r="S1096" s="31">
        <v>0</v>
      </c>
      <c r="T1096" s="21" cm="1">
        <f t="array" aca="1" ref="T1096" ca="1">+fair_value_gap(OFFSET(S1095,0,0,-1*$I$5,-1*$Z$1),OFFSET(E1095,0,0,-1*$I$5,1),F1096:S1096,0)</f>
        <v>14.930220124625928</v>
      </c>
      <c r="U1096" s="7" cm="1">
        <f t="array" aca="1" ref="U1096" ca="1">z_score_diff(OFFSET(T1096,0,0,$I$5*-1,1),OFFSET(E1096,0,0,$I$5*-1,1))</f>
        <v>0.23155119896337384</v>
      </c>
      <c r="V1096" s="7">
        <f t="shared" ca="1" si="1127"/>
        <v>0.15226552468012983</v>
      </c>
      <c r="W1096" s="14">
        <f t="shared" ca="1" si="1192"/>
        <v>1.519742511169828E-2</v>
      </c>
      <c r="X1096" s="10">
        <f t="shared" ref="X1096:Y1096" ca="1" si="1194">+X1095</f>
        <v>0</v>
      </c>
      <c r="Y1096" s="10">
        <f t="shared" ca="1" si="1194"/>
        <v>0</v>
      </c>
      <c r="Z1096">
        <f t="shared" ca="1" si="1129"/>
        <v>0</v>
      </c>
      <c r="AA1096">
        <f t="shared" ca="1" si="1130"/>
        <v>1</v>
      </c>
      <c r="AB1096" s="19">
        <f t="shared" ca="1" si="1131"/>
        <v>0</v>
      </c>
      <c r="AC1096" s="19">
        <f t="shared" ca="1" si="1132"/>
        <v>1.519742511169828E-2</v>
      </c>
    </row>
    <row r="1097" spans="3:29" x14ac:dyDescent="0.25">
      <c r="C1097" s="4">
        <v>1090</v>
      </c>
      <c r="D1097" s="28">
        <v>43557</v>
      </c>
      <c r="E1097" s="30">
        <v>13.457000000000001</v>
      </c>
      <c r="F1097" s="30">
        <v>61.926441706838062</v>
      </c>
      <c r="G1097" s="30">
        <v>4.0885556150687377</v>
      </c>
      <c r="H1097" s="30">
        <v>60.569541153365464</v>
      </c>
      <c r="I1097" s="8">
        <v>0</v>
      </c>
      <c r="J1097" s="31">
        <v>0</v>
      </c>
      <c r="K1097" s="31">
        <v>0</v>
      </c>
      <c r="L1097" s="31">
        <v>1</v>
      </c>
      <c r="M1097" s="31">
        <v>0</v>
      </c>
      <c r="N1097" s="31">
        <v>0</v>
      </c>
      <c r="O1097" s="31">
        <v>0</v>
      </c>
      <c r="P1097" s="31">
        <v>0</v>
      </c>
      <c r="Q1097" s="31">
        <v>0</v>
      </c>
      <c r="R1097" s="31">
        <v>0</v>
      </c>
      <c r="S1097" s="31">
        <v>0</v>
      </c>
      <c r="T1097" s="21" cm="1">
        <f t="array" aca="1" ref="T1097" ca="1">+fair_value_gap(OFFSET(S1096,0,0,-1*$I$5,-1*$Z$1),OFFSET(E1096,0,0,-1*$I$5,1),F1097:S1097,0)</f>
        <v>14.445813387065041</v>
      </c>
      <c r="U1097" s="7" cm="1">
        <f t="array" aca="1" ref="U1097" ca="1">z_score_diff(OFFSET(T1097,0,0,$I$5*-1,1),OFFSET(E1097,0,0,$I$5*-1,1))</f>
        <v>0.17188151424705866</v>
      </c>
      <c r="V1097" s="7">
        <f t="shared" ca="1" si="1127"/>
        <v>0.14301321390703722</v>
      </c>
      <c r="W1097" s="14">
        <f t="shared" ca="1" si="1192"/>
        <v>6.536488689320552E-2</v>
      </c>
      <c r="X1097" s="10">
        <f t="shared" ref="X1097:Y1097" ca="1" si="1195">+X1096</f>
        <v>0</v>
      </c>
      <c r="Y1097" s="10">
        <f t="shared" ca="1" si="1195"/>
        <v>0</v>
      </c>
      <c r="Z1097">
        <f t="shared" ca="1" si="1129"/>
        <v>0</v>
      </c>
      <c r="AA1097">
        <f t="shared" ca="1" si="1130"/>
        <v>1</v>
      </c>
      <c r="AB1097" s="19">
        <f t="shared" ca="1" si="1131"/>
        <v>0</v>
      </c>
      <c r="AC1097" s="19">
        <f t="shared" ca="1" si="1132"/>
        <v>6.536488689320552E-2</v>
      </c>
    </row>
    <row r="1098" spans="3:29" x14ac:dyDescent="0.25">
      <c r="C1098" s="4">
        <v>1091</v>
      </c>
      <c r="D1098" s="28">
        <v>43558</v>
      </c>
      <c r="E1098" s="30">
        <v>14.189</v>
      </c>
      <c r="F1098" s="30">
        <v>61.696635214527333</v>
      </c>
      <c r="G1098" s="30">
        <v>4.0769093822325084</v>
      </c>
      <c r="H1098" s="30">
        <v>59.32882321523946</v>
      </c>
      <c r="I1098" s="8">
        <v>0</v>
      </c>
      <c r="J1098" s="31">
        <v>0</v>
      </c>
      <c r="K1098" s="31">
        <v>0</v>
      </c>
      <c r="L1098" s="31">
        <v>1</v>
      </c>
      <c r="M1098" s="31">
        <v>0</v>
      </c>
      <c r="N1098" s="31">
        <v>0</v>
      </c>
      <c r="O1098" s="31">
        <v>0</v>
      </c>
      <c r="P1098" s="31">
        <v>0</v>
      </c>
      <c r="Q1098" s="31">
        <v>0</v>
      </c>
      <c r="R1098" s="31">
        <v>0</v>
      </c>
      <c r="S1098" s="31">
        <v>0</v>
      </c>
      <c r="T1098" s="21" cm="1">
        <f t="array" aca="1" ref="T1098" ca="1">+fair_value_gap(OFFSET(S1097,0,0,-1*$I$5,-1*$Z$1),OFFSET(E1097,0,0,-1*$I$5,1),F1098:S1098,0)</f>
        <v>14.057528535155431</v>
      </c>
      <c r="U1098" s="7" cm="1">
        <f t="array" aca="1" ref="U1098" ca="1">z_score_diff(OFFSET(T1098,0,0,$I$5*-1,1),OFFSET(E1098,0,0,$I$5*-1,1))</f>
        <v>-0.16841260439428574</v>
      </c>
      <c r="V1098" s="7">
        <f t="shared" ca="1" si="1127"/>
        <v>0.11766753735012932</v>
      </c>
      <c r="W1098" s="14">
        <f t="shared" ca="1" si="1192"/>
        <v>2.6223029270547212E-2</v>
      </c>
      <c r="X1098" s="10">
        <f t="shared" ref="X1098:Y1098" ca="1" si="1196">+X1097</f>
        <v>0</v>
      </c>
      <c r="Y1098" s="10">
        <f t="shared" ca="1" si="1196"/>
        <v>0</v>
      </c>
      <c r="Z1098">
        <f t="shared" ca="1" si="1129"/>
        <v>0</v>
      </c>
      <c r="AA1098">
        <f t="shared" ca="1" si="1130"/>
        <v>1</v>
      </c>
      <c r="AB1098" s="19">
        <f t="shared" ca="1" si="1131"/>
        <v>0</v>
      </c>
      <c r="AC1098" s="19">
        <f t="shared" ca="1" si="1132"/>
        <v>2.6223029270547212E-2</v>
      </c>
    </row>
    <row r="1099" spans="3:29" x14ac:dyDescent="0.25">
      <c r="C1099" s="4">
        <v>1092</v>
      </c>
      <c r="D1099" s="28">
        <v>43559</v>
      </c>
      <c r="E1099" s="30">
        <v>14.807</v>
      </c>
      <c r="F1099" s="30">
        <v>61.853832442067734</v>
      </c>
      <c r="G1099" s="30">
        <v>4.0998217468805693</v>
      </c>
      <c r="H1099" s="30">
        <v>61.007130124777177</v>
      </c>
      <c r="I1099" s="8">
        <v>0</v>
      </c>
      <c r="J1099" s="31">
        <v>0</v>
      </c>
      <c r="K1099" s="31">
        <v>0</v>
      </c>
      <c r="L1099" s="31">
        <v>1</v>
      </c>
      <c r="M1099" s="31">
        <v>0</v>
      </c>
      <c r="N1099" s="31">
        <v>0</v>
      </c>
      <c r="O1099" s="31">
        <v>0</v>
      </c>
      <c r="P1099" s="31">
        <v>0</v>
      </c>
      <c r="Q1099" s="31">
        <v>0</v>
      </c>
      <c r="R1099" s="31">
        <v>0</v>
      </c>
      <c r="S1099" s="31">
        <v>0</v>
      </c>
      <c r="T1099" s="21" cm="1">
        <f t="array" aca="1" ref="T1099" ca="1">+fair_value_gap(OFFSET(S1098,0,0,-1*$I$5,-1*$Z$1),OFFSET(E1098,0,0,-1*$I$5,1),F1099:S1099,0)</f>
        <v>14.337115644667776</v>
      </c>
      <c r="U1099" s="7" cm="1">
        <f t="array" aca="1" ref="U1099" ca="1">z_score_diff(OFFSET(T1099,0,0,$I$5*-1,1),OFFSET(E1099,0,0,$I$5*-1,1))</f>
        <v>-0.24735109962525259</v>
      </c>
      <c r="V1099" s="7">
        <f t="shared" ref="V1099:V1162" ca="1" si="1197">+IF(ISERROR(AVERAGE(OFFSET(U1099,0,0,$V$5*-1,1))),"",AVERAGE(OFFSET(U1099,0,0,$V$5*-1,1)))</f>
        <v>8.9147195806948049E-2</v>
      </c>
      <c r="W1099" s="14">
        <f t="shared" ca="1" si="1192"/>
        <v>-3.2395942591248665E-2</v>
      </c>
      <c r="X1099" s="10">
        <f t="shared" ref="X1099:Y1099" ca="1" si="1198">+X1098</f>
        <v>0</v>
      </c>
      <c r="Y1099" s="10">
        <f t="shared" ca="1" si="1198"/>
        <v>0</v>
      </c>
      <c r="Z1099">
        <f t="shared" ref="Z1099:Z1162" ca="1" si="1199">+IF(V1099="","",IF(V1099&lt;X1099,1,0))</f>
        <v>0</v>
      </c>
      <c r="AA1099">
        <f t="shared" ref="AA1099:AA1162" ca="1" si="1200">+IF(V1099="","",IF(V1099&gt;Y1099,1,0))</f>
        <v>1</v>
      </c>
      <c r="AB1099" s="19">
        <f t="shared" ref="AB1099:AB1162" ca="1" si="1201">+IF(ISERROR(Z1099*W1099),"",Z1099*W1099)</f>
        <v>0</v>
      </c>
      <c r="AC1099" s="19">
        <f t="shared" ref="AC1099:AC1162" ca="1" si="1202">+IF(ISERROR(AA1099*W1099),"",AA1099*W1099)</f>
        <v>-3.2395942591248665E-2</v>
      </c>
    </row>
    <row r="1100" spans="3:29" x14ac:dyDescent="0.25">
      <c r="C1100" s="4">
        <v>1093</v>
      </c>
      <c r="D1100" s="28">
        <v>43560</v>
      </c>
      <c r="E1100" s="30">
        <v>16.632999999999999</v>
      </c>
      <c r="F1100" s="30">
        <v>62.725164972355991</v>
      </c>
      <c r="G1100" s="30">
        <v>4.1466024612092029</v>
      </c>
      <c r="H1100" s="30">
        <v>62.10986267166043</v>
      </c>
      <c r="I1100" s="8">
        <v>0</v>
      </c>
      <c r="J1100" s="31">
        <v>0</v>
      </c>
      <c r="K1100" s="31">
        <v>0</v>
      </c>
      <c r="L1100" s="31">
        <v>1</v>
      </c>
      <c r="M1100" s="31">
        <v>0</v>
      </c>
      <c r="N1100" s="31">
        <v>0</v>
      </c>
      <c r="O1100" s="31">
        <v>0</v>
      </c>
      <c r="P1100" s="31">
        <v>0</v>
      </c>
      <c r="Q1100" s="31">
        <v>0</v>
      </c>
      <c r="R1100" s="31">
        <v>0</v>
      </c>
      <c r="S1100" s="31">
        <v>0</v>
      </c>
      <c r="T1100" s="21" cm="1">
        <f t="array" aca="1" ref="T1100" ca="1">+fair_value_gap(OFFSET(S1099,0,0,-1*$I$5,-1*$Z$1),OFFSET(E1099,0,0,-1*$I$5,1),F1100:S1100,0)</f>
        <v>14.625510637334566</v>
      </c>
      <c r="U1100" s="7" cm="1">
        <f t="array" aca="1" ref="U1100" ca="1">z_score_diff(OFFSET(T1100,0,0,$I$5*-1,1),OFFSET(E1100,0,0,$I$5*-1,1))</f>
        <v>-0.65922506959703231</v>
      </c>
      <c r="V1100" s="7">
        <f t="shared" ca="1" si="1197"/>
        <v>4.3648633945363037E-2</v>
      </c>
      <c r="W1100" s="14">
        <f t="shared" ca="1" si="1192"/>
        <v>-0.16132075524453499</v>
      </c>
      <c r="X1100" s="10">
        <f t="shared" ref="X1100:Y1100" ca="1" si="1203">+X1099</f>
        <v>0</v>
      </c>
      <c r="Y1100" s="10">
        <f t="shared" ca="1" si="1203"/>
        <v>0</v>
      </c>
      <c r="Z1100">
        <f t="shared" ca="1" si="1199"/>
        <v>0</v>
      </c>
      <c r="AA1100">
        <f t="shared" ca="1" si="1200"/>
        <v>1</v>
      </c>
      <c r="AB1100" s="19">
        <f t="shared" ca="1" si="1201"/>
        <v>0</v>
      </c>
      <c r="AC1100" s="19">
        <f t="shared" ca="1" si="1202"/>
        <v>-0.16132075524453499</v>
      </c>
    </row>
    <row r="1101" spans="3:29" x14ac:dyDescent="0.25">
      <c r="C1101" s="4">
        <v>1094</v>
      </c>
      <c r="D1101" s="28">
        <v>43563</v>
      </c>
      <c r="E1101" s="30">
        <v>15.964</v>
      </c>
      <c r="F1101" s="30">
        <v>63.149480415667469</v>
      </c>
      <c r="G1101" s="30">
        <v>4.0856203925748291</v>
      </c>
      <c r="H1101" s="30">
        <v>62.616573407940322</v>
      </c>
      <c r="I1101" s="8">
        <v>0</v>
      </c>
      <c r="J1101" s="31">
        <v>0</v>
      </c>
      <c r="K1101" s="31">
        <v>0</v>
      </c>
      <c r="L1101" s="31">
        <v>1</v>
      </c>
      <c r="M1101" s="31">
        <v>0</v>
      </c>
      <c r="N1101" s="31">
        <v>0</v>
      </c>
      <c r="O1101" s="31">
        <v>0</v>
      </c>
      <c r="P1101" s="31">
        <v>0</v>
      </c>
      <c r="Q1101" s="31">
        <v>0</v>
      </c>
      <c r="R1101" s="31">
        <v>0</v>
      </c>
      <c r="S1101" s="31">
        <v>0</v>
      </c>
      <c r="T1101" s="21" cm="1">
        <f t="array" aca="1" ref="T1101" ca="1">+fair_value_gap(OFFSET(S1100,0,0,-1*$I$5,-1*$Z$1),OFFSET(E1100,0,0,-1*$I$5,1),F1101:S1101,0)</f>
        <v>14.870722269777486</v>
      </c>
      <c r="U1101" s="7" cm="1">
        <f t="array" aca="1" ref="U1101" ca="1">z_score_diff(OFFSET(T1101,0,0,$I$5*-1,1),OFFSET(E1101,0,0,$I$5*-1,1))</f>
        <v>-0.37781625560211163</v>
      </c>
      <c r="V1101" s="7">
        <f t="shared" ca="1" si="1197"/>
        <v>1.3138508466592013E-2</v>
      </c>
      <c r="W1101" s="14">
        <f t="shared" ca="1" si="1192"/>
        <v>-0.10853937060173949</v>
      </c>
      <c r="X1101" s="10">
        <f t="shared" ref="X1101:Y1101" ca="1" si="1204">+X1100</f>
        <v>0</v>
      </c>
      <c r="Y1101" s="10">
        <f t="shared" ca="1" si="1204"/>
        <v>0</v>
      </c>
      <c r="Z1101">
        <f t="shared" ca="1" si="1199"/>
        <v>0</v>
      </c>
      <c r="AA1101">
        <f t="shared" ca="1" si="1200"/>
        <v>1</v>
      </c>
      <c r="AB1101" s="19">
        <f t="shared" ca="1" si="1201"/>
        <v>0</v>
      </c>
      <c r="AC1101" s="19">
        <f t="shared" ca="1" si="1202"/>
        <v>-0.10853937060173949</v>
      </c>
    </row>
    <row r="1102" spans="3:29" x14ac:dyDescent="0.25">
      <c r="C1102" s="4">
        <v>1095</v>
      </c>
      <c r="D1102" s="28">
        <v>43564</v>
      </c>
      <c r="E1102" s="30">
        <v>16.757000000000001</v>
      </c>
      <c r="F1102" s="30">
        <v>62.70313471272533</v>
      </c>
      <c r="G1102" s="30">
        <v>4.1070952846106028</v>
      </c>
      <c r="H1102" s="30">
        <v>62.827457597016242</v>
      </c>
      <c r="I1102" s="8">
        <v>0</v>
      </c>
      <c r="J1102" s="31">
        <v>0</v>
      </c>
      <c r="K1102" s="31">
        <v>0</v>
      </c>
      <c r="L1102" s="31">
        <v>1</v>
      </c>
      <c r="M1102" s="31">
        <v>0</v>
      </c>
      <c r="N1102" s="31">
        <v>0</v>
      </c>
      <c r="O1102" s="31">
        <v>0</v>
      </c>
      <c r="P1102" s="31">
        <v>0</v>
      </c>
      <c r="Q1102" s="31">
        <v>0</v>
      </c>
      <c r="R1102" s="31">
        <v>0</v>
      </c>
      <c r="S1102" s="31">
        <v>0</v>
      </c>
      <c r="T1102" s="21" cm="1">
        <f t="array" aca="1" ref="T1102" ca="1">+fair_value_gap(OFFSET(S1101,0,0,-1*$I$5,-1*$Z$1),OFFSET(E1101,0,0,-1*$I$5,1),F1102:S1102,0)</f>
        <v>15.036538355595786</v>
      </c>
      <c r="U1102" s="7" cm="1">
        <f t="array" aca="1" ref="U1102" ca="1">z_score_diff(OFFSET(T1102,0,0,$I$5*-1,1),OFFSET(E1102,0,0,$I$5*-1,1))</f>
        <v>-0.53722146118581682</v>
      </c>
      <c r="V1102" s="7">
        <f t="shared" ca="1" si="1197"/>
        <v>-2.963676653553169E-2</v>
      </c>
      <c r="W1102" s="14">
        <f t="shared" ca="1" si="1192"/>
        <v>-0.14763735509228171</v>
      </c>
      <c r="X1102" s="10">
        <f t="shared" ref="X1102:Y1102" ca="1" si="1205">+X1101</f>
        <v>0</v>
      </c>
      <c r="Y1102" s="10">
        <f t="shared" ca="1" si="1205"/>
        <v>0</v>
      </c>
      <c r="Z1102">
        <f t="shared" ca="1" si="1199"/>
        <v>1</v>
      </c>
      <c r="AA1102">
        <f t="shared" ca="1" si="1200"/>
        <v>0</v>
      </c>
      <c r="AB1102" s="19">
        <f t="shared" ca="1" si="1201"/>
        <v>-0.14763735509228171</v>
      </c>
      <c r="AC1102" s="19">
        <f t="shared" ca="1" si="1202"/>
        <v>0</v>
      </c>
    </row>
    <row r="1103" spans="3:29" x14ac:dyDescent="0.25">
      <c r="C1103" s="4">
        <v>1096</v>
      </c>
      <c r="D1103" s="28">
        <v>43565</v>
      </c>
      <c r="E1103" s="30">
        <v>15.73</v>
      </c>
      <c r="F1103" s="30">
        <v>63.62991217954405</v>
      </c>
      <c r="G1103" s="30">
        <v>4.1736893462254949</v>
      </c>
      <c r="H1103" s="30">
        <v>62.450102013660967</v>
      </c>
      <c r="I1103" s="8">
        <v>0</v>
      </c>
      <c r="J1103" s="31">
        <v>0</v>
      </c>
      <c r="K1103" s="31">
        <v>0</v>
      </c>
      <c r="L1103" s="31">
        <v>1</v>
      </c>
      <c r="M1103" s="31">
        <v>0</v>
      </c>
      <c r="N1103" s="31">
        <v>0</v>
      </c>
      <c r="O1103" s="31">
        <v>0</v>
      </c>
      <c r="P1103" s="31">
        <v>0</v>
      </c>
      <c r="Q1103" s="31">
        <v>0</v>
      </c>
      <c r="R1103" s="31">
        <v>0</v>
      </c>
      <c r="S1103" s="31">
        <v>0</v>
      </c>
      <c r="T1103" s="21" cm="1">
        <f t="array" aca="1" ref="T1103" ca="1">+fair_value_gap(OFFSET(S1102,0,0,-1*$I$5,-1*$Z$1),OFFSET(E1102,0,0,-1*$I$5,1),F1103:S1103,0)</f>
        <v>15.238029111423659</v>
      </c>
      <c r="U1103" s="7" cm="1">
        <f t="array" aca="1" ref="U1103" ca="1">z_score_diff(OFFSET(T1103,0,0,$I$5*-1,1),OFFSET(E1103,0,0,$I$5*-1,1))</f>
        <v>-0.17687662588651909</v>
      </c>
      <c r="V1103" s="7">
        <f t="shared" ca="1" si="1197"/>
        <v>-5.7983723763577244E-2</v>
      </c>
      <c r="W1103" s="14">
        <f t="shared" ca="1" si="1192"/>
        <v>-0.11672669613167762</v>
      </c>
      <c r="X1103" s="10">
        <f t="shared" ref="X1103:Y1103" ca="1" si="1206">+X1102</f>
        <v>0</v>
      </c>
      <c r="Y1103" s="10">
        <f t="shared" ca="1" si="1206"/>
        <v>0</v>
      </c>
      <c r="Z1103">
        <f t="shared" ca="1" si="1199"/>
        <v>1</v>
      </c>
      <c r="AA1103">
        <f t="shared" ca="1" si="1200"/>
        <v>0</v>
      </c>
      <c r="AB1103" s="19">
        <f t="shared" ca="1" si="1201"/>
        <v>-0.11672669613167762</v>
      </c>
      <c r="AC1103" s="19">
        <f t="shared" ca="1" si="1202"/>
        <v>0</v>
      </c>
    </row>
    <row r="1104" spans="3:29" x14ac:dyDescent="0.25">
      <c r="C1104" s="4">
        <v>1097</v>
      </c>
      <c r="D1104" s="28">
        <v>43566</v>
      </c>
      <c r="E1104" s="30">
        <v>15.994999999999999</v>
      </c>
      <c r="F1104" s="30">
        <v>62.96</v>
      </c>
      <c r="G1104" s="30">
        <v>4.2044444444444444</v>
      </c>
      <c r="H1104" s="30">
        <v>62.222222222222221</v>
      </c>
      <c r="I1104" s="8">
        <v>0</v>
      </c>
      <c r="J1104" s="31">
        <v>0</v>
      </c>
      <c r="K1104" s="31">
        <v>0</v>
      </c>
      <c r="L1104" s="31">
        <v>1</v>
      </c>
      <c r="M1104" s="31">
        <v>0</v>
      </c>
      <c r="N1104" s="31">
        <v>0</v>
      </c>
      <c r="O1104" s="31">
        <v>0</v>
      </c>
      <c r="P1104" s="31">
        <v>0</v>
      </c>
      <c r="Q1104" s="31">
        <v>0</v>
      </c>
      <c r="R1104" s="31">
        <v>0</v>
      </c>
      <c r="S1104" s="31">
        <v>0</v>
      </c>
      <c r="T1104" s="21" cm="1">
        <f t="array" aca="1" ref="T1104" ca="1">+fair_value_gap(OFFSET(S1103,0,0,-1*$I$5,-1*$Z$1),OFFSET(E1103,0,0,-1*$I$5,1),F1104:S1104,0)</f>
        <v>15.263121251011199</v>
      </c>
      <c r="U1104" s="7" cm="1">
        <f t="array" aca="1" ref="U1104" ca="1">z_score_diff(OFFSET(T1104,0,0,$I$5*-1,1),OFFSET(E1104,0,0,$I$5*-1,1))</f>
        <v>-0.23737915443788982</v>
      </c>
      <c r="V1104" s="7">
        <f t="shared" ca="1" si="1197"/>
        <v>-8.8225370311972959E-2</v>
      </c>
      <c r="W1104" s="14">
        <f t="shared" ca="1" si="1192"/>
        <v>-0.1504376691183367</v>
      </c>
      <c r="X1104" s="10">
        <f t="shared" ref="X1104:Y1104" ca="1" si="1207">+X1103</f>
        <v>0</v>
      </c>
      <c r="Y1104" s="10">
        <f t="shared" ca="1" si="1207"/>
        <v>0</v>
      </c>
      <c r="Z1104">
        <f t="shared" ca="1" si="1199"/>
        <v>1</v>
      </c>
      <c r="AA1104">
        <f t="shared" ca="1" si="1200"/>
        <v>0</v>
      </c>
      <c r="AB1104" s="19">
        <f t="shared" ca="1" si="1201"/>
        <v>-0.1504376691183367</v>
      </c>
      <c r="AC1104" s="19">
        <f t="shared" ca="1" si="1202"/>
        <v>0</v>
      </c>
    </row>
    <row r="1105" spans="3:29" x14ac:dyDescent="0.25">
      <c r="C1105" s="4">
        <v>1098</v>
      </c>
      <c r="D1105" s="28">
        <v>43567</v>
      </c>
      <c r="E1105" s="30">
        <v>15.853</v>
      </c>
      <c r="F1105" s="30">
        <v>63.318584070796462</v>
      </c>
      <c r="G1105" s="30">
        <v>4.22566371681416</v>
      </c>
      <c r="H1105" s="30">
        <v>61.858407079646028</v>
      </c>
      <c r="I1105" s="8">
        <v>0</v>
      </c>
      <c r="J1105" s="31">
        <v>0</v>
      </c>
      <c r="K1105" s="31">
        <v>0</v>
      </c>
      <c r="L1105" s="31">
        <v>1</v>
      </c>
      <c r="M1105" s="31">
        <v>0</v>
      </c>
      <c r="N1105" s="31">
        <v>0</v>
      </c>
      <c r="O1105" s="31">
        <v>0</v>
      </c>
      <c r="P1105" s="31">
        <v>0</v>
      </c>
      <c r="Q1105" s="31">
        <v>0</v>
      </c>
      <c r="R1105" s="31">
        <v>0</v>
      </c>
      <c r="S1105" s="31">
        <v>0</v>
      </c>
      <c r="T1105" s="21" cm="1">
        <f t="array" aca="1" ref="T1105" ca="1">+fair_value_gap(OFFSET(S1104,0,0,-1*$I$5,-1*$Z$1),OFFSET(E1104,0,0,-1*$I$5,1),F1105:S1105,0)</f>
        <v>15.303087259539595</v>
      </c>
      <c r="U1105" s="7" cm="1">
        <f t="array" aca="1" ref="U1105" ca="1">z_score_diff(OFFSET(T1105,0,0,$I$5*-1,1),OFFSET(E1105,0,0,$I$5*-1,1))</f>
        <v>-0.17991921366527275</v>
      </c>
      <c r="V1105" s="7">
        <f t="shared" ca="1" si="1197"/>
        <v>-0.11645712104286279</v>
      </c>
      <c r="W1105" s="14">
        <f t="shared" ca="1" si="1192"/>
        <v>-0.13992280814878902</v>
      </c>
      <c r="X1105" s="10">
        <f t="shared" ref="X1105:Y1105" ca="1" si="1208">+X1104</f>
        <v>0</v>
      </c>
      <c r="Y1105" s="10">
        <f t="shared" ca="1" si="1208"/>
        <v>0</v>
      </c>
      <c r="Z1105">
        <f t="shared" ca="1" si="1199"/>
        <v>1</v>
      </c>
      <c r="AA1105">
        <f t="shared" ca="1" si="1200"/>
        <v>0</v>
      </c>
      <c r="AB1105" s="19">
        <f t="shared" ca="1" si="1201"/>
        <v>-0.13992280814878902</v>
      </c>
      <c r="AC1105" s="19">
        <f t="shared" ca="1" si="1202"/>
        <v>0</v>
      </c>
    </row>
    <row r="1106" spans="3:29" x14ac:dyDescent="0.25">
      <c r="C1106" s="4">
        <v>1099</v>
      </c>
      <c r="D1106" s="28">
        <v>43570</v>
      </c>
      <c r="E1106" s="30">
        <v>15.012</v>
      </c>
      <c r="F1106" s="30">
        <v>62.952153533209518</v>
      </c>
      <c r="G1106" s="30">
        <v>4.2230476695852133</v>
      </c>
      <c r="H1106" s="30">
        <v>60.979923940921552</v>
      </c>
      <c r="I1106" s="8">
        <v>0</v>
      </c>
      <c r="J1106" s="31">
        <v>0</v>
      </c>
      <c r="K1106" s="31">
        <v>0</v>
      </c>
      <c r="L1106" s="31">
        <v>1</v>
      </c>
      <c r="M1106" s="31">
        <v>0</v>
      </c>
      <c r="N1106" s="31">
        <v>0</v>
      </c>
      <c r="O1106" s="31">
        <v>0</v>
      </c>
      <c r="P1106" s="31">
        <v>0</v>
      </c>
      <c r="Q1106" s="31">
        <v>0</v>
      </c>
      <c r="R1106" s="31">
        <v>0</v>
      </c>
      <c r="S1106" s="31">
        <v>0</v>
      </c>
      <c r="T1106" s="21" cm="1">
        <f t="array" aca="1" ref="T1106" ca="1">+fair_value_gap(OFFSET(S1105,0,0,-1*$I$5,-1*$Z$1),OFFSET(E1105,0,0,-1*$I$5,1),F1106:S1106,0)</f>
        <v>15.220307701569077</v>
      </c>
      <c r="U1106" s="7" cm="1">
        <f t="array" aca="1" ref="U1106" ca="1">z_score_diff(OFFSET(T1106,0,0,$I$5*-1,1),OFFSET(E1106,0,0,$I$5*-1,1))</f>
        <v>2.8098764860055025E-2</v>
      </c>
      <c r="V1106" s="7">
        <f t="shared" ca="1" si="1197"/>
        <v>-0.12115339419656479</v>
      </c>
      <c r="W1106" s="14">
        <f t="shared" ca="1" si="1192"/>
        <v>-8.0131529452695124E-2</v>
      </c>
      <c r="X1106" s="10">
        <f t="shared" ref="X1106:Y1106" ca="1" si="1209">+X1105</f>
        <v>0</v>
      </c>
      <c r="Y1106" s="10">
        <f t="shared" ca="1" si="1209"/>
        <v>0</v>
      </c>
      <c r="Z1106">
        <f t="shared" ca="1" si="1199"/>
        <v>1</v>
      </c>
      <c r="AA1106">
        <f t="shared" ca="1" si="1200"/>
        <v>0</v>
      </c>
      <c r="AB1106" s="19">
        <f t="shared" ca="1" si="1201"/>
        <v>-8.0131529452695124E-2</v>
      </c>
      <c r="AC1106" s="19">
        <f t="shared" ca="1" si="1202"/>
        <v>0</v>
      </c>
    </row>
    <row r="1107" spans="3:29" x14ac:dyDescent="0.25">
      <c r="C1107" s="4">
        <v>1100</v>
      </c>
      <c r="D1107" s="28">
        <v>43571</v>
      </c>
      <c r="E1107" s="30">
        <v>14.836</v>
      </c>
      <c r="F1107" s="30">
        <v>63.581560283687949</v>
      </c>
      <c r="G1107" s="30">
        <v>5.0664893617021276</v>
      </c>
      <c r="H1107" s="30">
        <v>61.214539007092199</v>
      </c>
      <c r="I1107" s="8">
        <v>0</v>
      </c>
      <c r="J1107" s="31">
        <v>0</v>
      </c>
      <c r="K1107" s="31">
        <v>0</v>
      </c>
      <c r="L1107" s="31">
        <v>1</v>
      </c>
      <c r="M1107" s="31">
        <v>0</v>
      </c>
      <c r="N1107" s="31">
        <v>0</v>
      </c>
      <c r="O1107" s="31">
        <v>0</v>
      </c>
      <c r="P1107" s="31">
        <v>0</v>
      </c>
      <c r="Q1107" s="31">
        <v>0</v>
      </c>
      <c r="R1107" s="31">
        <v>0</v>
      </c>
      <c r="S1107" s="31">
        <v>0</v>
      </c>
      <c r="T1107" s="21" cm="1">
        <f t="array" aca="1" ref="T1107" ca="1">+fair_value_gap(OFFSET(S1106,0,0,-1*$I$5,-1*$Z$1),OFFSET(E1106,0,0,-1*$I$5,1),F1107:S1107,0)</f>
        <v>16.240480334579733</v>
      </c>
      <c r="U1107" s="7" cm="1">
        <f t="array" aca="1" ref="U1107" ca="1">z_score_diff(OFFSET(T1107,0,0,$I$5*-1,1),OFFSET(E1107,0,0,$I$5*-1,1))</f>
        <v>0.38740037324341947</v>
      </c>
      <c r="V1107" s="7">
        <f t="shared" ca="1" si="1197"/>
        <v>-0.10188918527666857</v>
      </c>
      <c r="W1107" s="14">
        <f t="shared" ca="1" si="1192"/>
        <v>-0.10292198265502862</v>
      </c>
      <c r="X1107" s="10">
        <f t="shared" ref="X1107:Y1107" ca="1" si="1210">+X1106</f>
        <v>0</v>
      </c>
      <c r="Y1107" s="10">
        <f t="shared" ca="1" si="1210"/>
        <v>0</v>
      </c>
      <c r="Z1107">
        <f t="shared" ca="1" si="1199"/>
        <v>1</v>
      </c>
      <c r="AA1107">
        <f t="shared" ca="1" si="1200"/>
        <v>0</v>
      </c>
      <c r="AB1107" s="19">
        <f t="shared" ca="1" si="1201"/>
        <v>-0.10292198265502862</v>
      </c>
      <c r="AC1107" s="19">
        <f t="shared" ca="1" si="1202"/>
        <v>0</v>
      </c>
    </row>
    <row r="1108" spans="3:29" x14ac:dyDescent="0.25">
      <c r="C1108" s="4">
        <v>1101</v>
      </c>
      <c r="D1108" s="28">
        <v>43572</v>
      </c>
      <c r="E1108" s="30">
        <v>15.195</v>
      </c>
      <c r="F1108" s="30">
        <v>63.414202231273251</v>
      </c>
      <c r="G1108" s="30">
        <v>4.9805206304232339</v>
      </c>
      <c r="H1108" s="30">
        <v>61.315742872321586</v>
      </c>
      <c r="I1108" s="8">
        <v>0</v>
      </c>
      <c r="J1108" s="31">
        <v>0</v>
      </c>
      <c r="K1108" s="31">
        <v>0</v>
      </c>
      <c r="L1108" s="31">
        <v>1</v>
      </c>
      <c r="M1108" s="31">
        <v>0</v>
      </c>
      <c r="N1108" s="31">
        <v>0</v>
      </c>
      <c r="O1108" s="31">
        <v>0</v>
      </c>
      <c r="P1108" s="31">
        <v>0</v>
      </c>
      <c r="Q1108" s="31">
        <v>0</v>
      </c>
      <c r="R1108" s="31">
        <v>0</v>
      </c>
      <c r="S1108" s="31">
        <v>0</v>
      </c>
      <c r="T1108" s="21" cm="1">
        <f t="array" aca="1" ref="T1108" ca="1">+fair_value_gap(OFFSET(S1107,0,0,-1*$I$5,-1*$Z$1),OFFSET(E1107,0,0,-1*$I$5,1),F1108:S1108,0)</f>
        <v>16.050256327230144</v>
      </c>
      <c r="U1108" s="7" cm="1">
        <f t="array" aca="1" ref="U1108" ca="1">z_score_diff(OFFSET(T1108,0,0,$I$5*-1,1),OFFSET(E1108,0,0,$I$5*-1,1))</f>
        <v>0.22447246292773659</v>
      </c>
      <c r="V1108" s="7">
        <f t="shared" ca="1" si="1197"/>
        <v>-8.3761187738875892E-2</v>
      </c>
      <c r="W1108" s="14">
        <f t="shared" ca="1" si="1192"/>
        <v>-0.16715579793354493</v>
      </c>
      <c r="X1108" s="10">
        <f t="shared" ref="X1108:Y1108" ca="1" si="1211">+X1107</f>
        <v>0</v>
      </c>
      <c r="Y1108" s="10">
        <f t="shared" ca="1" si="1211"/>
        <v>0</v>
      </c>
      <c r="Z1108">
        <f t="shared" ca="1" si="1199"/>
        <v>1</v>
      </c>
      <c r="AA1108">
        <f t="shared" ca="1" si="1200"/>
        <v>0</v>
      </c>
      <c r="AB1108" s="19">
        <f t="shared" ca="1" si="1201"/>
        <v>-0.16715579793354493</v>
      </c>
      <c r="AC1108" s="19">
        <f t="shared" ca="1" si="1202"/>
        <v>0</v>
      </c>
    </row>
    <row r="1109" spans="3:29" x14ac:dyDescent="0.25">
      <c r="C1109" s="4">
        <v>1102</v>
      </c>
      <c r="D1109" s="28">
        <v>43573</v>
      </c>
      <c r="E1109" s="30">
        <v>14.462</v>
      </c>
      <c r="F1109" s="30">
        <v>64.092973550627832</v>
      </c>
      <c r="G1109" s="30">
        <v>4.826787781636833</v>
      </c>
      <c r="H1109" s="30">
        <v>61.44803633449105</v>
      </c>
      <c r="I1109" s="8">
        <v>0</v>
      </c>
      <c r="J1109" s="31">
        <v>0</v>
      </c>
      <c r="K1109" s="31">
        <v>0</v>
      </c>
      <c r="L1109" s="31">
        <v>1</v>
      </c>
      <c r="M1109" s="31">
        <v>0</v>
      </c>
      <c r="N1109" s="31">
        <v>0</v>
      </c>
      <c r="O1109" s="31">
        <v>0</v>
      </c>
      <c r="P1109" s="31">
        <v>0</v>
      </c>
      <c r="Q1109" s="31">
        <v>0</v>
      </c>
      <c r="R1109" s="31">
        <v>0</v>
      </c>
      <c r="S1109" s="31">
        <v>0</v>
      </c>
      <c r="T1109" s="21" cm="1">
        <f t="array" aca="1" ref="T1109" ca="1">+fair_value_gap(OFFSET(S1108,0,0,-1*$I$5,-1*$Z$1),OFFSET(E1108,0,0,-1*$I$5,1),F1109:S1109,0)</f>
        <v>15.855095751999126</v>
      </c>
      <c r="U1109" s="7" cm="1">
        <f t="array" aca="1" ref="U1109" ca="1">z_score_diff(OFFSET(T1109,0,0,$I$5*-1,1),OFFSET(E1109,0,0,$I$5*-1,1))</f>
        <v>0.35534468042441025</v>
      </c>
      <c r="V1109" s="7">
        <f t="shared" ca="1" si="1197"/>
        <v>-6.6352652007597823E-2</v>
      </c>
      <c r="W1109" s="14">
        <f t="shared" ca="1" si="1192"/>
        <v>-0.11406467728305116</v>
      </c>
      <c r="X1109" s="10">
        <f t="shared" ref="X1109:Y1109" ca="1" si="1212">+X1108</f>
        <v>0</v>
      </c>
      <c r="Y1109" s="10">
        <f t="shared" ca="1" si="1212"/>
        <v>0</v>
      </c>
      <c r="Z1109">
        <f t="shared" ca="1" si="1199"/>
        <v>1</v>
      </c>
      <c r="AA1109">
        <f t="shared" ca="1" si="1200"/>
        <v>0</v>
      </c>
      <c r="AB1109" s="19">
        <f t="shared" ca="1" si="1201"/>
        <v>-0.11406467728305116</v>
      </c>
      <c r="AC1109" s="19">
        <f t="shared" ca="1" si="1202"/>
        <v>0</v>
      </c>
    </row>
    <row r="1110" spans="3:29" x14ac:dyDescent="0.25">
      <c r="C1110" s="4">
        <v>1103</v>
      </c>
      <c r="D1110" s="28">
        <v>43578</v>
      </c>
      <c r="E1110" s="30">
        <v>14.422000000000001</v>
      </c>
      <c r="F1110" s="30">
        <v>66.378619153674833</v>
      </c>
      <c r="G1110" s="30">
        <v>4.7483296213808464</v>
      </c>
      <c r="H1110" s="30">
        <v>61.781737193763909</v>
      </c>
      <c r="I1110" s="8">
        <v>0</v>
      </c>
      <c r="J1110" s="31">
        <v>0</v>
      </c>
      <c r="K1110" s="31">
        <v>0</v>
      </c>
      <c r="L1110" s="31">
        <v>1</v>
      </c>
      <c r="M1110" s="31">
        <v>0</v>
      </c>
      <c r="N1110" s="31">
        <v>0</v>
      </c>
      <c r="O1110" s="31">
        <v>0</v>
      </c>
      <c r="P1110" s="31">
        <v>0</v>
      </c>
      <c r="Q1110" s="31">
        <v>0</v>
      </c>
      <c r="R1110" s="31">
        <v>0</v>
      </c>
      <c r="S1110" s="31">
        <v>0</v>
      </c>
      <c r="T1110" s="21" cm="1">
        <f t="array" aca="1" ref="T1110" ca="1">+fair_value_gap(OFFSET(S1109,0,0,-1*$I$5,-1*$Z$1),OFFSET(E1109,0,0,-1*$I$5,1),F1110:S1110,0)</f>
        <v>15.777247558537699</v>
      </c>
      <c r="U1110" s="7" cm="1">
        <f t="array" aca="1" ref="U1110" ca="1">z_score_diff(OFFSET(T1110,0,0,$I$5*-1,1),OFFSET(E1110,0,0,$I$5*-1,1))</f>
        <v>0.33415127111005738</v>
      </c>
      <c r="V1110" s="7">
        <f t="shared" ca="1" si="1197"/>
        <v>-4.7661278970437093E-2</v>
      </c>
      <c r="W1110" s="14">
        <f t="shared" ca="1" si="1192"/>
        <v>-0.1267592017224404</v>
      </c>
      <c r="X1110" s="10">
        <f t="shared" ref="X1110:Y1110" ca="1" si="1213">+X1109</f>
        <v>0</v>
      </c>
      <c r="Y1110" s="10">
        <f t="shared" ca="1" si="1213"/>
        <v>0</v>
      </c>
      <c r="Z1110">
        <f t="shared" ca="1" si="1199"/>
        <v>1</v>
      </c>
      <c r="AA1110">
        <f t="shared" ca="1" si="1200"/>
        <v>0</v>
      </c>
      <c r="AB1110" s="19">
        <f t="shared" ca="1" si="1201"/>
        <v>-0.1267592017224404</v>
      </c>
      <c r="AC1110" s="19">
        <f t="shared" ca="1" si="1202"/>
        <v>0</v>
      </c>
    </row>
    <row r="1111" spans="3:29" x14ac:dyDescent="0.25">
      <c r="C1111" s="4">
        <v>1104</v>
      </c>
      <c r="D1111" s="28">
        <v>43579</v>
      </c>
      <c r="E1111" s="30">
        <v>14.263999999999999</v>
      </c>
      <c r="F1111" s="30">
        <v>66.866929698708745</v>
      </c>
      <c r="G1111" s="30">
        <v>4.7794117647058822</v>
      </c>
      <c r="H1111" s="30">
        <v>62.006814921090395</v>
      </c>
      <c r="I1111" s="8">
        <v>0</v>
      </c>
      <c r="J1111" s="31">
        <v>0</v>
      </c>
      <c r="K1111" s="31">
        <v>0</v>
      </c>
      <c r="L1111" s="31">
        <v>1</v>
      </c>
      <c r="M1111" s="31">
        <v>0</v>
      </c>
      <c r="N1111" s="31">
        <v>0</v>
      </c>
      <c r="O1111" s="31">
        <v>0</v>
      </c>
      <c r="P1111" s="31">
        <v>0</v>
      </c>
      <c r="Q1111" s="31">
        <v>0</v>
      </c>
      <c r="R1111" s="31">
        <v>0</v>
      </c>
      <c r="S1111" s="31">
        <v>0</v>
      </c>
      <c r="T1111" s="21" cm="1">
        <f t="array" aca="1" ref="T1111" ca="1">+fair_value_gap(OFFSET(S1110,0,0,-1*$I$5,-1*$Z$1),OFFSET(E1110,0,0,-1*$I$5,1),F1111:S1111,0)</f>
        <v>15.754559940533163</v>
      </c>
      <c r="U1111" s="7" cm="1">
        <f t="array" aca="1" ref="U1111" ca="1">z_score_diff(OFFSET(T1111,0,0,$I$5*-1,1),OFFSET(E1111,0,0,$I$5*-1,1))</f>
        <v>0.36178063581639575</v>
      </c>
      <c r="V1111" s="7">
        <f t="shared" ca="1" si="1197"/>
        <v>-3.1852490335208719E-2</v>
      </c>
      <c r="W1111" s="14">
        <f t="shared" ca="1" si="1192"/>
        <v>-0.1201607198954345</v>
      </c>
      <c r="X1111" s="10">
        <f t="shared" ref="X1111:Y1111" ca="1" si="1214">+X1110</f>
        <v>0</v>
      </c>
      <c r="Y1111" s="10">
        <f t="shared" ca="1" si="1214"/>
        <v>0</v>
      </c>
      <c r="Z1111">
        <f t="shared" ca="1" si="1199"/>
        <v>1</v>
      </c>
      <c r="AA1111">
        <f t="shared" ca="1" si="1200"/>
        <v>0</v>
      </c>
      <c r="AB1111" s="19">
        <f t="shared" ca="1" si="1201"/>
        <v>-0.1201607198954345</v>
      </c>
      <c r="AC1111" s="19">
        <f t="shared" ca="1" si="1202"/>
        <v>0</v>
      </c>
    </row>
    <row r="1112" spans="3:29" x14ac:dyDescent="0.25">
      <c r="C1112" s="4">
        <v>1105</v>
      </c>
      <c r="D1112" s="28">
        <v>43580</v>
      </c>
      <c r="E1112" s="30">
        <v>14.535</v>
      </c>
      <c r="F1112" s="30">
        <v>66.801437556154539</v>
      </c>
      <c r="G1112" s="30">
        <v>4.8517520215633425</v>
      </c>
      <c r="H1112" s="30">
        <v>62.129380053908363</v>
      </c>
      <c r="I1112" s="8">
        <v>0</v>
      </c>
      <c r="J1112" s="31">
        <v>0</v>
      </c>
      <c r="K1112" s="31">
        <v>0</v>
      </c>
      <c r="L1112" s="31">
        <v>1</v>
      </c>
      <c r="M1112" s="31">
        <v>0</v>
      </c>
      <c r="N1112" s="31">
        <v>0</v>
      </c>
      <c r="O1112" s="31">
        <v>0</v>
      </c>
      <c r="P1112" s="31">
        <v>0</v>
      </c>
      <c r="Q1112" s="31">
        <v>0</v>
      </c>
      <c r="R1112" s="31">
        <v>0</v>
      </c>
      <c r="S1112" s="31">
        <v>0</v>
      </c>
      <c r="T1112" s="21" cm="1">
        <f t="array" aca="1" ref="T1112" ca="1">+fair_value_gap(OFFSET(S1111,0,0,-1*$I$5,-1*$Z$1),OFFSET(E1111,0,0,-1*$I$5,1),F1112:S1112,0)</f>
        <v>15.744161964033356</v>
      </c>
      <c r="U1112" s="7" cm="1">
        <f t="array" aca="1" ref="U1112" ca="1">z_score_diff(OFFSET(T1112,0,0,$I$5*-1,1),OFFSET(E1112,0,0,$I$5*-1,1))</f>
        <v>0.28095936541028665</v>
      </c>
      <c r="V1112" s="7">
        <f t="shared" ca="1" si="1197"/>
        <v>-1.7810958870203297E-2</v>
      </c>
      <c r="W1112" s="14">
        <f t="shared" ca="1" si="1192"/>
        <v>-0.14325962420626573</v>
      </c>
      <c r="X1112" s="10">
        <f t="shared" ref="X1112:Y1112" ca="1" si="1215">+X1111</f>
        <v>0</v>
      </c>
      <c r="Y1112" s="10">
        <f t="shared" ca="1" si="1215"/>
        <v>0</v>
      </c>
      <c r="Z1112">
        <f t="shared" ca="1" si="1199"/>
        <v>1</v>
      </c>
      <c r="AA1112">
        <f t="shared" ca="1" si="1200"/>
        <v>0</v>
      </c>
      <c r="AB1112" s="19">
        <f t="shared" ca="1" si="1201"/>
        <v>-0.14325962420626573</v>
      </c>
      <c r="AC1112" s="19">
        <f t="shared" ca="1" si="1202"/>
        <v>0</v>
      </c>
    </row>
    <row r="1113" spans="3:29" x14ac:dyDescent="0.25">
      <c r="C1113" s="4">
        <v>1106</v>
      </c>
      <c r="D1113" s="28">
        <v>43581</v>
      </c>
      <c r="E1113" s="30">
        <v>14.423</v>
      </c>
      <c r="F1113" s="30">
        <v>64.720129171151783</v>
      </c>
      <c r="G1113" s="30">
        <v>4.8977395048439183</v>
      </c>
      <c r="H1113" s="30">
        <v>62.02906350914963</v>
      </c>
      <c r="I1113" s="8">
        <v>0</v>
      </c>
      <c r="J1113" s="31">
        <v>0</v>
      </c>
      <c r="K1113" s="31">
        <v>0</v>
      </c>
      <c r="L1113" s="31">
        <v>1</v>
      </c>
      <c r="M1113" s="31">
        <v>0</v>
      </c>
      <c r="N1113" s="31">
        <v>0</v>
      </c>
      <c r="O1113" s="31">
        <v>0</v>
      </c>
      <c r="P1113" s="31">
        <v>0</v>
      </c>
      <c r="Q1113" s="31">
        <v>0</v>
      </c>
      <c r="R1113" s="31">
        <v>0</v>
      </c>
      <c r="S1113" s="31">
        <v>0</v>
      </c>
      <c r="T1113" s="21" cm="1">
        <f t="array" aca="1" ref="T1113" ca="1">+fair_value_gap(OFFSET(S1112,0,0,-1*$I$5,-1*$Z$1),OFFSET(E1112,0,0,-1*$I$5,1),F1113:S1113,0)</f>
        <v>15.67155410915743</v>
      </c>
      <c r="U1113" s="7" cm="1">
        <f t="array" aca="1" ref="U1113" ca="1">z_score_diff(OFFSET(T1113,0,0,$I$5*-1,1),OFFSET(E1113,0,0,$I$5*-1,1))</f>
        <v>0.28245887808991998</v>
      </c>
      <c r="V1113" s="7">
        <f t="shared" ca="1" si="1197"/>
        <v>5.7365980706862718E-3</v>
      </c>
      <c r="W1113" s="14">
        <f t="shared" ca="1" si="1192"/>
        <v>-0.16337985359582469</v>
      </c>
      <c r="X1113" s="10">
        <f t="shared" ref="X1113:Y1113" ca="1" si="1216">+X1112</f>
        <v>0</v>
      </c>
      <c r="Y1113" s="10">
        <f t="shared" ca="1" si="1216"/>
        <v>0</v>
      </c>
      <c r="Z1113">
        <f t="shared" ca="1" si="1199"/>
        <v>0</v>
      </c>
      <c r="AA1113">
        <f t="shared" ca="1" si="1200"/>
        <v>1</v>
      </c>
      <c r="AB1113" s="19">
        <f t="shared" ca="1" si="1201"/>
        <v>0</v>
      </c>
      <c r="AC1113" s="19">
        <f t="shared" ca="1" si="1202"/>
        <v>-0.16337985359582469</v>
      </c>
    </row>
    <row r="1114" spans="3:29" x14ac:dyDescent="0.25">
      <c r="C1114" s="4">
        <v>1107</v>
      </c>
      <c r="D1114" s="28">
        <v>43584</v>
      </c>
      <c r="E1114" s="30">
        <v>14.525</v>
      </c>
      <c r="F1114" s="30">
        <v>64.407688869021015</v>
      </c>
      <c r="G1114" s="30">
        <v>4.9262405006705405</v>
      </c>
      <c r="H1114" s="30">
        <v>63.567277603933832</v>
      </c>
      <c r="I1114" s="8">
        <v>0</v>
      </c>
      <c r="J1114" s="31">
        <v>0</v>
      </c>
      <c r="K1114" s="31">
        <v>0</v>
      </c>
      <c r="L1114" s="31">
        <v>1</v>
      </c>
      <c r="M1114" s="31">
        <v>0</v>
      </c>
      <c r="N1114" s="31">
        <v>0</v>
      </c>
      <c r="O1114" s="31">
        <v>0</v>
      </c>
      <c r="P1114" s="31">
        <v>0</v>
      </c>
      <c r="Q1114" s="31">
        <v>0</v>
      </c>
      <c r="R1114" s="31">
        <v>0</v>
      </c>
      <c r="S1114" s="31">
        <v>0</v>
      </c>
      <c r="T1114" s="21" cm="1">
        <f t="array" aca="1" ref="T1114" ca="1">+fair_value_gap(OFFSET(S1113,0,0,-1*$I$5,-1*$Z$1),OFFSET(E1113,0,0,-1*$I$5,1),F1114:S1114,0)</f>
        <v>15.89024926850135</v>
      </c>
      <c r="U1114" s="7" cm="1">
        <f t="array" aca="1" ref="U1114" ca="1">z_score_diff(OFFSET(T1114,0,0,$I$5*-1,1),OFFSET(E1114,0,0,$I$5*-1,1))</f>
        <v>0.31504801924907522</v>
      </c>
      <c r="V1114" s="7">
        <f t="shared" ca="1" si="1197"/>
        <v>2.1931557164564231E-2</v>
      </c>
      <c r="W1114" s="14">
        <f t="shared" ca="1" si="1192"/>
        <v>-0.17755496604005697</v>
      </c>
      <c r="X1114" s="10">
        <f t="shared" ref="X1114:Y1114" ca="1" si="1217">+X1113</f>
        <v>0</v>
      </c>
      <c r="Y1114" s="10">
        <f t="shared" ca="1" si="1217"/>
        <v>0</v>
      </c>
      <c r="Z1114">
        <f t="shared" ca="1" si="1199"/>
        <v>0</v>
      </c>
      <c r="AA1114">
        <f t="shared" ca="1" si="1200"/>
        <v>1</v>
      </c>
      <c r="AB1114" s="19">
        <f t="shared" ca="1" si="1201"/>
        <v>0</v>
      </c>
      <c r="AC1114" s="19">
        <f t="shared" ca="1" si="1202"/>
        <v>-0.17755496604005697</v>
      </c>
    </row>
    <row r="1115" spans="3:29" x14ac:dyDescent="0.25">
      <c r="C1115" s="4">
        <v>1108</v>
      </c>
      <c r="D1115" s="28">
        <v>43585</v>
      </c>
      <c r="E1115" s="30">
        <v>14.388999999999999</v>
      </c>
      <c r="F1115" s="30">
        <v>64.913062862238078</v>
      </c>
      <c r="G1115" s="30">
        <v>4.9487293802942487</v>
      </c>
      <c r="H1115" s="30">
        <v>64.199732501114582</v>
      </c>
      <c r="I1115" s="8">
        <v>0</v>
      </c>
      <c r="J1115" s="31">
        <v>0</v>
      </c>
      <c r="K1115" s="31">
        <v>0</v>
      </c>
      <c r="L1115" s="31">
        <v>1</v>
      </c>
      <c r="M1115" s="31">
        <v>0</v>
      </c>
      <c r="N1115" s="31">
        <v>0</v>
      </c>
      <c r="O1115" s="31">
        <v>0</v>
      </c>
      <c r="P1115" s="31">
        <v>0</v>
      </c>
      <c r="Q1115" s="31">
        <v>0</v>
      </c>
      <c r="R1115" s="31">
        <v>0</v>
      </c>
      <c r="S1115" s="31">
        <v>0</v>
      </c>
      <c r="T1115" s="21" cm="1">
        <f t="array" aca="1" ref="T1115" ca="1">+fair_value_gap(OFFSET(S1114,0,0,-1*$I$5,-1*$Z$1),OFFSET(E1114,0,0,-1*$I$5,1),F1115:S1115,0)</f>
        <v>15.954956664990437</v>
      </c>
      <c r="U1115" s="7" cm="1">
        <f t="array" aca="1" ref="U1115" ca="1">z_score_diff(OFFSET(T1115,0,0,$I$5*-1,1),OFFSET(E1115,0,0,$I$5*-1,1))</f>
        <v>0.36240193733786996</v>
      </c>
      <c r="V1115" s="7">
        <f t="shared" ca="1" si="1197"/>
        <v>3.75673808642739E-2</v>
      </c>
      <c r="W1115" s="14">
        <f t="shared" ca="1" si="1192"/>
        <v>-0.13929641727877068</v>
      </c>
      <c r="X1115" s="10">
        <f t="shared" ref="X1115:Y1115" ca="1" si="1218">+X1114</f>
        <v>0</v>
      </c>
      <c r="Y1115" s="10">
        <f t="shared" ca="1" si="1218"/>
        <v>0</v>
      </c>
      <c r="Z1115">
        <f t="shared" ca="1" si="1199"/>
        <v>0</v>
      </c>
      <c r="AA1115">
        <f t="shared" ca="1" si="1200"/>
        <v>1</v>
      </c>
      <c r="AB1115" s="19">
        <f t="shared" ca="1" si="1201"/>
        <v>0</v>
      </c>
      <c r="AC1115" s="19">
        <f t="shared" ca="1" si="1202"/>
        <v>-0.13929641727877068</v>
      </c>
    </row>
    <row r="1116" spans="3:29" x14ac:dyDescent="0.25">
      <c r="C1116" s="4">
        <v>1109</v>
      </c>
      <c r="D1116" s="28">
        <v>43586</v>
      </c>
      <c r="E1116" s="30">
        <v>14.055999999999999</v>
      </c>
      <c r="F1116" s="30">
        <v>64.480971949258546</v>
      </c>
      <c r="G1116" s="30">
        <v>4.913346435590495</v>
      </c>
      <c r="H1116" s="30">
        <v>64.007504020010728</v>
      </c>
      <c r="I1116" s="8">
        <v>0</v>
      </c>
      <c r="J1116" s="31">
        <v>0</v>
      </c>
      <c r="K1116" s="31">
        <v>0</v>
      </c>
      <c r="L1116" s="31">
        <v>0</v>
      </c>
      <c r="M1116" s="31">
        <v>1</v>
      </c>
      <c r="N1116" s="31">
        <v>0</v>
      </c>
      <c r="O1116" s="31">
        <v>0</v>
      </c>
      <c r="P1116" s="31">
        <v>0</v>
      </c>
      <c r="Q1116" s="31">
        <v>0</v>
      </c>
      <c r="R1116" s="31">
        <v>0</v>
      </c>
      <c r="S1116" s="31">
        <v>0</v>
      </c>
      <c r="T1116" s="21" cm="1">
        <f t="array" aca="1" ref="T1116" ca="1">+fair_value_gap(OFFSET(S1115,0,0,-1*$I$5,-1*$Z$1),OFFSET(E1115,0,0,-1*$I$5,1),F1116:S1116,0)</f>
        <v>15.211036298730635</v>
      </c>
      <c r="U1116" s="7" cm="1">
        <f t="array" aca="1" ref="U1116" ca="1">z_score_diff(OFFSET(T1116,0,0,$I$5*-1,1),OFFSET(E1116,0,0,$I$5*-1,1))</f>
        <v>0.22177609755394845</v>
      </c>
      <c r="V1116" s="7">
        <f t="shared" ca="1" si="1197"/>
        <v>3.7078625793802653E-2</v>
      </c>
      <c r="W1116" s="14">
        <f t="shared" ca="1" si="1192"/>
        <v>-0.1397299280896703</v>
      </c>
      <c r="X1116" s="10">
        <f t="shared" ref="X1116:Y1116" ca="1" si="1219">+X1115</f>
        <v>0</v>
      </c>
      <c r="Y1116" s="10">
        <f t="shared" ca="1" si="1219"/>
        <v>0</v>
      </c>
      <c r="Z1116">
        <f t="shared" ca="1" si="1199"/>
        <v>0</v>
      </c>
      <c r="AA1116">
        <f t="shared" ca="1" si="1200"/>
        <v>1</v>
      </c>
      <c r="AB1116" s="19">
        <f t="shared" ca="1" si="1201"/>
        <v>0</v>
      </c>
      <c r="AC1116" s="19">
        <f t="shared" ca="1" si="1202"/>
        <v>-0.1397299280896703</v>
      </c>
    </row>
    <row r="1117" spans="3:29" x14ac:dyDescent="0.25">
      <c r="C1117" s="4">
        <v>1110</v>
      </c>
      <c r="D1117" s="28">
        <v>43587</v>
      </c>
      <c r="E1117" s="30">
        <v>14.366</v>
      </c>
      <c r="F1117" s="30">
        <v>63.305297065139591</v>
      </c>
      <c r="G1117" s="30">
        <v>4.9883679312813172</v>
      </c>
      <c r="H1117" s="30">
        <v>64.647458840372224</v>
      </c>
      <c r="I1117" s="8">
        <v>0</v>
      </c>
      <c r="J1117" s="31">
        <v>0</v>
      </c>
      <c r="K1117" s="31">
        <v>0</v>
      </c>
      <c r="L1117" s="31">
        <v>0</v>
      </c>
      <c r="M1117" s="31">
        <v>1</v>
      </c>
      <c r="N1117" s="31">
        <v>0</v>
      </c>
      <c r="O1117" s="31">
        <v>0</v>
      </c>
      <c r="P1117" s="31">
        <v>0</v>
      </c>
      <c r="Q1117" s="31">
        <v>0</v>
      </c>
      <c r="R1117" s="31">
        <v>0</v>
      </c>
      <c r="S1117" s="31">
        <v>0</v>
      </c>
      <c r="T1117" s="21" cm="1">
        <f t="array" aca="1" ref="T1117" ca="1">+fair_value_gap(OFFSET(S1116,0,0,-1*$I$5,-1*$Z$1),OFFSET(E1116,0,0,-1*$I$5,1),F1117:S1117,0)</f>
        <v>15.207164895643215</v>
      </c>
      <c r="U1117" s="7" cm="1">
        <f t="array" aca="1" ref="U1117" ca="1">z_score_diff(OFFSET(T1117,0,0,$I$5*-1,1),OFFSET(E1117,0,0,$I$5*-1,1))</f>
        <v>0.13882540069399374</v>
      </c>
      <c r="V1117" s="7">
        <f t="shared" ca="1" si="1197"/>
        <v>3.5425820116149399E-2</v>
      </c>
      <c r="W1117" s="14">
        <f t="shared" ca="1" si="1192"/>
        <v>-0.2246064055334914</v>
      </c>
      <c r="X1117" s="10">
        <f t="shared" ref="X1117:Y1117" ca="1" si="1220">+X1116</f>
        <v>0</v>
      </c>
      <c r="Y1117" s="10">
        <f t="shared" ca="1" si="1220"/>
        <v>0</v>
      </c>
      <c r="Z1117">
        <f t="shared" ca="1" si="1199"/>
        <v>0</v>
      </c>
      <c r="AA1117">
        <f t="shared" ca="1" si="1200"/>
        <v>1</v>
      </c>
      <c r="AB1117" s="19">
        <f t="shared" ca="1" si="1201"/>
        <v>0</v>
      </c>
      <c r="AC1117" s="19">
        <f t="shared" ca="1" si="1202"/>
        <v>-0.2246064055334914</v>
      </c>
    </row>
    <row r="1118" spans="3:29" x14ac:dyDescent="0.25">
      <c r="C1118" s="4">
        <v>1111</v>
      </c>
      <c r="D1118" s="28">
        <v>43588</v>
      </c>
      <c r="E1118" s="30">
        <v>14.566000000000001</v>
      </c>
      <c r="F1118" s="30">
        <v>63.258928571428562</v>
      </c>
      <c r="G1118" s="30">
        <v>5.0178571428571423</v>
      </c>
      <c r="H1118" s="30">
        <v>64.776785714285708</v>
      </c>
      <c r="I1118" s="8">
        <v>0</v>
      </c>
      <c r="J1118" s="31">
        <v>0</v>
      </c>
      <c r="K1118" s="31">
        <v>0</v>
      </c>
      <c r="L1118" s="31">
        <v>0</v>
      </c>
      <c r="M1118" s="31">
        <v>1</v>
      </c>
      <c r="N1118" s="31">
        <v>0</v>
      </c>
      <c r="O1118" s="31">
        <v>0</v>
      </c>
      <c r="P1118" s="31">
        <v>0</v>
      </c>
      <c r="Q1118" s="31">
        <v>0</v>
      </c>
      <c r="R1118" s="31">
        <v>0</v>
      </c>
      <c r="S1118" s="31">
        <v>0</v>
      </c>
      <c r="T1118" s="21" cm="1">
        <f t="array" aca="1" ref="T1118" ca="1">+fair_value_gap(OFFSET(S1117,0,0,-1*$I$5,-1*$Z$1),OFFSET(E1117,0,0,-1*$I$5,1),F1118:S1118,0)</f>
        <v>15.146052406332501</v>
      </c>
      <c r="U1118" s="7" cm="1">
        <f t="array" aca="1" ref="U1118" ca="1">z_score_diff(OFFSET(T1118,0,0,$I$5*-1,1),OFFSET(E1118,0,0,$I$5*-1,1))</f>
        <v>6.8976174154355308E-2</v>
      </c>
      <c r="V1118" s="7">
        <f t="shared" ca="1" si="1197"/>
        <v>4.729525904358145E-2</v>
      </c>
      <c r="W1118" s="14">
        <f t="shared" ca="1" si="1192"/>
        <v>-0.26232993854283321</v>
      </c>
      <c r="X1118" s="10">
        <f t="shared" ref="X1118:Y1118" ca="1" si="1221">+X1117</f>
        <v>0</v>
      </c>
      <c r="Y1118" s="10">
        <f t="shared" ca="1" si="1221"/>
        <v>0</v>
      </c>
      <c r="Z1118">
        <f t="shared" ca="1" si="1199"/>
        <v>0</v>
      </c>
      <c r="AA1118">
        <f t="shared" ca="1" si="1200"/>
        <v>1</v>
      </c>
      <c r="AB1118" s="19">
        <f t="shared" ca="1" si="1201"/>
        <v>0</v>
      </c>
      <c r="AC1118" s="19">
        <f t="shared" ca="1" si="1202"/>
        <v>-0.26232993854283321</v>
      </c>
    </row>
    <row r="1119" spans="3:29" x14ac:dyDescent="0.25">
      <c r="C1119" s="4">
        <v>1112</v>
      </c>
      <c r="D1119" s="28">
        <v>43591</v>
      </c>
      <c r="E1119" s="30">
        <v>14.335000000000001</v>
      </c>
      <c r="F1119" s="30">
        <v>63.624185049566847</v>
      </c>
      <c r="G1119" s="30">
        <v>5.0147360900241145</v>
      </c>
      <c r="H1119" s="30">
        <v>64.6601768330803</v>
      </c>
      <c r="I1119" s="8">
        <v>0</v>
      </c>
      <c r="J1119" s="31">
        <v>0</v>
      </c>
      <c r="K1119" s="31">
        <v>0</v>
      </c>
      <c r="L1119" s="31">
        <v>0</v>
      </c>
      <c r="M1119" s="31">
        <v>1</v>
      </c>
      <c r="N1119" s="31">
        <v>0</v>
      </c>
      <c r="O1119" s="31">
        <v>0</v>
      </c>
      <c r="P1119" s="31">
        <v>0</v>
      </c>
      <c r="Q1119" s="31">
        <v>0</v>
      </c>
      <c r="R1119" s="31">
        <v>0</v>
      </c>
      <c r="S1119" s="31">
        <v>0</v>
      </c>
      <c r="T1119" s="21" cm="1">
        <f t="array" aca="1" ref="T1119" ca="1">+fair_value_gap(OFFSET(S1118,0,0,-1*$I$5,-1*$Z$1),OFFSET(E1118,0,0,-1*$I$5,1),F1119:S1119,0)</f>
        <v>15.032325405494781</v>
      </c>
      <c r="U1119" s="7" cm="1">
        <f t="array" aca="1" ref="U1119" ca="1">z_score_diff(OFFSET(T1119,0,0,$I$5*-1,1),OFFSET(E1119,0,0,$I$5*-1,1))</f>
        <v>9.220362040341068E-2</v>
      </c>
      <c r="V1119" s="7">
        <f t="shared" ca="1" si="1197"/>
        <v>6.427299504501463E-2</v>
      </c>
      <c r="W1119" s="14">
        <f t="shared" ca="1" si="1192"/>
        <v>-0.25575899101704475</v>
      </c>
      <c r="X1119" s="10">
        <f t="shared" ref="X1119:Y1119" ca="1" si="1222">+X1118</f>
        <v>0</v>
      </c>
      <c r="Y1119" s="10">
        <f t="shared" ca="1" si="1222"/>
        <v>0</v>
      </c>
      <c r="Z1119">
        <f t="shared" ca="1" si="1199"/>
        <v>0</v>
      </c>
      <c r="AA1119">
        <f t="shared" ca="1" si="1200"/>
        <v>1</v>
      </c>
      <c r="AB1119" s="19">
        <f t="shared" ca="1" si="1201"/>
        <v>0</v>
      </c>
      <c r="AC1119" s="19">
        <f t="shared" ca="1" si="1202"/>
        <v>-0.25575899101704475</v>
      </c>
    </row>
    <row r="1120" spans="3:29" x14ac:dyDescent="0.25">
      <c r="C1120" s="4">
        <v>1113</v>
      </c>
      <c r="D1120" s="28">
        <v>43592</v>
      </c>
      <c r="E1120" s="30">
        <v>14.154999999999999</v>
      </c>
      <c r="F1120" s="30">
        <v>62.448614834673812</v>
      </c>
      <c r="G1120" s="30">
        <v>4.9687220732797135</v>
      </c>
      <c r="H1120" s="30">
        <v>64.47721179624665</v>
      </c>
      <c r="I1120" s="8">
        <v>0</v>
      </c>
      <c r="J1120" s="31">
        <v>0</v>
      </c>
      <c r="K1120" s="31">
        <v>0</v>
      </c>
      <c r="L1120" s="31">
        <v>0</v>
      </c>
      <c r="M1120" s="31">
        <v>1</v>
      </c>
      <c r="N1120" s="31">
        <v>0</v>
      </c>
      <c r="O1120" s="31">
        <v>0</v>
      </c>
      <c r="P1120" s="31">
        <v>0</v>
      </c>
      <c r="Q1120" s="31">
        <v>0</v>
      </c>
      <c r="R1120" s="31">
        <v>0</v>
      </c>
      <c r="S1120" s="31">
        <v>0</v>
      </c>
      <c r="T1120" s="21" cm="1">
        <f t="array" aca="1" ref="T1120" ca="1">+fair_value_gap(OFFSET(S1119,0,0,-1*$I$5,-1*$Z$1),OFFSET(E1119,0,0,-1*$I$5,1),F1120:S1120,0)</f>
        <v>14.843165854149843</v>
      </c>
      <c r="U1120" s="7" cm="1">
        <f t="array" aca="1" ref="U1120" ca="1">z_score_diff(OFFSET(T1120,0,0,$I$5*-1,1),OFFSET(E1120,0,0,$I$5*-1,1))</f>
        <v>8.0745816960908989E-2</v>
      </c>
      <c r="V1120" s="7">
        <f t="shared" ca="1" si="1197"/>
        <v>0.10127153937291167</v>
      </c>
      <c r="W1120" s="14">
        <f t="shared" ca="1" si="1192"/>
        <v>-0.17268953519665409</v>
      </c>
      <c r="X1120" s="10">
        <f t="shared" ref="X1120:Y1120" ca="1" si="1223">+X1119</f>
        <v>0</v>
      </c>
      <c r="Y1120" s="10">
        <f t="shared" ca="1" si="1223"/>
        <v>0</v>
      </c>
      <c r="Z1120">
        <f t="shared" ca="1" si="1199"/>
        <v>0</v>
      </c>
      <c r="AA1120">
        <f t="shared" ca="1" si="1200"/>
        <v>1</v>
      </c>
      <c r="AB1120" s="19">
        <f t="shared" ca="1" si="1201"/>
        <v>0</v>
      </c>
      <c r="AC1120" s="19">
        <f t="shared" ca="1" si="1202"/>
        <v>-0.17268953519665409</v>
      </c>
    </row>
    <row r="1121" spans="3:29" x14ac:dyDescent="0.25">
      <c r="C1121" s="4">
        <v>1114</v>
      </c>
      <c r="D1121" s="28">
        <v>43593</v>
      </c>
      <c r="E1121" s="30">
        <v>14.321999999999999</v>
      </c>
      <c r="F1121" s="30">
        <v>62.880886426592802</v>
      </c>
      <c r="G1121" s="30">
        <v>4.9548744526851936</v>
      </c>
      <c r="H1121" s="30">
        <v>64.560807791975691</v>
      </c>
      <c r="I1121" s="8">
        <v>0</v>
      </c>
      <c r="J1121" s="31">
        <v>0</v>
      </c>
      <c r="K1121" s="31">
        <v>0</v>
      </c>
      <c r="L1121" s="31">
        <v>0</v>
      </c>
      <c r="M1121" s="31">
        <v>1</v>
      </c>
      <c r="N1121" s="31">
        <v>0</v>
      </c>
      <c r="O1121" s="31">
        <v>0</v>
      </c>
      <c r="P1121" s="31">
        <v>0</v>
      </c>
      <c r="Q1121" s="31">
        <v>0</v>
      </c>
      <c r="R1121" s="31">
        <v>0</v>
      </c>
      <c r="S1121" s="31">
        <v>0</v>
      </c>
      <c r="T1121" s="21" cm="1">
        <f t="array" aca="1" ref="T1121" ca="1">+fair_value_gap(OFFSET(S1120,0,0,-1*$I$5,-1*$Z$1),OFFSET(E1120,0,0,-1*$I$5,1),F1121:S1121,0)</f>
        <v>14.725692282358114</v>
      </c>
      <c r="U1121" s="7" cm="1">
        <f t="array" aca="1" ref="U1121" ca="1">z_score_diff(OFFSET(T1121,0,0,$I$5*-1,1),OFFSET(E1121,0,0,$I$5*-1,1))</f>
        <v>5.8640193015777609E-3</v>
      </c>
      <c r="V1121" s="7">
        <f t="shared" ca="1" si="1197"/>
        <v>0.12045555311809615</v>
      </c>
      <c r="W1121" s="14">
        <f t="shared" ca="1" si="1192"/>
        <v>-0.21070551529147818</v>
      </c>
      <c r="X1121" s="10">
        <f t="shared" ref="X1121:Y1121" ca="1" si="1224">+X1120</f>
        <v>0</v>
      </c>
      <c r="Y1121" s="10">
        <f t="shared" ca="1" si="1224"/>
        <v>0</v>
      </c>
      <c r="Z1121">
        <f t="shared" ca="1" si="1199"/>
        <v>0</v>
      </c>
      <c r="AA1121">
        <f t="shared" ca="1" si="1200"/>
        <v>1</v>
      </c>
      <c r="AB1121" s="19">
        <f t="shared" ca="1" si="1201"/>
        <v>0</v>
      </c>
      <c r="AC1121" s="19">
        <f t="shared" ca="1" si="1202"/>
        <v>-0.21070551529147818</v>
      </c>
    </row>
    <row r="1122" spans="3:29" x14ac:dyDescent="0.25">
      <c r="C1122" s="4">
        <v>1115</v>
      </c>
      <c r="D1122" s="28">
        <v>43594</v>
      </c>
      <c r="E1122" s="30">
        <v>14.457000000000001</v>
      </c>
      <c r="F1122" s="30">
        <v>62.736185383244198</v>
      </c>
      <c r="G1122" s="30">
        <v>4.9598930481283423</v>
      </c>
      <c r="H1122" s="30">
        <v>64.037433155080208</v>
      </c>
      <c r="I1122" s="8">
        <v>0</v>
      </c>
      <c r="J1122" s="31">
        <v>0</v>
      </c>
      <c r="K1122" s="31">
        <v>0</v>
      </c>
      <c r="L1122" s="31">
        <v>0</v>
      </c>
      <c r="M1122" s="31">
        <v>1</v>
      </c>
      <c r="N1122" s="31">
        <v>0</v>
      </c>
      <c r="O1122" s="31">
        <v>0</v>
      </c>
      <c r="P1122" s="31">
        <v>0</v>
      </c>
      <c r="Q1122" s="31">
        <v>0</v>
      </c>
      <c r="R1122" s="31">
        <v>0</v>
      </c>
      <c r="S1122" s="31">
        <v>0</v>
      </c>
      <c r="T1122" s="21" cm="1">
        <f t="array" aca="1" ref="T1122" ca="1">+fair_value_gap(OFFSET(S1121,0,0,-1*$I$5,-1*$Z$1),OFFSET(E1121,0,0,-1*$I$5,1),F1122:S1122,0)</f>
        <v>14.597591011467909</v>
      </c>
      <c r="U1122" s="7" cm="1">
        <f t="array" aca="1" ref="U1122" ca="1">z_score_diff(OFFSET(T1122,0,0,$I$5*-1,1),OFFSET(E1122,0,0,$I$5*-1,1))</f>
        <v>-6.2638047465805036E-2</v>
      </c>
      <c r="V1122" s="7">
        <f t="shared" ca="1" si="1197"/>
        <v>0.14418472380409675</v>
      </c>
      <c r="W1122" s="14">
        <f t="shared" ca="1" si="1192"/>
        <v>-0.26396338425417681</v>
      </c>
      <c r="X1122" s="10">
        <f t="shared" ref="X1122:Y1122" ca="1" si="1225">+X1121</f>
        <v>0</v>
      </c>
      <c r="Y1122" s="10">
        <f t="shared" ca="1" si="1225"/>
        <v>0</v>
      </c>
      <c r="Z1122">
        <f t="shared" ca="1" si="1199"/>
        <v>0</v>
      </c>
      <c r="AA1122">
        <f t="shared" ca="1" si="1200"/>
        <v>1</v>
      </c>
      <c r="AB1122" s="19">
        <f t="shared" ca="1" si="1201"/>
        <v>0</v>
      </c>
      <c r="AC1122" s="19">
        <f t="shared" ca="1" si="1202"/>
        <v>-0.26396338425417681</v>
      </c>
    </row>
    <row r="1123" spans="3:29" x14ac:dyDescent="0.25">
      <c r="C1123" s="4">
        <v>1116</v>
      </c>
      <c r="D1123" s="28">
        <v>43595</v>
      </c>
      <c r="E1123" s="30">
        <v>13.997</v>
      </c>
      <c r="F1123" s="30">
        <v>62.868334371939824</v>
      </c>
      <c r="G1123" s="30">
        <v>4.9318970889343898</v>
      </c>
      <c r="H1123" s="30">
        <v>63.607228701148408</v>
      </c>
      <c r="I1123" s="8">
        <v>0</v>
      </c>
      <c r="J1123" s="31">
        <v>0</v>
      </c>
      <c r="K1123" s="31">
        <v>0</v>
      </c>
      <c r="L1123" s="31">
        <v>0</v>
      </c>
      <c r="M1123" s="31">
        <v>1</v>
      </c>
      <c r="N1123" s="31">
        <v>0</v>
      </c>
      <c r="O1123" s="31">
        <v>0</v>
      </c>
      <c r="P1123" s="31">
        <v>0</v>
      </c>
      <c r="Q1123" s="31">
        <v>0</v>
      </c>
      <c r="R1123" s="31">
        <v>0</v>
      </c>
      <c r="S1123" s="31">
        <v>0</v>
      </c>
      <c r="T1123" s="21" cm="1">
        <f t="array" aca="1" ref="T1123" ca="1">+fair_value_gap(OFFSET(S1122,0,0,-1*$I$5,-1*$Z$1),OFFSET(E1122,0,0,-1*$I$5,1),F1123:S1123,0)</f>
        <v>14.448866151368318</v>
      </c>
      <c r="U1123" s="7" cm="1">
        <f t="array" aca="1" ref="U1123" ca="1">z_score_diff(OFFSET(T1123,0,0,$I$5*-1,1),OFFSET(E1123,0,0,$I$5*-1,1))</f>
        <v>7.9873487233417251E-3</v>
      </c>
      <c r="V1123" s="7">
        <f t="shared" ca="1" si="1197"/>
        <v>0.15342792253458976</v>
      </c>
      <c r="W1123" s="14">
        <f t="shared" ca="1" si="1192"/>
        <v>-0.19475836567076363</v>
      </c>
      <c r="X1123" s="10">
        <f t="shared" ref="X1123:Y1123" ca="1" si="1226">+X1122</f>
        <v>0</v>
      </c>
      <c r="Y1123" s="10">
        <f t="shared" ca="1" si="1226"/>
        <v>0</v>
      </c>
      <c r="Z1123">
        <f t="shared" ca="1" si="1199"/>
        <v>0</v>
      </c>
      <c r="AA1123">
        <f t="shared" ca="1" si="1200"/>
        <v>1</v>
      </c>
      <c r="AB1123" s="19">
        <f t="shared" ca="1" si="1201"/>
        <v>0</v>
      </c>
      <c r="AC1123" s="19">
        <f t="shared" ca="1" si="1202"/>
        <v>-0.19475836567076363</v>
      </c>
    </row>
    <row r="1124" spans="3:29" x14ac:dyDescent="0.25">
      <c r="C1124" s="4">
        <v>1117</v>
      </c>
      <c r="D1124" s="28">
        <v>43598</v>
      </c>
      <c r="E1124" s="30">
        <v>13.760999999999999</v>
      </c>
      <c r="F1124" s="30">
        <v>62.576851109329056</v>
      </c>
      <c r="G1124" s="30">
        <v>4.9229261338323083</v>
      </c>
      <c r="H1124" s="30">
        <v>62.327363450057916</v>
      </c>
      <c r="I1124" s="8">
        <v>0</v>
      </c>
      <c r="J1124" s="31">
        <v>0</v>
      </c>
      <c r="K1124" s="31">
        <v>0</v>
      </c>
      <c r="L1124" s="31">
        <v>0</v>
      </c>
      <c r="M1124" s="31">
        <v>1</v>
      </c>
      <c r="N1124" s="31">
        <v>0</v>
      </c>
      <c r="O1124" s="31">
        <v>0</v>
      </c>
      <c r="P1124" s="31">
        <v>0</v>
      </c>
      <c r="Q1124" s="31">
        <v>0</v>
      </c>
      <c r="R1124" s="31">
        <v>0</v>
      </c>
      <c r="S1124" s="31">
        <v>0</v>
      </c>
      <c r="T1124" s="21" cm="1">
        <f t="array" aca="1" ref="T1124" ca="1">+fair_value_gap(OFFSET(S1123,0,0,-1*$I$5,-1*$Z$1),OFFSET(E1123,0,0,-1*$I$5,1),F1124:S1124,0)</f>
        <v>14.169838898324937</v>
      </c>
      <c r="U1124" s="7" cm="1">
        <f t="array" aca="1" ref="U1124" ca="1">z_score_diff(OFFSET(T1124,0,0,$I$5*-1,1),OFFSET(E1124,0,0,$I$5*-1,1))</f>
        <v>-1.2971693261895734E-2</v>
      </c>
      <c r="V1124" s="7">
        <f t="shared" ca="1" si="1197"/>
        <v>0.16464829559338948</v>
      </c>
      <c r="W1124" s="14">
        <f t="shared" ca="1" si="1192"/>
        <v>-0.15340004720245162</v>
      </c>
      <c r="X1124" s="10">
        <f t="shared" ref="X1124:Y1124" ca="1" si="1227">+X1123</f>
        <v>0</v>
      </c>
      <c r="Y1124" s="10">
        <f t="shared" ca="1" si="1227"/>
        <v>0</v>
      </c>
      <c r="Z1124">
        <f t="shared" ca="1" si="1199"/>
        <v>0</v>
      </c>
      <c r="AA1124">
        <f t="shared" ca="1" si="1200"/>
        <v>1</v>
      </c>
      <c r="AB1124" s="19">
        <f t="shared" ca="1" si="1201"/>
        <v>0</v>
      </c>
      <c r="AC1124" s="19">
        <f t="shared" ca="1" si="1202"/>
        <v>-0.15340004720245162</v>
      </c>
    </row>
    <row r="1125" spans="3:29" x14ac:dyDescent="0.25">
      <c r="C1125" s="4">
        <v>1118</v>
      </c>
      <c r="D1125" s="28">
        <v>43599</v>
      </c>
      <c r="E1125" s="30">
        <v>13.782999999999999</v>
      </c>
      <c r="F1125" s="30">
        <v>63.590109792019987</v>
      </c>
      <c r="G1125" s="30">
        <v>4.9227885387842534</v>
      </c>
      <c r="H1125" s="30">
        <v>62.260108899401942</v>
      </c>
      <c r="I1125" s="8">
        <v>0</v>
      </c>
      <c r="J1125" s="31">
        <v>0</v>
      </c>
      <c r="K1125" s="31">
        <v>0</v>
      </c>
      <c r="L1125" s="31">
        <v>0</v>
      </c>
      <c r="M1125" s="31">
        <v>1</v>
      </c>
      <c r="N1125" s="31">
        <v>0</v>
      </c>
      <c r="O1125" s="31">
        <v>0</v>
      </c>
      <c r="P1125" s="31">
        <v>0</v>
      </c>
      <c r="Q1125" s="31">
        <v>0</v>
      </c>
      <c r="R1125" s="31">
        <v>0</v>
      </c>
      <c r="S1125" s="31">
        <v>0</v>
      </c>
      <c r="T1125" s="21" cm="1">
        <f t="array" aca="1" ref="T1125" ca="1">+fair_value_gap(OFFSET(S1124,0,0,-1*$I$5,-1*$Z$1),OFFSET(E1124,0,0,-1*$I$5,1),F1125:S1125,0)</f>
        <v>14.097820109925248</v>
      </c>
      <c r="U1125" s="7" cm="1">
        <f t="array" aca="1" ref="U1125" ca="1">z_score_diff(OFFSET(T1125,0,0,$I$5*-1,1),OFFSET(E1125,0,0,$I$5*-1,1))</f>
        <v>-3.7767969068072116E-2</v>
      </c>
      <c r="V1125" s="7">
        <f t="shared" ca="1" si="1197"/>
        <v>0.17175585782324951</v>
      </c>
      <c r="W1125" s="14">
        <f t="shared" ca="1" si="1192"/>
        <v>-0.20734361492466122</v>
      </c>
      <c r="X1125" s="10">
        <f t="shared" ref="X1125:Y1125" ca="1" si="1228">+X1124</f>
        <v>0</v>
      </c>
      <c r="Y1125" s="10">
        <f t="shared" ca="1" si="1228"/>
        <v>0</v>
      </c>
      <c r="Z1125">
        <f t="shared" ca="1" si="1199"/>
        <v>0</v>
      </c>
      <c r="AA1125">
        <f t="shared" ca="1" si="1200"/>
        <v>1</v>
      </c>
      <c r="AB1125" s="19">
        <f t="shared" ca="1" si="1201"/>
        <v>0</v>
      </c>
      <c r="AC1125" s="19">
        <f t="shared" ca="1" si="1202"/>
        <v>-0.20734361492466122</v>
      </c>
    </row>
    <row r="1126" spans="3:29" x14ac:dyDescent="0.25">
      <c r="C1126" s="4">
        <v>1119</v>
      </c>
      <c r="D1126" s="28">
        <v>43600</v>
      </c>
      <c r="E1126" s="30">
        <v>13.856</v>
      </c>
      <c r="F1126" s="30">
        <v>64.080357142857139</v>
      </c>
      <c r="G1126" s="30">
        <v>4.9196428571428568</v>
      </c>
      <c r="H1126" s="30">
        <v>61.5625</v>
      </c>
      <c r="I1126" s="8">
        <v>0</v>
      </c>
      <c r="J1126" s="31">
        <v>0</v>
      </c>
      <c r="K1126" s="31">
        <v>0</v>
      </c>
      <c r="L1126" s="31">
        <v>0</v>
      </c>
      <c r="M1126" s="31">
        <v>1</v>
      </c>
      <c r="N1126" s="31">
        <v>0</v>
      </c>
      <c r="O1126" s="31">
        <v>0</v>
      </c>
      <c r="P1126" s="31">
        <v>0</v>
      </c>
      <c r="Q1126" s="31">
        <v>0</v>
      </c>
      <c r="R1126" s="31">
        <v>0</v>
      </c>
      <c r="S1126" s="31">
        <v>0</v>
      </c>
      <c r="T1126" s="21" cm="1">
        <f t="array" aca="1" ref="T1126" ca="1">+fair_value_gap(OFFSET(S1125,0,0,-1*$I$5,-1*$Z$1),OFFSET(E1125,0,0,-1*$I$5,1),F1126:S1126,0)</f>
        <v>13.90565049517323</v>
      </c>
      <c r="U1126" s="7" cm="1">
        <f t="array" aca="1" ref="U1126" ca="1">z_score_diff(OFFSET(T1126,0,0,$I$5*-1,1),OFFSET(E1126,0,0,$I$5*-1,1))</f>
        <v>-0.10603365191510949</v>
      </c>
      <c r="V1126" s="7">
        <f t="shared" ca="1" si="1197"/>
        <v>0.16504923698449128</v>
      </c>
      <c r="W1126" s="14">
        <f t="shared" ca="1" si="1192"/>
        <v>-0.21799660022145564</v>
      </c>
      <c r="X1126" s="10">
        <f t="shared" ref="X1126:Y1126" ca="1" si="1229">+X1125</f>
        <v>0</v>
      </c>
      <c r="Y1126" s="10">
        <f t="shared" ca="1" si="1229"/>
        <v>0</v>
      </c>
      <c r="Z1126">
        <f t="shared" ca="1" si="1199"/>
        <v>0</v>
      </c>
      <c r="AA1126">
        <f t="shared" ca="1" si="1200"/>
        <v>1</v>
      </c>
      <c r="AB1126" s="19">
        <f t="shared" ca="1" si="1201"/>
        <v>0</v>
      </c>
      <c r="AC1126" s="19">
        <f t="shared" ca="1" si="1202"/>
        <v>-0.21799660022145564</v>
      </c>
    </row>
    <row r="1127" spans="3:29" x14ac:dyDescent="0.25">
      <c r="C1127" s="4">
        <v>1120</v>
      </c>
      <c r="D1127" s="28">
        <v>43601</v>
      </c>
      <c r="E1127" s="30">
        <v>13.385</v>
      </c>
      <c r="F1127" s="30">
        <v>65.001790189760115</v>
      </c>
      <c r="G1127" s="30">
        <v>4.6589688506981739</v>
      </c>
      <c r="H1127" s="30">
        <v>61.269244539921239</v>
      </c>
      <c r="I1127" s="8">
        <v>0</v>
      </c>
      <c r="J1127" s="31">
        <v>0</v>
      </c>
      <c r="K1127" s="31">
        <v>0</v>
      </c>
      <c r="L1127" s="31">
        <v>0</v>
      </c>
      <c r="M1127" s="31">
        <v>1</v>
      </c>
      <c r="N1127" s="31">
        <v>0</v>
      </c>
      <c r="O1127" s="31">
        <v>0</v>
      </c>
      <c r="P1127" s="31">
        <v>0</v>
      </c>
      <c r="Q1127" s="31">
        <v>0</v>
      </c>
      <c r="R1127" s="31">
        <v>0</v>
      </c>
      <c r="S1127" s="31">
        <v>0</v>
      </c>
      <c r="T1127" s="21" cm="1">
        <f t="array" aca="1" ref="T1127" ca="1">+fair_value_gap(OFFSET(S1126,0,0,-1*$I$5,-1*$Z$1),OFFSET(E1126,0,0,-1*$I$5,1),F1127:S1127,0)</f>
        <v>13.516390994020007</v>
      </c>
      <c r="U1127" s="7" cm="1">
        <f t="array" aca="1" ref="U1127" ca="1">z_score_diff(OFFSET(T1127,0,0,$I$5*-1,1),OFFSET(E1127,0,0,$I$5*-1,1))</f>
        <v>-9.8419755444548063E-2</v>
      </c>
      <c r="V1127" s="7">
        <f t="shared" ca="1" si="1197"/>
        <v>0.1407582305500929</v>
      </c>
      <c r="W1127" s="14">
        <f t="shared" ca="1" si="1192"/>
        <v>-0.1609600142746683</v>
      </c>
      <c r="X1127" s="10">
        <f t="shared" ref="X1127:Y1127" ca="1" si="1230">+X1126</f>
        <v>0</v>
      </c>
      <c r="Y1127" s="10">
        <f t="shared" ca="1" si="1230"/>
        <v>0</v>
      </c>
      <c r="Z1127">
        <f t="shared" ca="1" si="1199"/>
        <v>0</v>
      </c>
      <c r="AA1127">
        <f t="shared" ca="1" si="1200"/>
        <v>1</v>
      </c>
      <c r="AB1127" s="19">
        <f t="shared" ca="1" si="1201"/>
        <v>0</v>
      </c>
      <c r="AC1127" s="19">
        <f t="shared" ca="1" si="1202"/>
        <v>-0.1609600142746683</v>
      </c>
    </row>
    <row r="1128" spans="3:29" x14ac:dyDescent="0.25">
      <c r="C1128" s="4">
        <v>1121</v>
      </c>
      <c r="D1128" s="28">
        <v>43602</v>
      </c>
      <c r="E1128" s="30">
        <v>12.856</v>
      </c>
      <c r="F1128" s="30">
        <v>64.727500896378629</v>
      </c>
      <c r="G1128" s="30">
        <v>4.4191466475439229</v>
      </c>
      <c r="H1128" s="30">
        <v>61.13302258874149</v>
      </c>
      <c r="I1128" s="8">
        <v>0</v>
      </c>
      <c r="J1128" s="31">
        <v>0</v>
      </c>
      <c r="K1128" s="31">
        <v>0</v>
      </c>
      <c r="L1128" s="31">
        <v>0</v>
      </c>
      <c r="M1128" s="31">
        <v>1</v>
      </c>
      <c r="N1128" s="31">
        <v>0</v>
      </c>
      <c r="O1128" s="31">
        <v>0</v>
      </c>
      <c r="P1128" s="31">
        <v>0</v>
      </c>
      <c r="Q1128" s="31">
        <v>0</v>
      </c>
      <c r="R1128" s="31">
        <v>0</v>
      </c>
      <c r="S1128" s="31">
        <v>0</v>
      </c>
      <c r="T1128" s="21" cm="1">
        <f t="array" aca="1" ref="T1128" ca="1">+fair_value_gap(OFFSET(S1127,0,0,-1*$I$5,-1*$Z$1),OFFSET(E1127,0,0,-1*$I$5,1),F1128:S1128,0)</f>
        <v>13.190830092118661</v>
      </c>
      <c r="U1128" s="7" cm="1">
        <f t="array" aca="1" ref="U1128" ca="1">z_score_diff(OFFSET(T1128,0,0,$I$5*-1,1),OFFSET(E1128,0,0,$I$5*-1,1))</f>
        <v>-6.0040640724734917E-2</v>
      </c>
      <c r="V1128" s="7">
        <f t="shared" ca="1" si="1197"/>
        <v>0.12653257536746937</v>
      </c>
      <c r="W1128" s="14">
        <f t="shared" ca="1" si="1192"/>
        <v>-0.12732789878492834</v>
      </c>
      <c r="X1128" s="10">
        <f t="shared" ref="X1128:Y1128" ca="1" si="1231">+X1127</f>
        <v>0</v>
      </c>
      <c r="Y1128" s="10">
        <f t="shared" ca="1" si="1231"/>
        <v>0</v>
      </c>
      <c r="Z1128">
        <f t="shared" ca="1" si="1199"/>
        <v>0</v>
      </c>
      <c r="AA1128">
        <f t="shared" ca="1" si="1200"/>
        <v>1</v>
      </c>
      <c r="AB1128" s="19">
        <f t="shared" ca="1" si="1201"/>
        <v>0</v>
      </c>
      <c r="AC1128" s="19">
        <f t="shared" ca="1" si="1202"/>
        <v>-0.12732789878492834</v>
      </c>
    </row>
    <row r="1129" spans="3:29" x14ac:dyDescent="0.25">
      <c r="C1129" s="4">
        <v>1122</v>
      </c>
      <c r="D1129" s="28">
        <v>43605</v>
      </c>
      <c r="E1129" s="30">
        <v>12.903</v>
      </c>
      <c r="F1129" s="30">
        <v>64.431512981199646</v>
      </c>
      <c r="G1129" s="30">
        <v>4.4538943598925691</v>
      </c>
      <c r="H1129" s="30">
        <v>60.922112802148611</v>
      </c>
      <c r="I1129" s="8">
        <v>0</v>
      </c>
      <c r="J1129" s="31">
        <v>0</v>
      </c>
      <c r="K1129" s="31">
        <v>0</v>
      </c>
      <c r="L1129" s="31">
        <v>0</v>
      </c>
      <c r="M1129" s="31">
        <v>1</v>
      </c>
      <c r="N1129" s="31">
        <v>0</v>
      </c>
      <c r="O1129" s="31">
        <v>0</v>
      </c>
      <c r="P1129" s="31">
        <v>0</v>
      </c>
      <c r="Q1129" s="31">
        <v>0</v>
      </c>
      <c r="R1129" s="31">
        <v>0</v>
      </c>
      <c r="S1129" s="31">
        <v>0</v>
      </c>
      <c r="T1129" s="21" cm="1">
        <f t="array" aca="1" ref="T1129" ca="1">+fair_value_gap(OFFSET(S1128,0,0,-1*$I$5,-1*$Z$1),OFFSET(E1128,0,0,-1*$I$5,1),F1129:S1129,0)</f>
        <v>13.171231896787468</v>
      </c>
      <c r="U1129" s="7" cm="1">
        <f t="array" aca="1" ref="U1129" ca="1">z_score_diff(OFFSET(T1129,0,0,$I$5*-1,1),OFFSET(E1129,0,0,$I$5*-1,1))</f>
        <v>-7.3766205480266134E-2</v>
      </c>
      <c r="V1129" s="7">
        <f t="shared" ca="1" si="1197"/>
        <v>0.10507703107223551</v>
      </c>
      <c r="W1129" s="14">
        <f t="shared" ca="1" si="1192"/>
        <v>-0.10887145535582038</v>
      </c>
      <c r="X1129" s="10">
        <f t="shared" ref="X1129:Y1129" ca="1" si="1232">+X1128</f>
        <v>0</v>
      </c>
      <c r="Y1129" s="10">
        <f t="shared" ca="1" si="1232"/>
        <v>0</v>
      </c>
      <c r="Z1129">
        <f t="shared" ca="1" si="1199"/>
        <v>0</v>
      </c>
      <c r="AA1129">
        <f t="shared" ca="1" si="1200"/>
        <v>1</v>
      </c>
      <c r="AB1129" s="19">
        <f t="shared" ca="1" si="1201"/>
        <v>0</v>
      </c>
      <c r="AC1129" s="19">
        <f t="shared" ca="1" si="1202"/>
        <v>-0.10887145535582038</v>
      </c>
    </row>
    <row r="1130" spans="3:29" x14ac:dyDescent="0.25">
      <c r="C1130" s="4">
        <v>1123</v>
      </c>
      <c r="D1130" s="28">
        <v>43606</v>
      </c>
      <c r="E1130" s="30">
        <v>12.705</v>
      </c>
      <c r="F1130" s="30">
        <v>64.689012367807862</v>
      </c>
      <c r="G1130" s="30">
        <v>4.2973651191969893</v>
      </c>
      <c r="H1130" s="30">
        <v>60.494712314034778</v>
      </c>
      <c r="I1130" s="8">
        <v>0</v>
      </c>
      <c r="J1130" s="31">
        <v>0</v>
      </c>
      <c r="K1130" s="31">
        <v>0</v>
      </c>
      <c r="L1130" s="31">
        <v>0</v>
      </c>
      <c r="M1130" s="31">
        <v>1</v>
      </c>
      <c r="N1130" s="31">
        <v>0</v>
      </c>
      <c r="O1130" s="31">
        <v>0</v>
      </c>
      <c r="P1130" s="31">
        <v>0</v>
      </c>
      <c r="Q1130" s="31">
        <v>0</v>
      </c>
      <c r="R1130" s="31">
        <v>0</v>
      </c>
      <c r="S1130" s="31">
        <v>0</v>
      </c>
      <c r="T1130" s="21" cm="1">
        <f t="array" aca="1" ref="T1130" ca="1">+fair_value_gap(OFFSET(S1129,0,0,-1*$I$5,-1*$Z$1),OFFSET(E1129,0,0,-1*$I$5,1),F1130:S1130,0)</f>
        <v>12.897600438147265</v>
      </c>
      <c r="U1130" s="7" cm="1">
        <f t="array" aca="1" ref="U1130" ca="1">z_score_diff(OFFSET(T1130,0,0,$I$5*-1,1),OFFSET(E1130,0,0,$I$5*-1,1))</f>
        <v>-9.8328149465103376E-2</v>
      </c>
      <c r="V1130" s="7">
        <f t="shared" ca="1" si="1197"/>
        <v>8.3453060043477481E-2</v>
      </c>
      <c r="W1130" s="14">
        <f t="shared" ca="1" si="1192"/>
        <v>-0.14101420192188835</v>
      </c>
      <c r="X1130" s="10">
        <f t="shared" ref="X1130:Y1130" ca="1" si="1233">+X1129</f>
        <v>0</v>
      </c>
      <c r="Y1130" s="10">
        <f t="shared" ca="1" si="1233"/>
        <v>0</v>
      </c>
      <c r="Z1130">
        <f t="shared" ca="1" si="1199"/>
        <v>0</v>
      </c>
      <c r="AA1130">
        <f t="shared" ca="1" si="1200"/>
        <v>1</v>
      </c>
      <c r="AB1130" s="19">
        <f t="shared" ca="1" si="1201"/>
        <v>0</v>
      </c>
      <c r="AC1130" s="19">
        <f t="shared" ca="1" si="1202"/>
        <v>-0.14101420192188835</v>
      </c>
    </row>
    <row r="1131" spans="3:29" x14ac:dyDescent="0.25">
      <c r="C1131" s="4">
        <v>1124</v>
      </c>
      <c r="D1131" s="28">
        <v>43607</v>
      </c>
      <c r="E1131" s="30">
        <v>12.648999999999999</v>
      </c>
      <c r="F1131" s="30">
        <v>63.656743185078909</v>
      </c>
      <c r="G1131" s="30">
        <v>4.2324246771879483</v>
      </c>
      <c r="H1131" s="30">
        <v>60.751434720229554</v>
      </c>
      <c r="I1131" s="8">
        <v>0</v>
      </c>
      <c r="J1131" s="31">
        <v>0</v>
      </c>
      <c r="K1131" s="31">
        <v>0</v>
      </c>
      <c r="L1131" s="31">
        <v>0</v>
      </c>
      <c r="M1131" s="31">
        <v>1</v>
      </c>
      <c r="N1131" s="31">
        <v>0</v>
      </c>
      <c r="O1131" s="31">
        <v>0</v>
      </c>
      <c r="P1131" s="31">
        <v>0</v>
      </c>
      <c r="Q1131" s="31">
        <v>0</v>
      </c>
      <c r="R1131" s="31">
        <v>0</v>
      </c>
      <c r="S1131" s="31">
        <v>0</v>
      </c>
      <c r="T1131" s="21" cm="1">
        <f t="array" aca="1" ref="T1131" ca="1">+fair_value_gap(OFFSET(S1130,0,0,-1*$I$5,-1*$Z$1),OFFSET(E1130,0,0,-1*$I$5,1),F1131:S1131,0)</f>
        <v>12.85869988356918</v>
      </c>
      <c r="U1131" s="7" cm="1">
        <f t="array" aca="1" ref="U1131" ca="1">z_score_diff(OFFSET(T1131,0,0,$I$5*-1,1),OFFSET(E1131,0,0,$I$5*-1,1))</f>
        <v>-9.3002248384496333E-2</v>
      </c>
      <c r="V1131" s="7">
        <f t="shared" ca="1" si="1197"/>
        <v>6.0713915833432865E-2</v>
      </c>
      <c r="W1131" s="14">
        <f t="shared" ca="1" si="1192"/>
        <v>-0.1877278752042448</v>
      </c>
      <c r="X1131" s="10">
        <f t="shared" ref="X1131:Y1131" ca="1" si="1234">+X1130</f>
        <v>0</v>
      </c>
      <c r="Y1131" s="10">
        <f t="shared" ca="1" si="1234"/>
        <v>0</v>
      </c>
      <c r="Z1131">
        <f t="shared" ca="1" si="1199"/>
        <v>0</v>
      </c>
      <c r="AA1131">
        <f t="shared" ca="1" si="1200"/>
        <v>1</v>
      </c>
      <c r="AB1131" s="19">
        <f t="shared" ca="1" si="1201"/>
        <v>0</v>
      </c>
      <c r="AC1131" s="19">
        <f t="shared" ca="1" si="1202"/>
        <v>-0.1877278752042448</v>
      </c>
    </row>
    <row r="1132" spans="3:29" x14ac:dyDescent="0.25">
      <c r="C1132" s="4">
        <v>1125</v>
      </c>
      <c r="D1132" s="28">
        <v>43608</v>
      </c>
      <c r="E1132" s="30">
        <v>12.595000000000001</v>
      </c>
      <c r="F1132" s="30">
        <v>60.608228980322004</v>
      </c>
      <c r="G1132" s="30">
        <v>4.226296958855098</v>
      </c>
      <c r="H1132" s="30">
        <v>60.644007155635052</v>
      </c>
      <c r="I1132" s="8">
        <v>0</v>
      </c>
      <c r="J1132" s="31">
        <v>0</v>
      </c>
      <c r="K1132" s="31">
        <v>0</v>
      </c>
      <c r="L1132" s="31">
        <v>0</v>
      </c>
      <c r="M1132" s="31">
        <v>1</v>
      </c>
      <c r="N1132" s="31">
        <v>0</v>
      </c>
      <c r="O1132" s="31">
        <v>0</v>
      </c>
      <c r="P1132" s="31">
        <v>0</v>
      </c>
      <c r="Q1132" s="31">
        <v>0</v>
      </c>
      <c r="R1132" s="31">
        <v>0</v>
      </c>
      <c r="S1132" s="31">
        <v>0</v>
      </c>
      <c r="T1132" s="21" cm="1">
        <f t="array" aca="1" ref="T1132" ca="1">+fair_value_gap(OFFSET(S1131,0,0,-1*$I$5,-1*$Z$1),OFFSET(E1131,0,0,-1*$I$5,1),F1132:S1132,0)</f>
        <v>12.794840724505862</v>
      </c>
      <c r="U1132" s="7" cm="1">
        <f t="array" aca="1" ref="U1132" ca="1">z_score_diff(OFFSET(T1132,0,0,$I$5*-1,1),OFFSET(E1132,0,0,$I$5*-1,1))</f>
        <v>-9.4568996983029674E-2</v>
      </c>
      <c r="V1132" s="7">
        <f t="shared" ca="1" si="1197"/>
        <v>4.193749771376705E-2</v>
      </c>
      <c r="W1132" s="14">
        <f t="shared" ca="1" si="1192"/>
        <v>-0.21602326806753808</v>
      </c>
      <c r="X1132" s="10">
        <f t="shared" ref="X1132:Y1132" ca="1" si="1235">+X1131</f>
        <v>0</v>
      </c>
      <c r="Y1132" s="10">
        <f t="shared" ca="1" si="1235"/>
        <v>0</v>
      </c>
      <c r="Z1132">
        <f t="shared" ca="1" si="1199"/>
        <v>0</v>
      </c>
      <c r="AA1132">
        <f t="shared" ca="1" si="1200"/>
        <v>1</v>
      </c>
      <c r="AB1132" s="19">
        <f t="shared" ca="1" si="1201"/>
        <v>0</v>
      </c>
      <c r="AC1132" s="19">
        <f t="shared" ca="1" si="1202"/>
        <v>-0.21602326806753808</v>
      </c>
    </row>
    <row r="1133" spans="3:29" x14ac:dyDescent="0.25">
      <c r="C1133" s="4">
        <v>1126</v>
      </c>
      <c r="D1133" s="28">
        <v>43609</v>
      </c>
      <c r="E1133" s="30">
        <v>12.249000000000001</v>
      </c>
      <c r="F1133" s="30">
        <v>61.319407248705581</v>
      </c>
      <c r="G1133" s="30">
        <v>4.217996786288162</v>
      </c>
      <c r="H1133" s="30">
        <v>60.167827173718976</v>
      </c>
      <c r="I1133" s="8">
        <v>0</v>
      </c>
      <c r="J1133" s="31">
        <v>0</v>
      </c>
      <c r="K1133" s="31">
        <v>0</v>
      </c>
      <c r="L1133" s="31">
        <v>0</v>
      </c>
      <c r="M1133" s="31">
        <v>1</v>
      </c>
      <c r="N1133" s="31">
        <v>0</v>
      </c>
      <c r="O1133" s="31">
        <v>0</v>
      </c>
      <c r="P1133" s="31">
        <v>0</v>
      </c>
      <c r="Q1133" s="31">
        <v>0</v>
      </c>
      <c r="R1133" s="31">
        <v>0</v>
      </c>
      <c r="S1133" s="31">
        <v>0</v>
      </c>
      <c r="T1133" s="21" cm="1">
        <f t="array" aca="1" ref="T1133" ca="1">+fair_value_gap(OFFSET(S1132,0,0,-1*$I$5,-1*$Z$1),OFFSET(E1132,0,0,-1*$I$5,1),F1133:S1133,0)</f>
        <v>12.651233221793774</v>
      </c>
      <c r="U1133" s="7" cm="1">
        <f t="array" aca="1" ref="U1133" ca="1">z_score_diff(OFFSET(T1133,0,0,$I$5*-1,1),OFFSET(E1133,0,0,$I$5*-1,1))</f>
        <v>-5.2034384163340164E-2</v>
      </c>
      <c r="V1133" s="7">
        <f t="shared" ca="1" si="1197"/>
        <v>2.5212834601104038E-2</v>
      </c>
      <c r="W1133" s="14">
        <f t="shared" ca="1" si="1192"/>
        <v>-0.16797480615800087</v>
      </c>
      <c r="X1133" s="10">
        <f t="shared" ref="X1133:Y1133" ca="1" si="1236">+X1132</f>
        <v>0</v>
      </c>
      <c r="Y1133" s="10">
        <f t="shared" ca="1" si="1236"/>
        <v>0</v>
      </c>
      <c r="Z1133">
        <f t="shared" ca="1" si="1199"/>
        <v>0</v>
      </c>
      <c r="AA1133">
        <f t="shared" ca="1" si="1200"/>
        <v>1</v>
      </c>
      <c r="AB1133" s="19">
        <f t="shared" ca="1" si="1201"/>
        <v>0</v>
      </c>
      <c r="AC1133" s="19">
        <f t="shared" ca="1" si="1202"/>
        <v>-0.16797480615800087</v>
      </c>
    </row>
    <row r="1134" spans="3:29" x14ac:dyDescent="0.25">
      <c r="C1134" s="4">
        <v>1127</v>
      </c>
      <c r="D1134" s="28">
        <v>43612</v>
      </c>
      <c r="E1134" s="30">
        <v>12.162000000000001</v>
      </c>
      <c r="F1134" s="30">
        <v>62.620578778135055</v>
      </c>
      <c r="G1134" s="30">
        <v>4.220257234726688</v>
      </c>
      <c r="H1134" s="30">
        <v>60.200071454090754</v>
      </c>
      <c r="I1134" s="8">
        <v>0</v>
      </c>
      <c r="J1134" s="31">
        <v>0</v>
      </c>
      <c r="K1134" s="31">
        <v>0</v>
      </c>
      <c r="L1134" s="31">
        <v>0</v>
      </c>
      <c r="M1134" s="31">
        <v>1</v>
      </c>
      <c r="N1134" s="31">
        <v>0</v>
      </c>
      <c r="O1134" s="31">
        <v>0</v>
      </c>
      <c r="P1134" s="31">
        <v>0</v>
      </c>
      <c r="Q1134" s="31">
        <v>0</v>
      </c>
      <c r="R1134" s="31">
        <v>0</v>
      </c>
      <c r="S1134" s="31">
        <v>0</v>
      </c>
      <c r="T1134" s="21" cm="1">
        <f t="array" aca="1" ref="T1134" ca="1">+fair_value_gap(OFFSET(S1133,0,0,-1*$I$5,-1*$Z$1),OFFSET(E1133,0,0,-1*$I$5,1),F1134:S1134,0)</f>
        <v>12.640075101550394</v>
      </c>
      <c r="U1134" s="7" cm="1">
        <f t="array" aca="1" ref="U1134" ca="1">z_score_diff(OFFSET(T1134,0,0,$I$5*-1,1),OFFSET(E1134,0,0,$I$5*-1,1))</f>
        <v>-3.4387781644500404E-2</v>
      </c>
      <c r="V1134" s="7">
        <f t="shared" ca="1" si="1197"/>
        <v>7.7410445564252582E-3</v>
      </c>
      <c r="W1134" s="14">
        <f t="shared" ca="1" si="1192"/>
        <v>-0.17612471406495403</v>
      </c>
      <c r="X1134" s="10">
        <f t="shared" ref="X1134:Y1134" ca="1" si="1237">+X1133</f>
        <v>0</v>
      </c>
      <c r="Y1134" s="10">
        <f t="shared" ca="1" si="1237"/>
        <v>0</v>
      </c>
      <c r="Z1134">
        <f t="shared" ca="1" si="1199"/>
        <v>0</v>
      </c>
      <c r="AA1134">
        <f t="shared" ca="1" si="1200"/>
        <v>1</v>
      </c>
      <c r="AB1134" s="19">
        <f t="shared" ca="1" si="1201"/>
        <v>0</v>
      </c>
      <c r="AC1134" s="19">
        <f t="shared" ca="1" si="1202"/>
        <v>-0.17612471406495403</v>
      </c>
    </row>
    <row r="1135" spans="3:29" x14ac:dyDescent="0.25">
      <c r="C1135" s="4">
        <v>1128</v>
      </c>
      <c r="D1135" s="28">
        <v>43613</v>
      </c>
      <c r="E1135" s="30">
        <v>12.518000000000001</v>
      </c>
      <c r="F1135" s="30">
        <v>62.822580645161281</v>
      </c>
      <c r="G1135" s="30">
        <v>4.2159498207885298</v>
      </c>
      <c r="H1135" s="30">
        <v>60.035842293906803</v>
      </c>
      <c r="I1135" s="8">
        <v>0</v>
      </c>
      <c r="J1135" s="31">
        <v>0</v>
      </c>
      <c r="K1135" s="31">
        <v>0</v>
      </c>
      <c r="L1135" s="31">
        <v>0</v>
      </c>
      <c r="M1135" s="31">
        <v>1</v>
      </c>
      <c r="N1135" s="31">
        <v>0</v>
      </c>
      <c r="O1135" s="31">
        <v>0</v>
      </c>
      <c r="P1135" s="31">
        <v>0</v>
      </c>
      <c r="Q1135" s="31">
        <v>0</v>
      </c>
      <c r="R1135" s="31">
        <v>0</v>
      </c>
      <c r="S1135" s="31">
        <v>0</v>
      </c>
      <c r="T1135" s="21" cm="1">
        <f t="array" aca="1" ref="T1135" ca="1">+fair_value_gap(OFFSET(S1134,0,0,-1*$I$5,-1*$Z$1),OFFSET(E1134,0,0,-1*$I$5,1),F1135:S1135,0)</f>
        <v>12.578409028979888</v>
      </c>
      <c r="U1135" s="7" cm="1">
        <f t="array" aca="1" ref="U1135" ca="1">z_score_diff(OFFSET(T1135,0,0,$I$5*-1,1),OFFSET(E1135,0,0,$I$5*-1,1))</f>
        <v>-0.12599510455469543</v>
      </c>
      <c r="V1135" s="7">
        <f t="shared" ca="1" si="1197"/>
        <v>-1.667880753820301E-2</v>
      </c>
      <c r="W1135" s="14">
        <f t="shared" ca="1" si="1192"/>
        <v>-0.24000076823684474</v>
      </c>
      <c r="X1135" s="10">
        <f t="shared" ref="X1135:Y1135" ca="1" si="1238">+X1134</f>
        <v>0</v>
      </c>
      <c r="Y1135" s="10">
        <f t="shared" ca="1" si="1238"/>
        <v>0</v>
      </c>
      <c r="Z1135">
        <f t="shared" ca="1" si="1199"/>
        <v>1</v>
      </c>
      <c r="AA1135">
        <f t="shared" ca="1" si="1200"/>
        <v>0</v>
      </c>
      <c r="AB1135" s="19">
        <f t="shared" ca="1" si="1201"/>
        <v>-0.24000076823684474</v>
      </c>
      <c r="AC1135" s="19">
        <f t="shared" ca="1" si="1202"/>
        <v>0</v>
      </c>
    </row>
    <row r="1136" spans="3:29" x14ac:dyDescent="0.25">
      <c r="C1136" s="4">
        <v>1129</v>
      </c>
      <c r="D1136" s="28">
        <v>43614</v>
      </c>
      <c r="E1136" s="30">
        <v>12.223000000000001</v>
      </c>
      <c r="F1136" s="30">
        <v>62.404528708778869</v>
      </c>
      <c r="G1136" s="30">
        <v>4.2411717135411982</v>
      </c>
      <c r="H1136" s="30">
        <v>59.978434720100637</v>
      </c>
      <c r="I1136" s="8">
        <v>0</v>
      </c>
      <c r="J1136" s="31">
        <v>0</v>
      </c>
      <c r="K1136" s="31">
        <v>0</v>
      </c>
      <c r="L1136" s="31">
        <v>0</v>
      </c>
      <c r="M1136" s="31">
        <v>1</v>
      </c>
      <c r="N1136" s="31">
        <v>0</v>
      </c>
      <c r="O1136" s="31">
        <v>0</v>
      </c>
      <c r="P1136" s="31">
        <v>0</v>
      </c>
      <c r="Q1136" s="31">
        <v>0</v>
      </c>
      <c r="R1136" s="31">
        <v>0</v>
      </c>
      <c r="S1136" s="31">
        <v>0</v>
      </c>
      <c r="T1136" s="21" cm="1">
        <f t="array" aca="1" ref="T1136" ca="1">+fair_value_gap(OFFSET(S1135,0,0,-1*$I$5,-1*$Z$1),OFFSET(E1135,0,0,-1*$I$5,1),F1136:S1136,0)</f>
        <v>12.590470389715634</v>
      </c>
      <c r="U1136" s="7" cm="1">
        <f t="array" aca="1" ref="U1136" ca="1">z_score_diff(OFFSET(T1136,0,0,$I$5*-1,1),OFFSET(E1136,0,0,$I$5*-1,1))</f>
        <v>-5.5459481039415115E-2</v>
      </c>
      <c r="V1136" s="7">
        <f t="shared" ca="1" si="1197"/>
        <v>-3.0540586467871188E-2</v>
      </c>
      <c r="W1136" s="14">
        <f t="shared" ca="1" si="1192"/>
        <v>-0.23947515811751074</v>
      </c>
      <c r="X1136" s="10">
        <f t="shared" ref="X1136:Y1136" ca="1" si="1239">+X1135</f>
        <v>0</v>
      </c>
      <c r="Y1136" s="10">
        <f t="shared" ca="1" si="1239"/>
        <v>0</v>
      </c>
      <c r="Z1136">
        <f t="shared" ca="1" si="1199"/>
        <v>1</v>
      </c>
      <c r="AA1136">
        <f t="shared" ca="1" si="1200"/>
        <v>0</v>
      </c>
      <c r="AB1136" s="19">
        <f t="shared" ca="1" si="1201"/>
        <v>-0.23947515811751074</v>
      </c>
      <c r="AC1136" s="19">
        <f t="shared" ca="1" si="1202"/>
        <v>0</v>
      </c>
    </row>
    <row r="1137" spans="3:29" x14ac:dyDescent="0.25">
      <c r="C1137" s="4">
        <v>1130</v>
      </c>
      <c r="D1137" s="28">
        <v>43615</v>
      </c>
      <c r="E1137" s="30">
        <v>11.476000000000001</v>
      </c>
      <c r="F1137" s="30">
        <v>60.080862533692724</v>
      </c>
      <c r="G1137" s="30">
        <v>4.1329739442946991</v>
      </c>
      <c r="H1137" s="30">
        <v>60.062893081761004</v>
      </c>
      <c r="I1137" s="8">
        <v>0</v>
      </c>
      <c r="J1137" s="31">
        <v>0</v>
      </c>
      <c r="K1137" s="31">
        <v>0</v>
      </c>
      <c r="L1137" s="31">
        <v>0</v>
      </c>
      <c r="M1137" s="31">
        <v>1</v>
      </c>
      <c r="N1137" s="31">
        <v>0</v>
      </c>
      <c r="O1137" s="31">
        <v>0</v>
      </c>
      <c r="P1137" s="31">
        <v>0</v>
      </c>
      <c r="Q1137" s="31">
        <v>0</v>
      </c>
      <c r="R1137" s="31">
        <v>0</v>
      </c>
      <c r="S1137" s="31">
        <v>0</v>
      </c>
      <c r="T1137" s="21" cm="1">
        <f t="array" aca="1" ref="T1137" ca="1">+fair_value_gap(OFFSET(S1136,0,0,-1*$I$5,-1*$Z$1),OFFSET(E1136,0,0,-1*$I$5,1),F1137:S1137,0)</f>
        <v>12.45323069685953</v>
      </c>
      <c r="U1137" s="7" cm="1">
        <f t="array" aca="1" ref="U1137" ca="1">z_score_diff(OFFSET(T1137,0,0,$I$5*-1,1),OFFSET(E1137,0,0,$I$5*-1,1))</f>
        <v>7.2297100252399105E-2</v>
      </c>
      <c r="V1137" s="7">
        <f t="shared" ca="1" si="1197"/>
        <v>-3.3867001489950921E-2</v>
      </c>
      <c r="W1137" s="14">
        <f t="shared" ca="1" si="1192"/>
        <v>-0.20210466528446167</v>
      </c>
      <c r="X1137" s="10">
        <f t="shared" ref="X1137:Y1137" ca="1" si="1240">+X1136</f>
        <v>0</v>
      </c>
      <c r="Y1137" s="10">
        <f t="shared" ca="1" si="1240"/>
        <v>0</v>
      </c>
      <c r="Z1137">
        <f t="shared" ca="1" si="1199"/>
        <v>1</v>
      </c>
      <c r="AA1137">
        <f t="shared" ca="1" si="1200"/>
        <v>0</v>
      </c>
      <c r="AB1137" s="19">
        <f t="shared" ca="1" si="1201"/>
        <v>-0.20210466528446167</v>
      </c>
      <c r="AC1137" s="19">
        <f t="shared" ca="1" si="1202"/>
        <v>0</v>
      </c>
    </row>
    <row r="1138" spans="3:29" x14ac:dyDescent="0.25">
      <c r="C1138" s="4">
        <v>1131</v>
      </c>
      <c r="D1138" s="28">
        <v>43616</v>
      </c>
      <c r="E1138" s="30">
        <v>11.205</v>
      </c>
      <c r="F1138" s="30">
        <v>57.750514910002678</v>
      </c>
      <c r="G1138" s="30">
        <v>4.1640548043341994</v>
      </c>
      <c r="H1138" s="30">
        <v>59.863884660159393</v>
      </c>
      <c r="I1138" s="8">
        <v>0</v>
      </c>
      <c r="J1138" s="31">
        <v>0</v>
      </c>
      <c r="K1138" s="31">
        <v>0</v>
      </c>
      <c r="L1138" s="31">
        <v>0</v>
      </c>
      <c r="M1138" s="31">
        <v>1</v>
      </c>
      <c r="N1138" s="31">
        <v>0</v>
      </c>
      <c r="O1138" s="31">
        <v>0</v>
      </c>
      <c r="P1138" s="31">
        <v>0</v>
      </c>
      <c r="Q1138" s="31">
        <v>0</v>
      </c>
      <c r="R1138" s="31">
        <v>0</v>
      </c>
      <c r="S1138" s="31">
        <v>0</v>
      </c>
      <c r="T1138" s="21" cm="1">
        <f t="array" aca="1" ref="T1138" ca="1">+fair_value_gap(OFFSET(S1137,0,0,-1*$I$5,-1*$Z$1),OFFSET(E1137,0,0,-1*$I$5,1),F1138:S1138,0)</f>
        <v>12.397594448886259</v>
      </c>
      <c r="U1138" s="7" cm="1">
        <f t="array" aca="1" ref="U1138" ca="1">z_score_diff(OFFSET(T1138,0,0,$I$5*-1,1),OFFSET(E1138,0,0,$I$5*-1,1))</f>
        <v>0.114274321462835</v>
      </c>
      <c r="V1138" s="7">
        <f t="shared" ca="1" si="1197"/>
        <v>-3.1602094124526935E-2</v>
      </c>
      <c r="W1138" s="14">
        <f t="shared" ca="1" si="1192"/>
        <v>-0.10214293002913688</v>
      </c>
      <c r="X1138" s="10">
        <f t="shared" ref="X1138:Y1138" ca="1" si="1241">+X1137</f>
        <v>0</v>
      </c>
      <c r="Y1138" s="10">
        <f t="shared" ca="1" si="1241"/>
        <v>0</v>
      </c>
      <c r="Z1138">
        <f t="shared" ca="1" si="1199"/>
        <v>1</v>
      </c>
      <c r="AA1138">
        <f t="shared" ca="1" si="1200"/>
        <v>0</v>
      </c>
      <c r="AB1138" s="19">
        <f t="shared" ca="1" si="1201"/>
        <v>-0.10214293002913688</v>
      </c>
      <c r="AC1138" s="19">
        <f t="shared" ca="1" si="1202"/>
        <v>0</v>
      </c>
    </row>
    <row r="1139" spans="3:29" x14ac:dyDescent="0.25">
      <c r="C1139" s="4">
        <v>1132</v>
      </c>
      <c r="D1139" s="28">
        <v>43619</v>
      </c>
      <c r="E1139" s="30">
        <v>11.1</v>
      </c>
      <c r="F1139" s="30">
        <v>54.519572953736649</v>
      </c>
      <c r="G1139" s="30">
        <v>4.0391459074733094</v>
      </c>
      <c r="H1139" s="30">
        <v>54.270462633451949</v>
      </c>
      <c r="I1139" s="8">
        <v>0</v>
      </c>
      <c r="J1139" s="31">
        <v>0</v>
      </c>
      <c r="K1139" s="31">
        <v>0</v>
      </c>
      <c r="L1139" s="31">
        <v>0</v>
      </c>
      <c r="M1139" s="31">
        <v>0</v>
      </c>
      <c r="N1139" s="31">
        <v>1</v>
      </c>
      <c r="O1139" s="31">
        <v>0</v>
      </c>
      <c r="P1139" s="31">
        <v>0</v>
      </c>
      <c r="Q1139" s="31">
        <v>0</v>
      </c>
      <c r="R1139" s="31">
        <v>0</v>
      </c>
      <c r="S1139" s="31">
        <v>0</v>
      </c>
      <c r="T1139" s="21" cm="1">
        <f t="array" aca="1" ref="T1139" ca="1">+fair_value_gap(OFFSET(S1138,0,0,-1*$I$5,-1*$Z$1),OFFSET(E1138,0,0,-1*$I$5,1),F1139:S1139,0)</f>
        <v>10.1600706973638</v>
      </c>
      <c r="U1139" s="7" cm="1">
        <f t="array" aca="1" ref="U1139" ca="1">z_score_diff(OFFSET(T1139,0,0,$I$5*-1,1),OFFSET(E1139,0,0,$I$5*-1,1))</f>
        <v>-0.40449666862022626</v>
      </c>
      <c r="V1139" s="7">
        <f t="shared" ca="1" si="1197"/>
        <v>-5.6437108575708786E-2</v>
      </c>
      <c r="W1139" s="14">
        <f t="shared" ca="1" si="1192"/>
        <v>-6.8510362430545535E-2</v>
      </c>
      <c r="X1139" s="10">
        <f t="shared" ref="X1139:Y1139" ca="1" si="1242">+X1138</f>
        <v>0</v>
      </c>
      <c r="Y1139" s="10">
        <f t="shared" ca="1" si="1242"/>
        <v>0</v>
      </c>
      <c r="Z1139">
        <f t="shared" ca="1" si="1199"/>
        <v>1</v>
      </c>
      <c r="AA1139">
        <f t="shared" ca="1" si="1200"/>
        <v>0</v>
      </c>
      <c r="AB1139" s="19">
        <f t="shared" ca="1" si="1201"/>
        <v>-6.8510362430545535E-2</v>
      </c>
      <c r="AC1139" s="19">
        <f t="shared" ca="1" si="1202"/>
        <v>0</v>
      </c>
    </row>
    <row r="1140" spans="3:29" x14ac:dyDescent="0.25">
      <c r="C1140" s="4">
        <v>1133</v>
      </c>
      <c r="D1140" s="28">
        <v>43620</v>
      </c>
      <c r="E1140" s="30">
        <v>11.91</v>
      </c>
      <c r="F1140" s="30">
        <v>55.079548484579149</v>
      </c>
      <c r="G1140" s="30">
        <v>4.0307528219713804</v>
      </c>
      <c r="H1140" s="30">
        <v>55.150653275264418</v>
      </c>
      <c r="I1140" s="8">
        <v>0</v>
      </c>
      <c r="J1140" s="31">
        <v>0</v>
      </c>
      <c r="K1140" s="31">
        <v>0</v>
      </c>
      <c r="L1140" s="31">
        <v>0</v>
      </c>
      <c r="M1140" s="31">
        <v>0</v>
      </c>
      <c r="N1140" s="31">
        <v>1</v>
      </c>
      <c r="O1140" s="31">
        <v>0</v>
      </c>
      <c r="P1140" s="31">
        <v>0</v>
      </c>
      <c r="Q1140" s="31">
        <v>0</v>
      </c>
      <c r="R1140" s="31">
        <v>0</v>
      </c>
      <c r="S1140" s="31">
        <v>0</v>
      </c>
      <c r="T1140" s="21" cm="1">
        <f t="array" aca="1" ref="T1140" ca="1">+fair_value_gap(OFFSET(S1139,0,0,-1*$I$5,-1*$Z$1),OFFSET(E1139,0,0,-1*$I$5,1),F1140:S1140,0)</f>
        <v>10.453373485853204</v>
      </c>
      <c r="U1140" s="7" cm="1">
        <f t="array" aca="1" ref="U1140" ca="1">z_score_diff(OFFSET(T1140,0,0,$I$5*-1,1),OFFSET(E1140,0,0,$I$5*-1,1))</f>
        <v>-0.48892420553222182</v>
      </c>
      <c r="V1140" s="7">
        <f t="shared" ca="1" si="1197"/>
        <v>-8.4920609700365329E-2</v>
      </c>
      <c r="W1140" s="14">
        <f t="shared" ca="1" si="1192"/>
        <v>-0.15234710154333295</v>
      </c>
      <c r="X1140" s="10">
        <f t="shared" ref="X1140:Y1140" ca="1" si="1243">+X1139</f>
        <v>0</v>
      </c>
      <c r="Y1140" s="10">
        <f t="shared" ca="1" si="1243"/>
        <v>0</v>
      </c>
      <c r="Z1140">
        <f t="shared" ca="1" si="1199"/>
        <v>1</v>
      </c>
      <c r="AA1140">
        <f t="shared" ca="1" si="1200"/>
        <v>0</v>
      </c>
      <c r="AB1140" s="19">
        <f t="shared" ca="1" si="1201"/>
        <v>-0.15234710154333295</v>
      </c>
      <c r="AC1140" s="19">
        <f t="shared" ca="1" si="1202"/>
        <v>0</v>
      </c>
    </row>
    <row r="1141" spans="3:29" x14ac:dyDescent="0.25">
      <c r="C1141" s="4">
        <v>1134</v>
      </c>
      <c r="D1141" s="28">
        <v>43621</v>
      </c>
      <c r="E1141" s="30">
        <v>11.601000000000001</v>
      </c>
      <c r="F1141" s="30">
        <v>54.042249754880125</v>
      </c>
      <c r="G1141" s="30">
        <v>3.9887690525002228</v>
      </c>
      <c r="H1141" s="30">
        <v>55.441661467153942</v>
      </c>
      <c r="I1141" s="8">
        <v>0</v>
      </c>
      <c r="J1141" s="31">
        <v>0</v>
      </c>
      <c r="K1141" s="31">
        <v>0</v>
      </c>
      <c r="L1141" s="31">
        <v>0</v>
      </c>
      <c r="M1141" s="31">
        <v>0</v>
      </c>
      <c r="N1141" s="31">
        <v>1</v>
      </c>
      <c r="O1141" s="31">
        <v>0</v>
      </c>
      <c r="P1141" s="31">
        <v>0</v>
      </c>
      <c r="Q1141" s="31">
        <v>0</v>
      </c>
      <c r="R1141" s="31">
        <v>0</v>
      </c>
      <c r="S1141" s="31">
        <v>0</v>
      </c>
      <c r="T1141" s="21" cm="1">
        <f t="array" aca="1" ref="T1141" ca="1">+fair_value_gap(OFFSET(S1140,0,0,-1*$I$5,-1*$Z$1),OFFSET(E1140,0,0,-1*$I$5,1),F1141:S1141,0)</f>
        <v>10.632006310948313</v>
      </c>
      <c r="U1141" s="7" cm="1">
        <f t="array" aca="1" ref="U1141" ca="1">z_score_diff(OFFSET(T1141,0,0,$I$5*-1,1),OFFSET(E1141,0,0,$I$5*-1,1))</f>
        <v>-0.36766344242043081</v>
      </c>
      <c r="V1141" s="7">
        <f t="shared" ca="1" si="1197"/>
        <v>-0.10359698278646574</v>
      </c>
      <c r="W1141" s="14">
        <f t="shared" ca="1" si="1192"/>
        <v>-0.11953010006270698</v>
      </c>
      <c r="X1141" s="10">
        <f t="shared" ref="X1141:Y1141" ca="1" si="1244">+X1140</f>
        <v>0</v>
      </c>
      <c r="Y1141" s="10">
        <f t="shared" ca="1" si="1244"/>
        <v>0</v>
      </c>
      <c r="Z1141">
        <f t="shared" ca="1" si="1199"/>
        <v>1</v>
      </c>
      <c r="AA1141">
        <f t="shared" ca="1" si="1200"/>
        <v>0</v>
      </c>
      <c r="AB1141" s="19">
        <f t="shared" ca="1" si="1201"/>
        <v>-0.11953010006270698</v>
      </c>
      <c r="AC1141" s="19">
        <f t="shared" ca="1" si="1202"/>
        <v>0</v>
      </c>
    </row>
    <row r="1142" spans="3:29" x14ac:dyDescent="0.25">
      <c r="C1142" s="4">
        <v>1135</v>
      </c>
      <c r="D1142" s="28">
        <v>43622</v>
      </c>
      <c r="E1142" s="30">
        <v>11.103</v>
      </c>
      <c r="F1142" s="30">
        <v>54.701082135887887</v>
      </c>
      <c r="G1142" s="30">
        <v>3.9693099166223167</v>
      </c>
      <c r="H1142" s="30">
        <v>56.146886641830761</v>
      </c>
      <c r="I1142" s="8">
        <v>0</v>
      </c>
      <c r="J1142" s="31">
        <v>0</v>
      </c>
      <c r="K1142" s="31">
        <v>0</v>
      </c>
      <c r="L1142" s="31">
        <v>0</v>
      </c>
      <c r="M1142" s="31">
        <v>0</v>
      </c>
      <c r="N1142" s="31">
        <v>1</v>
      </c>
      <c r="O1142" s="31">
        <v>0</v>
      </c>
      <c r="P1142" s="31">
        <v>0</v>
      </c>
      <c r="Q1142" s="31">
        <v>0</v>
      </c>
      <c r="R1142" s="31">
        <v>0</v>
      </c>
      <c r="S1142" s="31">
        <v>0</v>
      </c>
      <c r="T1142" s="21" cm="1">
        <f t="array" aca="1" ref="T1142" ca="1">+fair_value_gap(OFFSET(S1141,0,0,-1*$I$5,-1*$Z$1),OFFSET(E1141,0,0,-1*$I$5,1),F1142:S1142,0)</f>
        <v>10.784861725507804</v>
      </c>
      <c r="U1142" s="7" cm="1">
        <f t="array" aca="1" ref="U1142" ca="1">z_score_diff(OFFSET(T1142,0,0,$I$5*-1,1),OFFSET(E1142,0,0,$I$5*-1,1))</f>
        <v>-0.21863296193827386</v>
      </c>
      <c r="V1142" s="7">
        <f t="shared" ca="1" si="1197"/>
        <v>-0.11139672851008919</v>
      </c>
      <c r="W1142" s="14">
        <f t="shared" ca="1" si="1192"/>
        <v>-5.1468700963850617E-2</v>
      </c>
      <c r="X1142" s="10">
        <f t="shared" ref="X1142:Y1142" ca="1" si="1245">+X1141</f>
        <v>0</v>
      </c>
      <c r="Y1142" s="10">
        <f t="shared" ca="1" si="1245"/>
        <v>0</v>
      </c>
      <c r="Z1142">
        <f t="shared" ca="1" si="1199"/>
        <v>1</v>
      </c>
      <c r="AA1142">
        <f t="shared" ca="1" si="1200"/>
        <v>0</v>
      </c>
      <c r="AB1142" s="19">
        <f t="shared" ca="1" si="1201"/>
        <v>-5.1468700963850617E-2</v>
      </c>
      <c r="AC1142" s="19">
        <f t="shared" ca="1" si="1202"/>
        <v>0</v>
      </c>
    </row>
    <row r="1143" spans="3:29" x14ac:dyDescent="0.25">
      <c r="C1143" s="4">
        <v>1136</v>
      </c>
      <c r="D1143" s="28">
        <v>43623</v>
      </c>
      <c r="E1143" s="30">
        <v>11.52</v>
      </c>
      <c r="F1143" s="30">
        <v>55.855617332980316</v>
      </c>
      <c r="G1143" s="30">
        <v>3.9493425116935836</v>
      </c>
      <c r="H1143" s="30">
        <v>56.923484246756686</v>
      </c>
      <c r="I1143" s="8">
        <v>0</v>
      </c>
      <c r="J1143" s="31">
        <v>0</v>
      </c>
      <c r="K1143" s="31">
        <v>0</v>
      </c>
      <c r="L1143" s="31">
        <v>0</v>
      </c>
      <c r="M1143" s="31">
        <v>0</v>
      </c>
      <c r="N1143" s="31">
        <v>1</v>
      </c>
      <c r="O1143" s="31">
        <v>0</v>
      </c>
      <c r="P1143" s="31">
        <v>0</v>
      </c>
      <c r="Q1143" s="31">
        <v>0</v>
      </c>
      <c r="R1143" s="31">
        <v>0</v>
      </c>
      <c r="S1143" s="31">
        <v>0</v>
      </c>
      <c r="T1143" s="21" cm="1">
        <f t="array" aca="1" ref="T1143" ca="1">+fair_value_gap(OFFSET(S1142,0,0,-1*$I$5,-1*$Z$1),OFFSET(E1142,0,0,-1*$I$5,1),F1143:S1143,0)</f>
        <v>10.899197322819909</v>
      </c>
      <c r="U1143" s="7" cm="1">
        <f t="array" aca="1" ref="U1143" ca="1">z_score_diff(OFFSET(T1143,0,0,$I$5*-1,1),OFFSET(E1143,0,0,$I$5*-1,1))</f>
        <v>-0.26991403756384402</v>
      </c>
      <c r="V1143" s="7">
        <f t="shared" ca="1" si="1197"/>
        <v>-0.12529179782444849</v>
      </c>
      <c r="W1143" s="14">
        <f t="shared" ca="1" si="1192"/>
        <v>-2.6743324975510921E-2</v>
      </c>
      <c r="X1143" s="10">
        <f t="shared" ref="X1143:Y1143" ca="1" si="1246">+X1142</f>
        <v>0</v>
      </c>
      <c r="Y1143" s="10">
        <f t="shared" ca="1" si="1246"/>
        <v>0</v>
      </c>
      <c r="Z1143">
        <f t="shared" ca="1" si="1199"/>
        <v>1</v>
      </c>
      <c r="AA1143">
        <f t="shared" ca="1" si="1200"/>
        <v>0</v>
      </c>
      <c r="AB1143" s="19">
        <f t="shared" ca="1" si="1201"/>
        <v>-2.6743324975510921E-2</v>
      </c>
      <c r="AC1143" s="19">
        <f t="shared" ca="1" si="1202"/>
        <v>0</v>
      </c>
    </row>
    <row r="1144" spans="3:29" x14ac:dyDescent="0.25">
      <c r="C1144" s="4">
        <v>1137</v>
      </c>
      <c r="D1144" s="28">
        <v>43626</v>
      </c>
      <c r="E1144" s="30">
        <v>11.804</v>
      </c>
      <c r="F1144" s="30">
        <v>55.065417256011315</v>
      </c>
      <c r="G1144" s="30">
        <v>3.9559759547383306</v>
      </c>
      <c r="H1144" s="30">
        <v>57.461103253182465</v>
      </c>
      <c r="I1144" s="8">
        <v>0</v>
      </c>
      <c r="J1144" s="31">
        <v>0</v>
      </c>
      <c r="K1144" s="31">
        <v>0</v>
      </c>
      <c r="L1144" s="31">
        <v>0</v>
      </c>
      <c r="M1144" s="31">
        <v>0</v>
      </c>
      <c r="N1144" s="31">
        <v>1</v>
      </c>
      <c r="O1144" s="31">
        <v>0</v>
      </c>
      <c r="P1144" s="31">
        <v>0</v>
      </c>
      <c r="Q1144" s="31">
        <v>0</v>
      </c>
      <c r="R1144" s="31">
        <v>0</v>
      </c>
      <c r="S1144" s="31">
        <v>0</v>
      </c>
      <c r="T1144" s="21" cm="1">
        <f t="array" aca="1" ref="T1144" ca="1">+fair_value_gap(OFFSET(S1143,0,0,-1*$I$5,-1*$Z$1),OFFSET(E1143,0,0,-1*$I$5,1),F1144:S1144,0)</f>
        <v>11.013282801370771</v>
      </c>
      <c r="U1144" s="7" cm="1">
        <f t="array" aca="1" ref="U1144" ca="1">z_score_diff(OFFSET(T1144,0,0,$I$5*-1,1),OFFSET(E1144,0,0,$I$5*-1,1))</f>
        <v>-0.29322266542153885</v>
      </c>
      <c r="V1144" s="7">
        <f t="shared" ca="1" si="1197"/>
        <v>-0.13930434643243064</v>
      </c>
      <c r="W1144" s="14">
        <f t="shared" ca="1" si="1192"/>
        <v>6.2494925129754544E-3</v>
      </c>
      <c r="X1144" s="10">
        <f t="shared" ref="X1144:Y1144" ca="1" si="1247">+X1143</f>
        <v>0</v>
      </c>
      <c r="Y1144" s="10">
        <f t="shared" ca="1" si="1247"/>
        <v>0</v>
      </c>
      <c r="Z1144">
        <f t="shared" ca="1" si="1199"/>
        <v>1</v>
      </c>
      <c r="AA1144">
        <f t="shared" ca="1" si="1200"/>
        <v>0</v>
      </c>
      <c r="AB1144" s="19">
        <f t="shared" ca="1" si="1201"/>
        <v>6.2494925129754544E-3</v>
      </c>
      <c r="AC1144" s="19">
        <f t="shared" ca="1" si="1202"/>
        <v>0</v>
      </c>
    </row>
    <row r="1145" spans="3:29" x14ac:dyDescent="0.25">
      <c r="C1145" s="4">
        <v>1138</v>
      </c>
      <c r="D1145" s="28">
        <v>43627</v>
      </c>
      <c r="E1145" s="30">
        <v>11.202</v>
      </c>
      <c r="F1145" s="30">
        <v>54.982787536410981</v>
      </c>
      <c r="G1145" s="30">
        <v>3.9676935298790714</v>
      </c>
      <c r="H1145" s="30">
        <v>57.948627416365085</v>
      </c>
      <c r="I1145" s="8">
        <v>0</v>
      </c>
      <c r="J1145" s="31">
        <v>0</v>
      </c>
      <c r="K1145" s="31">
        <v>0</v>
      </c>
      <c r="L1145" s="31">
        <v>0</v>
      </c>
      <c r="M1145" s="31">
        <v>0</v>
      </c>
      <c r="N1145" s="31">
        <v>1</v>
      </c>
      <c r="O1145" s="31">
        <v>0</v>
      </c>
      <c r="P1145" s="31">
        <v>0</v>
      </c>
      <c r="Q1145" s="31">
        <v>0</v>
      </c>
      <c r="R1145" s="31">
        <v>0</v>
      </c>
      <c r="S1145" s="31">
        <v>0</v>
      </c>
      <c r="T1145" s="21" cm="1">
        <f t="array" aca="1" ref="T1145" ca="1">+fair_value_gap(OFFSET(S1144,0,0,-1*$I$5,-1*$Z$1),OFFSET(E1144,0,0,-1*$I$5,1),F1145:S1145,0)</f>
        <v>11.199873764520511</v>
      </c>
      <c r="U1145" s="7" cm="1">
        <f t="array" aca="1" ref="U1145" ca="1">z_score_diff(OFFSET(T1145,0,0,$I$5*-1,1),OFFSET(E1145,0,0,$I$5*-1,1))</f>
        <v>-0.12171519872572456</v>
      </c>
      <c r="V1145" s="7">
        <f t="shared" ca="1" si="1197"/>
        <v>-0.14350170791531328</v>
      </c>
      <c r="W1145" s="14">
        <f t="shared" ca="1" si="1192"/>
        <v>4.8441526192422507E-2</v>
      </c>
      <c r="X1145" s="10">
        <f t="shared" ref="X1145:Y1145" ca="1" si="1248">+X1144</f>
        <v>0</v>
      </c>
      <c r="Y1145" s="10">
        <f t="shared" ca="1" si="1248"/>
        <v>0</v>
      </c>
      <c r="Z1145">
        <f t="shared" ca="1" si="1199"/>
        <v>1</v>
      </c>
      <c r="AA1145">
        <f t="shared" ca="1" si="1200"/>
        <v>0</v>
      </c>
      <c r="AB1145" s="19">
        <f t="shared" ca="1" si="1201"/>
        <v>4.8441526192422507E-2</v>
      </c>
      <c r="AC1145" s="19">
        <f t="shared" ca="1" si="1202"/>
        <v>0</v>
      </c>
    </row>
    <row r="1146" spans="3:29" x14ac:dyDescent="0.25">
      <c r="C1146" s="4">
        <v>1139</v>
      </c>
      <c r="D1146" s="28">
        <v>43628</v>
      </c>
      <c r="E1146" s="30">
        <v>11.141999999999999</v>
      </c>
      <c r="F1146" s="30">
        <v>53.131921679808627</v>
      </c>
      <c r="G1146" s="30">
        <v>3.9913174448480548</v>
      </c>
      <c r="H1146" s="30">
        <v>56.702400992292013</v>
      </c>
      <c r="I1146" s="8">
        <v>0</v>
      </c>
      <c r="J1146" s="31">
        <v>0</v>
      </c>
      <c r="K1146" s="31">
        <v>0</v>
      </c>
      <c r="L1146" s="31">
        <v>0</v>
      </c>
      <c r="M1146" s="31">
        <v>0</v>
      </c>
      <c r="N1146" s="31">
        <v>1</v>
      </c>
      <c r="O1146" s="31">
        <v>0</v>
      </c>
      <c r="P1146" s="31">
        <v>0</v>
      </c>
      <c r="Q1146" s="31">
        <v>0</v>
      </c>
      <c r="R1146" s="31">
        <v>0</v>
      </c>
      <c r="S1146" s="31">
        <v>0</v>
      </c>
      <c r="T1146" s="21" cm="1">
        <f t="array" aca="1" ref="T1146" ca="1">+fair_value_gap(OFFSET(S1145,0,0,-1*$I$5,-1*$Z$1),OFFSET(E1145,0,0,-1*$I$5,1),F1146:S1146,0)</f>
        <v>10.995355042615307</v>
      </c>
      <c r="U1146" s="7" cm="1">
        <f t="array" aca="1" ref="U1146" ca="1">z_score_diff(OFFSET(T1146,0,0,$I$5*-1,1),OFFSET(E1146,0,0,$I$5*-1,1))</f>
        <v>-0.15178130046157379</v>
      </c>
      <c r="V1146" s="7">
        <f t="shared" ca="1" si="1197"/>
        <v>-0.14578909034263648</v>
      </c>
      <c r="W1146" s="14">
        <f t="shared" ca="1" si="1192"/>
        <v>8.520726147111217E-2</v>
      </c>
      <c r="X1146" s="10">
        <f t="shared" ref="X1146:Y1146" ca="1" si="1249">+X1145</f>
        <v>0</v>
      </c>
      <c r="Y1146" s="10">
        <f t="shared" ca="1" si="1249"/>
        <v>0</v>
      </c>
      <c r="Z1146">
        <f t="shared" ca="1" si="1199"/>
        <v>1</v>
      </c>
      <c r="AA1146">
        <f t="shared" ca="1" si="1200"/>
        <v>0</v>
      </c>
      <c r="AB1146" s="19">
        <f t="shared" ca="1" si="1201"/>
        <v>8.520726147111217E-2</v>
      </c>
      <c r="AC1146" s="19">
        <f t="shared" ca="1" si="1202"/>
        <v>0</v>
      </c>
    </row>
    <row r="1147" spans="3:29" x14ac:dyDescent="0.25">
      <c r="C1147" s="4">
        <v>1140</v>
      </c>
      <c r="D1147" s="28">
        <v>43629</v>
      </c>
      <c r="E1147" s="30">
        <v>11.395</v>
      </c>
      <c r="F1147" s="30">
        <v>54.376940133037699</v>
      </c>
      <c r="G1147" s="30">
        <v>3.9955654101995566</v>
      </c>
      <c r="H1147" s="30">
        <v>56.05321507760533</v>
      </c>
      <c r="I1147" s="8">
        <v>0</v>
      </c>
      <c r="J1147" s="31">
        <v>0</v>
      </c>
      <c r="K1147" s="31">
        <v>0</v>
      </c>
      <c r="L1147" s="31">
        <v>0</v>
      </c>
      <c r="M1147" s="31">
        <v>0</v>
      </c>
      <c r="N1147" s="31">
        <v>1</v>
      </c>
      <c r="O1147" s="31">
        <v>0</v>
      </c>
      <c r="P1147" s="31">
        <v>0</v>
      </c>
      <c r="Q1147" s="31">
        <v>0</v>
      </c>
      <c r="R1147" s="31">
        <v>0</v>
      </c>
      <c r="S1147" s="31">
        <v>0</v>
      </c>
      <c r="T1147" s="21" cm="1">
        <f t="array" aca="1" ref="T1147" ca="1">+fair_value_gap(OFFSET(S1146,0,0,-1*$I$5,-1*$Z$1),OFFSET(E1146,0,0,-1*$I$5,1),F1147:S1147,0)</f>
        <v>10.993924282790921</v>
      </c>
      <c r="U1147" s="7" cm="1">
        <f t="array" aca="1" ref="U1147" ca="1">z_score_diff(OFFSET(T1147,0,0,$I$5*-1,1),OFFSET(E1147,0,0,$I$5*-1,1))</f>
        <v>-0.19748370831676998</v>
      </c>
      <c r="V1147" s="7">
        <f t="shared" ca="1" si="1197"/>
        <v>-0.15074228798624753</v>
      </c>
      <c r="W1147" s="14">
        <f t="shared" ca="1" si="1192"/>
        <v>0.14164886125432577</v>
      </c>
      <c r="X1147" s="10">
        <f t="shared" ref="X1147:Y1147" ca="1" si="1250">+X1146</f>
        <v>0</v>
      </c>
      <c r="Y1147" s="10">
        <f t="shared" ca="1" si="1250"/>
        <v>0</v>
      </c>
      <c r="Z1147">
        <f t="shared" ca="1" si="1199"/>
        <v>1</v>
      </c>
      <c r="AA1147">
        <f t="shared" ca="1" si="1200"/>
        <v>0</v>
      </c>
      <c r="AB1147" s="19">
        <f t="shared" ca="1" si="1201"/>
        <v>0.14164886125432577</v>
      </c>
      <c r="AC1147" s="19">
        <f t="shared" ca="1" si="1202"/>
        <v>0</v>
      </c>
    </row>
    <row r="1148" spans="3:29" x14ac:dyDescent="0.25">
      <c r="C1148" s="4">
        <v>1141</v>
      </c>
      <c r="D1148" s="28">
        <v>43630</v>
      </c>
      <c r="E1148" s="30">
        <v>11.319000000000001</v>
      </c>
      <c r="F1148" s="30">
        <v>55.331489247791552</v>
      </c>
      <c r="G1148" s="30">
        <v>4.019809047916481</v>
      </c>
      <c r="H1148" s="30">
        <v>55.545641117158915</v>
      </c>
      <c r="I1148" s="8">
        <v>0</v>
      </c>
      <c r="J1148" s="31">
        <v>0</v>
      </c>
      <c r="K1148" s="31">
        <v>0</v>
      </c>
      <c r="L1148" s="31">
        <v>0</v>
      </c>
      <c r="M1148" s="31">
        <v>0</v>
      </c>
      <c r="N1148" s="31">
        <v>1</v>
      </c>
      <c r="O1148" s="31">
        <v>0</v>
      </c>
      <c r="P1148" s="31">
        <v>0</v>
      </c>
      <c r="Q1148" s="31">
        <v>0</v>
      </c>
      <c r="R1148" s="31">
        <v>0</v>
      </c>
      <c r="S1148" s="31">
        <v>0</v>
      </c>
      <c r="T1148" s="21" cm="1">
        <f t="array" aca="1" ref="T1148" ca="1">+fair_value_gap(OFFSET(S1147,0,0,-1*$I$5,-1*$Z$1),OFFSET(E1147,0,0,-1*$I$5,1),F1148:S1148,0)</f>
        <v>11.030852583266952</v>
      </c>
      <c r="U1148" s="7" cm="1">
        <f t="array" aca="1" ref="U1148" ca="1">z_score_diff(OFFSET(T1148,0,0,$I$5*-1,1),OFFSET(E1148,0,0,$I$5*-1,1))</f>
        <v>-0.16879100975982264</v>
      </c>
      <c r="V1148" s="7">
        <f t="shared" ca="1" si="1197"/>
        <v>-0.15617980643800194</v>
      </c>
      <c r="W1148" s="14">
        <f t="shared" ca="1" si="1192"/>
        <v>0.1596258006466845</v>
      </c>
      <c r="X1148" s="10">
        <f t="shared" ref="X1148:Y1148" ca="1" si="1251">+X1147</f>
        <v>0</v>
      </c>
      <c r="Y1148" s="10">
        <f t="shared" ca="1" si="1251"/>
        <v>0</v>
      </c>
      <c r="Z1148">
        <f t="shared" ca="1" si="1199"/>
        <v>1</v>
      </c>
      <c r="AA1148">
        <f t="shared" ca="1" si="1200"/>
        <v>0</v>
      </c>
      <c r="AB1148" s="19">
        <f t="shared" ca="1" si="1201"/>
        <v>0.1596258006466845</v>
      </c>
      <c r="AC1148" s="19">
        <f t="shared" ca="1" si="1202"/>
        <v>0</v>
      </c>
    </row>
    <row r="1149" spans="3:29" x14ac:dyDescent="0.25">
      <c r="C1149" s="4">
        <v>1142</v>
      </c>
      <c r="D1149" s="28">
        <v>43633</v>
      </c>
      <c r="E1149" s="30">
        <v>11.571999999999999</v>
      </c>
      <c r="F1149" s="30">
        <v>54.328251760720335</v>
      </c>
      <c r="G1149" s="30">
        <v>4.0875456895783193</v>
      </c>
      <c r="H1149" s="30">
        <v>55.273245965944554</v>
      </c>
      <c r="I1149" s="8">
        <v>0</v>
      </c>
      <c r="J1149" s="31">
        <v>0</v>
      </c>
      <c r="K1149" s="31">
        <v>0</v>
      </c>
      <c r="L1149" s="31">
        <v>0</v>
      </c>
      <c r="M1149" s="31">
        <v>0</v>
      </c>
      <c r="N1149" s="31">
        <v>1</v>
      </c>
      <c r="O1149" s="31">
        <v>0</v>
      </c>
      <c r="P1149" s="31">
        <v>0</v>
      </c>
      <c r="Q1149" s="31">
        <v>0</v>
      </c>
      <c r="R1149" s="31">
        <v>0</v>
      </c>
      <c r="S1149" s="31">
        <v>0</v>
      </c>
      <c r="T1149" s="21" cm="1">
        <f t="array" aca="1" ref="T1149" ca="1">+fair_value_gap(OFFSET(S1148,0,0,-1*$I$5,-1*$Z$1),OFFSET(E1148,0,0,-1*$I$5,1),F1149:S1149,0)</f>
        <v>11.092837012890257</v>
      </c>
      <c r="U1149" s="7" cm="1">
        <f t="array" aca="1" ref="U1149" ca="1">z_score_diff(OFFSET(T1149,0,0,$I$5*-1,1),OFFSET(E1149,0,0,$I$5*-1,1))</f>
        <v>-0.1998016400623428</v>
      </c>
      <c r="V1149" s="7">
        <f t="shared" ca="1" si="1197"/>
        <v>-0.16248157816710576</v>
      </c>
      <c r="W1149" s="14">
        <f t="shared" ca="1" si="1192"/>
        <v>0.10809614131481195</v>
      </c>
      <c r="X1149" s="10">
        <f t="shared" ref="X1149:Y1149" ca="1" si="1252">+X1148</f>
        <v>0</v>
      </c>
      <c r="Y1149" s="10">
        <f t="shared" ca="1" si="1252"/>
        <v>0</v>
      </c>
      <c r="Z1149">
        <f t="shared" ca="1" si="1199"/>
        <v>1</v>
      </c>
      <c r="AA1149">
        <f t="shared" ca="1" si="1200"/>
        <v>0</v>
      </c>
      <c r="AB1149" s="19">
        <f t="shared" ca="1" si="1201"/>
        <v>0.10809614131481195</v>
      </c>
      <c r="AC1149" s="19">
        <f t="shared" ca="1" si="1202"/>
        <v>0</v>
      </c>
    </row>
    <row r="1150" spans="3:29" x14ac:dyDescent="0.25">
      <c r="C1150" s="4">
        <v>1143</v>
      </c>
      <c r="D1150" s="28">
        <v>43634</v>
      </c>
      <c r="E1150" s="30">
        <v>11.034000000000001</v>
      </c>
      <c r="F1150" s="30">
        <v>55.526762577070862</v>
      </c>
      <c r="G1150" s="30">
        <v>4.0702350102761145</v>
      </c>
      <c r="H1150" s="30">
        <v>55.044231972120457</v>
      </c>
      <c r="I1150" s="8">
        <v>0</v>
      </c>
      <c r="J1150" s="31">
        <v>0</v>
      </c>
      <c r="K1150" s="31">
        <v>0</v>
      </c>
      <c r="L1150" s="31">
        <v>0</v>
      </c>
      <c r="M1150" s="31">
        <v>0</v>
      </c>
      <c r="N1150" s="31">
        <v>1</v>
      </c>
      <c r="O1150" s="31">
        <v>0</v>
      </c>
      <c r="P1150" s="31">
        <v>0</v>
      </c>
      <c r="Q1150" s="31">
        <v>0</v>
      </c>
      <c r="R1150" s="31">
        <v>0</v>
      </c>
      <c r="S1150" s="31">
        <v>0</v>
      </c>
      <c r="T1150" s="21" cm="1">
        <f t="array" aca="1" ref="T1150" ca="1">+fair_value_gap(OFFSET(S1149,0,0,-1*$I$5,-1*$Z$1),OFFSET(E1149,0,0,-1*$I$5,1),F1150:S1150,0)</f>
        <v>11.114843027258811</v>
      </c>
      <c r="U1150" s="7" cm="1">
        <f t="array" aca="1" ref="U1150" ca="1">z_score_diff(OFFSET(T1150,0,0,$I$5*-1,1),OFFSET(E1150,0,0,$I$5*-1,1))</f>
        <v>-8.5318778235798254E-2</v>
      </c>
      <c r="V1150" s="7">
        <f t="shared" ca="1" si="1197"/>
        <v>-0.16183110960564054</v>
      </c>
      <c r="W1150" s="14">
        <f t="shared" ca="1" si="1192"/>
        <v>3.3946865131519718E-2</v>
      </c>
      <c r="X1150" s="10">
        <f t="shared" ref="X1150:Y1150" ca="1" si="1253">+X1149</f>
        <v>0</v>
      </c>
      <c r="Y1150" s="10">
        <f t="shared" ca="1" si="1253"/>
        <v>0</v>
      </c>
      <c r="Z1150">
        <f t="shared" ca="1" si="1199"/>
        <v>1</v>
      </c>
      <c r="AA1150">
        <f t="shared" ca="1" si="1200"/>
        <v>0</v>
      </c>
      <c r="AB1150" s="19">
        <f t="shared" ca="1" si="1201"/>
        <v>3.3946865131519718E-2</v>
      </c>
      <c r="AC1150" s="19">
        <f t="shared" ca="1" si="1202"/>
        <v>0</v>
      </c>
    </row>
    <row r="1151" spans="3:29" x14ac:dyDescent="0.25">
      <c r="C1151" s="4">
        <v>1144</v>
      </c>
      <c r="D1151" s="28">
        <v>43635</v>
      </c>
      <c r="E1151" s="30">
        <v>10.484</v>
      </c>
      <c r="F1151" s="30">
        <v>55.078403421240196</v>
      </c>
      <c r="G1151" s="30">
        <v>4.053813257305773</v>
      </c>
      <c r="H1151" s="30">
        <v>55.283321454027082</v>
      </c>
      <c r="I1151" s="8">
        <v>0</v>
      </c>
      <c r="J1151" s="31">
        <v>0</v>
      </c>
      <c r="K1151" s="31">
        <v>0</v>
      </c>
      <c r="L1151" s="31">
        <v>0</v>
      </c>
      <c r="M1151" s="31">
        <v>0</v>
      </c>
      <c r="N1151" s="31">
        <v>1</v>
      </c>
      <c r="O1151" s="31">
        <v>0</v>
      </c>
      <c r="P1151" s="31">
        <v>0</v>
      </c>
      <c r="Q1151" s="31">
        <v>0</v>
      </c>
      <c r="R1151" s="31">
        <v>0</v>
      </c>
      <c r="S1151" s="31">
        <v>0</v>
      </c>
      <c r="T1151" s="21" cm="1">
        <f t="array" aca="1" ref="T1151" ca="1">+fair_value_gap(OFFSET(S1150,0,0,-1*$I$5,-1*$Z$1),OFFSET(E1150,0,0,-1*$I$5,1),F1151:S1151,0)</f>
        <v>11.148280142416652</v>
      </c>
      <c r="U1151" s="7" cm="1">
        <f t="array" aca="1" ref="U1151" ca="1">z_score_diff(OFFSET(T1151,0,0,$I$5*-1,1),OFFSET(E1151,0,0,$I$5*-1,1))</f>
        <v>2.9880077272995464E-2</v>
      </c>
      <c r="V1151" s="7">
        <f t="shared" ca="1" si="1197"/>
        <v>-0.15568699332276595</v>
      </c>
      <c r="W1151" s="14">
        <f t="shared" ca="1" si="1192"/>
        <v>4.6953482771867575E-2</v>
      </c>
      <c r="X1151" s="10">
        <f t="shared" ref="X1151:Y1151" ca="1" si="1254">+X1150</f>
        <v>0</v>
      </c>
      <c r="Y1151" s="10">
        <f t="shared" ca="1" si="1254"/>
        <v>0</v>
      </c>
      <c r="Z1151">
        <f t="shared" ca="1" si="1199"/>
        <v>1</v>
      </c>
      <c r="AA1151">
        <f t="shared" ca="1" si="1200"/>
        <v>0</v>
      </c>
      <c r="AB1151" s="19">
        <f t="shared" ca="1" si="1201"/>
        <v>4.6953482771867575E-2</v>
      </c>
      <c r="AC1151" s="19">
        <f t="shared" ca="1" si="1202"/>
        <v>0</v>
      </c>
    </row>
    <row r="1152" spans="3:29" x14ac:dyDescent="0.25">
      <c r="C1152" s="4">
        <v>1145</v>
      </c>
      <c r="D1152" s="28">
        <v>43636</v>
      </c>
      <c r="E1152" s="30">
        <v>10.148</v>
      </c>
      <c r="F1152" s="30">
        <v>57.080860862633962</v>
      </c>
      <c r="G1152" s="30">
        <v>4.0873261890000885</v>
      </c>
      <c r="H1152" s="30">
        <v>55.840935258170219</v>
      </c>
      <c r="I1152" s="8">
        <v>0</v>
      </c>
      <c r="J1152" s="31">
        <v>0</v>
      </c>
      <c r="K1152" s="31">
        <v>0</v>
      </c>
      <c r="L1152" s="31">
        <v>0</v>
      </c>
      <c r="M1152" s="31">
        <v>0</v>
      </c>
      <c r="N1152" s="31">
        <v>1</v>
      </c>
      <c r="O1152" s="31">
        <v>0</v>
      </c>
      <c r="P1152" s="31">
        <v>0</v>
      </c>
      <c r="Q1152" s="31">
        <v>0</v>
      </c>
      <c r="R1152" s="31">
        <v>0</v>
      </c>
      <c r="S1152" s="31">
        <v>0</v>
      </c>
      <c r="T1152" s="21" cm="1">
        <f t="array" aca="1" ref="T1152" ca="1">+fair_value_gap(OFFSET(S1151,0,0,-1*$I$5,-1*$Z$1),OFFSET(E1151,0,0,-1*$I$5,1),F1152:S1152,0)</f>
        <v>11.295387523284084</v>
      </c>
      <c r="U1152" s="7" cm="1">
        <f t="array" aca="1" ref="U1152" ca="1">z_score_diff(OFFSET(T1152,0,0,$I$5*-1,1),OFFSET(E1152,0,0,$I$5*-1,1))</f>
        <v>0.12478247275163157</v>
      </c>
      <c r="V1152" s="7">
        <f t="shared" ca="1" si="1197"/>
        <v>-0.14471941983603287</v>
      </c>
      <c r="W1152" s="14">
        <f t="shared" ca="1" si="1192"/>
        <v>5.6325938492290603E-2</v>
      </c>
      <c r="X1152" s="10">
        <f t="shared" ref="X1152:Y1152" ca="1" si="1255">+X1151</f>
        <v>0</v>
      </c>
      <c r="Y1152" s="10">
        <f t="shared" ca="1" si="1255"/>
        <v>0</v>
      </c>
      <c r="Z1152">
        <f t="shared" ca="1" si="1199"/>
        <v>1</v>
      </c>
      <c r="AA1152">
        <f t="shared" ca="1" si="1200"/>
        <v>0</v>
      </c>
      <c r="AB1152" s="19">
        <f t="shared" ca="1" si="1201"/>
        <v>5.6325938492290603E-2</v>
      </c>
      <c r="AC1152" s="19">
        <f t="shared" ca="1" si="1202"/>
        <v>0</v>
      </c>
    </row>
    <row r="1153" spans="3:29" x14ac:dyDescent="0.25">
      <c r="C1153" s="4">
        <v>1146</v>
      </c>
      <c r="D1153" s="28">
        <v>43637</v>
      </c>
      <c r="E1153" s="30">
        <v>10.355</v>
      </c>
      <c r="F1153" s="30">
        <v>57.364068273799049</v>
      </c>
      <c r="G1153" s="30">
        <v>4.0427591061059296</v>
      </c>
      <c r="H1153" s="30">
        <v>55.692415977476678</v>
      </c>
      <c r="I1153" s="8">
        <v>0</v>
      </c>
      <c r="J1153" s="31">
        <v>0</v>
      </c>
      <c r="K1153" s="31">
        <v>0</v>
      </c>
      <c r="L1153" s="31">
        <v>0</v>
      </c>
      <c r="M1153" s="31">
        <v>0</v>
      </c>
      <c r="N1153" s="31">
        <v>1</v>
      </c>
      <c r="O1153" s="31">
        <v>0</v>
      </c>
      <c r="P1153" s="31">
        <v>0</v>
      </c>
      <c r="Q1153" s="31">
        <v>0</v>
      </c>
      <c r="R1153" s="31">
        <v>0</v>
      </c>
      <c r="S1153" s="31">
        <v>0</v>
      </c>
      <c r="T1153" s="21" cm="1">
        <f t="array" aca="1" ref="T1153" ca="1">+fair_value_gap(OFFSET(S1152,0,0,-1*$I$5,-1*$Z$1),OFFSET(E1152,0,0,-1*$I$5,1),F1153:S1153,0)</f>
        <v>11.175299804941726</v>
      </c>
      <c r="U1153" s="7" cm="1">
        <f t="array" aca="1" ref="U1153" ca="1">z_score_diff(OFFSET(T1153,0,0,$I$5*-1,1),OFFSET(E1153,0,0,$I$5*-1,1))</f>
        <v>5.7066345195137202E-2</v>
      </c>
      <c r="V1153" s="7">
        <f t="shared" ca="1" si="1197"/>
        <v>-0.13926438336810901</v>
      </c>
      <c r="W1153" s="14">
        <f t="shared" ca="1" si="1192"/>
        <v>4.3279619115852638E-2</v>
      </c>
      <c r="X1153" s="10">
        <f t="shared" ref="X1153:Y1153" ca="1" si="1256">+X1152</f>
        <v>0</v>
      </c>
      <c r="Y1153" s="10">
        <f t="shared" ca="1" si="1256"/>
        <v>0</v>
      </c>
      <c r="Z1153">
        <f t="shared" ca="1" si="1199"/>
        <v>1</v>
      </c>
      <c r="AA1153">
        <f t="shared" ca="1" si="1200"/>
        <v>0</v>
      </c>
      <c r="AB1153" s="19">
        <f t="shared" ca="1" si="1201"/>
        <v>4.3279619115852638E-2</v>
      </c>
      <c r="AC1153" s="19">
        <f t="shared" ca="1" si="1202"/>
        <v>0</v>
      </c>
    </row>
    <row r="1154" spans="3:29" x14ac:dyDescent="0.25">
      <c r="C1154" s="4">
        <v>1147</v>
      </c>
      <c r="D1154" s="28">
        <v>43640</v>
      </c>
      <c r="E1154" s="30">
        <v>10.198</v>
      </c>
      <c r="F1154" s="30">
        <v>56.914706914706919</v>
      </c>
      <c r="G1154" s="30">
        <v>4.1812916812916816</v>
      </c>
      <c r="H1154" s="30">
        <v>55.458055458055462</v>
      </c>
      <c r="I1154" s="8">
        <v>0</v>
      </c>
      <c r="J1154" s="31">
        <v>0</v>
      </c>
      <c r="K1154" s="31">
        <v>0</v>
      </c>
      <c r="L1154" s="31">
        <v>0</v>
      </c>
      <c r="M1154" s="31">
        <v>0</v>
      </c>
      <c r="N1154" s="31">
        <v>1</v>
      </c>
      <c r="O1154" s="31">
        <v>0</v>
      </c>
      <c r="P1154" s="31">
        <v>0</v>
      </c>
      <c r="Q1154" s="31">
        <v>0</v>
      </c>
      <c r="R1154" s="31">
        <v>0</v>
      </c>
      <c r="S1154" s="31">
        <v>0</v>
      </c>
      <c r="T1154" s="21" cm="1">
        <f t="array" aca="1" ref="T1154" ca="1">+fair_value_gap(OFFSET(S1153,0,0,-1*$I$5,-1*$Z$1),OFFSET(E1153,0,0,-1*$I$5,1),F1154:S1154,0)</f>
        <v>11.317082549663262</v>
      </c>
      <c r="U1154" s="7" cm="1">
        <f t="array" aca="1" ref="U1154" ca="1">z_score_diff(OFFSET(T1154,0,0,$I$5*-1,1),OFFSET(E1154,0,0,$I$5*-1,1))</f>
        <v>0.11482733558502134</v>
      </c>
      <c r="V1154" s="7">
        <f t="shared" ca="1" si="1197"/>
        <v>-0.13180362750663294</v>
      </c>
      <c r="W1154" s="14">
        <f t="shared" ca="1" si="1192"/>
        <v>-3.7331804826282169E-3</v>
      </c>
      <c r="X1154" s="10">
        <f t="shared" ref="X1154:Y1154" ca="1" si="1257">+X1153</f>
        <v>0</v>
      </c>
      <c r="Y1154" s="10">
        <f t="shared" ca="1" si="1257"/>
        <v>0</v>
      </c>
      <c r="Z1154">
        <f t="shared" ca="1" si="1199"/>
        <v>1</v>
      </c>
      <c r="AA1154">
        <f t="shared" ca="1" si="1200"/>
        <v>0</v>
      </c>
      <c r="AB1154" s="19">
        <f t="shared" ca="1" si="1201"/>
        <v>-3.7331804826282169E-3</v>
      </c>
      <c r="AC1154" s="19">
        <f t="shared" ca="1" si="1202"/>
        <v>0</v>
      </c>
    </row>
    <row r="1155" spans="3:29" x14ac:dyDescent="0.25">
      <c r="C1155" s="4">
        <v>1148</v>
      </c>
      <c r="D1155" s="28">
        <v>43641</v>
      </c>
      <c r="E1155" s="30">
        <v>9.8469999999999995</v>
      </c>
      <c r="F1155" s="30">
        <v>57.237131544214691</v>
      </c>
      <c r="G1155" s="30">
        <v>4.179498460184778</v>
      </c>
      <c r="H1155" s="30">
        <v>55.477342718873729</v>
      </c>
      <c r="I1155" s="8">
        <v>0</v>
      </c>
      <c r="J1155" s="31">
        <v>0</v>
      </c>
      <c r="K1155" s="31">
        <v>0</v>
      </c>
      <c r="L1155" s="31">
        <v>0</v>
      </c>
      <c r="M1155" s="31">
        <v>0</v>
      </c>
      <c r="N1155" s="31">
        <v>1</v>
      </c>
      <c r="O1155" s="31">
        <v>0</v>
      </c>
      <c r="P1155" s="31">
        <v>0</v>
      </c>
      <c r="Q1155" s="31">
        <v>0</v>
      </c>
      <c r="R1155" s="31">
        <v>0</v>
      </c>
      <c r="S1155" s="31">
        <v>0</v>
      </c>
      <c r="T1155" s="21" cm="1">
        <f t="array" aca="1" ref="T1155" ca="1">+fair_value_gap(OFFSET(S1154,0,0,-1*$I$5,-1*$Z$1),OFFSET(E1154,0,0,-1*$I$5,1),F1155:S1155,0)</f>
        <v>11.245433879488852</v>
      </c>
      <c r="U1155" s="7" cm="1">
        <f t="array" aca="1" ref="U1155" ca="1">z_score_diff(OFFSET(T1155,0,0,$I$5*-1,1),OFFSET(E1155,0,0,$I$5*-1,1))</f>
        <v>0.16204074705783267</v>
      </c>
      <c r="V1155" s="7">
        <f t="shared" ca="1" si="1197"/>
        <v>-0.11740183492600656</v>
      </c>
      <c r="W1155" s="14">
        <f t="shared" ca="1" si="1192"/>
        <v>8.7645886725261496E-2</v>
      </c>
      <c r="X1155" s="10">
        <f t="shared" ref="X1155:Y1155" ca="1" si="1258">+X1154</f>
        <v>0</v>
      </c>
      <c r="Y1155" s="10">
        <f t="shared" ca="1" si="1258"/>
        <v>0</v>
      </c>
      <c r="Z1155">
        <f t="shared" ca="1" si="1199"/>
        <v>1</v>
      </c>
      <c r="AA1155">
        <f t="shared" ca="1" si="1200"/>
        <v>0</v>
      </c>
      <c r="AB1155" s="19">
        <f t="shared" ca="1" si="1201"/>
        <v>8.7645886725261496E-2</v>
      </c>
      <c r="AC1155" s="19">
        <f t="shared" ca="1" si="1202"/>
        <v>0</v>
      </c>
    </row>
    <row r="1156" spans="3:29" x14ac:dyDescent="0.25">
      <c r="C1156" s="4">
        <v>1149</v>
      </c>
      <c r="D1156" s="28">
        <v>43642</v>
      </c>
      <c r="E1156" s="30">
        <v>9.6199999999999992</v>
      </c>
      <c r="F1156" s="30">
        <v>58.488740323715689</v>
      </c>
      <c r="G1156" s="30">
        <v>4.2223786066150595</v>
      </c>
      <c r="H1156" s="30">
        <v>55.418719211822662</v>
      </c>
      <c r="I1156" s="8">
        <v>0</v>
      </c>
      <c r="J1156" s="31">
        <v>0</v>
      </c>
      <c r="K1156" s="31">
        <v>0</v>
      </c>
      <c r="L1156" s="31">
        <v>0</v>
      </c>
      <c r="M1156" s="31">
        <v>0</v>
      </c>
      <c r="N1156" s="31">
        <v>1</v>
      </c>
      <c r="O1156" s="31">
        <v>0</v>
      </c>
      <c r="P1156" s="31">
        <v>0</v>
      </c>
      <c r="Q1156" s="31">
        <v>0</v>
      </c>
      <c r="R1156" s="31">
        <v>0</v>
      </c>
      <c r="S1156" s="31">
        <v>0</v>
      </c>
      <c r="T1156" s="21" cm="1">
        <f t="array" aca="1" ref="T1156" ca="1">+fair_value_gap(OFFSET(S1155,0,0,-1*$I$5,-1*$Z$1),OFFSET(E1155,0,0,-1*$I$5,1),F1156:S1156,0)</f>
        <v>11.200078329772539</v>
      </c>
      <c r="U1156" s="7" cm="1">
        <f t="array" aca="1" ref="U1156" ca="1">z_score_diff(OFFSET(T1156,0,0,$I$5*-1,1),OFFSET(E1156,0,0,$I$5*-1,1))</f>
        <v>0.19032460224527159</v>
      </c>
      <c r="V1156" s="7">
        <f t="shared" ca="1" si="1197"/>
        <v>-0.1051126307617722</v>
      </c>
      <c r="W1156" s="14">
        <f t="shared" ca="1" si="1192"/>
        <v>4.6014312282929147E-2</v>
      </c>
      <c r="X1156" s="10">
        <f t="shared" ref="X1156:Y1156" ca="1" si="1259">+X1155</f>
        <v>0</v>
      </c>
      <c r="Y1156" s="10">
        <f t="shared" ca="1" si="1259"/>
        <v>0</v>
      </c>
      <c r="Z1156">
        <f t="shared" ca="1" si="1199"/>
        <v>1</v>
      </c>
      <c r="AA1156">
        <f t="shared" ca="1" si="1200"/>
        <v>0</v>
      </c>
      <c r="AB1156" s="19">
        <f t="shared" ca="1" si="1201"/>
        <v>4.6014312282929147E-2</v>
      </c>
      <c r="AC1156" s="19">
        <f t="shared" ca="1" si="1202"/>
        <v>0</v>
      </c>
    </row>
    <row r="1157" spans="3:29" x14ac:dyDescent="0.25">
      <c r="C1157" s="4">
        <v>1150</v>
      </c>
      <c r="D1157" s="28">
        <v>43643</v>
      </c>
      <c r="E1157" s="30">
        <v>9.3759999999999994</v>
      </c>
      <c r="F1157" s="30">
        <v>58.541520056298374</v>
      </c>
      <c r="G1157" s="30">
        <v>4.1388106966924703</v>
      </c>
      <c r="H1157" s="30">
        <v>55.374736101337085</v>
      </c>
      <c r="I1157" s="8">
        <v>0</v>
      </c>
      <c r="J1157" s="31">
        <v>0</v>
      </c>
      <c r="K1157" s="31">
        <v>0</v>
      </c>
      <c r="L1157" s="31">
        <v>0</v>
      </c>
      <c r="M1157" s="31">
        <v>0</v>
      </c>
      <c r="N1157" s="31">
        <v>1</v>
      </c>
      <c r="O1157" s="31">
        <v>0</v>
      </c>
      <c r="P1157" s="31">
        <v>0</v>
      </c>
      <c r="Q1157" s="31">
        <v>0</v>
      </c>
      <c r="R1157" s="31">
        <v>0</v>
      </c>
      <c r="S1157" s="31">
        <v>0</v>
      </c>
      <c r="T1157" s="21" cm="1">
        <f t="array" aca="1" ref="T1157" ca="1">+fair_value_gap(OFFSET(S1156,0,0,-1*$I$5,-1*$Z$1),OFFSET(E1156,0,0,-1*$I$5,1),F1157:S1157,0)</f>
        <v>10.98570104532439</v>
      </c>
      <c r="U1157" s="7" cm="1">
        <f t="array" aca="1" ref="U1157" ca="1">z_score_diff(OFFSET(T1157,0,0,$I$5*-1,1),OFFSET(E1157,0,0,$I$5*-1,1))</f>
        <v>0.18551980119812472</v>
      </c>
      <c r="V1157" s="7">
        <f t="shared" ca="1" si="1197"/>
        <v>-9.9451495714485916E-2</v>
      </c>
      <c r="W1157" s="14">
        <f t="shared" ca="1" si="1192"/>
        <v>6.6729219208072385E-2</v>
      </c>
      <c r="X1157" s="10">
        <f t="shared" ref="X1157:Y1157" ca="1" si="1260">+X1156</f>
        <v>0</v>
      </c>
      <c r="Y1157" s="10">
        <f t="shared" ca="1" si="1260"/>
        <v>0</v>
      </c>
      <c r="Z1157">
        <f t="shared" ca="1" si="1199"/>
        <v>1</v>
      </c>
      <c r="AA1157">
        <f t="shared" ca="1" si="1200"/>
        <v>0</v>
      </c>
      <c r="AB1157" s="19">
        <f t="shared" ca="1" si="1201"/>
        <v>6.6729219208072385E-2</v>
      </c>
      <c r="AC1157" s="19">
        <f t="shared" ca="1" si="1202"/>
        <v>0</v>
      </c>
    </row>
    <row r="1158" spans="3:29" x14ac:dyDescent="0.25">
      <c r="C1158" s="4">
        <v>1151</v>
      </c>
      <c r="D1158" s="28">
        <v>43644</v>
      </c>
      <c r="E1158" s="30">
        <v>10.117000000000001</v>
      </c>
      <c r="F1158" s="30">
        <v>58.541520056298374</v>
      </c>
      <c r="G1158" s="30">
        <v>4.178395496129486</v>
      </c>
      <c r="H1158" s="30">
        <v>55.374736101337085</v>
      </c>
      <c r="I1158" s="8">
        <v>0</v>
      </c>
      <c r="J1158" s="31">
        <v>0</v>
      </c>
      <c r="K1158" s="31">
        <v>0</v>
      </c>
      <c r="L1158" s="31">
        <v>0</v>
      </c>
      <c r="M1158" s="31">
        <v>0</v>
      </c>
      <c r="N1158" s="31">
        <v>1</v>
      </c>
      <c r="O1158" s="31">
        <v>0</v>
      </c>
      <c r="P1158" s="31">
        <v>0</v>
      </c>
      <c r="Q1158" s="31">
        <v>0</v>
      </c>
      <c r="R1158" s="31">
        <v>0</v>
      </c>
      <c r="S1158" s="31">
        <v>0</v>
      </c>
      <c r="T1158" s="21" cm="1">
        <f t="array" aca="1" ref="T1158" ca="1">+fair_value_gap(OFFSET(S1157,0,0,-1*$I$5,-1*$Z$1),OFFSET(E1157,0,0,-1*$I$5,1),F1158:S1158,0)</f>
        <v>10.944651896332774</v>
      </c>
      <c r="U1158" s="7" cm="1">
        <f t="array" aca="1" ref="U1158" ca="1">z_score_diff(OFFSET(T1158,0,0,$I$5*-1,1),OFFSET(E1158,0,0,$I$5*-1,1))</f>
        <v>3.7714814568621469E-2</v>
      </c>
      <c r="V1158" s="7">
        <f t="shared" ca="1" si="1197"/>
        <v>-0.10327947105919658</v>
      </c>
      <c r="W1158" s="14">
        <f t="shared" ca="1" si="1192"/>
        <v>-1.523857982381935E-2</v>
      </c>
      <c r="X1158" s="10">
        <f t="shared" ref="X1158:Y1158" ca="1" si="1261">+X1157</f>
        <v>0</v>
      </c>
      <c r="Y1158" s="10">
        <f t="shared" ca="1" si="1261"/>
        <v>0</v>
      </c>
      <c r="Z1158">
        <f t="shared" ca="1" si="1199"/>
        <v>1</v>
      </c>
      <c r="AA1158">
        <f t="shared" ca="1" si="1200"/>
        <v>0</v>
      </c>
      <c r="AB1158" s="19">
        <f t="shared" ca="1" si="1201"/>
        <v>-1.523857982381935E-2</v>
      </c>
      <c r="AC1158" s="19">
        <f t="shared" ca="1" si="1202"/>
        <v>0</v>
      </c>
    </row>
    <row r="1159" spans="3:29" x14ac:dyDescent="0.25">
      <c r="C1159" s="4">
        <v>1152</v>
      </c>
      <c r="D1159" s="28">
        <v>43647</v>
      </c>
      <c r="E1159" s="30">
        <v>10.365</v>
      </c>
      <c r="F1159" s="30">
        <v>57.6517501107665</v>
      </c>
      <c r="G1159" s="30">
        <v>4.076207354895879</v>
      </c>
      <c r="H1159" s="30">
        <v>56.978289765175006</v>
      </c>
      <c r="I1159" s="8">
        <v>0</v>
      </c>
      <c r="J1159" s="31">
        <v>0</v>
      </c>
      <c r="K1159" s="31">
        <v>0</v>
      </c>
      <c r="L1159" s="31">
        <v>0</v>
      </c>
      <c r="M1159" s="31">
        <v>0</v>
      </c>
      <c r="N1159" s="31">
        <v>0</v>
      </c>
      <c r="O1159" s="31">
        <v>1</v>
      </c>
      <c r="P1159" s="31">
        <v>0</v>
      </c>
      <c r="Q1159" s="31">
        <v>0</v>
      </c>
      <c r="R1159" s="31">
        <v>0</v>
      </c>
      <c r="S1159" s="31">
        <v>0</v>
      </c>
      <c r="T1159" s="21" cm="1">
        <f t="array" aca="1" ref="T1159" ca="1">+fair_value_gap(OFFSET(S1158,0,0,-1*$I$5,-1*$Z$1),OFFSET(E1158,0,0,-1*$I$5,1),F1159:S1159,0)</f>
        <v>10.745621395086127</v>
      </c>
      <c r="U1159" s="7" cm="1">
        <f t="array" aca="1" ref="U1159" ca="1">z_score_diff(OFFSET(T1159,0,0,$I$5*-1,1),OFFSET(E1159,0,0,$I$5*-1,1))</f>
        <v>-4.8839728469899368E-2</v>
      </c>
      <c r="V1159" s="7">
        <f t="shared" ca="1" si="1197"/>
        <v>-8.5496624051680278E-2</v>
      </c>
      <c r="W1159" s="14">
        <f t="shared" ref="W1159:W1222" ca="1" si="1262">+LN(OFFSET(E1159,$W$3,0,1,1)/E1159)</f>
        <v>-5.4930540706489187E-2</v>
      </c>
      <c r="X1159" s="10">
        <f t="shared" ref="X1159:Y1159" ca="1" si="1263">+X1158</f>
        <v>0</v>
      </c>
      <c r="Y1159" s="10">
        <f t="shared" ca="1" si="1263"/>
        <v>0</v>
      </c>
      <c r="Z1159">
        <f t="shared" ca="1" si="1199"/>
        <v>1</v>
      </c>
      <c r="AA1159">
        <f t="shared" ca="1" si="1200"/>
        <v>0</v>
      </c>
      <c r="AB1159" s="19">
        <f t="shared" ca="1" si="1201"/>
        <v>-5.4930540706489187E-2</v>
      </c>
      <c r="AC1159" s="19">
        <f t="shared" ca="1" si="1202"/>
        <v>0</v>
      </c>
    </row>
    <row r="1160" spans="3:29" x14ac:dyDescent="0.25">
      <c r="C1160" s="4">
        <v>1153</v>
      </c>
      <c r="D1160" s="28">
        <v>43648</v>
      </c>
      <c r="E1160" s="30">
        <v>10.227</v>
      </c>
      <c r="F1160" s="30">
        <v>55.304440308428603</v>
      </c>
      <c r="G1160" s="30">
        <v>4.0769298945315953</v>
      </c>
      <c r="H1160" s="30">
        <v>57.653106443321803</v>
      </c>
      <c r="I1160" s="8">
        <v>0</v>
      </c>
      <c r="J1160" s="31">
        <v>0</v>
      </c>
      <c r="K1160" s="31">
        <v>0</v>
      </c>
      <c r="L1160" s="31">
        <v>0</v>
      </c>
      <c r="M1160" s="31">
        <v>0</v>
      </c>
      <c r="N1160" s="31">
        <v>0</v>
      </c>
      <c r="O1160" s="31">
        <v>1</v>
      </c>
      <c r="P1160" s="31">
        <v>0</v>
      </c>
      <c r="Q1160" s="31">
        <v>0</v>
      </c>
      <c r="R1160" s="31">
        <v>0</v>
      </c>
      <c r="S1160" s="31">
        <v>0</v>
      </c>
      <c r="T1160" s="21" cm="1">
        <f t="array" aca="1" ref="T1160" ca="1">+fair_value_gap(OFFSET(S1159,0,0,-1*$I$5,-1*$Z$1),OFFSET(E1159,0,0,-1*$I$5,1),F1160:S1160,0)</f>
        <v>10.812174650149114</v>
      </c>
      <c r="U1160" s="7" cm="1">
        <f t="array" aca="1" ref="U1160" ca="1">z_score_diff(OFFSET(T1160,0,0,$I$5*-1,1),OFFSET(E1160,0,0,$I$5*-1,1))</f>
        <v>-9.3013287368155506E-3</v>
      </c>
      <c r="V1160" s="7">
        <f t="shared" ca="1" si="1197"/>
        <v>-6.1515480211909924E-2</v>
      </c>
      <c r="W1160" s="14">
        <f t="shared" ca="1" si="1262"/>
        <v>-4.3567685451941458E-2</v>
      </c>
      <c r="X1160" s="10">
        <f t="shared" ref="X1160:Y1160" ca="1" si="1264">+X1159</f>
        <v>0</v>
      </c>
      <c r="Y1160" s="10">
        <f t="shared" ca="1" si="1264"/>
        <v>0</v>
      </c>
      <c r="Z1160">
        <f t="shared" ca="1" si="1199"/>
        <v>1</v>
      </c>
      <c r="AA1160">
        <f t="shared" ca="1" si="1200"/>
        <v>0</v>
      </c>
      <c r="AB1160" s="19">
        <f t="shared" ca="1" si="1201"/>
        <v>-4.3567685451941458E-2</v>
      </c>
      <c r="AC1160" s="19">
        <f t="shared" ca="1" si="1202"/>
        <v>0</v>
      </c>
    </row>
    <row r="1161" spans="3:29" x14ac:dyDescent="0.25">
      <c r="C1161" s="4">
        <v>1154</v>
      </c>
      <c r="D1161" s="28">
        <v>43649</v>
      </c>
      <c r="E1161" s="30">
        <v>10.294</v>
      </c>
      <c r="F1161" s="30">
        <v>56.593065531613021</v>
      </c>
      <c r="G1161" s="30">
        <v>4.0613638379001511</v>
      </c>
      <c r="H1161" s="30">
        <v>57.816795246962855</v>
      </c>
      <c r="I1161" s="8">
        <v>0</v>
      </c>
      <c r="J1161" s="31">
        <v>0</v>
      </c>
      <c r="K1161" s="31">
        <v>0</v>
      </c>
      <c r="L1161" s="31">
        <v>0</v>
      </c>
      <c r="M1161" s="31">
        <v>0</v>
      </c>
      <c r="N1161" s="31">
        <v>0</v>
      </c>
      <c r="O1161" s="31">
        <v>1</v>
      </c>
      <c r="P1161" s="31">
        <v>0</v>
      </c>
      <c r="Q1161" s="31">
        <v>0</v>
      </c>
      <c r="R1161" s="31">
        <v>0</v>
      </c>
      <c r="S1161" s="31">
        <v>0</v>
      </c>
      <c r="T1161" s="21" cm="1">
        <f t="array" aca="1" ref="T1161" ca="1">+fair_value_gap(OFFSET(S1160,0,0,-1*$I$5,-1*$Z$1),OFFSET(E1160,0,0,-1*$I$5,1),F1161:S1161,0)</f>
        <v>10.701330691169305</v>
      </c>
      <c r="U1161" s="7" cm="1">
        <f t="array" aca="1" ref="U1161" ca="1">z_score_diff(OFFSET(T1161,0,0,$I$5*-1,1),OFFSET(E1161,0,0,$I$5*-1,1))</f>
        <v>-4.350764584505562E-2</v>
      </c>
      <c r="V1161" s="7">
        <f t="shared" ca="1" si="1197"/>
        <v>-4.5307690383141162E-2</v>
      </c>
      <c r="W1161" s="14">
        <f t="shared" ca="1" si="1262"/>
        <v>6.6152236855060026E-2</v>
      </c>
      <c r="X1161" s="10">
        <f t="shared" ref="X1161:Y1161" ca="1" si="1265">+X1160</f>
        <v>0</v>
      </c>
      <c r="Y1161" s="10">
        <f t="shared" ca="1" si="1265"/>
        <v>0</v>
      </c>
      <c r="Z1161">
        <f t="shared" ca="1" si="1199"/>
        <v>1</v>
      </c>
      <c r="AA1161">
        <f t="shared" ca="1" si="1200"/>
        <v>0</v>
      </c>
      <c r="AB1161" s="19">
        <f t="shared" ca="1" si="1201"/>
        <v>6.6152236855060026E-2</v>
      </c>
      <c r="AC1161" s="19">
        <f t="shared" ca="1" si="1202"/>
        <v>0</v>
      </c>
    </row>
    <row r="1162" spans="3:29" x14ac:dyDescent="0.25">
      <c r="C1162" s="4">
        <v>1155</v>
      </c>
      <c r="D1162" s="28">
        <v>43650</v>
      </c>
      <c r="E1162" s="30">
        <v>10.545999999999999</v>
      </c>
      <c r="F1162" s="30">
        <v>56.097128677773831</v>
      </c>
      <c r="G1162" s="30">
        <v>4.0588443814250263</v>
      </c>
      <c r="H1162" s="30">
        <v>58.711449840482096</v>
      </c>
      <c r="I1162" s="8">
        <v>0</v>
      </c>
      <c r="J1162" s="31">
        <v>0</v>
      </c>
      <c r="K1162" s="31">
        <v>0</v>
      </c>
      <c r="L1162" s="31">
        <v>0</v>
      </c>
      <c r="M1162" s="31">
        <v>0</v>
      </c>
      <c r="N1162" s="31">
        <v>0</v>
      </c>
      <c r="O1162" s="31">
        <v>1</v>
      </c>
      <c r="P1162" s="31">
        <v>0</v>
      </c>
      <c r="Q1162" s="31">
        <v>0</v>
      </c>
      <c r="R1162" s="31">
        <v>0</v>
      </c>
      <c r="S1162" s="31">
        <v>0</v>
      </c>
      <c r="T1162" s="21" cm="1">
        <f t="array" aca="1" ref="T1162" ca="1">+fair_value_gap(OFFSET(S1161,0,0,-1*$I$5,-1*$Z$1),OFFSET(E1161,0,0,-1*$I$5,1),F1162:S1162,0)</f>
        <v>10.802561026596294</v>
      </c>
      <c r="U1162" s="7" cm="1">
        <f t="array" aca="1" ref="U1162" ca="1">z_score_diff(OFFSET(T1162,0,0,$I$5*-1,1),OFFSET(E1162,0,0,$I$5*-1,1))</f>
        <v>-6.6788918947734199E-2</v>
      </c>
      <c r="V1162" s="7">
        <f t="shared" ca="1" si="1197"/>
        <v>-3.7715488233614182E-2</v>
      </c>
      <c r="W1162" s="14">
        <f t="shared" ca="1" si="1262"/>
        <v>0.15879971379740809</v>
      </c>
      <c r="X1162" s="10">
        <f t="shared" ref="X1162:Y1162" ca="1" si="1266">+X1161</f>
        <v>0</v>
      </c>
      <c r="Y1162" s="10">
        <f t="shared" ca="1" si="1266"/>
        <v>0</v>
      </c>
      <c r="Z1162">
        <f t="shared" ca="1" si="1199"/>
        <v>1</v>
      </c>
      <c r="AA1162">
        <f t="shared" ca="1" si="1200"/>
        <v>0</v>
      </c>
      <c r="AB1162" s="19">
        <f t="shared" ca="1" si="1201"/>
        <v>0.15879971379740809</v>
      </c>
      <c r="AC1162" s="19">
        <f t="shared" ca="1" si="1202"/>
        <v>0</v>
      </c>
    </row>
    <row r="1163" spans="3:29" x14ac:dyDescent="0.25">
      <c r="C1163" s="4">
        <v>1156</v>
      </c>
      <c r="D1163" s="28">
        <v>43651</v>
      </c>
      <c r="E1163" s="30">
        <v>11.215999999999999</v>
      </c>
      <c r="F1163" s="30">
        <v>57.225588025659299</v>
      </c>
      <c r="G1163" s="30">
        <v>4.0181753385602272</v>
      </c>
      <c r="H1163" s="30">
        <v>59.738061297220234</v>
      </c>
      <c r="I1163" s="8">
        <v>0</v>
      </c>
      <c r="J1163" s="31">
        <v>0</v>
      </c>
      <c r="K1163" s="31">
        <v>0</v>
      </c>
      <c r="L1163" s="31">
        <v>0</v>
      </c>
      <c r="M1163" s="31">
        <v>0</v>
      </c>
      <c r="N1163" s="31">
        <v>0</v>
      </c>
      <c r="O1163" s="31">
        <v>1</v>
      </c>
      <c r="P1163" s="31">
        <v>0</v>
      </c>
      <c r="Q1163" s="31">
        <v>0</v>
      </c>
      <c r="R1163" s="31">
        <v>0</v>
      </c>
      <c r="S1163" s="31">
        <v>0</v>
      </c>
      <c r="T1163" s="21" cm="1">
        <f t="array" aca="1" ref="T1163" ca="1">+fair_value_gap(OFFSET(S1162,0,0,-1*$I$5,-1*$Z$1),OFFSET(E1162,0,0,-1*$I$5,1),F1163:S1163,0)</f>
        <v>10.870361123879546</v>
      </c>
      <c r="U1163" s="7" cm="1">
        <f t="array" aca="1" ref="U1163" ca="1">z_score_diff(OFFSET(T1163,0,0,$I$5*-1,1),OFFSET(E1163,0,0,$I$5*-1,1))</f>
        <v>-0.17036076442849124</v>
      </c>
      <c r="V1163" s="7">
        <f t="shared" ref="V1163:V1226" ca="1" si="1267">+IF(ISERROR(AVERAGE(OFFSET(U1163,0,0,$V$5*-1,1))),"",AVERAGE(OFFSET(U1163,0,0,$V$5*-1,1)))</f>
        <v>-3.2737824576846541E-2</v>
      </c>
      <c r="W1163" s="14">
        <f t="shared" ca="1" si="1262"/>
        <v>6.8648066447003733E-2</v>
      </c>
      <c r="X1163" s="10">
        <f t="shared" ref="X1163:Y1163" ca="1" si="1268">+X1162</f>
        <v>0</v>
      </c>
      <c r="Y1163" s="10">
        <f t="shared" ca="1" si="1268"/>
        <v>0</v>
      </c>
      <c r="Z1163">
        <f t="shared" ref="Z1163:Z1226" ca="1" si="1269">+IF(V1163="","",IF(V1163&lt;X1163,1,0))</f>
        <v>1</v>
      </c>
      <c r="AA1163">
        <f t="shared" ref="AA1163:AA1226" ca="1" si="1270">+IF(V1163="","",IF(V1163&gt;Y1163,1,0))</f>
        <v>0</v>
      </c>
      <c r="AB1163" s="19">
        <f t="shared" ref="AB1163:AB1226" ca="1" si="1271">+IF(ISERROR(Z1163*W1163),"",Z1163*W1163)</f>
        <v>6.8648066447003733E-2</v>
      </c>
      <c r="AC1163" s="19">
        <f t="shared" ref="AC1163:AC1226" ca="1" si="1272">+IF(ISERROR(AA1163*W1163),"",AA1163*W1163)</f>
        <v>0</v>
      </c>
    </row>
    <row r="1164" spans="3:29" x14ac:dyDescent="0.25">
      <c r="C1164" s="4">
        <v>1157</v>
      </c>
      <c r="D1164" s="28">
        <v>43654</v>
      </c>
      <c r="E1164" s="30">
        <v>11.878</v>
      </c>
      <c r="F1164" s="30">
        <v>57.169609416800427</v>
      </c>
      <c r="G1164" s="30">
        <v>4.0217585161405385</v>
      </c>
      <c r="H1164" s="30">
        <v>59.702158016764763</v>
      </c>
      <c r="I1164" s="8">
        <v>0</v>
      </c>
      <c r="J1164" s="31">
        <v>0</v>
      </c>
      <c r="K1164" s="31">
        <v>0</v>
      </c>
      <c r="L1164" s="31">
        <v>0</v>
      </c>
      <c r="M1164" s="31">
        <v>0</v>
      </c>
      <c r="N1164" s="31">
        <v>0</v>
      </c>
      <c r="O1164" s="31">
        <v>1</v>
      </c>
      <c r="P1164" s="31">
        <v>0</v>
      </c>
      <c r="Q1164" s="31">
        <v>0</v>
      </c>
      <c r="R1164" s="31">
        <v>0</v>
      </c>
      <c r="S1164" s="31">
        <v>0</v>
      </c>
      <c r="T1164" s="21" cm="1">
        <f t="array" aca="1" ref="T1164" ca="1">+fair_value_gap(OFFSET(S1163,0,0,-1*$I$5,-1*$Z$1),OFFSET(E1163,0,0,-1*$I$5,1),F1164:S1164,0)</f>
        <v>10.929584610627867</v>
      </c>
      <c r="U1164" s="7" cm="1">
        <f t="array" aca="1" ref="U1164" ca="1">z_score_diff(OFFSET(T1164,0,0,$I$5*-1,1),OFFSET(E1164,0,0,$I$5*-1,1))</f>
        <v>-0.27208506688284739</v>
      </c>
      <c r="V1164" s="7">
        <f t="shared" ca="1" si="1267"/>
        <v>-3.1680944649911967E-2</v>
      </c>
      <c r="W1164" s="14">
        <f t="shared" ca="1" si="1262"/>
        <v>-3.5389033283800671E-2</v>
      </c>
      <c r="X1164" s="10">
        <f t="shared" ref="X1164:Y1164" ca="1" si="1273">+X1163</f>
        <v>0</v>
      </c>
      <c r="Y1164" s="10">
        <f t="shared" ca="1" si="1273"/>
        <v>0</v>
      </c>
      <c r="Z1164">
        <f t="shared" ca="1" si="1269"/>
        <v>1</v>
      </c>
      <c r="AA1164">
        <f t="shared" ca="1" si="1270"/>
        <v>0</v>
      </c>
      <c r="AB1164" s="19">
        <f t="shared" ca="1" si="1271"/>
        <v>-3.5389033283800671E-2</v>
      </c>
      <c r="AC1164" s="19">
        <f t="shared" ca="1" si="1272"/>
        <v>0</v>
      </c>
    </row>
    <row r="1165" spans="3:29" x14ac:dyDescent="0.25">
      <c r="C1165" s="4">
        <v>1158</v>
      </c>
      <c r="D1165" s="28">
        <v>43655</v>
      </c>
      <c r="E1165" s="30">
        <v>11.757999999999999</v>
      </c>
      <c r="F1165" s="30">
        <v>57.255041941816877</v>
      </c>
      <c r="G1165" s="30">
        <v>4.0335534535070492</v>
      </c>
      <c r="H1165" s="30">
        <v>58.584686774942</v>
      </c>
      <c r="I1165" s="8">
        <v>0</v>
      </c>
      <c r="J1165" s="31">
        <v>0</v>
      </c>
      <c r="K1165" s="31">
        <v>0</v>
      </c>
      <c r="L1165" s="31">
        <v>0</v>
      </c>
      <c r="M1165" s="31">
        <v>0</v>
      </c>
      <c r="N1165" s="31">
        <v>0</v>
      </c>
      <c r="O1165" s="31">
        <v>1</v>
      </c>
      <c r="P1165" s="31">
        <v>0</v>
      </c>
      <c r="Q1165" s="31">
        <v>0</v>
      </c>
      <c r="R1165" s="31">
        <v>0</v>
      </c>
      <c r="S1165" s="31">
        <v>0</v>
      </c>
      <c r="T1165" s="21" cm="1">
        <f t="array" aca="1" ref="T1165" ca="1">+fair_value_gap(OFFSET(S1164,0,0,-1*$I$5,-1*$Z$1),OFFSET(E1164,0,0,-1*$I$5,1),F1165:S1165,0)</f>
        <v>10.860406861490086</v>
      </c>
      <c r="U1165" s="7" cm="1">
        <f t="array" aca="1" ref="U1165" ca="1">z_score_diff(OFFSET(T1165,0,0,$I$5*-1,1),OFFSET(E1165,0,0,$I$5*-1,1))</f>
        <v>-0.25942894242953152</v>
      </c>
      <c r="V1165" s="7">
        <f t="shared" ca="1" si="1267"/>
        <v>-3.8566631835102318E-2</v>
      </c>
      <c r="W1165" s="14">
        <f t="shared" ca="1" si="1262"/>
        <v>-7.1011771993915354E-2</v>
      </c>
      <c r="X1165" s="10">
        <f t="shared" ref="X1165:Y1165" ca="1" si="1274">+X1164</f>
        <v>0</v>
      </c>
      <c r="Y1165" s="10">
        <f t="shared" ca="1" si="1274"/>
        <v>0</v>
      </c>
      <c r="Z1165">
        <f t="shared" ca="1" si="1269"/>
        <v>1</v>
      </c>
      <c r="AA1165">
        <f t="shared" ca="1" si="1270"/>
        <v>0</v>
      </c>
      <c r="AB1165" s="19">
        <f t="shared" ca="1" si="1271"/>
        <v>-7.1011771993915354E-2</v>
      </c>
      <c r="AC1165" s="19">
        <f t="shared" ca="1" si="1272"/>
        <v>0</v>
      </c>
    </row>
    <row r="1166" spans="3:29" x14ac:dyDescent="0.25">
      <c r="C1166" s="4">
        <v>1159</v>
      </c>
      <c r="D1166" s="28">
        <v>43656</v>
      </c>
      <c r="E1166" s="30">
        <v>12.132999999999999</v>
      </c>
      <c r="F1166" s="30">
        <v>59.569739532402885</v>
      </c>
      <c r="G1166" s="30">
        <v>4.0136901057871803</v>
      </c>
      <c r="H1166" s="30">
        <v>58.582985154235935</v>
      </c>
      <c r="I1166" s="8">
        <v>0</v>
      </c>
      <c r="J1166" s="31">
        <v>0</v>
      </c>
      <c r="K1166" s="31">
        <v>0</v>
      </c>
      <c r="L1166" s="31">
        <v>0</v>
      </c>
      <c r="M1166" s="31">
        <v>0</v>
      </c>
      <c r="N1166" s="31">
        <v>0</v>
      </c>
      <c r="O1166" s="31">
        <v>1</v>
      </c>
      <c r="P1166" s="31">
        <v>0</v>
      </c>
      <c r="Q1166" s="31">
        <v>0</v>
      </c>
      <c r="R1166" s="31">
        <v>0</v>
      </c>
      <c r="S1166" s="31">
        <v>0</v>
      </c>
      <c r="T1166" s="21" cm="1">
        <f t="array" aca="1" ref="T1166" ca="1">+fair_value_gap(OFFSET(S1165,0,0,-1*$I$5,-1*$Z$1),OFFSET(E1165,0,0,-1*$I$5,1),F1166:S1166,0)</f>
        <v>10.879746764799703</v>
      </c>
      <c r="U1166" s="7" cm="1">
        <f t="array" aca="1" ref="U1166" ca="1">z_score_diff(OFFSET(T1166,0,0,$I$5*-1,1),OFFSET(E1166,0,0,$I$5*-1,1))</f>
        <v>-0.31651738392636486</v>
      </c>
      <c r="V1166" s="7">
        <f t="shared" ca="1" si="1267"/>
        <v>-4.6803436008341873E-2</v>
      </c>
      <c r="W1166" s="14">
        <f t="shared" ca="1" si="1262"/>
        <v>-6.1263579718482314E-2</v>
      </c>
      <c r="X1166" s="10">
        <f t="shared" ref="X1166:Y1166" ca="1" si="1275">+X1165</f>
        <v>0</v>
      </c>
      <c r="Y1166" s="10">
        <f t="shared" ca="1" si="1275"/>
        <v>0</v>
      </c>
      <c r="Z1166">
        <f t="shared" ca="1" si="1269"/>
        <v>1</v>
      </c>
      <c r="AA1166">
        <f t="shared" ca="1" si="1270"/>
        <v>0</v>
      </c>
      <c r="AB1166" s="19">
        <f t="shared" ca="1" si="1271"/>
        <v>-6.1263579718482314E-2</v>
      </c>
      <c r="AC1166" s="19">
        <f t="shared" ca="1" si="1272"/>
        <v>0</v>
      </c>
    </row>
    <row r="1167" spans="3:29" x14ac:dyDescent="0.25">
      <c r="C1167" s="4">
        <v>1160</v>
      </c>
      <c r="D1167" s="28">
        <v>43657</v>
      </c>
      <c r="E1167" s="30">
        <v>13.129</v>
      </c>
      <c r="F1167" s="30">
        <v>59.118378954852467</v>
      </c>
      <c r="G1167" s="30">
        <v>4.0215072875933169</v>
      </c>
      <c r="H1167" s="30">
        <v>58.922858158549587</v>
      </c>
      <c r="I1167" s="8">
        <v>0</v>
      </c>
      <c r="J1167" s="31">
        <v>0</v>
      </c>
      <c r="K1167" s="31">
        <v>0</v>
      </c>
      <c r="L1167" s="31">
        <v>0</v>
      </c>
      <c r="M1167" s="31">
        <v>0</v>
      </c>
      <c r="N1167" s="31">
        <v>0</v>
      </c>
      <c r="O1167" s="31">
        <v>1</v>
      </c>
      <c r="P1167" s="31">
        <v>0</v>
      </c>
      <c r="Q1167" s="31">
        <v>0</v>
      </c>
      <c r="R1167" s="31">
        <v>0</v>
      </c>
      <c r="S1167" s="31">
        <v>0</v>
      </c>
      <c r="T1167" s="21" cm="1">
        <f t="array" aca="1" ref="T1167" ca="1">+fair_value_gap(OFFSET(S1166,0,0,-1*$I$5,-1*$Z$1),OFFSET(E1166,0,0,-1*$I$5,1),F1167:S1167,0)</f>
        <v>11.088771880549807</v>
      </c>
      <c r="U1167" s="7" cm="1">
        <f t="array" aca="1" ref="U1167" ca="1">z_score_diff(OFFSET(T1167,0,0,$I$5*-1,1),OFFSET(E1167,0,0,$I$5*-1,1))</f>
        <v>-0.44443175051143657</v>
      </c>
      <c r="V1167" s="7">
        <f t="shared" ca="1" si="1267"/>
        <v>-5.91508381180752E-2</v>
      </c>
      <c r="W1167" s="14">
        <f t="shared" ca="1" si="1262"/>
        <v>-8.3686324413336913E-2</v>
      </c>
      <c r="X1167" s="10">
        <f t="shared" ref="X1167:Y1167" ca="1" si="1276">+X1166</f>
        <v>0</v>
      </c>
      <c r="Y1167" s="10">
        <f t="shared" ca="1" si="1276"/>
        <v>0</v>
      </c>
      <c r="Z1167">
        <f t="shared" ca="1" si="1269"/>
        <v>1</v>
      </c>
      <c r="AA1167">
        <f t="shared" ca="1" si="1270"/>
        <v>0</v>
      </c>
      <c r="AB1167" s="19">
        <f t="shared" ca="1" si="1271"/>
        <v>-8.3686324413336913E-2</v>
      </c>
      <c r="AC1167" s="19">
        <f t="shared" ca="1" si="1272"/>
        <v>0</v>
      </c>
    </row>
    <row r="1168" spans="3:29" x14ac:dyDescent="0.25">
      <c r="C1168" s="4">
        <v>1161</v>
      </c>
      <c r="D1168" s="28">
        <v>43658</v>
      </c>
      <c r="E1168" s="30">
        <v>13.278</v>
      </c>
      <c r="F1168" s="30">
        <v>59.206673174194691</v>
      </c>
      <c r="G1168" s="30">
        <v>4.0331883929363741</v>
      </c>
      <c r="H1168" s="30">
        <v>58.479013222113771</v>
      </c>
      <c r="I1168" s="8">
        <v>0</v>
      </c>
      <c r="J1168" s="31">
        <v>0</v>
      </c>
      <c r="K1168" s="31">
        <v>0</v>
      </c>
      <c r="L1168" s="31">
        <v>0</v>
      </c>
      <c r="M1168" s="31">
        <v>0</v>
      </c>
      <c r="N1168" s="31">
        <v>0</v>
      </c>
      <c r="O1168" s="31">
        <v>1</v>
      </c>
      <c r="P1168" s="31">
        <v>0</v>
      </c>
      <c r="Q1168" s="31">
        <v>0</v>
      </c>
      <c r="R1168" s="31">
        <v>0</v>
      </c>
      <c r="S1168" s="31">
        <v>0</v>
      </c>
      <c r="T1168" s="21" cm="1">
        <f t="array" aca="1" ref="T1168" ca="1">+fair_value_gap(OFFSET(S1167,0,0,-1*$I$5,-1*$Z$1),OFFSET(E1167,0,0,-1*$I$5,1),F1168:S1168,0)</f>
        <v>11.227960946602145</v>
      </c>
      <c r="U1168" s="7" cm="1">
        <f t="array" aca="1" ref="U1168" ca="1">z_score_diff(OFFSET(T1168,0,0,$I$5*-1,1),OFFSET(E1168,0,0,$I$5*-1,1))</f>
        <v>-0.43616298859665159</v>
      </c>
      <c r="V1168" s="7">
        <f t="shared" ca="1" si="1267"/>
        <v>-7.2519437059916647E-2</v>
      </c>
      <c r="W1168" s="14">
        <f t="shared" ca="1" si="1262"/>
        <v>-9.9203877846294294E-2</v>
      </c>
      <c r="X1168" s="10">
        <f t="shared" ref="X1168:Y1168" ca="1" si="1277">+X1167</f>
        <v>0</v>
      </c>
      <c r="Y1168" s="10">
        <f t="shared" ca="1" si="1277"/>
        <v>0</v>
      </c>
      <c r="Z1168">
        <f t="shared" ca="1" si="1269"/>
        <v>1</v>
      </c>
      <c r="AA1168">
        <f t="shared" ca="1" si="1270"/>
        <v>0</v>
      </c>
      <c r="AB1168" s="19">
        <f t="shared" ca="1" si="1271"/>
        <v>-9.9203877846294294E-2</v>
      </c>
      <c r="AC1168" s="19">
        <f t="shared" ca="1" si="1272"/>
        <v>0</v>
      </c>
    </row>
    <row r="1169" spans="3:29" x14ac:dyDescent="0.25">
      <c r="C1169" s="4">
        <v>1162</v>
      </c>
      <c r="D1169" s="28">
        <v>43661</v>
      </c>
      <c r="E1169" s="30">
        <v>12.893000000000001</v>
      </c>
      <c r="F1169" s="30">
        <v>59.056587012525547</v>
      </c>
      <c r="G1169" s="30">
        <v>4.0419294661099761</v>
      </c>
      <c r="H1169" s="30">
        <v>57.697432708536915</v>
      </c>
      <c r="I1169" s="8">
        <v>0</v>
      </c>
      <c r="J1169" s="31">
        <v>0</v>
      </c>
      <c r="K1169" s="31">
        <v>0</v>
      </c>
      <c r="L1169" s="31">
        <v>0</v>
      </c>
      <c r="M1169" s="31">
        <v>0</v>
      </c>
      <c r="N1169" s="31">
        <v>0</v>
      </c>
      <c r="O1169" s="31">
        <v>1</v>
      </c>
      <c r="P1169" s="31">
        <v>0</v>
      </c>
      <c r="Q1169" s="31">
        <v>0</v>
      </c>
      <c r="R1169" s="31">
        <v>0</v>
      </c>
      <c r="S1169" s="31">
        <v>0</v>
      </c>
      <c r="T1169" s="21" cm="1">
        <f t="array" aca="1" ref="T1169" ca="1">+fair_value_gap(OFFSET(S1168,0,0,-1*$I$5,-1*$Z$1),OFFSET(E1168,0,0,-1*$I$5,1),F1169:S1169,0)</f>
        <v>11.304798136067546</v>
      </c>
      <c r="U1169" s="7" cm="1">
        <f t="array" aca="1" ref="U1169" ca="1">z_score_diff(OFFSET(T1169,0,0,$I$5*-1,1),OFFSET(E1169,0,0,$I$5*-1,1))</f>
        <v>-0.34720950732339606</v>
      </c>
      <c r="V1169" s="7">
        <f t="shared" ca="1" si="1267"/>
        <v>-7.9889830422969307E-2</v>
      </c>
      <c r="W1169" s="14">
        <f t="shared" ca="1" si="1262"/>
        <v>-0.12131832420083649</v>
      </c>
      <c r="X1169" s="10">
        <f t="shared" ref="X1169:Y1169" ca="1" si="1278">+X1168</f>
        <v>0</v>
      </c>
      <c r="Y1169" s="10">
        <f t="shared" ca="1" si="1278"/>
        <v>0</v>
      </c>
      <c r="Z1169">
        <f t="shared" ca="1" si="1269"/>
        <v>1</v>
      </c>
      <c r="AA1169">
        <f t="shared" ca="1" si="1270"/>
        <v>0</v>
      </c>
      <c r="AB1169" s="19">
        <f t="shared" ca="1" si="1271"/>
        <v>-0.12131832420083649</v>
      </c>
      <c r="AC1169" s="19">
        <f t="shared" ca="1" si="1272"/>
        <v>0</v>
      </c>
    </row>
    <row r="1170" spans="3:29" x14ac:dyDescent="0.25">
      <c r="C1170" s="4">
        <v>1163</v>
      </c>
      <c r="D1170" s="28">
        <v>43662</v>
      </c>
      <c r="E1170" s="30">
        <v>11.414999999999999</v>
      </c>
      <c r="F1170" s="30">
        <v>57.409224730127569</v>
      </c>
      <c r="G1170" s="30">
        <v>4.3982514051208845</v>
      </c>
      <c r="H1170" s="30">
        <v>57.453831742349905</v>
      </c>
      <c r="I1170" s="8">
        <v>0</v>
      </c>
      <c r="J1170" s="31">
        <v>0</v>
      </c>
      <c r="K1170" s="31">
        <v>0</v>
      </c>
      <c r="L1170" s="31">
        <v>0</v>
      </c>
      <c r="M1170" s="31">
        <v>0</v>
      </c>
      <c r="N1170" s="31">
        <v>0</v>
      </c>
      <c r="O1170" s="31">
        <v>1</v>
      </c>
      <c r="P1170" s="31">
        <v>0</v>
      </c>
      <c r="Q1170" s="31">
        <v>0</v>
      </c>
      <c r="R1170" s="31">
        <v>0</v>
      </c>
      <c r="S1170" s="31">
        <v>0</v>
      </c>
      <c r="T1170" s="21" cm="1">
        <f t="array" aca="1" ref="T1170" ca="1">+fair_value_gap(OFFSET(S1169,0,0,-1*$I$5,-1*$Z$1),OFFSET(E1169,0,0,-1*$I$5,1),F1170:S1170,0)</f>
        <v>11.868033406654167</v>
      </c>
      <c r="U1170" s="7" cm="1">
        <f t="array" aca="1" ref="U1170" ca="1">z_score_diff(OFFSET(T1170,0,0,$I$5*-1,1),OFFSET(E1170,0,0,$I$5*-1,1))</f>
        <v>2.4571557955976653E-2</v>
      </c>
      <c r="V1170" s="7">
        <f t="shared" ca="1" si="1267"/>
        <v>-7.4395313613380559E-2</v>
      </c>
      <c r="W1170" s="14">
        <f t="shared" ca="1" si="1262"/>
        <v>3.8158793000899353E-2</v>
      </c>
      <c r="X1170" s="10">
        <f t="shared" ref="X1170:Y1170" ca="1" si="1279">+X1169</f>
        <v>0</v>
      </c>
      <c r="Y1170" s="10">
        <f t="shared" ca="1" si="1279"/>
        <v>0</v>
      </c>
      <c r="Z1170">
        <f t="shared" ca="1" si="1269"/>
        <v>1</v>
      </c>
      <c r="AA1170">
        <f t="shared" ca="1" si="1270"/>
        <v>0</v>
      </c>
      <c r="AB1170" s="19">
        <f t="shared" ca="1" si="1271"/>
        <v>3.8158793000899353E-2</v>
      </c>
      <c r="AC1170" s="19">
        <f t="shared" ca="1" si="1272"/>
        <v>0</v>
      </c>
    </row>
    <row r="1171" spans="3:29" x14ac:dyDescent="0.25">
      <c r="C1171" s="4">
        <v>1164</v>
      </c>
      <c r="D1171" s="28">
        <v>43663</v>
      </c>
      <c r="E1171" s="30">
        <v>10.988</v>
      </c>
      <c r="F1171" s="30">
        <v>56.722801390002665</v>
      </c>
      <c r="G1171" s="30">
        <v>4.2412902076093735</v>
      </c>
      <c r="H1171" s="30">
        <v>58.094983515993938</v>
      </c>
      <c r="I1171" s="8">
        <v>0</v>
      </c>
      <c r="J1171" s="31">
        <v>0</v>
      </c>
      <c r="K1171" s="31">
        <v>0</v>
      </c>
      <c r="L1171" s="31">
        <v>0</v>
      </c>
      <c r="M1171" s="31">
        <v>0</v>
      </c>
      <c r="N1171" s="31">
        <v>0</v>
      </c>
      <c r="O1171" s="31">
        <v>1</v>
      </c>
      <c r="P1171" s="31">
        <v>0</v>
      </c>
      <c r="Q1171" s="31">
        <v>0</v>
      </c>
      <c r="R1171" s="31">
        <v>0</v>
      </c>
      <c r="S1171" s="31">
        <v>0</v>
      </c>
      <c r="T1171" s="21" cm="1">
        <f t="array" aca="1" ref="T1171" ca="1">+fair_value_gap(OFFSET(S1170,0,0,-1*$I$5,-1*$Z$1),OFFSET(E1170,0,0,-1*$I$5,1),F1171:S1171,0)</f>
        <v>11.728436284944834</v>
      </c>
      <c r="U1171" s="7" cm="1">
        <f t="array" aca="1" ref="U1171" ca="1">z_score_diff(OFFSET(T1171,0,0,$I$5*-1,1),OFFSET(E1171,0,0,$I$5*-1,1))</f>
        <v>7.1054935900632277E-2</v>
      </c>
      <c r="V1171" s="7">
        <f t="shared" ca="1" si="1267"/>
        <v>-7.2336570681998724E-2</v>
      </c>
      <c r="W1171" s="14">
        <f t="shared" ca="1" si="1262"/>
        <v>1.7322699493925699E-2</v>
      </c>
      <c r="X1171" s="10">
        <f t="shared" ref="X1171:Y1171" ca="1" si="1280">+X1170</f>
        <v>0</v>
      </c>
      <c r="Y1171" s="10">
        <f t="shared" ca="1" si="1280"/>
        <v>0</v>
      </c>
      <c r="Z1171">
        <f t="shared" ca="1" si="1269"/>
        <v>1</v>
      </c>
      <c r="AA1171">
        <f t="shared" ca="1" si="1270"/>
        <v>0</v>
      </c>
      <c r="AB1171" s="19">
        <f t="shared" ca="1" si="1271"/>
        <v>1.7322699493925699E-2</v>
      </c>
      <c r="AC1171" s="19">
        <f t="shared" ca="1" si="1272"/>
        <v>0</v>
      </c>
    </row>
    <row r="1172" spans="3:29" x14ac:dyDescent="0.25">
      <c r="C1172" s="4">
        <v>1165</v>
      </c>
      <c r="D1172" s="28">
        <v>43664</v>
      </c>
      <c r="E1172" s="30">
        <v>10.736000000000001</v>
      </c>
      <c r="F1172" s="30">
        <v>54.926829268292686</v>
      </c>
      <c r="G1172" s="30">
        <v>4.159645232815965</v>
      </c>
      <c r="H1172" s="30">
        <v>57.782705099778276</v>
      </c>
      <c r="I1172" s="8">
        <v>0</v>
      </c>
      <c r="J1172" s="31">
        <v>0</v>
      </c>
      <c r="K1172" s="31">
        <v>0</v>
      </c>
      <c r="L1172" s="31">
        <v>0</v>
      </c>
      <c r="M1172" s="31">
        <v>0</v>
      </c>
      <c r="N1172" s="31">
        <v>0</v>
      </c>
      <c r="O1172" s="31">
        <v>1</v>
      </c>
      <c r="P1172" s="31">
        <v>0</v>
      </c>
      <c r="Q1172" s="31">
        <v>0</v>
      </c>
      <c r="R1172" s="31">
        <v>0</v>
      </c>
      <c r="S1172" s="31">
        <v>0</v>
      </c>
      <c r="T1172" s="21" cm="1">
        <f t="array" aca="1" ref="T1172" ca="1">+fair_value_gap(OFFSET(S1171,0,0,-1*$I$5,-1*$Z$1),OFFSET(E1171,0,0,-1*$I$5,1),F1172:S1172,0)</f>
        <v>11.52503023216183</v>
      </c>
      <c r="U1172" s="7" cm="1">
        <f t="array" aca="1" ref="U1172" ca="1">z_score_diff(OFFSET(T1172,0,0,$I$5*-1,1),OFFSET(E1172,0,0,$I$5*-1,1))</f>
        <v>7.4109175478039635E-2</v>
      </c>
      <c r="V1172" s="7">
        <f t="shared" ca="1" si="1267"/>
        <v>-7.4870235545678315E-2</v>
      </c>
      <c r="W1172" s="14">
        <f t="shared" ca="1" si="1262"/>
        <v>4.4362663804792854E-2</v>
      </c>
      <c r="X1172" s="10">
        <f t="shared" ref="X1172:Y1172" ca="1" si="1281">+X1171</f>
        <v>0</v>
      </c>
      <c r="Y1172" s="10">
        <f t="shared" ca="1" si="1281"/>
        <v>0</v>
      </c>
      <c r="Z1172">
        <f t="shared" ca="1" si="1269"/>
        <v>1</v>
      </c>
      <c r="AA1172">
        <f t="shared" ca="1" si="1270"/>
        <v>0</v>
      </c>
      <c r="AB1172" s="19">
        <f t="shared" ca="1" si="1271"/>
        <v>4.4362663804792854E-2</v>
      </c>
      <c r="AC1172" s="19">
        <f t="shared" ca="1" si="1272"/>
        <v>0</v>
      </c>
    </row>
    <row r="1173" spans="3:29" x14ac:dyDescent="0.25">
      <c r="C1173" s="4">
        <v>1166</v>
      </c>
      <c r="D1173" s="28">
        <v>43665</v>
      </c>
      <c r="E1173" s="30">
        <v>10.813000000000001</v>
      </c>
      <c r="F1173" s="30">
        <v>55.677361853832437</v>
      </c>
      <c r="G1173" s="30">
        <v>4.2023172905525845</v>
      </c>
      <c r="H1173" s="30">
        <v>58.377896613190728</v>
      </c>
      <c r="I1173" s="8">
        <v>0</v>
      </c>
      <c r="J1173" s="31">
        <v>0</v>
      </c>
      <c r="K1173" s="31">
        <v>0</v>
      </c>
      <c r="L1173" s="31">
        <v>0</v>
      </c>
      <c r="M1173" s="31">
        <v>0</v>
      </c>
      <c r="N1173" s="31">
        <v>0</v>
      </c>
      <c r="O1173" s="31">
        <v>1</v>
      </c>
      <c r="P1173" s="31">
        <v>0</v>
      </c>
      <c r="Q1173" s="31">
        <v>0</v>
      </c>
      <c r="R1173" s="31">
        <v>0</v>
      </c>
      <c r="S1173" s="31">
        <v>0</v>
      </c>
      <c r="T1173" s="21" cm="1">
        <f t="array" aca="1" ref="T1173" ca="1">+fair_value_gap(OFFSET(S1172,0,0,-1*$I$5,-1*$Z$1),OFFSET(E1172,0,0,-1*$I$5,1),F1173:S1173,0)</f>
        <v>11.640795259439111</v>
      </c>
      <c r="U1173" s="7" cm="1">
        <f t="array" aca="1" ref="U1173" ca="1">z_score_diff(OFFSET(T1173,0,0,$I$5*-1,1),OFFSET(E1173,0,0,$I$5*-1,1))</f>
        <v>8.2149235983519198E-2</v>
      </c>
      <c r="V1173" s="7">
        <f t="shared" ca="1" si="1267"/>
        <v>-7.3616091006259224E-2</v>
      </c>
      <c r="W1173" s="14">
        <f t="shared" ca="1" si="1262"/>
        <v>1.3046859084029749E-2</v>
      </c>
      <c r="X1173" s="10">
        <f t="shared" ref="X1173:Y1173" ca="1" si="1282">+X1172</f>
        <v>0</v>
      </c>
      <c r="Y1173" s="10">
        <f t="shared" ca="1" si="1282"/>
        <v>0</v>
      </c>
      <c r="Z1173">
        <f t="shared" ca="1" si="1269"/>
        <v>1</v>
      </c>
      <c r="AA1173">
        <f t="shared" ca="1" si="1270"/>
        <v>0</v>
      </c>
      <c r="AB1173" s="19">
        <f t="shared" ca="1" si="1271"/>
        <v>1.3046859084029749E-2</v>
      </c>
      <c r="AC1173" s="19">
        <f t="shared" ca="1" si="1272"/>
        <v>0</v>
      </c>
    </row>
    <row r="1174" spans="3:29" x14ac:dyDescent="0.25">
      <c r="C1174" s="4">
        <v>1167</v>
      </c>
      <c r="D1174" s="28">
        <v>43668</v>
      </c>
      <c r="E1174" s="30">
        <v>10.16</v>
      </c>
      <c r="F1174" s="30">
        <v>56.441827266238398</v>
      </c>
      <c r="G1174" s="30">
        <v>4.0462169878658099</v>
      </c>
      <c r="H1174" s="30">
        <v>58.529621698786578</v>
      </c>
      <c r="I1174" s="8">
        <v>0</v>
      </c>
      <c r="J1174" s="31">
        <v>0</v>
      </c>
      <c r="K1174" s="31">
        <v>0</v>
      </c>
      <c r="L1174" s="31">
        <v>0</v>
      </c>
      <c r="M1174" s="31">
        <v>0</v>
      </c>
      <c r="N1174" s="31">
        <v>0</v>
      </c>
      <c r="O1174" s="31">
        <v>1</v>
      </c>
      <c r="P1174" s="31">
        <v>0</v>
      </c>
      <c r="Q1174" s="31">
        <v>0</v>
      </c>
      <c r="R1174" s="31">
        <v>0</v>
      </c>
      <c r="S1174" s="31">
        <v>0</v>
      </c>
      <c r="T1174" s="21" cm="1">
        <f t="array" aca="1" ref="T1174" ca="1">+fair_value_gap(OFFSET(S1173,0,0,-1*$I$5,-1*$Z$1),OFFSET(E1173,0,0,-1*$I$5,1),F1174:S1174,0)</f>
        <v>11.427903425976691</v>
      </c>
      <c r="U1174" s="7" cm="1">
        <f t="array" aca="1" ref="U1174" ca="1">z_score_diff(OFFSET(T1174,0,0,$I$5*-1,1),OFFSET(E1174,0,0,$I$5*-1,1))</f>
        <v>0.1512149363064299</v>
      </c>
      <c r="V1174" s="7">
        <f t="shared" ca="1" si="1267"/>
        <v>-7.179671097018879E-2</v>
      </c>
      <c r="W1174" s="14">
        <f t="shared" ca="1" si="1262"/>
        <v>5.9790554764699376E-2</v>
      </c>
      <c r="X1174" s="10">
        <f t="shared" ref="X1174:Y1174" ca="1" si="1283">+X1173</f>
        <v>0</v>
      </c>
      <c r="Y1174" s="10">
        <f t="shared" ca="1" si="1283"/>
        <v>0</v>
      </c>
      <c r="Z1174">
        <f t="shared" ca="1" si="1269"/>
        <v>1</v>
      </c>
      <c r="AA1174">
        <f t="shared" ca="1" si="1270"/>
        <v>0</v>
      </c>
      <c r="AB1174" s="19">
        <f t="shared" ca="1" si="1271"/>
        <v>5.9790554764699376E-2</v>
      </c>
      <c r="AC1174" s="19">
        <f t="shared" ca="1" si="1272"/>
        <v>0</v>
      </c>
    </row>
    <row r="1175" spans="3:29" x14ac:dyDescent="0.25">
      <c r="C1175" s="4">
        <v>1168</v>
      </c>
      <c r="D1175" s="28">
        <v>43669</v>
      </c>
      <c r="E1175" s="30">
        <v>10.749000000000001</v>
      </c>
      <c r="F1175" s="30">
        <v>57.24150300421487</v>
      </c>
      <c r="G1175" s="30">
        <v>4.0579320240337191</v>
      </c>
      <c r="H1175" s="30">
        <v>58.828804591516452</v>
      </c>
      <c r="I1175" s="8">
        <v>0</v>
      </c>
      <c r="J1175" s="31">
        <v>0</v>
      </c>
      <c r="K1175" s="31">
        <v>0</v>
      </c>
      <c r="L1175" s="31">
        <v>0</v>
      </c>
      <c r="M1175" s="31">
        <v>0</v>
      </c>
      <c r="N1175" s="31">
        <v>0</v>
      </c>
      <c r="O1175" s="31">
        <v>1</v>
      </c>
      <c r="P1175" s="31">
        <v>0</v>
      </c>
      <c r="Q1175" s="31">
        <v>0</v>
      </c>
      <c r="R1175" s="31">
        <v>0</v>
      </c>
      <c r="S1175" s="31">
        <v>0</v>
      </c>
      <c r="T1175" s="21" cm="1">
        <f t="array" aca="1" ref="T1175" ca="1">+fair_value_gap(OFFSET(S1174,0,0,-1*$I$5,-1*$Z$1),OFFSET(E1174,0,0,-1*$I$5,1),F1175:S1175,0)</f>
        <v>11.406090246271926</v>
      </c>
      <c r="U1175" s="7" cm="1">
        <f t="array" aca="1" ref="U1175" ca="1">z_score_diff(OFFSET(T1175,0,0,$I$5*-1,1),OFFSET(E1175,0,0,$I$5*-1,1))</f>
        <v>4.4691708139324327E-2</v>
      </c>
      <c r="V1175" s="7">
        <f t="shared" ca="1" si="1267"/>
        <v>-7.7664162916114193E-2</v>
      </c>
      <c r="W1175" s="14">
        <f t="shared" ca="1" si="1262"/>
        <v>4.2617757672159834E-2</v>
      </c>
      <c r="X1175" s="10">
        <f t="shared" ref="X1175:Y1175" ca="1" si="1284">+X1174</f>
        <v>0</v>
      </c>
      <c r="Y1175" s="10">
        <f t="shared" ca="1" si="1284"/>
        <v>0</v>
      </c>
      <c r="Z1175">
        <f t="shared" ca="1" si="1269"/>
        <v>1</v>
      </c>
      <c r="AA1175">
        <f t="shared" ca="1" si="1270"/>
        <v>0</v>
      </c>
      <c r="AB1175" s="19">
        <f t="shared" ca="1" si="1271"/>
        <v>4.2617757672159834E-2</v>
      </c>
      <c r="AC1175" s="19">
        <f t="shared" ca="1" si="1272"/>
        <v>0</v>
      </c>
    </row>
    <row r="1176" spans="3:29" x14ac:dyDescent="0.25">
      <c r="C1176" s="4">
        <v>1169</v>
      </c>
      <c r="D1176" s="28">
        <v>43670</v>
      </c>
      <c r="E1176" s="30">
        <v>10.073</v>
      </c>
      <c r="F1176" s="30">
        <v>56.719633719364403</v>
      </c>
      <c r="G1176" s="30">
        <v>3.9949726187269956</v>
      </c>
      <c r="H1176" s="30">
        <v>58.892180626627166</v>
      </c>
      <c r="I1176" s="8">
        <v>0</v>
      </c>
      <c r="J1176" s="31">
        <v>0</v>
      </c>
      <c r="K1176" s="31">
        <v>0</v>
      </c>
      <c r="L1176" s="31">
        <v>0</v>
      </c>
      <c r="M1176" s="31">
        <v>0</v>
      </c>
      <c r="N1176" s="31">
        <v>0</v>
      </c>
      <c r="O1176" s="31">
        <v>1</v>
      </c>
      <c r="P1176" s="31">
        <v>0</v>
      </c>
      <c r="Q1176" s="31">
        <v>0</v>
      </c>
      <c r="R1176" s="31">
        <v>0</v>
      </c>
      <c r="S1176" s="31">
        <v>0</v>
      </c>
      <c r="T1176" s="21" cm="1">
        <f t="array" aca="1" ref="T1176" ca="1">+fair_value_gap(OFFSET(S1175,0,0,-1*$I$5,-1*$Z$1),OFFSET(E1175,0,0,-1*$I$5,1),F1176:S1176,0)</f>
        <v>11.280190669457681</v>
      </c>
      <c r="U1176" s="7" cm="1">
        <f t="array" aca="1" ref="U1176" ca="1">z_score_diff(OFFSET(T1176,0,0,$I$5*-1,1),OFFSET(E1176,0,0,$I$5*-1,1))</f>
        <v>0.1339590534314159</v>
      </c>
      <c r="V1176" s="7">
        <f t="shared" ca="1" si="1267"/>
        <v>-8.0482440356807003E-2</v>
      </c>
      <c r="W1176" s="14">
        <f t="shared" ca="1" si="1262"/>
        <v>0.12498209515397216</v>
      </c>
      <c r="X1176" s="10">
        <f t="shared" ref="X1176:Y1176" ca="1" si="1285">+X1175</f>
        <v>0</v>
      </c>
      <c r="Y1176" s="10">
        <f t="shared" ca="1" si="1285"/>
        <v>0</v>
      </c>
      <c r="Z1176">
        <f t="shared" ca="1" si="1269"/>
        <v>1</v>
      </c>
      <c r="AA1176">
        <f t="shared" ca="1" si="1270"/>
        <v>0</v>
      </c>
      <c r="AB1176" s="19">
        <f t="shared" ca="1" si="1271"/>
        <v>0.12498209515397216</v>
      </c>
      <c r="AC1176" s="19">
        <f t="shared" ca="1" si="1272"/>
        <v>0</v>
      </c>
    </row>
    <row r="1177" spans="3:29" x14ac:dyDescent="0.25">
      <c r="C1177" s="4">
        <v>1170</v>
      </c>
      <c r="D1177" s="28">
        <v>43671</v>
      </c>
      <c r="E1177" s="30">
        <v>10.023</v>
      </c>
      <c r="F1177" s="30">
        <v>56.877523553162852</v>
      </c>
      <c r="G1177" s="30">
        <v>3.9883355764917003</v>
      </c>
      <c r="H1177" s="30">
        <v>58.860475549573792</v>
      </c>
      <c r="I1177" s="8">
        <v>0</v>
      </c>
      <c r="J1177" s="31">
        <v>0</v>
      </c>
      <c r="K1177" s="31">
        <v>0</v>
      </c>
      <c r="L1177" s="31">
        <v>0</v>
      </c>
      <c r="M1177" s="31">
        <v>0</v>
      </c>
      <c r="N1177" s="31">
        <v>0</v>
      </c>
      <c r="O1177" s="31">
        <v>1</v>
      </c>
      <c r="P1177" s="31">
        <v>0</v>
      </c>
      <c r="Q1177" s="31">
        <v>0</v>
      </c>
      <c r="R1177" s="31">
        <v>0</v>
      </c>
      <c r="S1177" s="31">
        <v>0</v>
      </c>
      <c r="T1177" s="21" cm="1">
        <f t="array" aca="1" ref="T1177" ca="1">+fair_value_gap(OFFSET(S1176,0,0,-1*$I$5,-1*$Z$1),OFFSET(E1176,0,0,-1*$I$5,1),F1177:S1177,0)</f>
        <v>11.204644096369389</v>
      </c>
      <c r="U1177" s="7" cm="1">
        <f t="array" aca="1" ref="U1177" ca="1">z_score_diff(OFFSET(T1177,0,0,$I$5*-1,1),OFFSET(E1177,0,0,$I$5*-1,1))</f>
        <v>0.12569902012082212</v>
      </c>
      <c r="V1177" s="7">
        <f t="shared" ca="1" si="1267"/>
        <v>-8.3473479410672152E-2</v>
      </c>
      <c r="W1177" s="14">
        <f t="shared" ca="1" si="1262"/>
        <v>9.2194304044034239E-2</v>
      </c>
      <c r="X1177" s="10">
        <f t="shared" ref="X1177:Y1177" ca="1" si="1286">+X1176</f>
        <v>0</v>
      </c>
      <c r="Y1177" s="10">
        <f t="shared" ca="1" si="1286"/>
        <v>0</v>
      </c>
      <c r="Z1177">
        <f t="shared" ca="1" si="1269"/>
        <v>1</v>
      </c>
      <c r="AA1177">
        <f t="shared" ca="1" si="1270"/>
        <v>0</v>
      </c>
      <c r="AB1177" s="19">
        <f t="shared" ca="1" si="1271"/>
        <v>9.2194304044034239E-2</v>
      </c>
      <c r="AC1177" s="19">
        <f t="shared" ca="1" si="1272"/>
        <v>0</v>
      </c>
    </row>
    <row r="1178" spans="3:29" x14ac:dyDescent="0.25">
      <c r="C1178" s="4">
        <v>1171</v>
      </c>
      <c r="D1178" s="28">
        <v>43672</v>
      </c>
      <c r="E1178" s="30">
        <v>9.9640000000000004</v>
      </c>
      <c r="F1178" s="30">
        <v>57.042696629213481</v>
      </c>
      <c r="G1178" s="30">
        <v>3.9370786516853928</v>
      </c>
      <c r="H1178" s="30">
        <v>59.191011235955045</v>
      </c>
      <c r="I1178" s="8">
        <v>0</v>
      </c>
      <c r="J1178" s="31">
        <v>0</v>
      </c>
      <c r="K1178" s="31">
        <v>0</v>
      </c>
      <c r="L1178" s="31">
        <v>0</v>
      </c>
      <c r="M1178" s="31">
        <v>0</v>
      </c>
      <c r="N1178" s="31">
        <v>0</v>
      </c>
      <c r="O1178" s="31">
        <v>1</v>
      </c>
      <c r="P1178" s="31">
        <v>0</v>
      </c>
      <c r="Q1178" s="31">
        <v>0</v>
      </c>
      <c r="R1178" s="31">
        <v>0</v>
      </c>
      <c r="S1178" s="31">
        <v>0</v>
      </c>
      <c r="T1178" s="21" cm="1">
        <f t="array" aca="1" ref="T1178" ca="1">+fair_value_gap(OFFSET(S1177,0,0,-1*$I$5,-1*$Z$1),OFFSET(E1177,0,0,-1*$I$5,1),F1178:S1178,0)</f>
        <v>11.134674806879794</v>
      </c>
      <c r="U1178" s="7" cm="1">
        <f t="array" aca="1" ref="U1178" ca="1">z_score_diff(OFFSET(T1178,0,0,$I$5*-1,1),OFFSET(E1178,0,0,$I$5*-1,1))</f>
        <v>0.12012760852445159</v>
      </c>
      <c r="V1178" s="7">
        <f t="shared" ca="1" si="1267"/>
        <v>-7.9352839712880596E-2</v>
      </c>
      <c r="W1178" s="14">
        <f t="shared" ca="1" si="1262"/>
        <v>6.0270342711653387E-2</v>
      </c>
      <c r="X1178" s="10">
        <f t="shared" ref="X1178:Y1178" ca="1" si="1287">+X1177</f>
        <v>0</v>
      </c>
      <c r="Y1178" s="10">
        <f t="shared" ca="1" si="1287"/>
        <v>0</v>
      </c>
      <c r="Z1178">
        <f t="shared" ca="1" si="1269"/>
        <v>1</v>
      </c>
      <c r="AA1178">
        <f t="shared" ca="1" si="1270"/>
        <v>0</v>
      </c>
      <c r="AB1178" s="19">
        <f t="shared" ca="1" si="1271"/>
        <v>6.0270342711653387E-2</v>
      </c>
      <c r="AC1178" s="19">
        <f t="shared" ca="1" si="1272"/>
        <v>0</v>
      </c>
    </row>
    <row r="1179" spans="3:29" x14ac:dyDescent="0.25">
      <c r="C1179" s="4">
        <v>1172</v>
      </c>
      <c r="D1179" s="28">
        <v>43675</v>
      </c>
      <c r="E1179" s="30">
        <v>9.8109999999999999</v>
      </c>
      <c r="F1179" s="30">
        <v>57.16977745872218</v>
      </c>
      <c r="G1179" s="30">
        <v>3.8810122038765256</v>
      </c>
      <c r="H1179" s="30">
        <v>58.058147882268486</v>
      </c>
      <c r="I1179" s="8">
        <v>0</v>
      </c>
      <c r="J1179" s="31">
        <v>0</v>
      </c>
      <c r="K1179" s="31">
        <v>0</v>
      </c>
      <c r="L1179" s="31">
        <v>0</v>
      </c>
      <c r="M1179" s="31">
        <v>0</v>
      </c>
      <c r="N1179" s="31">
        <v>0</v>
      </c>
      <c r="O1179" s="31">
        <v>1</v>
      </c>
      <c r="P1179" s="31">
        <v>0</v>
      </c>
      <c r="Q1179" s="31">
        <v>0</v>
      </c>
      <c r="R1179" s="31">
        <v>0</v>
      </c>
      <c r="S1179" s="31">
        <v>0</v>
      </c>
      <c r="T1179" s="21" cm="1">
        <f t="array" aca="1" ref="T1179" ca="1">+fair_value_gap(OFFSET(S1178,0,0,-1*$I$5,-1*$Z$1),OFFSET(E1178,0,0,-1*$I$5,1),F1179:S1179,0)</f>
        <v>10.827840757353394</v>
      </c>
      <c r="U1179" s="7" cm="1">
        <f t="array" aca="1" ref="U1179" ca="1">z_score_diff(OFFSET(T1179,0,0,$I$5*-1,1),OFFSET(E1179,0,0,$I$5*-1,1))</f>
        <v>8.5869827284791755E-2</v>
      </c>
      <c r="V1179" s="7">
        <f t="shared" ca="1" si="1267"/>
        <v>-7.261736192514609E-2</v>
      </c>
      <c r="W1179" s="14">
        <f t="shared" ca="1" si="1262"/>
        <v>4.9901030152678237E-2</v>
      </c>
      <c r="X1179" s="10">
        <f t="shared" ref="X1179:Y1179" ca="1" si="1288">+X1178</f>
        <v>0</v>
      </c>
      <c r="Y1179" s="10">
        <f t="shared" ca="1" si="1288"/>
        <v>0</v>
      </c>
      <c r="Z1179">
        <f t="shared" ca="1" si="1269"/>
        <v>1</v>
      </c>
      <c r="AA1179">
        <f t="shared" ca="1" si="1270"/>
        <v>0</v>
      </c>
      <c r="AB1179" s="19">
        <f t="shared" ca="1" si="1271"/>
        <v>4.9901030152678237E-2</v>
      </c>
      <c r="AC1179" s="19">
        <f t="shared" ca="1" si="1272"/>
        <v>0</v>
      </c>
    </row>
    <row r="1180" spans="3:29" x14ac:dyDescent="0.25">
      <c r="C1180" s="4">
        <v>1173</v>
      </c>
      <c r="D1180" s="28">
        <v>43676</v>
      </c>
      <c r="E1180" s="30">
        <v>9.7910000000000004</v>
      </c>
      <c r="F1180" s="30">
        <v>58.029229803640277</v>
      </c>
      <c r="G1180" s="30">
        <v>3.8375325024657045</v>
      </c>
      <c r="H1180" s="30">
        <v>57.831973460055593</v>
      </c>
      <c r="I1180" s="8">
        <v>0</v>
      </c>
      <c r="J1180" s="31">
        <v>0</v>
      </c>
      <c r="K1180" s="31">
        <v>0</v>
      </c>
      <c r="L1180" s="31">
        <v>0</v>
      </c>
      <c r="M1180" s="31">
        <v>0</v>
      </c>
      <c r="N1180" s="31">
        <v>0</v>
      </c>
      <c r="O1180" s="31">
        <v>1</v>
      </c>
      <c r="P1180" s="31">
        <v>0</v>
      </c>
      <c r="Q1180" s="31">
        <v>0</v>
      </c>
      <c r="R1180" s="31">
        <v>0</v>
      </c>
      <c r="S1180" s="31">
        <v>0</v>
      </c>
      <c r="T1180" s="21" cm="1">
        <f t="array" aca="1" ref="T1180" ca="1">+fair_value_gap(OFFSET(S1179,0,0,-1*$I$5,-1*$Z$1),OFFSET(E1179,0,0,-1*$I$5,1),F1180:S1180,0)</f>
        <v>10.691650214395214</v>
      </c>
      <c r="U1180" s="7" cm="1">
        <f t="array" aca="1" ref="U1180" ca="1">z_score_diff(OFFSET(T1180,0,0,$I$5*-1,1),OFFSET(E1180,0,0,$I$5*-1,1))</f>
        <v>6.2212904440098526E-2</v>
      </c>
      <c r="V1180" s="7">
        <f t="shared" ca="1" si="1267"/>
        <v>-6.9041650266300353E-2</v>
      </c>
      <c r="W1180" s="14">
        <f t="shared" ca="1" si="1262"/>
        <v>2.8097110358536594E-2</v>
      </c>
      <c r="X1180" s="10">
        <f t="shared" ref="X1180:Y1180" ca="1" si="1289">+X1179</f>
        <v>0</v>
      </c>
      <c r="Y1180" s="10">
        <f t="shared" ca="1" si="1289"/>
        <v>0</v>
      </c>
      <c r="Z1180">
        <f t="shared" ca="1" si="1269"/>
        <v>1</v>
      </c>
      <c r="AA1180">
        <f t="shared" ca="1" si="1270"/>
        <v>0</v>
      </c>
      <c r="AB1180" s="19">
        <f t="shared" ca="1" si="1271"/>
        <v>2.8097110358536594E-2</v>
      </c>
      <c r="AC1180" s="19">
        <f t="shared" ca="1" si="1272"/>
        <v>0</v>
      </c>
    </row>
    <row r="1181" spans="3:29" x14ac:dyDescent="0.25">
      <c r="C1181" s="4">
        <v>1174</v>
      </c>
      <c r="D1181" s="28">
        <v>43677</v>
      </c>
      <c r="E1181" s="30">
        <v>10.997999999999999</v>
      </c>
      <c r="F1181" s="30">
        <v>58.849557522123895</v>
      </c>
      <c r="G1181" s="30">
        <v>3.8603937150081276</v>
      </c>
      <c r="H1181" s="30">
        <v>57.386671482752391</v>
      </c>
      <c r="I1181" s="8">
        <v>0</v>
      </c>
      <c r="J1181" s="31">
        <v>0</v>
      </c>
      <c r="K1181" s="31">
        <v>0</v>
      </c>
      <c r="L1181" s="31">
        <v>0</v>
      </c>
      <c r="M1181" s="31">
        <v>0</v>
      </c>
      <c r="N1181" s="31">
        <v>0</v>
      </c>
      <c r="O1181" s="31">
        <v>1</v>
      </c>
      <c r="P1181" s="31">
        <v>0</v>
      </c>
      <c r="Q1181" s="31">
        <v>0</v>
      </c>
      <c r="R1181" s="31">
        <v>0</v>
      </c>
      <c r="S1181" s="31">
        <v>0</v>
      </c>
      <c r="T1181" s="21" cm="1">
        <f t="array" aca="1" ref="T1181" ca="1">+fair_value_gap(OFFSET(S1180,0,0,-1*$I$5,-1*$Z$1),OFFSET(E1180,0,0,-1*$I$5,1),F1181:S1181,0)</f>
        <v>10.604940106226156</v>
      </c>
      <c r="U1181" s="7" cm="1">
        <f t="array" aca="1" ref="U1181" ca="1">z_score_diff(OFFSET(T1181,0,0,$I$5*-1,1),OFFSET(E1181,0,0,$I$5*-1,1))</f>
        <v>-0.15420201508417164</v>
      </c>
      <c r="V1181" s="7">
        <f t="shared" ca="1" si="1267"/>
        <v>-7.4576368728256154E-2</v>
      </c>
      <c r="W1181" s="14">
        <f t="shared" ca="1" si="1262"/>
        <v>-7.1802519788080499E-2</v>
      </c>
      <c r="X1181" s="10">
        <f t="shared" ref="X1181:Y1181" ca="1" si="1290">+X1180</f>
        <v>0</v>
      </c>
      <c r="Y1181" s="10">
        <f t="shared" ca="1" si="1290"/>
        <v>0</v>
      </c>
      <c r="Z1181">
        <f t="shared" ca="1" si="1269"/>
        <v>1</v>
      </c>
      <c r="AA1181">
        <f t="shared" ca="1" si="1270"/>
        <v>0</v>
      </c>
      <c r="AB1181" s="19">
        <f t="shared" ca="1" si="1271"/>
        <v>-7.1802519788080499E-2</v>
      </c>
      <c r="AC1181" s="19">
        <f t="shared" ca="1" si="1272"/>
        <v>0</v>
      </c>
    </row>
    <row r="1182" spans="3:29" x14ac:dyDescent="0.25">
      <c r="C1182" s="4">
        <v>1175</v>
      </c>
      <c r="D1182" s="28">
        <v>43678</v>
      </c>
      <c r="E1182" s="30">
        <v>12.361000000000001</v>
      </c>
      <c r="F1182" s="30">
        <v>54.58810791301994</v>
      </c>
      <c r="G1182" s="30">
        <v>3.8707931065595957</v>
      </c>
      <c r="H1182" s="30">
        <v>57.475412794369753</v>
      </c>
      <c r="I1182" s="8">
        <v>0</v>
      </c>
      <c r="J1182" s="31">
        <v>0</v>
      </c>
      <c r="K1182" s="31">
        <v>0</v>
      </c>
      <c r="L1182" s="31">
        <v>0</v>
      </c>
      <c r="M1182" s="31">
        <v>0</v>
      </c>
      <c r="N1182" s="31">
        <v>0</v>
      </c>
      <c r="O1182" s="31">
        <v>0</v>
      </c>
      <c r="P1182" s="31">
        <v>1</v>
      </c>
      <c r="Q1182" s="31">
        <v>0</v>
      </c>
      <c r="R1182" s="31">
        <v>0</v>
      </c>
      <c r="S1182" s="31">
        <v>0</v>
      </c>
      <c r="T1182" s="21" cm="1">
        <f t="array" aca="1" ref="T1182" ca="1">+fair_value_gap(OFFSET(S1181,0,0,-1*$I$5,-1*$Z$1),OFFSET(E1181,0,0,-1*$I$5,1),F1182:S1182,0)</f>
        <v>12.871189255300221</v>
      </c>
      <c r="U1182" s="7" cm="1">
        <f t="array" aca="1" ref="U1182" ca="1">z_score_diff(OFFSET(T1182,0,0,$I$5*-1,1),OFFSET(E1182,0,0,$I$5*-1,1))</f>
        <v>4.453131495856355E-2</v>
      </c>
      <c r="V1182" s="7">
        <f t="shared" ca="1" si="1267"/>
        <v>-6.9010357032941283E-2</v>
      </c>
      <c r="W1182" s="14">
        <f t="shared" ca="1" si="1262"/>
        <v>-0.14280840322332394</v>
      </c>
      <c r="X1182" s="10">
        <f t="shared" ref="X1182:Y1182" ca="1" si="1291">+X1181</f>
        <v>0</v>
      </c>
      <c r="Y1182" s="10">
        <f t="shared" ca="1" si="1291"/>
        <v>0</v>
      </c>
      <c r="Z1182">
        <f t="shared" ca="1" si="1269"/>
        <v>1</v>
      </c>
      <c r="AA1182">
        <f t="shared" ca="1" si="1270"/>
        <v>0</v>
      </c>
      <c r="AB1182" s="19">
        <f t="shared" ca="1" si="1271"/>
        <v>-0.14280840322332394</v>
      </c>
      <c r="AC1182" s="19">
        <f t="shared" ca="1" si="1272"/>
        <v>0</v>
      </c>
    </row>
    <row r="1183" spans="3:29" x14ac:dyDescent="0.25">
      <c r="C1183" s="4">
        <v>1176</v>
      </c>
      <c r="D1183" s="28">
        <v>43679</v>
      </c>
      <c r="E1183" s="30">
        <v>12.013</v>
      </c>
      <c r="F1183" s="30">
        <v>55.721616998289363</v>
      </c>
      <c r="G1183" s="30">
        <v>3.8489241019177096</v>
      </c>
      <c r="H1183" s="30">
        <v>56.766003421265864</v>
      </c>
      <c r="I1183" s="8">
        <v>0</v>
      </c>
      <c r="J1183" s="31">
        <v>0</v>
      </c>
      <c r="K1183" s="31">
        <v>0</v>
      </c>
      <c r="L1183" s="31">
        <v>0</v>
      </c>
      <c r="M1183" s="31">
        <v>0</v>
      </c>
      <c r="N1183" s="31">
        <v>0</v>
      </c>
      <c r="O1183" s="31">
        <v>0</v>
      </c>
      <c r="P1183" s="31">
        <v>1</v>
      </c>
      <c r="Q1183" s="31">
        <v>0</v>
      </c>
      <c r="R1183" s="31">
        <v>0</v>
      </c>
      <c r="S1183" s="31">
        <v>0</v>
      </c>
      <c r="T1183" s="21" cm="1">
        <f t="array" aca="1" ref="T1183" ca="1">+fair_value_gap(OFFSET(S1182,0,0,-1*$I$5,-1*$Z$1),OFFSET(E1182,0,0,-1*$I$5,1),F1183:S1183,0)</f>
        <v>12.658576451761707</v>
      </c>
      <c r="U1183" s="7" cm="1">
        <f t="array" aca="1" ref="U1183" ca="1">z_score_diff(OFFSET(T1183,0,0,$I$5*-1,1),OFFSET(E1183,0,0,$I$5*-1,1))</f>
        <v>6.1920276643115502E-2</v>
      </c>
      <c r="V1183" s="7">
        <f t="shared" ca="1" si="1267"/>
        <v>-5.7396304979360921E-2</v>
      </c>
      <c r="W1183" s="14">
        <f t="shared" ca="1" si="1262"/>
        <v>6.3221371716220942E-2</v>
      </c>
      <c r="X1183" s="10">
        <f t="shared" ref="X1183:Y1183" ca="1" si="1292">+X1182</f>
        <v>0</v>
      </c>
      <c r="Y1183" s="10">
        <f t="shared" ca="1" si="1292"/>
        <v>0</v>
      </c>
      <c r="Z1183">
        <f t="shared" ca="1" si="1269"/>
        <v>1</v>
      </c>
      <c r="AA1183">
        <f t="shared" ca="1" si="1270"/>
        <v>0</v>
      </c>
      <c r="AB1183" s="19">
        <f t="shared" ca="1" si="1271"/>
        <v>6.3221371716220942E-2</v>
      </c>
      <c r="AC1183" s="19">
        <f t="shared" ca="1" si="1272"/>
        <v>0</v>
      </c>
    </row>
    <row r="1184" spans="3:29" x14ac:dyDescent="0.25">
      <c r="C1184" s="4">
        <v>1177</v>
      </c>
      <c r="D1184" s="28">
        <v>43682</v>
      </c>
      <c r="E1184" s="30">
        <v>11.465</v>
      </c>
      <c r="F1184" s="30">
        <v>53.392251383681483</v>
      </c>
      <c r="G1184" s="30">
        <v>3.8430637386181035</v>
      </c>
      <c r="H1184" s="30">
        <v>55.347259417961077</v>
      </c>
      <c r="I1184" s="8">
        <v>0</v>
      </c>
      <c r="J1184" s="31">
        <v>0</v>
      </c>
      <c r="K1184" s="31">
        <v>0</v>
      </c>
      <c r="L1184" s="31">
        <v>0</v>
      </c>
      <c r="M1184" s="31">
        <v>0</v>
      </c>
      <c r="N1184" s="31">
        <v>0</v>
      </c>
      <c r="O1184" s="31">
        <v>0</v>
      </c>
      <c r="P1184" s="31">
        <v>1</v>
      </c>
      <c r="Q1184" s="31">
        <v>0</v>
      </c>
      <c r="R1184" s="31">
        <v>0</v>
      </c>
      <c r="S1184" s="31">
        <v>0</v>
      </c>
      <c r="T1184" s="21" cm="1">
        <f t="array" aca="1" ref="T1184" ca="1">+fair_value_gap(OFFSET(S1183,0,0,-1*$I$5,-1*$Z$1),OFFSET(E1183,0,0,-1*$I$5,1),F1184:S1184,0)</f>
        <v>12.359247625121684</v>
      </c>
      <c r="U1184" s="7" cm="1">
        <f t="array" aca="1" ref="U1184" ca="1">z_score_diff(OFFSET(T1184,0,0,$I$5*-1,1),OFFSET(E1184,0,0,$I$5*-1,1))</f>
        <v>9.5740582744339608E-2</v>
      </c>
      <c r="V1184" s="7">
        <f t="shared" ca="1" si="1267"/>
        <v>-3.9005022498001585E-2</v>
      </c>
      <c r="W1184" s="14">
        <f t="shared" ca="1" si="1262"/>
        <v>3.2860160655629932E-2</v>
      </c>
      <c r="X1184" s="10">
        <f t="shared" ref="X1184:Y1184" ca="1" si="1293">+X1183</f>
        <v>0</v>
      </c>
      <c r="Y1184" s="10">
        <f t="shared" ca="1" si="1293"/>
        <v>0</v>
      </c>
      <c r="Z1184">
        <f t="shared" ca="1" si="1269"/>
        <v>1</v>
      </c>
      <c r="AA1184">
        <f t="shared" ca="1" si="1270"/>
        <v>0</v>
      </c>
      <c r="AB1184" s="19">
        <f t="shared" ca="1" si="1271"/>
        <v>3.2860160655629932E-2</v>
      </c>
      <c r="AC1184" s="19">
        <f t="shared" ca="1" si="1272"/>
        <v>0</v>
      </c>
    </row>
    <row r="1185" spans="3:29" x14ac:dyDescent="0.25">
      <c r="C1185" s="4">
        <v>1178</v>
      </c>
      <c r="D1185" s="28">
        <v>43683</v>
      </c>
      <c r="E1185" s="30">
        <v>10.952</v>
      </c>
      <c r="F1185" s="30">
        <v>52.6343989998214</v>
      </c>
      <c r="G1185" s="30">
        <v>3.8444365065190214</v>
      </c>
      <c r="H1185" s="30">
        <v>53.580996606536885</v>
      </c>
      <c r="I1185" s="8">
        <v>0</v>
      </c>
      <c r="J1185" s="31">
        <v>0</v>
      </c>
      <c r="K1185" s="31">
        <v>0</v>
      </c>
      <c r="L1185" s="31">
        <v>0</v>
      </c>
      <c r="M1185" s="31">
        <v>0</v>
      </c>
      <c r="N1185" s="31">
        <v>0</v>
      </c>
      <c r="O1185" s="31">
        <v>0</v>
      </c>
      <c r="P1185" s="31">
        <v>1</v>
      </c>
      <c r="Q1185" s="31">
        <v>0</v>
      </c>
      <c r="R1185" s="31">
        <v>0</v>
      </c>
      <c r="S1185" s="31">
        <v>0</v>
      </c>
      <c r="T1185" s="21" cm="1">
        <f t="array" aca="1" ref="T1185" ca="1">+fair_value_gap(OFFSET(S1184,0,0,-1*$I$5,-1*$Z$1),OFFSET(E1184,0,0,-1*$I$5,1),F1185:S1185,0)</f>
        <v>11.914365345140546</v>
      </c>
      <c r="U1185" s="7" cm="1">
        <f t="array" aca="1" ref="U1185" ca="1">z_score_diff(OFFSET(T1185,0,0,$I$5*-1,1),OFFSET(E1185,0,0,$I$5*-1,1))</f>
        <v>9.6307531380206868E-2</v>
      </c>
      <c r="V1185" s="7">
        <f t="shared" ca="1" si="1267"/>
        <v>-2.1218198807514667E-2</v>
      </c>
      <c r="W1185" s="14">
        <f t="shared" ca="1" si="1262"/>
        <v>9.9518061698574897E-2</v>
      </c>
      <c r="X1185" s="10">
        <f t="shared" ref="X1185:Y1185" ca="1" si="1294">+X1184</f>
        <v>0</v>
      </c>
      <c r="Y1185" s="10">
        <f t="shared" ca="1" si="1294"/>
        <v>0</v>
      </c>
      <c r="Z1185">
        <f t="shared" ca="1" si="1269"/>
        <v>1</v>
      </c>
      <c r="AA1185">
        <f t="shared" ca="1" si="1270"/>
        <v>0</v>
      </c>
      <c r="AB1185" s="19">
        <f t="shared" ca="1" si="1271"/>
        <v>9.9518061698574897E-2</v>
      </c>
      <c r="AC1185" s="19">
        <f t="shared" ca="1" si="1272"/>
        <v>0</v>
      </c>
    </row>
    <row r="1186" spans="3:29" x14ac:dyDescent="0.25">
      <c r="C1186" s="4">
        <v>1179</v>
      </c>
      <c r="D1186" s="28">
        <v>43684</v>
      </c>
      <c r="E1186" s="30">
        <v>11.412000000000001</v>
      </c>
      <c r="F1186" s="30">
        <v>50.218808609448963</v>
      </c>
      <c r="G1186" s="30">
        <v>3.8537108153969819</v>
      </c>
      <c r="H1186" s="30">
        <v>53.273198178083419</v>
      </c>
      <c r="I1186" s="8">
        <v>0</v>
      </c>
      <c r="J1186" s="31">
        <v>0</v>
      </c>
      <c r="K1186" s="31">
        <v>0</v>
      </c>
      <c r="L1186" s="31">
        <v>0</v>
      </c>
      <c r="M1186" s="31">
        <v>0</v>
      </c>
      <c r="N1186" s="31">
        <v>0</v>
      </c>
      <c r="O1186" s="31">
        <v>0</v>
      </c>
      <c r="P1186" s="31">
        <v>1</v>
      </c>
      <c r="Q1186" s="31">
        <v>0</v>
      </c>
      <c r="R1186" s="31">
        <v>0</v>
      </c>
      <c r="S1186" s="31">
        <v>0</v>
      </c>
      <c r="T1186" s="21" cm="1">
        <f t="array" aca="1" ref="T1186" ca="1">+fair_value_gap(OFFSET(S1185,0,0,-1*$I$5,-1*$Z$1),OFFSET(E1185,0,0,-1*$I$5,1),F1186:S1186,0)</f>
        <v>11.778634644946241</v>
      </c>
      <c r="U1186" s="7" cm="1">
        <f t="array" aca="1" ref="U1186" ca="1">z_score_diff(OFFSET(T1186,0,0,$I$5*-1,1),OFFSET(E1186,0,0,$I$5*-1,1))</f>
        <v>-5.3014099256709635E-3</v>
      </c>
      <c r="V1186" s="7">
        <f t="shared" ca="1" si="1267"/>
        <v>-5.657400107479971E-3</v>
      </c>
      <c r="W1186" s="14">
        <f t="shared" ca="1" si="1262"/>
        <v>4.6735077107459035E-2</v>
      </c>
      <c r="X1186" s="10">
        <f t="shared" ref="X1186:Y1186" ca="1" si="1295">+X1185</f>
        <v>0</v>
      </c>
      <c r="Y1186" s="10">
        <f t="shared" ca="1" si="1295"/>
        <v>0</v>
      </c>
      <c r="Z1186">
        <f t="shared" ca="1" si="1269"/>
        <v>1</v>
      </c>
      <c r="AA1186">
        <f t="shared" ca="1" si="1270"/>
        <v>0</v>
      </c>
      <c r="AB1186" s="19">
        <f t="shared" ca="1" si="1271"/>
        <v>4.6735077107459035E-2</v>
      </c>
      <c r="AC1186" s="19">
        <f t="shared" ca="1" si="1272"/>
        <v>0</v>
      </c>
    </row>
    <row r="1187" spans="3:29" x14ac:dyDescent="0.25">
      <c r="C1187" s="4">
        <v>1180</v>
      </c>
      <c r="D1187" s="28">
        <v>43685</v>
      </c>
      <c r="E1187" s="30">
        <v>12.074999999999999</v>
      </c>
      <c r="F1187" s="30">
        <v>51.332975487564866</v>
      </c>
      <c r="G1187" s="30">
        <v>3.8602612274109864</v>
      </c>
      <c r="H1187" s="30">
        <v>53.676865271068174</v>
      </c>
      <c r="I1187" s="8">
        <v>0</v>
      </c>
      <c r="J1187" s="31">
        <v>0</v>
      </c>
      <c r="K1187" s="31">
        <v>0</v>
      </c>
      <c r="L1187" s="31">
        <v>0</v>
      </c>
      <c r="M1187" s="31">
        <v>0</v>
      </c>
      <c r="N1187" s="31">
        <v>0</v>
      </c>
      <c r="O1187" s="31">
        <v>0</v>
      </c>
      <c r="P1187" s="31">
        <v>1</v>
      </c>
      <c r="Q1187" s="31">
        <v>0</v>
      </c>
      <c r="R1187" s="31">
        <v>0</v>
      </c>
      <c r="S1187" s="31">
        <v>0</v>
      </c>
      <c r="T1187" s="21" cm="1">
        <f t="array" aca="1" ref="T1187" ca="1">+fair_value_gap(OFFSET(S1186,0,0,-1*$I$5,-1*$Z$1),OFFSET(E1186,0,0,-1*$I$5,1),F1187:S1187,0)</f>
        <v>11.799722548857803</v>
      </c>
      <c r="U1187" s="7" cm="1">
        <f t="array" aca="1" ref="U1187" ca="1">z_score_diff(OFFSET(T1187,0,0,$I$5*-1,1),OFFSET(E1187,0,0,$I$5*-1,1))</f>
        <v>-0.10981645397997197</v>
      </c>
      <c r="V1187" s="7">
        <f t="shared" ca="1" si="1267"/>
        <v>1.1073364719093259E-2</v>
      </c>
      <c r="W1187" s="14">
        <f t="shared" ca="1" si="1262"/>
        <v>1.3245226750020723E-2</v>
      </c>
      <c r="X1187" s="10">
        <f t="shared" ref="X1187:Y1187" ca="1" si="1296">+X1186</f>
        <v>0</v>
      </c>
      <c r="Y1187" s="10">
        <f t="shared" ca="1" si="1296"/>
        <v>0</v>
      </c>
      <c r="Z1187">
        <f t="shared" ca="1" si="1269"/>
        <v>0</v>
      </c>
      <c r="AA1187">
        <f t="shared" ca="1" si="1270"/>
        <v>1</v>
      </c>
      <c r="AB1187" s="19">
        <f t="shared" ca="1" si="1271"/>
        <v>0</v>
      </c>
      <c r="AC1187" s="19">
        <f t="shared" ca="1" si="1272"/>
        <v>1.3245226750020723E-2</v>
      </c>
    </row>
    <row r="1188" spans="3:29" x14ac:dyDescent="0.25">
      <c r="C1188" s="4">
        <v>1181</v>
      </c>
      <c r="D1188" s="28">
        <v>43686</v>
      </c>
      <c r="E1188" s="30">
        <v>12.023999999999999</v>
      </c>
      <c r="F1188" s="30">
        <v>52.268262189676733</v>
      </c>
      <c r="G1188" s="30">
        <v>3.8533666726201115</v>
      </c>
      <c r="H1188" s="30">
        <v>53.938203250580464</v>
      </c>
      <c r="I1188" s="8">
        <v>0</v>
      </c>
      <c r="J1188" s="31">
        <v>0</v>
      </c>
      <c r="K1188" s="31">
        <v>0</v>
      </c>
      <c r="L1188" s="31">
        <v>0</v>
      </c>
      <c r="M1188" s="31">
        <v>0</v>
      </c>
      <c r="N1188" s="31">
        <v>0</v>
      </c>
      <c r="O1188" s="31">
        <v>0</v>
      </c>
      <c r="P1188" s="31">
        <v>1</v>
      </c>
      <c r="Q1188" s="31">
        <v>0</v>
      </c>
      <c r="R1188" s="31">
        <v>0</v>
      </c>
      <c r="S1188" s="31">
        <v>0</v>
      </c>
      <c r="T1188" s="21" cm="1">
        <f t="array" aca="1" ref="T1188" ca="1">+fair_value_gap(OFFSET(S1187,0,0,-1*$I$5,-1*$Z$1),OFFSET(E1187,0,0,-1*$I$5,1),F1188:S1188,0)</f>
        <v>11.8755191274147</v>
      </c>
      <c r="U1188" s="7" cm="1">
        <f t="array" aca="1" ref="U1188" ca="1">z_score_diff(OFFSET(T1188,0,0,$I$5*-1,1),OFFSET(E1188,0,0,$I$5*-1,1))</f>
        <v>-8.6334347960825175E-2</v>
      </c>
      <c r="V1188" s="7">
        <f t="shared" ca="1" si="1267"/>
        <v>2.856479675088458E-2</v>
      </c>
      <c r="W1188" s="14">
        <f t="shared" ca="1" si="1262"/>
        <v>2.6832379005204039E-2</v>
      </c>
      <c r="X1188" s="10">
        <f t="shared" ref="X1188:Y1188" ca="1" si="1297">+X1187</f>
        <v>0</v>
      </c>
      <c r="Y1188" s="10">
        <f t="shared" ca="1" si="1297"/>
        <v>0</v>
      </c>
      <c r="Z1188">
        <f t="shared" ca="1" si="1269"/>
        <v>0</v>
      </c>
      <c r="AA1188">
        <f t="shared" ca="1" si="1270"/>
        <v>1</v>
      </c>
      <c r="AB1188" s="19">
        <f t="shared" ca="1" si="1271"/>
        <v>0</v>
      </c>
      <c r="AC1188" s="19">
        <f t="shared" ca="1" si="1272"/>
        <v>2.6832379005204039E-2</v>
      </c>
    </row>
    <row r="1189" spans="3:29" x14ac:dyDescent="0.25">
      <c r="C1189" s="4">
        <v>1182</v>
      </c>
      <c r="D1189" s="28">
        <v>43689</v>
      </c>
      <c r="E1189" s="30">
        <v>11.42</v>
      </c>
      <c r="F1189" s="30">
        <v>52.238672850517304</v>
      </c>
      <c r="G1189" s="30">
        <v>3.8485551195148062</v>
      </c>
      <c r="H1189" s="30">
        <v>53.781662504459504</v>
      </c>
      <c r="I1189" s="8">
        <v>0</v>
      </c>
      <c r="J1189" s="31">
        <v>0</v>
      </c>
      <c r="K1189" s="31">
        <v>0</v>
      </c>
      <c r="L1189" s="31">
        <v>0</v>
      </c>
      <c r="M1189" s="31">
        <v>0</v>
      </c>
      <c r="N1189" s="31">
        <v>0</v>
      </c>
      <c r="O1189" s="31">
        <v>0</v>
      </c>
      <c r="P1189" s="31">
        <v>1</v>
      </c>
      <c r="Q1189" s="31">
        <v>0</v>
      </c>
      <c r="R1189" s="31">
        <v>0</v>
      </c>
      <c r="S1189" s="31">
        <v>0</v>
      </c>
      <c r="T1189" s="21" cm="1">
        <f t="array" aca="1" ref="T1189" ca="1">+fair_value_gap(OFFSET(S1188,0,0,-1*$I$5,-1*$Z$1),OFFSET(E1188,0,0,-1*$I$5,1),F1189:S1189,0)</f>
        <v>11.880588901902605</v>
      </c>
      <c r="U1189" s="7" cm="1">
        <f t="array" aca="1" ref="U1189" ca="1">z_score_diff(OFFSET(T1189,0,0,$I$5*-1,1),OFFSET(E1189,0,0,$I$5*-1,1))</f>
        <v>1.4108457012725228E-2</v>
      </c>
      <c r="V1189" s="7">
        <f t="shared" ca="1" si="1267"/>
        <v>4.6630694967690643E-2</v>
      </c>
      <c r="W1189" s="14">
        <f t="shared" ca="1" si="1262"/>
        <v>6.9016222060792901E-2</v>
      </c>
      <c r="X1189" s="10">
        <f t="shared" ref="X1189:Y1189" ca="1" si="1298">+X1188</f>
        <v>0</v>
      </c>
      <c r="Y1189" s="10">
        <f t="shared" ca="1" si="1298"/>
        <v>0</v>
      </c>
      <c r="Z1189">
        <f t="shared" ca="1" si="1269"/>
        <v>0</v>
      </c>
      <c r="AA1189">
        <f t="shared" ca="1" si="1270"/>
        <v>1</v>
      </c>
      <c r="AB1189" s="19">
        <f t="shared" ca="1" si="1271"/>
        <v>0</v>
      </c>
      <c r="AC1189" s="19">
        <f t="shared" ca="1" si="1272"/>
        <v>6.9016222060792901E-2</v>
      </c>
    </row>
    <row r="1190" spans="3:29" x14ac:dyDescent="0.25">
      <c r="C1190" s="4">
        <v>1183</v>
      </c>
      <c r="D1190" s="28">
        <v>43690</v>
      </c>
      <c r="E1190" s="30">
        <v>11.859</v>
      </c>
      <c r="F1190" s="30">
        <v>54.884054078252305</v>
      </c>
      <c r="G1190" s="30">
        <v>3.8633718327513655</v>
      </c>
      <c r="H1190" s="30">
        <v>54.167785835795506</v>
      </c>
      <c r="I1190" s="8">
        <v>0</v>
      </c>
      <c r="J1190" s="31">
        <v>0</v>
      </c>
      <c r="K1190" s="31">
        <v>0</v>
      </c>
      <c r="L1190" s="31">
        <v>0</v>
      </c>
      <c r="M1190" s="31">
        <v>0</v>
      </c>
      <c r="N1190" s="31">
        <v>0</v>
      </c>
      <c r="O1190" s="31">
        <v>0</v>
      </c>
      <c r="P1190" s="31">
        <v>1</v>
      </c>
      <c r="Q1190" s="31">
        <v>0</v>
      </c>
      <c r="R1190" s="31">
        <v>0</v>
      </c>
      <c r="S1190" s="31">
        <v>0</v>
      </c>
      <c r="T1190" s="21" cm="1">
        <f t="array" aca="1" ref="T1190" ca="1">+fair_value_gap(OFFSET(S1189,0,0,-1*$I$5,-1*$Z$1),OFFSET(E1189,0,0,-1*$I$5,1),F1190:S1190,0)</f>
        <v>11.861211844137106</v>
      </c>
      <c r="U1190" s="7" cm="1">
        <f t="array" aca="1" ref="U1190" ca="1">z_score_diff(OFFSET(T1190,0,0,$I$5*-1,1),OFFSET(E1190,0,0,$I$5*-1,1))</f>
        <v>-6.1141662381105411E-2</v>
      </c>
      <c r="V1190" s="7">
        <f t="shared" ca="1" si="1267"/>
        <v>4.2345033950836539E-2</v>
      </c>
      <c r="W1190" s="14">
        <f t="shared" ca="1" si="1262"/>
        <v>0.19441887280397066</v>
      </c>
      <c r="X1190" s="10">
        <f t="shared" ref="X1190:Y1190" ca="1" si="1299">+X1189</f>
        <v>0</v>
      </c>
      <c r="Y1190" s="10">
        <f t="shared" ca="1" si="1299"/>
        <v>0</v>
      </c>
      <c r="Z1190">
        <f t="shared" ca="1" si="1269"/>
        <v>0</v>
      </c>
      <c r="AA1190">
        <f t="shared" ca="1" si="1270"/>
        <v>1</v>
      </c>
      <c r="AB1190" s="19">
        <f t="shared" ca="1" si="1271"/>
        <v>0</v>
      </c>
      <c r="AC1190" s="19">
        <f t="shared" ca="1" si="1272"/>
        <v>0.19441887280397066</v>
      </c>
    </row>
    <row r="1191" spans="3:29" x14ac:dyDescent="0.25">
      <c r="C1191" s="4">
        <v>1184</v>
      </c>
      <c r="D1191" s="28">
        <v>43691</v>
      </c>
      <c r="E1191" s="30">
        <v>11.18</v>
      </c>
      <c r="F1191" s="30">
        <v>53.402765307954752</v>
      </c>
      <c r="G1191" s="30">
        <v>3.8786137547135935</v>
      </c>
      <c r="H1191" s="30">
        <v>54.138983659543904</v>
      </c>
      <c r="I1191" s="8">
        <v>0</v>
      </c>
      <c r="J1191" s="31">
        <v>0</v>
      </c>
      <c r="K1191" s="31">
        <v>0</v>
      </c>
      <c r="L1191" s="31">
        <v>0</v>
      </c>
      <c r="M1191" s="31">
        <v>0</v>
      </c>
      <c r="N1191" s="31">
        <v>0</v>
      </c>
      <c r="O1191" s="31">
        <v>0</v>
      </c>
      <c r="P1191" s="31">
        <v>1</v>
      </c>
      <c r="Q1191" s="31">
        <v>0</v>
      </c>
      <c r="R1191" s="31">
        <v>0</v>
      </c>
      <c r="S1191" s="31">
        <v>0</v>
      </c>
      <c r="T1191" s="21" cm="1">
        <f t="array" aca="1" ref="T1191" ca="1">+fair_value_gap(OFFSET(S1190,0,0,-1*$I$5,-1*$Z$1),OFFSET(E1190,0,0,-1*$I$5,1),F1191:S1191,0)</f>
        <v>11.930316144408652</v>
      </c>
      <c r="U1191" s="7" cm="1">
        <f t="array" aca="1" ref="U1191" ca="1">z_score_diff(OFFSET(T1191,0,0,$I$5*-1,1),OFFSET(E1191,0,0,$I$5*-1,1))</f>
        <v>6.272394264028347E-2</v>
      </c>
      <c r="V1191" s="7">
        <f t="shared" ca="1" si="1267"/>
        <v>4.1928484287819104E-2</v>
      </c>
      <c r="W1191" s="14">
        <f t="shared" ca="1" si="1262"/>
        <v>0.24997184584607426</v>
      </c>
      <c r="X1191" s="10">
        <f t="shared" ref="X1191:Y1191" ca="1" si="1300">+X1190</f>
        <v>0</v>
      </c>
      <c r="Y1191" s="10">
        <f t="shared" ca="1" si="1300"/>
        <v>0</v>
      </c>
      <c r="Z1191">
        <f t="shared" ca="1" si="1269"/>
        <v>0</v>
      </c>
      <c r="AA1191">
        <f t="shared" ca="1" si="1270"/>
        <v>1</v>
      </c>
      <c r="AB1191" s="19">
        <f t="shared" ca="1" si="1271"/>
        <v>0</v>
      </c>
      <c r="AC1191" s="19">
        <f t="shared" ca="1" si="1272"/>
        <v>0.24997184584607426</v>
      </c>
    </row>
    <row r="1192" spans="3:29" x14ac:dyDescent="0.25">
      <c r="C1192" s="4">
        <v>1185</v>
      </c>
      <c r="D1192" s="28">
        <v>43692</v>
      </c>
      <c r="E1192" s="30">
        <v>11.223000000000001</v>
      </c>
      <c r="F1192" s="30">
        <v>52.43111831442463</v>
      </c>
      <c r="G1192" s="30">
        <v>3.8897893030794166</v>
      </c>
      <c r="H1192" s="30">
        <v>53.844768593553027</v>
      </c>
      <c r="I1192" s="8">
        <v>0</v>
      </c>
      <c r="J1192" s="31">
        <v>0</v>
      </c>
      <c r="K1192" s="31">
        <v>0</v>
      </c>
      <c r="L1192" s="31">
        <v>0</v>
      </c>
      <c r="M1192" s="31">
        <v>0</v>
      </c>
      <c r="N1192" s="31">
        <v>0</v>
      </c>
      <c r="O1192" s="31">
        <v>0</v>
      </c>
      <c r="P1192" s="31">
        <v>1</v>
      </c>
      <c r="Q1192" s="31">
        <v>0</v>
      </c>
      <c r="R1192" s="31">
        <v>0</v>
      </c>
      <c r="S1192" s="31">
        <v>0</v>
      </c>
      <c r="T1192" s="21" cm="1">
        <f t="array" aca="1" ref="T1192" ca="1">+fair_value_gap(OFFSET(S1191,0,0,-1*$I$5,-1*$Z$1),OFFSET(E1191,0,0,-1*$I$5,1),F1192:S1192,0)</f>
        <v>11.873106391490392</v>
      </c>
      <c r="U1192" s="7" cm="1">
        <f t="array" aca="1" ref="U1192" ca="1">z_score_diff(OFFSET(T1192,0,0,$I$5*-1,1),OFFSET(E1192,0,0,$I$5*-1,1))</f>
        <v>4.4633314585659667E-2</v>
      </c>
      <c r="V1192" s="7">
        <f t="shared" ca="1" si="1267"/>
        <v>4.04546912432001E-2</v>
      </c>
      <c r="W1192" s="14">
        <f t="shared" ca="1" si="1262"/>
        <v>0.25362842005747605</v>
      </c>
      <c r="X1192" s="10">
        <f t="shared" ref="X1192:Y1192" ca="1" si="1301">+X1191</f>
        <v>0</v>
      </c>
      <c r="Y1192" s="10">
        <f t="shared" ca="1" si="1301"/>
        <v>0</v>
      </c>
      <c r="Z1192">
        <f t="shared" ca="1" si="1269"/>
        <v>0</v>
      </c>
      <c r="AA1192">
        <f t="shared" ca="1" si="1270"/>
        <v>1</v>
      </c>
      <c r="AB1192" s="19">
        <f t="shared" ca="1" si="1271"/>
        <v>0</v>
      </c>
      <c r="AC1192" s="19">
        <f t="shared" ca="1" si="1272"/>
        <v>0.25362842005747605</v>
      </c>
    </row>
    <row r="1193" spans="3:29" x14ac:dyDescent="0.25">
      <c r="C1193" s="4">
        <v>1186</v>
      </c>
      <c r="D1193" s="28">
        <v>43693</v>
      </c>
      <c r="E1193" s="30">
        <v>10.955</v>
      </c>
      <c r="F1193" s="30">
        <v>52.8812336549734</v>
      </c>
      <c r="G1193" s="30">
        <v>4.2609793489043195</v>
      </c>
      <c r="H1193" s="30">
        <v>53.701866714762374</v>
      </c>
      <c r="I1193" s="8">
        <v>0</v>
      </c>
      <c r="J1193" s="31">
        <v>0</v>
      </c>
      <c r="K1193" s="31">
        <v>0</v>
      </c>
      <c r="L1193" s="31">
        <v>0</v>
      </c>
      <c r="M1193" s="31">
        <v>0</v>
      </c>
      <c r="N1193" s="31">
        <v>0</v>
      </c>
      <c r="O1193" s="31">
        <v>0</v>
      </c>
      <c r="P1193" s="31">
        <v>1</v>
      </c>
      <c r="Q1193" s="31">
        <v>0</v>
      </c>
      <c r="R1193" s="31">
        <v>0</v>
      </c>
      <c r="S1193" s="31">
        <v>0</v>
      </c>
      <c r="T1193" s="21" cm="1">
        <f t="array" aca="1" ref="T1193" ca="1">+fair_value_gap(OFFSET(S1192,0,0,-1*$I$5,-1*$Z$1),OFFSET(E1192,0,0,-1*$I$5,1),F1193:S1193,0)</f>
        <v>12.301425273015997</v>
      </c>
      <c r="U1193" s="7" cm="1">
        <f t="array" aca="1" ref="U1193" ca="1">z_score_diff(OFFSET(T1193,0,0,$I$5*-1,1),OFFSET(E1193,0,0,$I$5*-1,1))</f>
        <v>0.16605074235708916</v>
      </c>
      <c r="V1193" s="7">
        <f t="shared" ca="1" si="1267"/>
        <v>4.46497665618786E-2</v>
      </c>
      <c r="W1193" s="14">
        <f t="shared" ca="1" si="1262"/>
        <v>0.29479954022064497</v>
      </c>
      <c r="X1193" s="10">
        <f t="shared" ref="X1193:Y1193" ca="1" si="1302">+X1192</f>
        <v>0</v>
      </c>
      <c r="Y1193" s="10">
        <f t="shared" ca="1" si="1302"/>
        <v>0</v>
      </c>
      <c r="Z1193">
        <f t="shared" ca="1" si="1269"/>
        <v>0</v>
      </c>
      <c r="AA1193">
        <f t="shared" ca="1" si="1270"/>
        <v>1</v>
      </c>
      <c r="AB1193" s="19">
        <f t="shared" ca="1" si="1271"/>
        <v>0</v>
      </c>
      <c r="AC1193" s="19">
        <f t="shared" ca="1" si="1272"/>
        <v>0.29479954022064497</v>
      </c>
    </row>
    <row r="1194" spans="3:29" x14ac:dyDescent="0.25">
      <c r="C1194" s="4">
        <v>1187</v>
      </c>
      <c r="D1194" s="28">
        <v>43696</v>
      </c>
      <c r="E1194" s="30">
        <v>10.786</v>
      </c>
      <c r="F1194" s="30">
        <v>53.936439147706757</v>
      </c>
      <c r="G1194" s="30">
        <v>4.225352112676056</v>
      </c>
      <c r="H1194" s="30">
        <v>53.990610328638496</v>
      </c>
      <c r="I1194" s="8">
        <v>0</v>
      </c>
      <c r="J1194" s="31">
        <v>0</v>
      </c>
      <c r="K1194" s="31">
        <v>0</v>
      </c>
      <c r="L1194" s="31">
        <v>0</v>
      </c>
      <c r="M1194" s="31">
        <v>0</v>
      </c>
      <c r="N1194" s="31">
        <v>0</v>
      </c>
      <c r="O1194" s="31">
        <v>0</v>
      </c>
      <c r="P1194" s="31">
        <v>1</v>
      </c>
      <c r="Q1194" s="31">
        <v>0</v>
      </c>
      <c r="R1194" s="31">
        <v>0</v>
      </c>
      <c r="S1194" s="31">
        <v>0</v>
      </c>
      <c r="T1194" s="21" cm="1">
        <f t="array" aca="1" ref="T1194" ca="1">+fair_value_gap(OFFSET(S1193,0,0,-1*$I$5,-1*$Z$1),OFFSET(E1193,0,0,-1*$I$5,1),F1194:S1194,0)</f>
        <v>12.181561088109738</v>
      </c>
      <c r="U1194" s="7" cm="1">
        <f t="array" aca="1" ref="U1194" ca="1">z_score_diff(OFFSET(T1194,0,0,$I$5*-1,1),OFFSET(E1194,0,0,$I$5*-1,1))</f>
        <v>0.16999055851347422</v>
      </c>
      <c r="V1194" s="7">
        <f t="shared" ca="1" si="1267"/>
        <v>4.558854767223082E-2</v>
      </c>
      <c r="W1194" s="14">
        <f t="shared" ca="1" si="1262"/>
        <v>0.35182358822166743</v>
      </c>
      <c r="X1194" s="10">
        <f t="shared" ref="X1194:Y1194" ca="1" si="1303">+X1193</f>
        <v>0</v>
      </c>
      <c r="Y1194" s="10">
        <f t="shared" ca="1" si="1303"/>
        <v>0</v>
      </c>
      <c r="Z1194">
        <f t="shared" ca="1" si="1269"/>
        <v>0</v>
      </c>
      <c r="AA1194">
        <f t="shared" ca="1" si="1270"/>
        <v>1</v>
      </c>
      <c r="AB1194" s="19">
        <f t="shared" ca="1" si="1271"/>
        <v>0</v>
      </c>
      <c r="AC1194" s="19">
        <f t="shared" ca="1" si="1272"/>
        <v>0.35182358822166743</v>
      </c>
    </row>
    <row r="1195" spans="3:29" x14ac:dyDescent="0.25">
      <c r="C1195" s="4">
        <v>1188</v>
      </c>
      <c r="D1195" s="28">
        <v>43697</v>
      </c>
      <c r="E1195" s="30">
        <v>11.217000000000001</v>
      </c>
      <c r="F1195" s="30">
        <v>54.085953689521574</v>
      </c>
      <c r="G1195" s="30">
        <v>4.2346157311469499</v>
      </c>
      <c r="H1195" s="30">
        <v>54.058924227407871</v>
      </c>
      <c r="I1195" s="8">
        <v>0</v>
      </c>
      <c r="J1195" s="31">
        <v>0</v>
      </c>
      <c r="K1195" s="31">
        <v>0</v>
      </c>
      <c r="L1195" s="31">
        <v>0</v>
      </c>
      <c r="M1195" s="31">
        <v>0</v>
      </c>
      <c r="N1195" s="31">
        <v>0</v>
      </c>
      <c r="O1195" s="31">
        <v>0</v>
      </c>
      <c r="P1195" s="31">
        <v>1</v>
      </c>
      <c r="Q1195" s="31">
        <v>0</v>
      </c>
      <c r="R1195" s="31">
        <v>0</v>
      </c>
      <c r="S1195" s="31">
        <v>0</v>
      </c>
      <c r="T1195" s="21" cm="1">
        <f t="array" aca="1" ref="T1195" ca="1">+fair_value_gap(OFFSET(S1194,0,0,-1*$I$5,-1*$Z$1),OFFSET(E1194,0,0,-1*$I$5,1),F1195:S1195,0)</f>
        <v>12.099988977801804</v>
      </c>
      <c r="U1195" s="7" cm="1">
        <f t="array" aca="1" ref="U1195" ca="1">z_score_diff(OFFSET(T1195,0,0,$I$5*-1,1),OFFSET(E1195,0,0,$I$5*-1,1))</f>
        <v>8.3599766255408881E-2</v>
      </c>
      <c r="V1195" s="7">
        <f t="shared" ca="1" si="1267"/>
        <v>4.7533950578035042E-2</v>
      </c>
      <c r="W1195" s="14">
        <f t="shared" ca="1" si="1262"/>
        <v>0.18087925242592492</v>
      </c>
      <c r="X1195" s="10">
        <f t="shared" ref="X1195:Y1195" ca="1" si="1304">+X1194</f>
        <v>0</v>
      </c>
      <c r="Y1195" s="10">
        <f t="shared" ca="1" si="1304"/>
        <v>0</v>
      </c>
      <c r="Z1195">
        <f t="shared" ca="1" si="1269"/>
        <v>0</v>
      </c>
      <c r="AA1195">
        <f t="shared" ca="1" si="1270"/>
        <v>1</v>
      </c>
      <c r="AB1195" s="19">
        <f t="shared" ca="1" si="1271"/>
        <v>0</v>
      </c>
      <c r="AC1195" s="19">
        <f t="shared" ca="1" si="1272"/>
        <v>0.18087925242592492</v>
      </c>
    </row>
    <row r="1196" spans="3:29" x14ac:dyDescent="0.25">
      <c r="C1196" s="4">
        <v>1189</v>
      </c>
      <c r="D1196" s="28">
        <v>43698</v>
      </c>
      <c r="E1196" s="30">
        <v>11.414</v>
      </c>
      <c r="F1196" s="30">
        <v>54.407651357935571</v>
      </c>
      <c r="G1196" s="30">
        <v>4.2362176306054318</v>
      </c>
      <c r="H1196" s="30">
        <v>53.866281692682485</v>
      </c>
      <c r="I1196" s="8">
        <v>0</v>
      </c>
      <c r="J1196" s="31">
        <v>0</v>
      </c>
      <c r="K1196" s="31">
        <v>0</v>
      </c>
      <c r="L1196" s="31">
        <v>0</v>
      </c>
      <c r="M1196" s="31">
        <v>0</v>
      </c>
      <c r="N1196" s="31">
        <v>0</v>
      </c>
      <c r="O1196" s="31">
        <v>0</v>
      </c>
      <c r="P1196" s="31">
        <v>1</v>
      </c>
      <c r="Q1196" s="31">
        <v>0</v>
      </c>
      <c r="R1196" s="31">
        <v>0</v>
      </c>
      <c r="S1196" s="31">
        <v>0</v>
      </c>
      <c r="T1196" s="21" cm="1">
        <f t="array" aca="1" ref="T1196" ca="1">+fair_value_gap(OFFSET(S1195,0,0,-1*$I$5,-1*$Z$1),OFFSET(E1195,0,0,-1*$I$5,1),F1196:S1196,0)</f>
        <v>11.981831418513263</v>
      </c>
      <c r="U1196" s="7" cm="1">
        <f t="array" aca="1" ref="U1196" ca="1">z_score_diff(OFFSET(T1196,0,0,$I$5*-1,1),OFFSET(E1196,0,0,$I$5*-1,1))</f>
        <v>2.9463247807037352E-2</v>
      </c>
      <c r="V1196" s="7">
        <f t="shared" ca="1" si="1267"/>
        <v>4.2309160296816119E-2</v>
      </c>
      <c r="W1196" s="14">
        <f t="shared" ca="1" si="1262"/>
        <v>8.5593983732629442E-2</v>
      </c>
      <c r="X1196" s="10">
        <f t="shared" ref="X1196:Y1196" ca="1" si="1305">+X1195</f>
        <v>0</v>
      </c>
      <c r="Y1196" s="10">
        <f t="shared" ca="1" si="1305"/>
        <v>0</v>
      </c>
      <c r="Z1196">
        <f t="shared" ca="1" si="1269"/>
        <v>0</v>
      </c>
      <c r="AA1196">
        <f t="shared" ca="1" si="1270"/>
        <v>1</v>
      </c>
      <c r="AB1196" s="19">
        <f t="shared" ca="1" si="1271"/>
        <v>0</v>
      </c>
      <c r="AC1196" s="19">
        <f t="shared" ca="1" si="1272"/>
        <v>8.5593983732629442E-2</v>
      </c>
    </row>
    <row r="1197" spans="3:29" x14ac:dyDescent="0.25">
      <c r="C1197" s="4">
        <v>1190</v>
      </c>
      <c r="D1197" s="28">
        <v>43699</v>
      </c>
      <c r="E1197" s="30">
        <v>10.991</v>
      </c>
      <c r="F1197" s="30">
        <v>54.089185773605351</v>
      </c>
      <c r="G1197" s="30">
        <v>4.1433471745802493</v>
      </c>
      <c r="H1197" s="30">
        <v>53.800324968405853</v>
      </c>
      <c r="I1197" s="8">
        <v>0</v>
      </c>
      <c r="J1197" s="31">
        <v>0</v>
      </c>
      <c r="K1197" s="31">
        <v>0</v>
      </c>
      <c r="L1197" s="31">
        <v>0</v>
      </c>
      <c r="M1197" s="31">
        <v>0</v>
      </c>
      <c r="N1197" s="31">
        <v>0</v>
      </c>
      <c r="O1197" s="31">
        <v>0</v>
      </c>
      <c r="P1197" s="31">
        <v>1</v>
      </c>
      <c r="Q1197" s="31">
        <v>0</v>
      </c>
      <c r="R1197" s="31">
        <v>0</v>
      </c>
      <c r="S1197" s="31">
        <v>0</v>
      </c>
      <c r="T1197" s="21" cm="1">
        <f t="array" aca="1" ref="T1197" ca="1">+fair_value_gap(OFFSET(S1196,0,0,-1*$I$5,-1*$Z$1),OFFSET(E1196,0,0,-1*$I$5,1),F1197:S1197,0)</f>
        <v>11.773990993078977</v>
      </c>
      <c r="U1197" s="7" cm="1">
        <f t="array" aca="1" ref="U1197" ca="1">z_score_diff(OFFSET(T1197,0,0,$I$5*-1,1),OFFSET(E1197,0,0,$I$5*-1,1))</f>
        <v>6.0116798745694533E-2</v>
      </c>
      <c r="V1197" s="7">
        <f t="shared" ca="1" si="1267"/>
        <v>3.9030049228059735E-2</v>
      </c>
      <c r="W1197" s="14">
        <f t="shared" ca="1" si="1262"/>
        <v>0.10885726089331269</v>
      </c>
      <c r="X1197" s="10">
        <f t="shared" ref="X1197:Y1197" ca="1" si="1306">+X1196</f>
        <v>0</v>
      </c>
      <c r="Y1197" s="10">
        <f t="shared" ca="1" si="1306"/>
        <v>0</v>
      </c>
      <c r="Z1197">
        <f t="shared" ca="1" si="1269"/>
        <v>0</v>
      </c>
      <c r="AA1197">
        <f t="shared" ca="1" si="1270"/>
        <v>1</v>
      </c>
      <c r="AB1197" s="19">
        <f t="shared" ca="1" si="1271"/>
        <v>0</v>
      </c>
      <c r="AC1197" s="19">
        <f t="shared" ca="1" si="1272"/>
        <v>0.10885726089331269</v>
      </c>
    </row>
    <row r="1198" spans="3:29" x14ac:dyDescent="0.25">
      <c r="C1198" s="4">
        <v>1191</v>
      </c>
      <c r="D1198" s="28">
        <v>43700</v>
      </c>
      <c r="E1198" s="30">
        <v>10.583</v>
      </c>
      <c r="F1198" s="30">
        <v>53.248384781048095</v>
      </c>
      <c r="G1198" s="30">
        <v>4.100861450107681</v>
      </c>
      <c r="H1198" s="30">
        <v>53.571428571428569</v>
      </c>
      <c r="I1198" s="8">
        <v>0</v>
      </c>
      <c r="J1198" s="31">
        <v>0</v>
      </c>
      <c r="K1198" s="31">
        <v>0</v>
      </c>
      <c r="L1198" s="31">
        <v>0</v>
      </c>
      <c r="M1198" s="31">
        <v>0</v>
      </c>
      <c r="N1198" s="31">
        <v>0</v>
      </c>
      <c r="O1198" s="31">
        <v>0</v>
      </c>
      <c r="P1198" s="31">
        <v>1</v>
      </c>
      <c r="Q1198" s="31">
        <v>0</v>
      </c>
      <c r="R1198" s="31">
        <v>0</v>
      </c>
      <c r="S1198" s="31">
        <v>0</v>
      </c>
      <c r="T1198" s="21" cm="1">
        <f t="array" aca="1" ref="T1198" ca="1">+fair_value_gap(OFFSET(S1197,0,0,-1*$I$5,-1*$Z$1),OFFSET(E1197,0,0,-1*$I$5,1),F1198:S1198,0)</f>
        <v>11.568974510828308</v>
      </c>
      <c r="U1198" s="7" cm="1">
        <f t="array" aca="1" ref="U1198" ca="1">z_score_diff(OFFSET(T1198,0,0,$I$5*-1,1),OFFSET(E1198,0,0,$I$5*-1,1))</f>
        <v>8.838350875769807E-2</v>
      </c>
      <c r="V1198" s="7">
        <f t="shared" ca="1" si="1267"/>
        <v>3.7442844239722065E-2</v>
      </c>
      <c r="W1198" s="14">
        <f t="shared" ca="1" si="1262"/>
        <v>0.18321882020094446</v>
      </c>
      <c r="X1198" s="10">
        <f t="shared" ref="X1198:Y1198" ca="1" si="1307">+X1197</f>
        <v>0</v>
      </c>
      <c r="Y1198" s="10">
        <f t="shared" ca="1" si="1307"/>
        <v>0</v>
      </c>
      <c r="Z1198">
        <f t="shared" ca="1" si="1269"/>
        <v>0</v>
      </c>
      <c r="AA1198">
        <f t="shared" ca="1" si="1270"/>
        <v>1</v>
      </c>
      <c r="AB1198" s="19">
        <f t="shared" ca="1" si="1271"/>
        <v>0</v>
      </c>
      <c r="AC1198" s="19">
        <f t="shared" ca="1" si="1272"/>
        <v>0.18321882020094446</v>
      </c>
    </row>
    <row r="1199" spans="3:29" x14ac:dyDescent="0.25">
      <c r="C1199" s="4">
        <v>1192</v>
      </c>
      <c r="D1199" s="28">
        <v>43703</v>
      </c>
      <c r="E1199" s="30">
        <v>10.313000000000001</v>
      </c>
      <c r="F1199" s="30">
        <v>52.882882882882882</v>
      </c>
      <c r="G1199" s="30">
        <v>4.1171171171171173</v>
      </c>
      <c r="H1199" s="30">
        <v>53.783783783783782</v>
      </c>
      <c r="I1199" s="8">
        <v>0</v>
      </c>
      <c r="J1199" s="31">
        <v>0</v>
      </c>
      <c r="K1199" s="31">
        <v>0</v>
      </c>
      <c r="L1199" s="31">
        <v>0</v>
      </c>
      <c r="M1199" s="31">
        <v>0</v>
      </c>
      <c r="N1199" s="31">
        <v>0</v>
      </c>
      <c r="O1199" s="31">
        <v>0</v>
      </c>
      <c r="P1199" s="31">
        <v>1</v>
      </c>
      <c r="Q1199" s="31">
        <v>0</v>
      </c>
      <c r="R1199" s="31">
        <v>0</v>
      </c>
      <c r="S1199" s="31">
        <v>0</v>
      </c>
      <c r="T1199" s="21" cm="1">
        <f t="array" aca="1" ref="T1199" ca="1">+fair_value_gap(OFFSET(S1198,0,0,-1*$I$5,-1*$Z$1),OFFSET(E1198,0,0,-1*$I$5,1),F1199:S1199,0)</f>
        <v>11.424545494037236</v>
      </c>
      <c r="U1199" s="7" cm="1">
        <f t="array" aca="1" ref="U1199" ca="1">z_score_diff(OFFSET(T1199,0,0,$I$5*-1,1),OFFSET(E1199,0,0,$I$5*-1,1))</f>
        <v>0.10545183276397974</v>
      </c>
      <c r="V1199" s="7">
        <f t="shared" ca="1" si="1267"/>
        <v>3.8421944513681458E-2</v>
      </c>
      <c r="W1199" s="14">
        <f t="shared" ca="1" si="1262"/>
        <v>0.17154910975784632</v>
      </c>
      <c r="X1199" s="10">
        <f t="shared" ref="X1199:Y1199" ca="1" si="1308">+X1198</f>
        <v>0</v>
      </c>
      <c r="Y1199" s="10">
        <f t="shared" ca="1" si="1308"/>
        <v>0</v>
      </c>
      <c r="Z1199">
        <f t="shared" ca="1" si="1269"/>
        <v>0</v>
      </c>
      <c r="AA1199">
        <f t="shared" ca="1" si="1270"/>
        <v>1</v>
      </c>
      <c r="AB1199" s="19">
        <f t="shared" ca="1" si="1271"/>
        <v>0</v>
      </c>
      <c r="AC1199" s="19">
        <f t="shared" ca="1" si="1272"/>
        <v>0.17154910975784632</v>
      </c>
    </row>
    <row r="1200" spans="3:29" x14ac:dyDescent="0.25">
      <c r="C1200" s="4">
        <v>1193</v>
      </c>
      <c r="D1200" s="28">
        <v>43704</v>
      </c>
      <c r="E1200" s="30">
        <v>10.07</v>
      </c>
      <c r="F1200" s="30">
        <v>53.660955816050496</v>
      </c>
      <c r="G1200" s="30">
        <v>4.1118124436429211</v>
      </c>
      <c r="H1200" s="30">
        <v>53.787195671776374</v>
      </c>
      <c r="I1200" s="8">
        <v>0</v>
      </c>
      <c r="J1200" s="31">
        <v>0</v>
      </c>
      <c r="K1200" s="31">
        <v>0</v>
      </c>
      <c r="L1200" s="31">
        <v>0</v>
      </c>
      <c r="M1200" s="31">
        <v>0</v>
      </c>
      <c r="N1200" s="31">
        <v>0</v>
      </c>
      <c r="O1200" s="31">
        <v>0</v>
      </c>
      <c r="P1200" s="31">
        <v>1</v>
      </c>
      <c r="Q1200" s="31">
        <v>0</v>
      </c>
      <c r="R1200" s="31">
        <v>0</v>
      </c>
      <c r="S1200" s="31">
        <v>0</v>
      </c>
      <c r="T1200" s="21" cm="1">
        <f t="array" aca="1" ref="T1200" ca="1">+fair_value_gap(OFFSET(S1199,0,0,-1*$I$5,-1*$Z$1),OFFSET(E1199,0,0,-1*$I$5,1),F1200:S1200,0)</f>
        <v>11.343481135123376</v>
      </c>
      <c r="U1200" s="7" cm="1">
        <f t="array" aca="1" ref="U1200" ca="1">z_score_diff(OFFSET(T1200,0,0,$I$5*-1,1),OFFSET(E1200,0,0,$I$5*-1,1))</f>
        <v>0.12961615158904904</v>
      </c>
      <c r="V1200" s="7">
        <f t="shared" ca="1" si="1267"/>
        <v>4.1792106871128984E-2</v>
      </c>
      <c r="W1200" s="14">
        <f t="shared" ca="1" si="1262"/>
        <v>0.20320427118592582</v>
      </c>
      <c r="X1200" s="10">
        <f t="shared" ref="X1200:Y1200" ca="1" si="1309">+X1199</f>
        <v>0</v>
      </c>
      <c r="Y1200" s="10">
        <f t="shared" ca="1" si="1309"/>
        <v>0</v>
      </c>
      <c r="Z1200">
        <f t="shared" ca="1" si="1269"/>
        <v>0</v>
      </c>
      <c r="AA1200">
        <f t="shared" ca="1" si="1270"/>
        <v>1</v>
      </c>
      <c r="AB1200" s="19">
        <f t="shared" ca="1" si="1271"/>
        <v>0</v>
      </c>
      <c r="AC1200" s="19">
        <f t="shared" ca="1" si="1272"/>
        <v>0.20320427118592582</v>
      </c>
    </row>
    <row r="1201" spans="3:29" x14ac:dyDescent="0.25">
      <c r="C1201" s="4">
        <v>1194</v>
      </c>
      <c r="D1201" s="28">
        <v>43705</v>
      </c>
      <c r="E1201" s="30">
        <v>10.236000000000001</v>
      </c>
      <c r="F1201" s="30">
        <v>54.608648551051736</v>
      </c>
      <c r="G1201" s="30">
        <v>4.1301796515301978</v>
      </c>
      <c r="H1201" s="30">
        <v>53.714904757605858</v>
      </c>
      <c r="I1201" s="8">
        <v>0</v>
      </c>
      <c r="J1201" s="31">
        <v>0</v>
      </c>
      <c r="K1201" s="31">
        <v>0</v>
      </c>
      <c r="L1201" s="31">
        <v>0</v>
      </c>
      <c r="M1201" s="31">
        <v>0</v>
      </c>
      <c r="N1201" s="31">
        <v>0</v>
      </c>
      <c r="O1201" s="31">
        <v>0</v>
      </c>
      <c r="P1201" s="31">
        <v>1</v>
      </c>
      <c r="Q1201" s="31">
        <v>0</v>
      </c>
      <c r="R1201" s="31">
        <v>0</v>
      </c>
      <c r="S1201" s="31">
        <v>0</v>
      </c>
      <c r="T1201" s="21" cm="1">
        <f t="array" aca="1" ref="T1201" ca="1">+fair_value_gap(OFFSET(S1200,0,0,-1*$I$5,-1*$Z$1),OFFSET(E1200,0,0,-1*$I$5,1),F1201:S1201,0)</f>
        <v>11.256193925868789</v>
      </c>
      <c r="U1201" s="7" cm="1">
        <f t="array" aca="1" ref="U1201" ca="1">z_score_diff(OFFSET(T1201,0,0,$I$5*-1,1),OFFSET(E1201,0,0,$I$5*-1,1))</f>
        <v>8.6212177259975098E-2</v>
      </c>
      <c r="V1201" s="7">
        <f t="shared" ca="1" si="1267"/>
        <v>5.3812816488336322E-2</v>
      </c>
      <c r="W1201" s="14">
        <f t="shared" ca="1" si="1262"/>
        <v>0.15473667457007451</v>
      </c>
      <c r="X1201" s="10">
        <f t="shared" ref="X1201:Y1201" ca="1" si="1310">+X1200</f>
        <v>0</v>
      </c>
      <c r="Y1201" s="10">
        <f t="shared" ca="1" si="1310"/>
        <v>0</v>
      </c>
      <c r="Z1201">
        <f t="shared" ca="1" si="1269"/>
        <v>0</v>
      </c>
      <c r="AA1201">
        <f t="shared" ca="1" si="1270"/>
        <v>1</v>
      </c>
      <c r="AB1201" s="19">
        <f t="shared" ca="1" si="1271"/>
        <v>0</v>
      </c>
      <c r="AC1201" s="19">
        <f t="shared" ca="1" si="1272"/>
        <v>0.15473667457007451</v>
      </c>
    </row>
    <row r="1202" spans="3:29" x14ac:dyDescent="0.25">
      <c r="C1202" s="4">
        <v>1195</v>
      </c>
      <c r="D1202" s="28">
        <v>43706</v>
      </c>
      <c r="E1202" s="30">
        <v>10.715999999999999</v>
      </c>
      <c r="F1202" s="30">
        <v>55.25101763907734</v>
      </c>
      <c r="G1202" s="30">
        <v>4.2062415196743563</v>
      </c>
      <c r="H1202" s="30">
        <v>53.640886476707372</v>
      </c>
      <c r="I1202" s="8">
        <v>0</v>
      </c>
      <c r="J1202" s="31">
        <v>0</v>
      </c>
      <c r="K1202" s="31">
        <v>0</v>
      </c>
      <c r="L1202" s="31">
        <v>0</v>
      </c>
      <c r="M1202" s="31">
        <v>0</v>
      </c>
      <c r="N1202" s="31">
        <v>0</v>
      </c>
      <c r="O1202" s="31">
        <v>0</v>
      </c>
      <c r="P1202" s="31">
        <v>1</v>
      </c>
      <c r="Q1202" s="31">
        <v>0</v>
      </c>
      <c r="R1202" s="31">
        <v>0</v>
      </c>
      <c r="S1202" s="31">
        <v>0</v>
      </c>
      <c r="T1202" s="21" cm="1">
        <f t="array" aca="1" ref="T1202" ca="1">+fair_value_gap(OFFSET(S1201,0,0,-1*$I$5,-1*$Z$1),OFFSET(E1201,0,0,-1*$I$5,1),F1202:S1202,0)</f>
        <v>11.235942537137877</v>
      </c>
      <c r="U1202" s="7" cm="1">
        <f t="array" aca="1" ref="U1202" ca="1">z_score_diff(OFFSET(T1202,0,0,$I$5*-1,1),OFFSET(E1202,0,0,$I$5*-1,1))</f>
        <v>4.5427961556316898E-3</v>
      </c>
      <c r="V1202" s="7">
        <f t="shared" ca="1" si="1267"/>
        <v>5.1813390548189731E-2</v>
      </c>
      <c r="W1202" s="14">
        <f t="shared" ca="1" si="1262"/>
        <v>0.11682865893712518</v>
      </c>
      <c r="X1202" s="10">
        <f t="shared" ref="X1202:Y1202" ca="1" si="1311">+X1201</f>
        <v>0</v>
      </c>
      <c r="Y1202" s="10">
        <f t="shared" ca="1" si="1311"/>
        <v>0</v>
      </c>
      <c r="Z1202">
        <f t="shared" ca="1" si="1269"/>
        <v>0</v>
      </c>
      <c r="AA1202">
        <f t="shared" ca="1" si="1270"/>
        <v>1</v>
      </c>
      <c r="AB1202" s="19">
        <f t="shared" ca="1" si="1271"/>
        <v>0</v>
      </c>
      <c r="AC1202" s="19">
        <f t="shared" ca="1" si="1272"/>
        <v>0.11682865893712518</v>
      </c>
    </row>
    <row r="1203" spans="3:29" x14ac:dyDescent="0.25">
      <c r="C1203" s="4">
        <v>1196</v>
      </c>
      <c r="D1203" s="28">
        <v>43707</v>
      </c>
      <c r="E1203" s="30">
        <v>12.797000000000001</v>
      </c>
      <c r="F1203" s="30">
        <v>54.991354991354989</v>
      </c>
      <c r="G1203" s="30">
        <v>4.2497042497042496</v>
      </c>
      <c r="H1203" s="30">
        <v>54.236054236054237</v>
      </c>
      <c r="I1203" s="8">
        <v>0</v>
      </c>
      <c r="J1203" s="31">
        <v>0</v>
      </c>
      <c r="K1203" s="31">
        <v>0</v>
      </c>
      <c r="L1203" s="31">
        <v>0</v>
      </c>
      <c r="M1203" s="31">
        <v>0</v>
      </c>
      <c r="N1203" s="31">
        <v>0</v>
      </c>
      <c r="O1203" s="31">
        <v>0</v>
      </c>
      <c r="P1203" s="31">
        <v>1</v>
      </c>
      <c r="Q1203" s="31">
        <v>0</v>
      </c>
      <c r="R1203" s="31">
        <v>0</v>
      </c>
      <c r="S1203" s="31">
        <v>0</v>
      </c>
      <c r="T1203" s="21" cm="1">
        <f t="array" aca="1" ref="T1203" ca="1">+fair_value_gap(OFFSET(S1202,0,0,-1*$I$5,-1*$Z$1),OFFSET(E1202,0,0,-1*$I$5,1),F1203:S1203,0)</f>
        <v>11.378552193385572</v>
      </c>
      <c r="U1203" s="7" cm="1">
        <f t="array" aca="1" ref="U1203" ca="1">z_score_diff(OFFSET(T1203,0,0,$I$5*-1,1),OFFSET(E1203,0,0,$I$5*-1,1))</f>
        <v>-0.30863752630771057</v>
      </c>
      <c r="V1203" s="7">
        <f t="shared" ca="1" si="1267"/>
        <v>3.3285500400648427E-2</v>
      </c>
      <c r="W1203" s="14">
        <f t="shared" ca="1" si="1262"/>
        <v>-6.940041609220772E-2</v>
      </c>
      <c r="X1203" s="10">
        <f t="shared" ref="X1203:Y1203" ca="1" si="1312">+X1202</f>
        <v>0</v>
      </c>
      <c r="Y1203" s="10">
        <f t="shared" ca="1" si="1312"/>
        <v>0</v>
      </c>
      <c r="Z1203">
        <f t="shared" ca="1" si="1269"/>
        <v>0</v>
      </c>
      <c r="AA1203">
        <f t="shared" ca="1" si="1270"/>
        <v>1</v>
      </c>
      <c r="AB1203" s="19">
        <f t="shared" ca="1" si="1271"/>
        <v>0</v>
      </c>
      <c r="AC1203" s="19">
        <f t="shared" ca="1" si="1272"/>
        <v>-6.940041609220772E-2</v>
      </c>
    </row>
    <row r="1204" spans="3:29" x14ac:dyDescent="0.25">
      <c r="C1204" s="4">
        <v>1197</v>
      </c>
      <c r="D1204" s="28">
        <v>43710</v>
      </c>
      <c r="E1204" s="30">
        <v>11.848000000000001</v>
      </c>
      <c r="F1204" s="30">
        <v>53.49261353273755</v>
      </c>
      <c r="G1204" s="30">
        <v>4.2586175451395221</v>
      </c>
      <c r="H1204" s="30">
        <v>54.3498084989969</v>
      </c>
      <c r="I1204" s="8">
        <v>0</v>
      </c>
      <c r="J1204" s="31">
        <v>0</v>
      </c>
      <c r="K1204" s="31">
        <v>0</v>
      </c>
      <c r="L1204" s="31">
        <v>0</v>
      </c>
      <c r="M1204" s="31">
        <v>0</v>
      </c>
      <c r="N1204" s="31">
        <v>0</v>
      </c>
      <c r="O1204" s="31">
        <v>0</v>
      </c>
      <c r="P1204" s="31">
        <v>0</v>
      </c>
      <c r="Q1204" s="31">
        <v>1</v>
      </c>
      <c r="R1204" s="31">
        <v>0</v>
      </c>
      <c r="S1204" s="31">
        <v>0</v>
      </c>
      <c r="T1204" s="21" cm="1">
        <f t="array" aca="1" ref="T1204" ca="1">+fair_value_gap(OFFSET(S1203,0,0,-1*$I$5,-1*$Z$1),OFFSET(E1203,0,0,-1*$I$5,1),F1204:S1204,0)</f>
        <v>16.98574948882078</v>
      </c>
      <c r="U1204" s="7" cm="1">
        <f t="array" aca="1" ref="U1204" ca="1">z_score_diff(OFFSET(T1204,0,0,$I$5*-1,1),OFFSET(E1204,0,0,$I$5*-1,1))</f>
        <v>0.87864587500455305</v>
      </c>
      <c r="V1204" s="7">
        <f t="shared" ca="1" si="1267"/>
        <v>7.243076501365911E-2</v>
      </c>
      <c r="W1204" s="14">
        <f t="shared" ca="1" si="1262"/>
        <v>0.32463433397110081</v>
      </c>
      <c r="X1204" s="10">
        <f t="shared" ref="X1204:Y1204" ca="1" si="1313">+X1203</f>
        <v>0</v>
      </c>
      <c r="Y1204" s="10">
        <f t="shared" ca="1" si="1313"/>
        <v>0</v>
      </c>
      <c r="Z1204">
        <f t="shared" ca="1" si="1269"/>
        <v>0</v>
      </c>
      <c r="AA1204">
        <f t="shared" ca="1" si="1270"/>
        <v>1</v>
      </c>
      <c r="AB1204" s="19">
        <f t="shared" ca="1" si="1271"/>
        <v>0</v>
      </c>
      <c r="AC1204" s="19">
        <f t="shared" ca="1" si="1272"/>
        <v>0.32463433397110081</v>
      </c>
    </row>
    <row r="1205" spans="3:29" x14ac:dyDescent="0.25">
      <c r="C1205" s="4">
        <v>1198</v>
      </c>
      <c r="D1205" s="28">
        <v>43711</v>
      </c>
      <c r="E1205" s="30">
        <v>12.098000000000001</v>
      </c>
      <c r="F1205" s="30">
        <v>53.0987969376595</v>
      </c>
      <c r="G1205" s="30">
        <v>4.1560335399197958</v>
      </c>
      <c r="H1205" s="30">
        <v>55.550492161866572</v>
      </c>
      <c r="I1205" s="8">
        <v>0</v>
      </c>
      <c r="J1205" s="31">
        <v>0</v>
      </c>
      <c r="K1205" s="31">
        <v>0</v>
      </c>
      <c r="L1205" s="31">
        <v>0</v>
      </c>
      <c r="M1205" s="31">
        <v>0</v>
      </c>
      <c r="N1205" s="31">
        <v>0</v>
      </c>
      <c r="O1205" s="31">
        <v>0</v>
      </c>
      <c r="P1205" s="31">
        <v>0</v>
      </c>
      <c r="Q1205" s="31">
        <v>1</v>
      </c>
      <c r="R1205" s="31">
        <v>0</v>
      </c>
      <c r="S1205" s="31">
        <v>0</v>
      </c>
      <c r="T1205" s="21" cm="1">
        <f t="array" aca="1" ref="T1205" ca="1">+fair_value_gap(OFFSET(S1204,0,0,-1*$I$5,-1*$Z$1),OFFSET(E1204,0,0,-1*$I$5,1),F1205:S1205,0)</f>
        <v>15.483987914396026</v>
      </c>
      <c r="U1205" s="7" cm="1">
        <f t="array" aca="1" ref="U1205" ca="1">z_score_diff(OFFSET(T1205,0,0,$I$5*-1,1),OFFSET(E1205,0,0,$I$5*-1,1))</f>
        <v>0.55925004258229227</v>
      </c>
      <c r="V1205" s="7">
        <f t="shared" ca="1" si="1267"/>
        <v>9.5577890573763383E-2</v>
      </c>
      <c r="W1205" s="14">
        <f t="shared" ca="1" si="1262"/>
        <v>0.32607426999199191</v>
      </c>
      <c r="X1205" s="10">
        <f t="shared" ref="X1205:Y1205" ca="1" si="1314">+X1204</f>
        <v>0</v>
      </c>
      <c r="Y1205" s="10">
        <f t="shared" ca="1" si="1314"/>
        <v>0</v>
      </c>
      <c r="Z1205">
        <f t="shared" ca="1" si="1269"/>
        <v>0</v>
      </c>
      <c r="AA1205">
        <f t="shared" ca="1" si="1270"/>
        <v>1</v>
      </c>
      <c r="AB1205" s="19">
        <f t="shared" ca="1" si="1271"/>
        <v>0</v>
      </c>
      <c r="AC1205" s="19">
        <f t="shared" ca="1" si="1272"/>
        <v>0.32607426999199191</v>
      </c>
    </row>
    <row r="1206" spans="3:29" x14ac:dyDescent="0.25">
      <c r="C1206" s="4">
        <v>1199</v>
      </c>
      <c r="D1206" s="28">
        <v>43712</v>
      </c>
      <c r="E1206" s="30">
        <v>11.958</v>
      </c>
      <c r="F1206" s="30">
        <v>55.016767878183636</v>
      </c>
      <c r="G1206" s="30">
        <v>4.0333544820085203</v>
      </c>
      <c r="H1206" s="30">
        <v>55.152723647240101</v>
      </c>
      <c r="I1206" s="8">
        <v>0</v>
      </c>
      <c r="J1206" s="31">
        <v>0</v>
      </c>
      <c r="K1206" s="31">
        <v>0</v>
      </c>
      <c r="L1206" s="31">
        <v>0</v>
      </c>
      <c r="M1206" s="31">
        <v>0</v>
      </c>
      <c r="N1206" s="31">
        <v>0</v>
      </c>
      <c r="O1206" s="31">
        <v>0</v>
      </c>
      <c r="P1206" s="31">
        <v>0</v>
      </c>
      <c r="Q1206" s="31">
        <v>1</v>
      </c>
      <c r="R1206" s="31">
        <v>0</v>
      </c>
      <c r="S1206" s="31">
        <v>0</v>
      </c>
      <c r="T1206" s="21" cm="1">
        <f t="array" aca="1" ref="T1206" ca="1">+fair_value_gap(OFFSET(S1205,0,0,-1*$I$5,-1*$Z$1),OFFSET(E1205,0,0,-1*$I$5,1),F1206:S1206,0)</f>
        <v>14.247477115269463</v>
      </c>
      <c r="U1206" s="7" cm="1">
        <f t="array" aca="1" ref="U1206" ca="1">z_score_diff(OFFSET(T1206,0,0,$I$5*-1,1),OFFSET(E1206,0,0,$I$5*-1,1))</f>
        <v>0.35190845142561467</v>
      </c>
      <c r="V1206" s="7">
        <f t="shared" ca="1" si="1267"/>
        <v>0.11343838364132766</v>
      </c>
      <c r="W1206" s="14">
        <f t="shared" ca="1" si="1262"/>
        <v>0.29143818053627607</v>
      </c>
      <c r="X1206" s="10">
        <f t="shared" ref="X1206:Y1206" ca="1" si="1315">+X1205</f>
        <v>0</v>
      </c>
      <c r="Y1206" s="10">
        <f t="shared" ca="1" si="1315"/>
        <v>0</v>
      </c>
      <c r="Z1206">
        <f t="shared" ca="1" si="1269"/>
        <v>0</v>
      </c>
      <c r="AA1206">
        <f t="shared" ca="1" si="1270"/>
        <v>1</v>
      </c>
      <c r="AB1206" s="19">
        <f t="shared" ca="1" si="1271"/>
        <v>0</v>
      </c>
      <c r="AC1206" s="19">
        <f t="shared" ca="1" si="1272"/>
        <v>0.29143818053627607</v>
      </c>
    </row>
    <row r="1207" spans="3:29" x14ac:dyDescent="0.25">
      <c r="C1207" s="4">
        <v>1200</v>
      </c>
      <c r="D1207" s="28">
        <v>43713</v>
      </c>
      <c r="E1207" s="30">
        <v>12.236000000000001</v>
      </c>
      <c r="F1207" s="30">
        <v>55.243360826611081</v>
      </c>
      <c r="G1207" s="30">
        <v>4.0560137768512643</v>
      </c>
      <c r="H1207" s="30">
        <v>55.288679416296567</v>
      </c>
      <c r="I1207" s="8">
        <v>0</v>
      </c>
      <c r="J1207" s="31">
        <v>0</v>
      </c>
      <c r="K1207" s="31">
        <v>0</v>
      </c>
      <c r="L1207" s="31">
        <v>0</v>
      </c>
      <c r="M1207" s="31">
        <v>0</v>
      </c>
      <c r="N1207" s="31">
        <v>0</v>
      </c>
      <c r="O1207" s="31">
        <v>0</v>
      </c>
      <c r="P1207" s="31">
        <v>0</v>
      </c>
      <c r="Q1207" s="31">
        <v>1</v>
      </c>
      <c r="R1207" s="31">
        <v>0</v>
      </c>
      <c r="S1207" s="31">
        <v>0</v>
      </c>
      <c r="T1207" s="21" cm="1">
        <f t="array" aca="1" ref="T1207" ca="1">+fair_value_gap(OFFSET(S1206,0,0,-1*$I$5,-1*$Z$1),OFFSET(E1206,0,0,-1*$I$5,1),F1207:S1207,0)</f>
        <v>13.807114810686869</v>
      </c>
      <c r="U1207" s="7" cm="1">
        <f t="array" aca="1" ref="U1207" ca="1">z_score_diff(OFFSET(T1207,0,0,$I$5*-1,1),OFFSET(E1207,0,0,$I$5*-1,1))</f>
        <v>0.22246504415842006</v>
      </c>
      <c r="V1207" s="7">
        <f t="shared" ca="1" si="1267"/>
        <v>0.13005245854824726</v>
      </c>
      <c r="W1207" s="14">
        <f t="shared" ca="1" si="1262"/>
        <v>0.26870617099277511</v>
      </c>
      <c r="X1207" s="10">
        <f t="shared" ref="X1207:Y1207" ca="1" si="1316">+X1206</f>
        <v>0</v>
      </c>
      <c r="Y1207" s="10">
        <f t="shared" ca="1" si="1316"/>
        <v>0</v>
      </c>
      <c r="Z1207">
        <f t="shared" ca="1" si="1269"/>
        <v>0</v>
      </c>
      <c r="AA1207">
        <f t="shared" ca="1" si="1270"/>
        <v>1</v>
      </c>
      <c r="AB1207" s="19">
        <f t="shared" ca="1" si="1271"/>
        <v>0</v>
      </c>
      <c r="AC1207" s="19">
        <f t="shared" ca="1" si="1272"/>
        <v>0.26870617099277511</v>
      </c>
    </row>
    <row r="1208" spans="3:29" x14ac:dyDescent="0.25">
      <c r="C1208" s="4">
        <v>1201</v>
      </c>
      <c r="D1208" s="28">
        <v>43714</v>
      </c>
      <c r="E1208" s="30">
        <v>12.351000000000001</v>
      </c>
      <c r="F1208" s="30">
        <v>55.808470118799306</v>
      </c>
      <c r="G1208" s="30">
        <v>4.0582207309331633</v>
      </c>
      <c r="H1208" s="30">
        <v>54.275868323206673</v>
      </c>
      <c r="I1208" s="8">
        <v>0</v>
      </c>
      <c r="J1208" s="31">
        <v>0</v>
      </c>
      <c r="K1208" s="31">
        <v>0</v>
      </c>
      <c r="L1208" s="31">
        <v>0</v>
      </c>
      <c r="M1208" s="31">
        <v>0</v>
      </c>
      <c r="N1208" s="31">
        <v>0</v>
      </c>
      <c r="O1208" s="31">
        <v>0</v>
      </c>
      <c r="P1208" s="31">
        <v>0</v>
      </c>
      <c r="Q1208" s="31">
        <v>1</v>
      </c>
      <c r="R1208" s="31">
        <v>0</v>
      </c>
      <c r="S1208" s="31">
        <v>0</v>
      </c>
      <c r="T1208" s="21" cm="1">
        <f t="array" aca="1" ref="T1208" ca="1">+fair_value_gap(OFFSET(S1207,0,0,-1*$I$5,-1*$Z$1),OFFSET(E1207,0,0,-1*$I$5,1),F1208:S1208,0)</f>
        <v>13.380021071434964</v>
      </c>
      <c r="U1208" s="7" cm="1">
        <f t="array" aca="1" ref="U1208" ca="1">z_score_diff(OFFSET(T1208,0,0,$I$5*-1,1),OFFSET(E1208,0,0,$I$5*-1,1))</f>
        <v>0.12256039278530129</v>
      </c>
      <c r="V1208" s="7">
        <f t="shared" ca="1" si="1267"/>
        <v>0.14049719558555357</v>
      </c>
      <c r="W1208" s="14">
        <f t="shared" ca="1" si="1262"/>
        <v>0.24430895596757246</v>
      </c>
      <c r="X1208" s="10">
        <f t="shared" ref="X1208:Y1208" ca="1" si="1317">+X1207</f>
        <v>0</v>
      </c>
      <c r="Y1208" s="10">
        <f t="shared" ca="1" si="1317"/>
        <v>0</v>
      </c>
      <c r="Z1208">
        <f t="shared" ca="1" si="1269"/>
        <v>0</v>
      </c>
      <c r="AA1208">
        <f t="shared" ca="1" si="1270"/>
        <v>1</v>
      </c>
      <c r="AB1208" s="19">
        <f t="shared" ca="1" si="1271"/>
        <v>0</v>
      </c>
      <c r="AC1208" s="19">
        <f t="shared" ca="1" si="1272"/>
        <v>0.24430895596757246</v>
      </c>
    </row>
    <row r="1209" spans="3:29" x14ac:dyDescent="0.25">
      <c r="C1209" s="4">
        <v>1202</v>
      </c>
      <c r="D1209" s="28">
        <v>43717</v>
      </c>
      <c r="E1209" s="30">
        <v>12.236000000000001</v>
      </c>
      <c r="F1209" s="30">
        <v>56.663045446315408</v>
      </c>
      <c r="G1209" s="30">
        <v>4.078399420604744</v>
      </c>
      <c r="H1209" s="30">
        <v>53.59406119862394</v>
      </c>
      <c r="I1209" s="8">
        <v>0</v>
      </c>
      <c r="J1209" s="31">
        <v>0</v>
      </c>
      <c r="K1209" s="31">
        <v>0</v>
      </c>
      <c r="L1209" s="31">
        <v>0</v>
      </c>
      <c r="M1209" s="31">
        <v>0</v>
      </c>
      <c r="N1209" s="31">
        <v>0</v>
      </c>
      <c r="O1209" s="31">
        <v>0</v>
      </c>
      <c r="P1209" s="31">
        <v>0</v>
      </c>
      <c r="Q1209" s="31">
        <v>1</v>
      </c>
      <c r="R1209" s="31">
        <v>0</v>
      </c>
      <c r="S1209" s="31">
        <v>0</v>
      </c>
      <c r="T1209" s="21" cm="1">
        <f t="array" aca="1" ref="T1209" ca="1">+fair_value_gap(OFFSET(S1208,0,0,-1*$I$5,-1*$Z$1),OFFSET(E1208,0,0,-1*$I$5,1),F1209:S1209,0)</f>
        <v>13.136898124415898</v>
      </c>
      <c r="U1209" s="7" cm="1">
        <f t="array" aca="1" ref="U1209" ca="1">z_score_diff(OFFSET(T1209,0,0,$I$5*-1,1),OFFSET(E1209,0,0,$I$5*-1,1))</f>
        <v>9.5892139818826161E-2</v>
      </c>
      <c r="V1209" s="7">
        <f t="shared" ca="1" si="1267"/>
        <v>0.14458637972585864</v>
      </c>
      <c r="W1209" s="14">
        <f t="shared" ca="1" si="1262"/>
        <v>0.23690910859335493</v>
      </c>
      <c r="X1209" s="10">
        <f t="shared" ref="X1209:Y1209" ca="1" si="1318">+X1208</f>
        <v>0</v>
      </c>
      <c r="Y1209" s="10">
        <f t="shared" ca="1" si="1318"/>
        <v>0</v>
      </c>
      <c r="Z1209">
        <f t="shared" ca="1" si="1269"/>
        <v>0</v>
      </c>
      <c r="AA1209">
        <f t="shared" ca="1" si="1270"/>
        <v>1</v>
      </c>
      <c r="AB1209" s="19">
        <f t="shared" ca="1" si="1271"/>
        <v>0</v>
      </c>
      <c r="AC1209" s="19">
        <f t="shared" ca="1" si="1272"/>
        <v>0.23690910859335493</v>
      </c>
    </row>
    <row r="1210" spans="3:29" x14ac:dyDescent="0.25">
      <c r="C1210" s="4">
        <v>1203</v>
      </c>
      <c r="D1210" s="28">
        <v>43718</v>
      </c>
      <c r="E1210" s="30">
        <v>14.404</v>
      </c>
      <c r="F1210" s="30">
        <v>56.488273114189987</v>
      </c>
      <c r="G1210" s="30">
        <v>4.0976184007968852</v>
      </c>
      <c r="H1210" s="30">
        <v>54.966947387485284</v>
      </c>
      <c r="I1210" s="8">
        <v>0</v>
      </c>
      <c r="J1210" s="31">
        <v>0</v>
      </c>
      <c r="K1210" s="31">
        <v>0</v>
      </c>
      <c r="L1210" s="31">
        <v>0</v>
      </c>
      <c r="M1210" s="31">
        <v>0</v>
      </c>
      <c r="N1210" s="31">
        <v>0</v>
      </c>
      <c r="O1210" s="31">
        <v>0</v>
      </c>
      <c r="P1210" s="31">
        <v>0</v>
      </c>
      <c r="Q1210" s="31">
        <v>1</v>
      </c>
      <c r="R1210" s="31">
        <v>0</v>
      </c>
      <c r="S1210" s="31">
        <v>0</v>
      </c>
      <c r="T1210" s="21" cm="1">
        <f t="array" aca="1" ref="T1210" ca="1">+fair_value_gap(OFFSET(S1209,0,0,-1*$I$5,-1*$Z$1),OFFSET(E1209,0,0,-1*$I$5,1),F1210:S1210,0)</f>
        <v>13.256556515016438</v>
      </c>
      <c r="U1210" s="7" cm="1">
        <f t="array" aca="1" ref="U1210" ca="1">z_score_diff(OFFSET(T1210,0,0,$I$5*-1,1),OFFSET(E1210,0,0,$I$5*-1,1))</f>
        <v>-0.24702855790857525</v>
      </c>
      <c r="V1210" s="7">
        <f t="shared" ca="1" si="1267"/>
        <v>0.13529203494948511</v>
      </c>
      <c r="W1210" s="14">
        <f t="shared" ca="1" si="1262"/>
        <v>8.2325789330536248E-2</v>
      </c>
      <c r="X1210" s="10">
        <f t="shared" ref="X1210:Y1210" ca="1" si="1319">+X1209</f>
        <v>0</v>
      </c>
      <c r="Y1210" s="10">
        <f t="shared" ca="1" si="1319"/>
        <v>0</v>
      </c>
      <c r="Z1210">
        <f t="shared" ca="1" si="1269"/>
        <v>0</v>
      </c>
      <c r="AA1210">
        <f t="shared" ca="1" si="1270"/>
        <v>1</v>
      </c>
      <c r="AB1210" s="19">
        <f t="shared" ca="1" si="1271"/>
        <v>0</v>
      </c>
      <c r="AC1210" s="19">
        <f t="shared" ca="1" si="1272"/>
        <v>8.2325789330536248E-2</v>
      </c>
    </row>
    <row r="1211" spans="3:29" x14ac:dyDescent="0.25">
      <c r="C1211" s="4">
        <v>1204</v>
      </c>
      <c r="D1211" s="28">
        <v>43719</v>
      </c>
      <c r="E1211" s="30">
        <v>14.355</v>
      </c>
      <c r="F1211" s="30">
        <v>55.236624579889181</v>
      </c>
      <c r="G1211" s="30">
        <v>4.1511490598601144</v>
      </c>
      <c r="H1211" s="30">
        <v>54.591697701880278</v>
      </c>
      <c r="I1211" s="8">
        <v>0</v>
      </c>
      <c r="J1211" s="31">
        <v>0</v>
      </c>
      <c r="K1211" s="31">
        <v>0</v>
      </c>
      <c r="L1211" s="31">
        <v>0</v>
      </c>
      <c r="M1211" s="31">
        <v>0</v>
      </c>
      <c r="N1211" s="31">
        <v>0</v>
      </c>
      <c r="O1211" s="31">
        <v>0</v>
      </c>
      <c r="P1211" s="31">
        <v>0</v>
      </c>
      <c r="Q1211" s="31">
        <v>1</v>
      </c>
      <c r="R1211" s="31">
        <v>0</v>
      </c>
      <c r="S1211" s="31">
        <v>0</v>
      </c>
      <c r="T1211" s="21" cm="1">
        <f t="array" aca="1" ref="T1211" ca="1">+fair_value_gap(OFFSET(S1210,0,0,-1*$I$5,-1*$Z$1),OFFSET(E1210,0,0,-1*$I$5,1),F1211:S1211,0)</f>
        <v>13.524958241435391</v>
      </c>
      <c r="U1211" s="7" cm="1">
        <f t="array" aca="1" ref="U1211" ca="1">z_score_diff(OFFSET(T1211,0,0,$I$5*-1,1),OFFSET(E1211,0,0,$I$5*-1,1))</f>
        <v>-0.18779234585829629</v>
      </c>
      <c r="V1211" s="7">
        <f t="shared" ca="1" si="1267"/>
        <v>0.12276622052455614</v>
      </c>
      <c r="W1211" s="14">
        <f t="shared" ca="1" si="1262"/>
        <v>8.1440331940174485E-2</v>
      </c>
      <c r="X1211" s="10">
        <f t="shared" ref="X1211:Y1211" ca="1" si="1320">+X1210</f>
        <v>0</v>
      </c>
      <c r="Y1211" s="10">
        <f t="shared" ca="1" si="1320"/>
        <v>0</v>
      </c>
      <c r="Z1211">
        <f t="shared" ca="1" si="1269"/>
        <v>0</v>
      </c>
      <c r="AA1211">
        <f t="shared" ca="1" si="1270"/>
        <v>1</v>
      </c>
      <c r="AB1211" s="19">
        <f t="shared" ca="1" si="1271"/>
        <v>0</v>
      </c>
      <c r="AC1211" s="19">
        <f t="shared" ca="1" si="1272"/>
        <v>8.1440331940174485E-2</v>
      </c>
    </row>
    <row r="1212" spans="3:29" x14ac:dyDescent="0.25">
      <c r="C1212" s="4">
        <v>1205</v>
      </c>
      <c r="D1212" s="28">
        <v>43720</v>
      </c>
      <c r="E1212" s="30">
        <v>14.462999999999999</v>
      </c>
      <c r="F1212" s="30">
        <v>54.588192749299338</v>
      </c>
      <c r="G1212" s="30">
        <v>4.1316336678419674</v>
      </c>
      <c r="H1212" s="30">
        <v>54.199439472018803</v>
      </c>
      <c r="I1212" s="8">
        <v>0</v>
      </c>
      <c r="J1212" s="31">
        <v>0</v>
      </c>
      <c r="K1212" s="31">
        <v>0</v>
      </c>
      <c r="L1212" s="31">
        <v>0</v>
      </c>
      <c r="M1212" s="31">
        <v>0</v>
      </c>
      <c r="N1212" s="31">
        <v>0</v>
      </c>
      <c r="O1212" s="31">
        <v>0</v>
      </c>
      <c r="P1212" s="31">
        <v>0</v>
      </c>
      <c r="Q1212" s="31">
        <v>1</v>
      </c>
      <c r="R1212" s="31">
        <v>0</v>
      </c>
      <c r="S1212" s="31">
        <v>0</v>
      </c>
      <c r="T1212" s="21" cm="1">
        <f t="array" aca="1" ref="T1212" ca="1">+fair_value_gap(OFFSET(S1211,0,0,-1*$I$5,-1*$Z$1),OFFSET(E1211,0,0,-1*$I$5,1),F1212:S1212,0)</f>
        <v>13.544211378984159</v>
      </c>
      <c r="U1212" s="7" cm="1">
        <f t="array" aca="1" ref="U1212" ca="1">z_score_diff(OFFSET(T1212,0,0,$I$5*-1,1),OFFSET(E1212,0,0,$I$5*-1,1))</f>
        <v>-0.20262485832158461</v>
      </c>
      <c r="V1212" s="7">
        <f t="shared" ca="1" si="1267"/>
        <v>0.11040331187919392</v>
      </c>
      <c r="W1212" s="14">
        <f t="shared" ca="1" si="1262"/>
        <v>9.1575836231694657E-2</v>
      </c>
      <c r="X1212" s="10">
        <f t="shared" ref="X1212:Y1212" ca="1" si="1321">+X1211</f>
        <v>0</v>
      </c>
      <c r="Y1212" s="10">
        <f t="shared" ca="1" si="1321"/>
        <v>0</v>
      </c>
      <c r="Z1212">
        <f t="shared" ca="1" si="1269"/>
        <v>0</v>
      </c>
      <c r="AA1212">
        <f t="shared" ca="1" si="1270"/>
        <v>1</v>
      </c>
      <c r="AB1212" s="19">
        <f t="shared" ca="1" si="1271"/>
        <v>0</v>
      </c>
      <c r="AC1212" s="19">
        <f t="shared" ca="1" si="1272"/>
        <v>9.1575836231694657E-2</v>
      </c>
    </row>
    <row r="1213" spans="3:29" x14ac:dyDescent="0.25">
      <c r="C1213" s="4">
        <v>1206</v>
      </c>
      <c r="D1213" s="28">
        <v>43721</v>
      </c>
      <c r="E1213" s="30">
        <v>14.711</v>
      </c>
      <c r="F1213" s="30">
        <v>54.384538968662511</v>
      </c>
      <c r="G1213" s="30">
        <v>4.140702609952136</v>
      </c>
      <c r="H1213" s="30">
        <v>54.682561184864085</v>
      </c>
      <c r="I1213" s="8">
        <v>0</v>
      </c>
      <c r="J1213" s="31">
        <v>0</v>
      </c>
      <c r="K1213" s="31">
        <v>0</v>
      </c>
      <c r="L1213" s="31">
        <v>0</v>
      </c>
      <c r="M1213" s="31">
        <v>0</v>
      </c>
      <c r="N1213" s="31">
        <v>0</v>
      </c>
      <c r="O1213" s="31">
        <v>0</v>
      </c>
      <c r="P1213" s="31">
        <v>0</v>
      </c>
      <c r="Q1213" s="31">
        <v>1</v>
      </c>
      <c r="R1213" s="31">
        <v>0</v>
      </c>
      <c r="S1213" s="31">
        <v>0</v>
      </c>
      <c r="T1213" s="21" cm="1">
        <f t="array" aca="1" ref="T1213" ca="1">+fair_value_gap(OFFSET(S1212,0,0,-1*$I$5,-1*$Z$1),OFFSET(E1212,0,0,-1*$I$5,1),F1213:S1213,0)</f>
        <v>13.697453859932452</v>
      </c>
      <c r="U1213" s="7" cm="1">
        <f t="array" aca="1" ref="U1213" ca="1">z_score_diff(OFFSET(T1213,0,0,$I$5*-1,1),OFFSET(E1213,0,0,$I$5*-1,1))</f>
        <v>-0.21599801423933784</v>
      </c>
      <c r="V1213" s="7">
        <f t="shared" ca="1" si="1267"/>
        <v>9.130087404937258E-2</v>
      </c>
      <c r="W1213" s="14">
        <f t="shared" ca="1" si="1262"/>
        <v>9.2457287383835893E-2</v>
      </c>
      <c r="X1213" s="10">
        <f t="shared" ref="X1213:Y1213" ca="1" si="1322">+X1212</f>
        <v>0</v>
      </c>
      <c r="Y1213" s="10">
        <f t="shared" ca="1" si="1322"/>
        <v>0</v>
      </c>
      <c r="Z1213">
        <f t="shared" ca="1" si="1269"/>
        <v>0</v>
      </c>
      <c r="AA1213">
        <f t="shared" ca="1" si="1270"/>
        <v>1</v>
      </c>
      <c r="AB1213" s="19">
        <f t="shared" ca="1" si="1271"/>
        <v>0</v>
      </c>
      <c r="AC1213" s="19">
        <f t="shared" ca="1" si="1272"/>
        <v>9.2457287383835893E-2</v>
      </c>
    </row>
    <row r="1214" spans="3:29" x14ac:dyDescent="0.25">
      <c r="C1214" s="4">
        <v>1207</v>
      </c>
      <c r="D1214" s="28">
        <v>43724</v>
      </c>
      <c r="E1214" s="30">
        <v>15.334</v>
      </c>
      <c r="F1214" s="30">
        <v>62.745454545454535</v>
      </c>
      <c r="G1214" s="30">
        <v>5.9409090909090905</v>
      </c>
      <c r="H1214" s="30">
        <v>55.272727272727266</v>
      </c>
      <c r="I1214" s="8">
        <v>0</v>
      </c>
      <c r="J1214" s="31">
        <v>0</v>
      </c>
      <c r="K1214" s="31">
        <v>0</v>
      </c>
      <c r="L1214" s="31">
        <v>0</v>
      </c>
      <c r="M1214" s="31">
        <v>0</v>
      </c>
      <c r="N1214" s="31">
        <v>0</v>
      </c>
      <c r="O1214" s="31">
        <v>0</v>
      </c>
      <c r="P1214" s="31">
        <v>0</v>
      </c>
      <c r="Q1214" s="31">
        <v>1</v>
      </c>
      <c r="R1214" s="31">
        <v>0</v>
      </c>
      <c r="S1214" s="31">
        <v>0</v>
      </c>
      <c r="T1214" s="21" cm="1">
        <f t="array" aca="1" ref="T1214" ca="1">+fair_value_gap(OFFSET(S1213,0,0,-1*$I$5,-1*$Z$1),OFFSET(E1213,0,0,-1*$I$5,1),F1214:S1214,0)</f>
        <v>16.459613054858508</v>
      </c>
      <c r="U1214" s="7" cm="1">
        <f t="array" aca="1" ref="U1214" ca="1">z_score_diff(OFFSET(T1214,0,0,$I$5*-1,1),OFFSET(E1214,0,0,$I$5*-1,1))</f>
        <v>0.21227590518785849</v>
      </c>
      <c r="V1214" s="7">
        <f t="shared" ca="1" si="1267"/>
        <v>9.3415141383091801E-2</v>
      </c>
      <c r="W1214" s="14">
        <f t="shared" ca="1" si="1262"/>
        <v>4.5013017301665625E-2</v>
      </c>
      <c r="X1214" s="10">
        <f t="shared" ref="X1214:Y1214" ca="1" si="1323">+X1213</f>
        <v>0</v>
      </c>
      <c r="Y1214" s="10">
        <f t="shared" ca="1" si="1323"/>
        <v>0</v>
      </c>
      <c r="Z1214">
        <f t="shared" ca="1" si="1269"/>
        <v>0</v>
      </c>
      <c r="AA1214">
        <f t="shared" ca="1" si="1270"/>
        <v>1</v>
      </c>
      <c r="AB1214" s="19">
        <f t="shared" ca="1" si="1271"/>
        <v>0</v>
      </c>
      <c r="AC1214" s="19">
        <f t="shared" ca="1" si="1272"/>
        <v>4.5013017301665625E-2</v>
      </c>
    </row>
    <row r="1215" spans="3:29" x14ac:dyDescent="0.25">
      <c r="C1215" s="4">
        <v>1208</v>
      </c>
      <c r="D1215" s="28">
        <v>43725</v>
      </c>
      <c r="E1215" s="30">
        <v>13.441000000000001</v>
      </c>
      <c r="F1215" s="30">
        <v>58.305482792882302</v>
      </c>
      <c r="G1215" s="30">
        <v>5.5415048324451268</v>
      </c>
      <c r="H1215" s="30">
        <v>54.963417938758923</v>
      </c>
      <c r="I1215" s="8">
        <v>0</v>
      </c>
      <c r="J1215" s="31">
        <v>0</v>
      </c>
      <c r="K1215" s="31">
        <v>0</v>
      </c>
      <c r="L1215" s="31">
        <v>0</v>
      </c>
      <c r="M1215" s="31">
        <v>0</v>
      </c>
      <c r="N1215" s="31">
        <v>0</v>
      </c>
      <c r="O1215" s="31">
        <v>0</v>
      </c>
      <c r="P1215" s="31">
        <v>0</v>
      </c>
      <c r="Q1215" s="31">
        <v>1</v>
      </c>
      <c r="R1215" s="31">
        <v>0</v>
      </c>
      <c r="S1215" s="31">
        <v>0</v>
      </c>
      <c r="T1215" s="21" cm="1">
        <f t="array" aca="1" ref="T1215" ca="1">+fair_value_gap(OFFSET(S1214,0,0,-1*$I$5,-1*$Z$1),OFFSET(E1214,0,0,-1*$I$5,1),F1215:S1215,0)</f>
        <v>15.687911797343592</v>
      </c>
      <c r="U1215" s="7" cm="1">
        <f t="array" aca="1" ref="U1215" ca="1">z_score_diff(OFFSET(T1215,0,0,$I$5*-1,1),OFFSET(E1215,0,0,$I$5*-1,1))</f>
        <v>0.39268230389876552</v>
      </c>
      <c r="V1215" s="7">
        <f t="shared" ca="1" si="1267"/>
        <v>0.10886926826525964</v>
      </c>
      <c r="W1215" s="14">
        <f t="shared" ca="1" si="1262"/>
        <v>0.17833325547881057</v>
      </c>
      <c r="X1215" s="10">
        <f t="shared" ref="X1215:Y1215" ca="1" si="1324">+X1214</f>
        <v>0</v>
      </c>
      <c r="Y1215" s="10">
        <f t="shared" ca="1" si="1324"/>
        <v>0</v>
      </c>
      <c r="Z1215">
        <f t="shared" ca="1" si="1269"/>
        <v>0</v>
      </c>
      <c r="AA1215">
        <f t="shared" ca="1" si="1270"/>
        <v>1</v>
      </c>
      <c r="AB1215" s="19">
        <f t="shared" ca="1" si="1271"/>
        <v>0</v>
      </c>
      <c r="AC1215" s="19">
        <f t="shared" ca="1" si="1272"/>
        <v>0.17833325547881057</v>
      </c>
    </row>
    <row r="1216" spans="3:29" x14ac:dyDescent="0.25">
      <c r="C1216" s="4">
        <v>1209</v>
      </c>
      <c r="D1216" s="28">
        <v>43726</v>
      </c>
      <c r="E1216" s="30">
        <v>12.433999999999999</v>
      </c>
      <c r="F1216" s="30">
        <v>57.66615286970714</v>
      </c>
      <c r="G1216" s="30">
        <v>5.3449995466497411</v>
      </c>
      <c r="H1216" s="30">
        <v>54.719376190044429</v>
      </c>
      <c r="I1216" s="8">
        <v>0</v>
      </c>
      <c r="J1216" s="31">
        <v>0</v>
      </c>
      <c r="K1216" s="31">
        <v>0</v>
      </c>
      <c r="L1216" s="31">
        <v>0</v>
      </c>
      <c r="M1216" s="31">
        <v>0</v>
      </c>
      <c r="N1216" s="31">
        <v>0</v>
      </c>
      <c r="O1216" s="31">
        <v>0</v>
      </c>
      <c r="P1216" s="31">
        <v>0</v>
      </c>
      <c r="Q1216" s="31">
        <v>1</v>
      </c>
      <c r="R1216" s="31">
        <v>0</v>
      </c>
      <c r="S1216" s="31">
        <v>0</v>
      </c>
      <c r="T1216" s="21" cm="1">
        <f t="array" aca="1" ref="T1216" ca="1">+fair_value_gap(OFFSET(S1215,0,0,-1*$I$5,-1*$Z$1),OFFSET(E1215,0,0,-1*$I$5,1),F1216:S1216,0)</f>
        <v>14.971068974871862</v>
      </c>
      <c r="U1216" s="7" cm="1">
        <f t="array" aca="1" ref="U1216" ca="1">z_score_diff(OFFSET(T1216,0,0,$I$5*-1,1),OFFSET(E1216,0,0,$I$5*-1,1))</f>
        <v>0.42869307526027384</v>
      </c>
      <c r="V1216" s="7">
        <f t="shared" ca="1" si="1267"/>
        <v>0.12883075963792145</v>
      </c>
      <c r="W1216" s="14">
        <f t="shared" ca="1" si="1262"/>
        <v>0.25670618973985826</v>
      </c>
      <c r="X1216" s="10">
        <f t="shared" ref="X1216:Y1216" ca="1" si="1325">+X1215</f>
        <v>0</v>
      </c>
      <c r="Y1216" s="10">
        <f t="shared" ca="1" si="1325"/>
        <v>0</v>
      </c>
      <c r="Z1216">
        <f t="shared" ca="1" si="1269"/>
        <v>0</v>
      </c>
      <c r="AA1216">
        <f t="shared" ca="1" si="1270"/>
        <v>1</v>
      </c>
      <c r="AB1216" s="19">
        <f t="shared" ca="1" si="1271"/>
        <v>0</v>
      </c>
      <c r="AC1216" s="19">
        <f t="shared" ca="1" si="1272"/>
        <v>0.25670618973985826</v>
      </c>
    </row>
    <row r="1217" spans="3:29" x14ac:dyDescent="0.25">
      <c r="C1217" s="4">
        <v>1210</v>
      </c>
      <c r="D1217" s="28">
        <v>43727</v>
      </c>
      <c r="E1217" s="30">
        <v>12.255000000000001</v>
      </c>
      <c r="F1217" s="30">
        <v>58.333333333333336</v>
      </c>
      <c r="G1217" s="30">
        <v>5.2762681159420284</v>
      </c>
      <c r="H1217" s="30">
        <v>54.483695652173907</v>
      </c>
      <c r="I1217" s="8">
        <v>0</v>
      </c>
      <c r="J1217" s="31">
        <v>0</v>
      </c>
      <c r="K1217" s="31">
        <v>0</v>
      </c>
      <c r="L1217" s="31">
        <v>0</v>
      </c>
      <c r="M1217" s="31">
        <v>0</v>
      </c>
      <c r="N1217" s="31">
        <v>0</v>
      </c>
      <c r="O1217" s="31">
        <v>0</v>
      </c>
      <c r="P1217" s="31">
        <v>0</v>
      </c>
      <c r="Q1217" s="31">
        <v>1</v>
      </c>
      <c r="R1217" s="31">
        <v>0</v>
      </c>
      <c r="S1217" s="31">
        <v>0</v>
      </c>
      <c r="T1217" s="21" cm="1">
        <f t="array" aca="1" ref="T1217" ca="1">+fair_value_gap(OFFSET(S1216,0,0,-1*$I$5,-1*$Z$1),OFFSET(E1216,0,0,-1*$I$5,1),F1217:S1217,0)</f>
        <v>14.396962628828721</v>
      </c>
      <c r="U1217" s="7" cm="1">
        <f t="array" aca="1" ref="U1217" ca="1">z_score_diff(OFFSET(T1217,0,0,$I$5*-1,1),OFFSET(E1217,0,0,$I$5*-1,1))</f>
        <v>0.34579443434567914</v>
      </c>
      <c r="V1217" s="7">
        <f t="shared" ca="1" si="1267"/>
        <v>0.14311464141792068</v>
      </c>
      <c r="W1217" s="14">
        <f t="shared" ca="1" si="1262"/>
        <v>0.26834078303136238</v>
      </c>
      <c r="X1217" s="10">
        <f t="shared" ref="X1217:Y1217" ca="1" si="1326">+X1216</f>
        <v>0</v>
      </c>
      <c r="Y1217" s="10">
        <f t="shared" ca="1" si="1326"/>
        <v>0</v>
      </c>
      <c r="Z1217">
        <f t="shared" ca="1" si="1269"/>
        <v>0</v>
      </c>
      <c r="AA1217">
        <f t="shared" ca="1" si="1270"/>
        <v>1</v>
      </c>
      <c r="AB1217" s="19">
        <f t="shared" ca="1" si="1271"/>
        <v>0</v>
      </c>
      <c r="AC1217" s="19">
        <f t="shared" ca="1" si="1272"/>
        <v>0.26834078303136238</v>
      </c>
    </row>
    <row r="1218" spans="3:29" x14ac:dyDescent="0.25">
      <c r="C1218" s="4">
        <v>1211</v>
      </c>
      <c r="D1218" s="28">
        <v>43728</v>
      </c>
      <c r="E1218" s="30">
        <v>12.711</v>
      </c>
      <c r="F1218" s="30">
        <v>58.346192248343478</v>
      </c>
      <c r="G1218" s="30">
        <v>5.4415902695833713</v>
      </c>
      <c r="H1218" s="30">
        <v>54.960515566851235</v>
      </c>
      <c r="I1218" s="8">
        <v>0</v>
      </c>
      <c r="J1218" s="31">
        <v>0</v>
      </c>
      <c r="K1218" s="31">
        <v>0</v>
      </c>
      <c r="L1218" s="31">
        <v>0</v>
      </c>
      <c r="M1218" s="31">
        <v>0</v>
      </c>
      <c r="N1218" s="31">
        <v>0</v>
      </c>
      <c r="O1218" s="31">
        <v>0</v>
      </c>
      <c r="P1218" s="31">
        <v>0</v>
      </c>
      <c r="Q1218" s="31">
        <v>1</v>
      </c>
      <c r="R1218" s="31">
        <v>0</v>
      </c>
      <c r="S1218" s="31">
        <v>0</v>
      </c>
      <c r="T1218" s="21" cm="1">
        <f t="array" aca="1" ref="T1218" ca="1">+fair_value_gap(OFFSET(S1217,0,0,-1*$I$5,-1*$Z$1),OFFSET(E1217,0,0,-1*$I$5,1),F1218:S1218,0)</f>
        <v>14.258024258647836</v>
      </c>
      <c r="U1218" s="7" cm="1">
        <f t="array" aca="1" ref="U1218" ca="1">z_score_diff(OFFSET(T1218,0,0,$I$5*-1,1),OFFSET(E1218,0,0,$I$5*-1,1))</f>
        <v>0.23653520254578031</v>
      </c>
      <c r="V1218" s="7">
        <f t="shared" ca="1" si="1267"/>
        <v>0.15052222610732482</v>
      </c>
      <c r="W1218" s="14">
        <f t="shared" ca="1" si="1262"/>
        <v>0.22805633204503251</v>
      </c>
      <c r="X1218" s="10">
        <f t="shared" ref="X1218:Y1218" ca="1" si="1327">+X1217</f>
        <v>0</v>
      </c>
      <c r="Y1218" s="10">
        <f t="shared" ca="1" si="1327"/>
        <v>0</v>
      </c>
      <c r="Z1218">
        <f t="shared" ca="1" si="1269"/>
        <v>0</v>
      </c>
      <c r="AA1218">
        <f t="shared" ca="1" si="1270"/>
        <v>1</v>
      </c>
      <c r="AB1218" s="19">
        <f t="shared" ca="1" si="1271"/>
        <v>0</v>
      </c>
      <c r="AC1218" s="19">
        <f t="shared" ca="1" si="1272"/>
        <v>0.22805633204503251</v>
      </c>
    </row>
    <row r="1219" spans="3:29" x14ac:dyDescent="0.25">
      <c r="C1219" s="4">
        <v>1212</v>
      </c>
      <c r="D1219" s="28">
        <v>43731</v>
      </c>
      <c r="E1219" s="30">
        <v>12.243</v>
      </c>
      <c r="F1219" s="30">
        <v>58.930033663906833</v>
      </c>
      <c r="G1219" s="30">
        <v>5.2315530888909105</v>
      </c>
      <c r="H1219" s="30">
        <v>54.271676826494406</v>
      </c>
      <c r="I1219" s="8">
        <v>0</v>
      </c>
      <c r="J1219" s="31">
        <v>0</v>
      </c>
      <c r="K1219" s="31">
        <v>0</v>
      </c>
      <c r="L1219" s="31">
        <v>0</v>
      </c>
      <c r="M1219" s="31">
        <v>0</v>
      </c>
      <c r="N1219" s="31">
        <v>0</v>
      </c>
      <c r="O1219" s="31">
        <v>0</v>
      </c>
      <c r="P1219" s="31">
        <v>0</v>
      </c>
      <c r="Q1219" s="31">
        <v>1</v>
      </c>
      <c r="R1219" s="31">
        <v>0</v>
      </c>
      <c r="S1219" s="31">
        <v>0</v>
      </c>
      <c r="T1219" s="21" cm="1">
        <f t="array" aca="1" ref="T1219" ca="1">+fair_value_gap(OFFSET(S1218,0,0,-1*$I$5,-1*$Z$1),OFFSET(E1218,0,0,-1*$I$5,1),F1219:S1219,0)</f>
        <v>13.409388623323487</v>
      </c>
      <c r="U1219" s="7" cm="1">
        <f t="array" aca="1" ref="U1219" ca="1">z_score_diff(OFFSET(T1219,0,0,$I$5*-1,1),OFFSET(E1219,0,0,$I$5*-1,1))</f>
        <v>0.14798411685758894</v>
      </c>
      <c r="V1219" s="7">
        <f t="shared" ca="1" si="1267"/>
        <v>0.15264884031200526</v>
      </c>
      <c r="W1219" s="14">
        <f t="shared" ca="1" si="1262"/>
        <v>0.24295738943556239</v>
      </c>
      <c r="X1219" s="10">
        <f t="shared" ref="X1219:Y1219" ca="1" si="1328">+X1218</f>
        <v>0</v>
      </c>
      <c r="Y1219" s="10">
        <f t="shared" ca="1" si="1328"/>
        <v>0</v>
      </c>
      <c r="Z1219">
        <f t="shared" ca="1" si="1269"/>
        <v>0</v>
      </c>
      <c r="AA1219">
        <f t="shared" ca="1" si="1270"/>
        <v>1</v>
      </c>
      <c r="AB1219" s="19">
        <f t="shared" ca="1" si="1271"/>
        <v>0</v>
      </c>
      <c r="AC1219" s="19">
        <f t="shared" ca="1" si="1272"/>
        <v>0.24295738943556239</v>
      </c>
    </row>
    <row r="1220" spans="3:29" x14ac:dyDescent="0.25">
      <c r="C1220" s="4">
        <v>1213</v>
      </c>
      <c r="D1220" s="28">
        <v>43732</v>
      </c>
      <c r="E1220" s="30">
        <v>12.339</v>
      </c>
      <c r="F1220" s="30">
        <v>57.269921945906702</v>
      </c>
      <c r="G1220" s="30">
        <v>5.1642766382283547</v>
      </c>
      <c r="H1220" s="30">
        <v>54.728625884915594</v>
      </c>
      <c r="I1220" s="8">
        <v>0</v>
      </c>
      <c r="J1220" s="31">
        <v>0</v>
      </c>
      <c r="K1220" s="31">
        <v>0</v>
      </c>
      <c r="L1220" s="31">
        <v>0</v>
      </c>
      <c r="M1220" s="31">
        <v>0</v>
      </c>
      <c r="N1220" s="31">
        <v>0</v>
      </c>
      <c r="O1220" s="31">
        <v>0</v>
      </c>
      <c r="P1220" s="31">
        <v>0</v>
      </c>
      <c r="Q1220" s="31">
        <v>1</v>
      </c>
      <c r="R1220" s="31">
        <v>0</v>
      </c>
      <c r="S1220" s="31">
        <v>0</v>
      </c>
      <c r="T1220" s="21" cm="1">
        <f t="array" aca="1" ref="T1220" ca="1">+fair_value_gap(OFFSET(S1219,0,0,-1*$I$5,-1*$Z$1),OFFSET(E1219,0,0,-1*$I$5,1),F1220:S1220,0)</f>
        <v>13.418401829675966</v>
      </c>
      <c r="U1220" s="7" cm="1">
        <f t="array" aca="1" ref="U1220" ca="1">z_score_diff(OFFSET(T1220,0,0,$I$5*-1,1),OFFSET(E1220,0,0,$I$5*-1,1))</f>
        <v>0.13258268290227937</v>
      </c>
      <c r="V1220" s="7">
        <f t="shared" ca="1" si="1267"/>
        <v>0.15279716687766678</v>
      </c>
      <c r="W1220" s="14">
        <f t="shared" ca="1" si="1262"/>
        <v>0.23424949320395405</v>
      </c>
      <c r="X1220" s="10">
        <f t="shared" ref="X1220:Y1220" ca="1" si="1329">+X1219</f>
        <v>0</v>
      </c>
      <c r="Y1220" s="10">
        <f t="shared" ca="1" si="1329"/>
        <v>0</v>
      </c>
      <c r="Z1220">
        <f t="shared" ca="1" si="1269"/>
        <v>0</v>
      </c>
      <c r="AA1220">
        <f t="shared" ca="1" si="1270"/>
        <v>1</v>
      </c>
      <c r="AB1220" s="19">
        <f t="shared" ca="1" si="1271"/>
        <v>0</v>
      </c>
      <c r="AC1220" s="19">
        <f t="shared" ca="1" si="1272"/>
        <v>0.23424949320395405</v>
      </c>
    </row>
    <row r="1221" spans="3:29" x14ac:dyDescent="0.25">
      <c r="C1221" s="4">
        <v>1214</v>
      </c>
      <c r="D1221" s="28">
        <v>43733</v>
      </c>
      <c r="E1221" s="30">
        <v>11.949</v>
      </c>
      <c r="F1221" s="30">
        <v>57.024038022118631</v>
      </c>
      <c r="G1221" s="30">
        <v>5.1183621241202806</v>
      </c>
      <c r="H1221" s="30">
        <v>54.976693172470519</v>
      </c>
      <c r="I1221" s="8">
        <v>0</v>
      </c>
      <c r="J1221" s="31">
        <v>0</v>
      </c>
      <c r="K1221" s="31">
        <v>0</v>
      </c>
      <c r="L1221" s="31">
        <v>0</v>
      </c>
      <c r="M1221" s="31">
        <v>0</v>
      </c>
      <c r="N1221" s="31">
        <v>0</v>
      </c>
      <c r="O1221" s="31">
        <v>0</v>
      </c>
      <c r="P1221" s="31">
        <v>0</v>
      </c>
      <c r="Q1221" s="31">
        <v>1</v>
      </c>
      <c r="R1221" s="31">
        <v>0</v>
      </c>
      <c r="S1221" s="31">
        <v>0</v>
      </c>
      <c r="T1221" s="21" cm="1">
        <f t="array" aca="1" ref="T1221" ca="1">+fair_value_gap(OFFSET(S1220,0,0,-1*$I$5,-1*$Z$1),OFFSET(E1220,0,0,-1*$I$5,1),F1221:S1221,0)</f>
        <v>13.378534754393343</v>
      </c>
      <c r="U1221" s="7" cm="1">
        <f t="array" aca="1" ref="U1221" ca="1">z_score_diff(OFFSET(T1221,0,0,$I$5*-1,1),OFFSET(E1221,0,0,$I$5*-1,1))</f>
        <v>0.19434693519620905</v>
      </c>
      <c r="V1221" s="7">
        <f t="shared" ca="1" si="1267"/>
        <v>0.15820390477447846</v>
      </c>
      <c r="W1221" s="14">
        <f t="shared" ca="1" si="1262"/>
        <v>0.25469346847049679</v>
      </c>
      <c r="X1221" s="10">
        <f t="shared" ref="X1221:Y1221" ca="1" si="1330">+X1220</f>
        <v>0</v>
      </c>
      <c r="Y1221" s="10">
        <f t="shared" ca="1" si="1330"/>
        <v>0</v>
      </c>
      <c r="Z1221">
        <f t="shared" ca="1" si="1269"/>
        <v>0</v>
      </c>
      <c r="AA1221">
        <f t="shared" ca="1" si="1270"/>
        <v>1</v>
      </c>
      <c r="AB1221" s="19">
        <f t="shared" ca="1" si="1271"/>
        <v>0</v>
      </c>
      <c r="AC1221" s="19">
        <f t="shared" ca="1" si="1272"/>
        <v>0.25469346847049679</v>
      </c>
    </row>
    <row r="1222" spans="3:29" x14ac:dyDescent="0.25">
      <c r="C1222" s="4">
        <v>1215</v>
      </c>
      <c r="D1222" s="28">
        <v>43734</v>
      </c>
      <c r="E1222" s="30">
        <v>12.044</v>
      </c>
      <c r="F1222" s="30">
        <v>57.44895156121234</v>
      </c>
      <c r="G1222" s="30">
        <v>5.2238805970149249</v>
      </c>
      <c r="H1222" s="30">
        <v>55.306290632725933</v>
      </c>
      <c r="I1222" s="8">
        <v>0</v>
      </c>
      <c r="J1222" s="31">
        <v>0</v>
      </c>
      <c r="K1222" s="31">
        <v>0</v>
      </c>
      <c r="L1222" s="31">
        <v>0</v>
      </c>
      <c r="M1222" s="31">
        <v>0</v>
      </c>
      <c r="N1222" s="31">
        <v>0</v>
      </c>
      <c r="O1222" s="31">
        <v>0</v>
      </c>
      <c r="P1222" s="31">
        <v>0</v>
      </c>
      <c r="Q1222" s="31">
        <v>1</v>
      </c>
      <c r="R1222" s="31">
        <v>0</v>
      </c>
      <c r="S1222" s="31">
        <v>0</v>
      </c>
      <c r="T1222" s="21" cm="1">
        <f t="array" aca="1" ref="T1222" ca="1">+fair_value_gap(OFFSET(S1221,0,0,-1*$I$5,-1*$Z$1),OFFSET(E1221,0,0,-1*$I$5,1),F1222:S1222,0)</f>
        <v>13.419695559298642</v>
      </c>
      <c r="U1222" s="7" cm="1">
        <f t="array" aca="1" ref="U1222" ca="1">z_score_diff(OFFSET(T1222,0,0,$I$5*-1,1),OFFSET(E1222,0,0,$I$5*-1,1))</f>
        <v>0.18552803338730217</v>
      </c>
      <c r="V1222" s="7">
        <f t="shared" ca="1" si="1267"/>
        <v>0.16725316663606199</v>
      </c>
      <c r="W1222" s="14">
        <f t="shared" ca="1" si="1262"/>
        <v>0.2622876194742878</v>
      </c>
      <c r="X1222" s="10">
        <f t="shared" ref="X1222:Y1222" ca="1" si="1331">+X1221</f>
        <v>0</v>
      </c>
      <c r="Y1222" s="10">
        <f t="shared" ca="1" si="1331"/>
        <v>0</v>
      </c>
      <c r="Z1222">
        <f t="shared" ca="1" si="1269"/>
        <v>0</v>
      </c>
      <c r="AA1222">
        <f t="shared" ca="1" si="1270"/>
        <v>1</v>
      </c>
      <c r="AB1222" s="19">
        <f t="shared" ca="1" si="1271"/>
        <v>0</v>
      </c>
      <c r="AC1222" s="19">
        <f t="shared" ca="1" si="1272"/>
        <v>0.2622876194742878</v>
      </c>
    </row>
    <row r="1223" spans="3:29" x14ac:dyDescent="0.25">
      <c r="C1223" s="4">
        <v>1216</v>
      </c>
      <c r="D1223" s="28">
        <v>43735</v>
      </c>
      <c r="E1223" s="30">
        <v>11.939</v>
      </c>
      <c r="F1223" s="30">
        <v>56.600841104406648</v>
      </c>
      <c r="G1223" s="30">
        <v>5.2569025415980981</v>
      </c>
      <c r="H1223" s="30">
        <v>54.031815688425667</v>
      </c>
      <c r="I1223" s="8">
        <v>0</v>
      </c>
      <c r="J1223" s="31">
        <v>0</v>
      </c>
      <c r="K1223" s="31">
        <v>0</v>
      </c>
      <c r="L1223" s="31">
        <v>0</v>
      </c>
      <c r="M1223" s="31">
        <v>0</v>
      </c>
      <c r="N1223" s="31">
        <v>0</v>
      </c>
      <c r="O1223" s="31">
        <v>0</v>
      </c>
      <c r="P1223" s="31">
        <v>0</v>
      </c>
      <c r="Q1223" s="31">
        <v>1</v>
      </c>
      <c r="R1223" s="31">
        <v>0</v>
      </c>
      <c r="S1223" s="31">
        <v>0</v>
      </c>
      <c r="T1223" s="21" cm="1">
        <f t="array" aca="1" ref="T1223" ca="1">+fair_value_gap(OFFSET(S1222,0,0,-1*$I$5,-1*$Z$1),OFFSET(E1222,0,0,-1*$I$5,1),F1223:S1223,0)</f>
        <v>13.068309465639016</v>
      </c>
      <c r="U1223" s="7" cm="1">
        <f t="array" aca="1" ref="U1223" ca="1">z_score_diff(OFFSET(T1223,0,0,$I$5*-1,1),OFFSET(E1223,0,0,$I$5*-1,1))</f>
        <v>0.13197070059907989</v>
      </c>
      <c r="V1223" s="7">
        <f t="shared" ca="1" si="1267"/>
        <v>0.18928357798140155</v>
      </c>
      <c r="W1223" s="14">
        <f t="shared" ref="W1223:W1286" ca="1" si="1332">+LN(OFFSET(E1223,$W$3,0,1,1)/E1223)</f>
        <v>0.24378506007442105</v>
      </c>
      <c r="X1223" s="10">
        <f t="shared" ref="X1223:Y1223" ca="1" si="1333">+X1222</f>
        <v>0</v>
      </c>
      <c r="Y1223" s="10">
        <f t="shared" ca="1" si="1333"/>
        <v>0</v>
      </c>
      <c r="Z1223">
        <f t="shared" ca="1" si="1269"/>
        <v>0</v>
      </c>
      <c r="AA1223">
        <f t="shared" ca="1" si="1270"/>
        <v>1</v>
      </c>
      <c r="AB1223" s="19">
        <f t="shared" ca="1" si="1271"/>
        <v>0</v>
      </c>
      <c r="AC1223" s="19">
        <f t="shared" ca="1" si="1272"/>
        <v>0.24378506007442105</v>
      </c>
    </row>
    <row r="1224" spans="3:29" x14ac:dyDescent="0.25">
      <c r="C1224" s="4">
        <v>1217</v>
      </c>
      <c r="D1224" s="28">
        <v>43738</v>
      </c>
      <c r="E1224" s="30">
        <v>16.391999999999999</v>
      </c>
      <c r="F1224" s="30">
        <v>55.771701229583407</v>
      </c>
      <c r="G1224" s="30">
        <v>5.221141493852083</v>
      </c>
      <c r="H1224" s="30">
        <v>58.772251789319135</v>
      </c>
      <c r="I1224" s="8">
        <v>0</v>
      </c>
      <c r="J1224" s="31">
        <v>0</v>
      </c>
      <c r="K1224" s="31">
        <v>0</v>
      </c>
      <c r="L1224" s="31">
        <v>0</v>
      </c>
      <c r="M1224" s="31">
        <v>0</v>
      </c>
      <c r="N1224" s="31">
        <v>0</v>
      </c>
      <c r="O1224" s="31">
        <v>0</v>
      </c>
      <c r="P1224" s="31">
        <v>0</v>
      </c>
      <c r="Q1224" s="31">
        <v>1</v>
      </c>
      <c r="R1224" s="31">
        <v>0</v>
      </c>
      <c r="S1224" s="31">
        <v>0</v>
      </c>
      <c r="T1224" s="21" cm="1">
        <f t="array" aca="1" ref="T1224" ca="1">+fair_value_gap(OFFSET(S1223,0,0,-1*$I$5,-1*$Z$1),OFFSET(E1223,0,0,-1*$I$5,1),F1224:S1224,0)</f>
        <v>14.203502312647888</v>
      </c>
      <c r="U1224" s="7" cm="1">
        <f t="array" aca="1" ref="U1224" ca="1">z_score_diff(OFFSET(T1224,0,0,$I$5*-1,1),OFFSET(E1224,0,0,$I$5*-1,1))</f>
        <v>-0.44980922554627634</v>
      </c>
      <c r="V1224" s="7">
        <f t="shared" ca="1" si="1267"/>
        <v>0.12286082295386003</v>
      </c>
      <c r="W1224" s="14">
        <f t="shared" ca="1" si="1332"/>
        <v>-0.130190399748562</v>
      </c>
      <c r="X1224" s="10">
        <f t="shared" ref="X1224:Y1224" ca="1" si="1334">+X1223</f>
        <v>0</v>
      </c>
      <c r="Y1224" s="10">
        <f t="shared" ca="1" si="1334"/>
        <v>0</v>
      </c>
      <c r="Z1224">
        <f t="shared" ca="1" si="1269"/>
        <v>0</v>
      </c>
      <c r="AA1224">
        <f t="shared" ca="1" si="1270"/>
        <v>1</v>
      </c>
      <c r="AB1224" s="19">
        <f t="shared" ca="1" si="1271"/>
        <v>0</v>
      </c>
      <c r="AC1224" s="19">
        <f t="shared" ca="1" si="1272"/>
        <v>-0.130190399748562</v>
      </c>
    </row>
    <row r="1225" spans="3:29" x14ac:dyDescent="0.25">
      <c r="C1225" s="4">
        <v>1218</v>
      </c>
      <c r="D1225" s="28">
        <v>43739</v>
      </c>
      <c r="E1225" s="30">
        <v>16.762</v>
      </c>
      <c r="F1225" s="30">
        <v>53.879231473010066</v>
      </c>
      <c r="G1225" s="30">
        <v>5.2698993595608421</v>
      </c>
      <c r="H1225" s="30">
        <v>57.365050320219581</v>
      </c>
      <c r="I1225" s="8">
        <v>0</v>
      </c>
      <c r="J1225" s="31">
        <v>0</v>
      </c>
      <c r="K1225" s="31">
        <v>0</v>
      </c>
      <c r="L1225" s="31">
        <v>0</v>
      </c>
      <c r="M1225" s="31">
        <v>0</v>
      </c>
      <c r="N1225" s="31">
        <v>0</v>
      </c>
      <c r="O1225" s="31">
        <v>0</v>
      </c>
      <c r="P1225" s="31">
        <v>0</v>
      </c>
      <c r="Q1225" s="31">
        <v>0</v>
      </c>
      <c r="R1225" s="31">
        <v>1</v>
      </c>
      <c r="S1225" s="31">
        <v>0</v>
      </c>
      <c r="T1225" s="21" cm="1">
        <f t="array" aca="1" ref="T1225" ca="1">+fair_value_gap(OFFSET(S1224,0,0,-1*$I$5,-1*$Z$1),OFFSET(E1224,0,0,-1*$I$5,1),F1225:S1225,0)</f>
        <v>16.454855488728988</v>
      </c>
      <c r="U1225" s="7" cm="1">
        <f t="array" aca="1" ref="U1225" ca="1">z_score_diff(OFFSET(T1225,0,0,$I$5*-1,1),OFFSET(E1225,0,0,$I$5*-1,1))</f>
        <v>-4.4099564995408375E-2</v>
      </c>
      <c r="V1225" s="7">
        <f t="shared" ca="1" si="1267"/>
        <v>9.269334257497501E-2</v>
      </c>
      <c r="W1225" s="14">
        <f t="shared" ca="1" si="1332"/>
        <v>-0.19205737778403628</v>
      </c>
      <c r="X1225" s="10">
        <f t="shared" ref="X1225:Y1225" ca="1" si="1335">+X1224</f>
        <v>0</v>
      </c>
      <c r="Y1225" s="10">
        <f t="shared" ca="1" si="1335"/>
        <v>0</v>
      </c>
      <c r="Z1225">
        <f t="shared" ca="1" si="1269"/>
        <v>0</v>
      </c>
      <c r="AA1225">
        <f t="shared" ca="1" si="1270"/>
        <v>1</v>
      </c>
      <c r="AB1225" s="19">
        <f t="shared" ca="1" si="1271"/>
        <v>0</v>
      </c>
      <c r="AC1225" s="19">
        <f t="shared" ca="1" si="1272"/>
        <v>-0.19205737778403628</v>
      </c>
    </row>
    <row r="1226" spans="3:29" x14ac:dyDescent="0.25">
      <c r="C1226" s="4">
        <v>1219</v>
      </c>
      <c r="D1226" s="28">
        <v>43740</v>
      </c>
      <c r="E1226" s="30">
        <v>16.004000000000001</v>
      </c>
      <c r="F1226" s="30">
        <v>52.646468333637515</v>
      </c>
      <c r="G1226" s="30">
        <v>5.2062420149662341</v>
      </c>
      <c r="H1226" s="30">
        <v>56.579667822595361</v>
      </c>
      <c r="I1226" s="8">
        <v>0</v>
      </c>
      <c r="J1226" s="31">
        <v>0</v>
      </c>
      <c r="K1226" s="31">
        <v>0</v>
      </c>
      <c r="L1226" s="31">
        <v>0</v>
      </c>
      <c r="M1226" s="31">
        <v>0</v>
      </c>
      <c r="N1226" s="31">
        <v>0</v>
      </c>
      <c r="O1226" s="31">
        <v>0</v>
      </c>
      <c r="P1226" s="31">
        <v>0</v>
      </c>
      <c r="Q1226" s="31">
        <v>0</v>
      </c>
      <c r="R1226" s="31">
        <v>1</v>
      </c>
      <c r="S1226" s="31">
        <v>0</v>
      </c>
      <c r="T1226" s="21" cm="1">
        <f t="array" aca="1" ref="T1226" ca="1">+fair_value_gap(OFFSET(S1225,0,0,-1*$I$5,-1*$Z$1),OFFSET(E1225,0,0,-1*$I$5,1),F1226:S1226,0)</f>
        <v>16.26337086227398</v>
      </c>
      <c r="U1226" s="7" cm="1">
        <f t="array" aca="1" ref="U1226" ca="1">z_score_diff(OFFSET(T1226,0,0,$I$5*-1,1),OFFSET(E1226,0,0,$I$5*-1,1))</f>
        <v>5.7424693753797787E-2</v>
      </c>
      <c r="V1226" s="7">
        <f t="shared" ca="1" si="1267"/>
        <v>7.7969154691384185E-2</v>
      </c>
      <c r="W1226" s="14">
        <f t="shared" ca="1" si="1332"/>
        <v>-0.14969299698322264</v>
      </c>
      <c r="X1226" s="10">
        <f t="shared" ref="X1226:Y1226" ca="1" si="1336">+X1225</f>
        <v>0</v>
      </c>
      <c r="Y1226" s="10">
        <f t="shared" ca="1" si="1336"/>
        <v>0</v>
      </c>
      <c r="Z1226">
        <f t="shared" ca="1" si="1269"/>
        <v>0</v>
      </c>
      <c r="AA1226">
        <f t="shared" ca="1" si="1270"/>
        <v>1</v>
      </c>
      <c r="AB1226" s="19">
        <f t="shared" ca="1" si="1271"/>
        <v>0</v>
      </c>
      <c r="AC1226" s="19">
        <f t="shared" ca="1" si="1272"/>
        <v>-0.14969299698322264</v>
      </c>
    </row>
    <row r="1227" spans="3:29" x14ac:dyDescent="0.25">
      <c r="C1227" s="4">
        <v>1220</v>
      </c>
      <c r="D1227" s="28">
        <v>43741</v>
      </c>
      <c r="E1227" s="30">
        <v>16.007999999999999</v>
      </c>
      <c r="F1227" s="30">
        <v>52.635899306822324</v>
      </c>
      <c r="G1227" s="30">
        <v>5.244436337103247</v>
      </c>
      <c r="H1227" s="30">
        <v>56.503101058008028</v>
      </c>
      <c r="I1227" s="8">
        <v>0</v>
      </c>
      <c r="J1227" s="31">
        <v>0</v>
      </c>
      <c r="K1227" s="31">
        <v>0</v>
      </c>
      <c r="L1227" s="31">
        <v>0</v>
      </c>
      <c r="M1227" s="31">
        <v>0</v>
      </c>
      <c r="N1227" s="31">
        <v>0</v>
      </c>
      <c r="O1227" s="31">
        <v>0</v>
      </c>
      <c r="P1227" s="31">
        <v>0</v>
      </c>
      <c r="Q1227" s="31">
        <v>0</v>
      </c>
      <c r="R1227" s="31">
        <v>1</v>
      </c>
      <c r="S1227" s="31">
        <v>0</v>
      </c>
      <c r="T1227" s="21" cm="1">
        <f t="array" aca="1" ref="T1227" ca="1">+fair_value_gap(OFFSET(S1226,0,0,-1*$I$5,-1*$Z$1),OFFSET(E1226,0,0,-1*$I$5,1),F1227:S1227,0)</f>
        <v>16.211459825751042</v>
      </c>
      <c r="U1227" s="7" cm="1">
        <f t="array" aca="1" ref="U1227" ca="1">z_score_diff(OFFSET(T1227,0,0,$I$5*-1,1),OFFSET(E1227,0,0,$I$5*-1,1))</f>
        <v>4.6114991775372274E-2</v>
      </c>
      <c r="V1227" s="7">
        <f t="shared" ref="V1227:V1290" ca="1" si="1337">+IF(ISERROR(AVERAGE(OFFSET(U1227,0,0,$V$5*-1,1))),"",AVERAGE(OFFSET(U1227,0,0,$V$5*-1,1)))</f>
        <v>6.9151652072231784E-2</v>
      </c>
      <c r="W1227" s="14">
        <f t="shared" ca="1" si="1332"/>
        <v>7.7782664025746609E-3</v>
      </c>
      <c r="X1227" s="10">
        <f t="shared" ref="X1227:Y1227" ca="1" si="1338">+X1226</f>
        <v>0</v>
      </c>
      <c r="Y1227" s="10">
        <f t="shared" ca="1" si="1338"/>
        <v>0</v>
      </c>
      <c r="Z1227">
        <f t="shared" ref="Z1227:Z1290" ca="1" si="1339">+IF(V1227="","",IF(V1227&lt;X1227,1,0))</f>
        <v>0</v>
      </c>
      <c r="AA1227">
        <f t="shared" ref="AA1227:AA1290" ca="1" si="1340">+IF(V1227="","",IF(V1227&gt;Y1227,1,0))</f>
        <v>1</v>
      </c>
      <c r="AB1227" s="19">
        <f t="shared" ref="AB1227:AB1290" ca="1" si="1341">+IF(ISERROR(Z1227*W1227),"",Z1227*W1227)</f>
        <v>0</v>
      </c>
      <c r="AC1227" s="19">
        <f t="shared" ref="AC1227:AC1290" ca="1" si="1342">+IF(ISERROR(AA1227*W1227),"",AA1227*W1227)</f>
        <v>7.7782664025746609E-3</v>
      </c>
    </row>
    <row r="1228" spans="3:29" x14ac:dyDescent="0.25">
      <c r="C1228" s="4">
        <v>1221</v>
      </c>
      <c r="D1228" s="28">
        <v>43742</v>
      </c>
      <c r="E1228" s="30">
        <v>15.769</v>
      </c>
      <c r="F1228" s="30">
        <v>53.179664723032069</v>
      </c>
      <c r="G1228" s="30">
        <v>5.2159256559766769</v>
      </c>
      <c r="H1228" s="30">
        <v>58.582361516034986</v>
      </c>
      <c r="I1228" s="8">
        <v>0</v>
      </c>
      <c r="J1228" s="31">
        <v>0</v>
      </c>
      <c r="K1228" s="31">
        <v>0</v>
      </c>
      <c r="L1228" s="31">
        <v>0</v>
      </c>
      <c r="M1228" s="31">
        <v>0</v>
      </c>
      <c r="N1228" s="31">
        <v>0</v>
      </c>
      <c r="O1228" s="31">
        <v>0</v>
      </c>
      <c r="P1228" s="31">
        <v>0</v>
      </c>
      <c r="Q1228" s="31">
        <v>0</v>
      </c>
      <c r="R1228" s="31">
        <v>1</v>
      </c>
      <c r="S1228" s="31">
        <v>0</v>
      </c>
      <c r="T1228" s="21" cm="1">
        <f t="array" aca="1" ref="T1228" ca="1">+fair_value_gap(OFFSET(S1227,0,0,-1*$I$5,-1*$Z$1),OFFSET(E1227,0,0,-1*$I$5,1),F1228:S1228,0)</f>
        <v>16.675110412840716</v>
      </c>
      <c r="U1228" s="7" cm="1">
        <f t="array" aca="1" ref="U1228" ca="1">z_score_diff(OFFSET(T1228,0,0,$I$5*-1,1),OFFSET(E1228,0,0,$I$5*-1,1))</f>
        <v>0.19160412914476627</v>
      </c>
      <c r="V1228" s="7">
        <f t="shared" ca="1" si="1337"/>
        <v>7.2603838890205025E-2</v>
      </c>
      <c r="W1228" s="14">
        <f t="shared" ca="1" si="1332"/>
        <v>2.5544492924107209E-2</v>
      </c>
      <c r="X1228" s="10">
        <f t="shared" ref="X1228:Y1228" ca="1" si="1343">+X1227</f>
        <v>0</v>
      </c>
      <c r="Y1228" s="10">
        <f t="shared" ca="1" si="1343"/>
        <v>0</v>
      </c>
      <c r="Z1228">
        <f t="shared" ca="1" si="1339"/>
        <v>0</v>
      </c>
      <c r="AA1228">
        <f t="shared" ca="1" si="1340"/>
        <v>1</v>
      </c>
      <c r="AB1228" s="19">
        <f t="shared" ca="1" si="1341"/>
        <v>0</v>
      </c>
      <c r="AC1228" s="19">
        <f t="shared" ca="1" si="1342"/>
        <v>2.5544492924107209E-2</v>
      </c>
    </row>
    <row r="1229" spans="3:29" x14ac:dyDescent="0.25">
      <c r="C1229" s="4">
        <v>1222</v>
      </c>
      <c r="D1229" s="28">
        <v>43745</v>
      </c>
      <c r="E1229" s="30">
        <v>15.507</v>
      </c>
      <c r="F1229" s="30">
        <v>53.190519598906107</v>
      </c>
      <c r="G1229" s="30">
        <v>5.2415679124886054</v>
      </c>
      <c r="H1229" s="30">
        <v>59.79945305378304</v>
      </c>
      <c r="I1229" s="8">
        <v>0</v>
      </c>
      <c r="J1229" s="31">
        <v>0</v>
      </c>
      <c r="K1229" s="31">
        <v>0</v>
      </c>
      <c r="L1229" s="31">
        <v>0</v>
      </c>
      <c r="M1229" s="31">
        <v>0</v>
      </c>
      <c r="N1229" s="31">
        <v>0</v>
      </c>
      <c r="O1229" s="31">
        <v>0</v>
      </c>
      <c r="P1229" s="31">
        <v>0</v>
      </c>
      <c r="Q1229" s="31">
        <v>0</v>
      </c>
      <c r="R1229" s="31">
        <v>1</v>
      </c>
      <c r="S1229" s="31">
        <v>0</v>
      </c>
      <c r="T1229" s="21" cm="1">
        <f t="array" aca="1" ref="T1229" ca="1">+fair_value_gap(OFFSET(S1228,0,0,-1*$I$5,-1*$Z$1),OFFSET(E1228,0,0,-1*$I$5,1),F1229:S1229,0)</f>
        <v>16.872237902457776</v>
      </c>
      <c r="U1229" s="7" cm="1">
        <f t="array" aca="1" ref="U1229" ca="1">z_score_diff(OFFSET(T1229,0,0,$I$5*-1,1),OFFSET(E1229,0,0,$I$5*-1,1))</f>
        <v>0.28517656547365322</v>
      </c>
      <c r="V1229" s="7">
        <f t="shared" ca="1" si="1337"/>
        <v>8.2068060172946392E-2</v>
      </c>
      <c r="W1229" s="14">
        <f t="shared" ca="1" si="1332"/>
        <v>6.0734623011386366E-2</v>
      </c>
      <c r="X1229" s="10">
        <f t="shared" ref="X1229:Y1229" ca="1" si="1344">+X1228</f>
        <v>0</v>
      </c>
      <c r="Y1229" s="10">
        <f t="shared" ca="1" si="1344"/>
        <v>0</v>
      </c>
      <c r="Z1229">
        <f t="shared" ca="1" si="1339"/>
        <v>0</v>
      </c>
      <c r="AA1229">
        <f t="shared" ca="1" si="1340"/>
        <v>1</v>
      </c>
      <c r="AB1229" s="19">
        <f t="shared" ca="1" si="1341"/>
        <v>0</v>
      </c>
      <c r="AC1229" s="19">
        <f t="shared" ca="1" si="1342"/>
        <v>6.0734623011386366E-2</v>
      </c>
    </row>
    <row r="1230" spans="3:29" x14ac:dyDescent="0.25">
      <c r="C1230" s="4">
        <v>1223</v>
      </c>
      <c r="D1230" s="28">
        <v>43746</v>
      </c>
      <c r="E1230" s="30">
        <v>15.64</v>
      </c>
      <c r="F1230" s="30">
        <v>53.167792587182767</v>
      </c>
      <c r="G1230" s="30">
        <v>5.2948694540807013</v>
      </c>
      <c r="H1230" s="30">
        <v>60.890998721928071</v>
      </c>
      <c r="I1230" s="8">
        <v>0</v>
      </c>
      <c r="J1230" s="31">
        <v>0</v>
      </c>
      <c r="K1230" s="31">
        <v>0</v>
      </c>
      <c r="L1230" s="31">
        <v>0</v>
      </c>
      <c r="M1230" s="31">
        <v>0</v>
      </c>
      <c r="N1230" s="31">
        <v>0</v>
      </c>
      <c r="O1230" s="31">
        <v>0</v>
      </c>
      <c r="P1230" s="31">
        <v>0</v>
      </c>
      <c r="Q1230" s="31">
        <v>0</v>
      </c>
      <c r="R1230" s="31">
        <v>1</v>
      </c>
      <c r="S1230" s="31">
        <v>0</v>
      </c>
      <c r="T1230" s="21" cm="1">
        <f t="array" aca="1" ref="T1230" ca="1">+fair_value_gap(OFFSET(S1229,0,0,-1*$I$5,-1*$Z$1),OFFSET(E1229,0,0,-1*$I$5,1),F1230:S1230,0)</f>
        <v>17.013610807701177</v>
      </c>
      <c r="U1230" s="7" cm="1">
        <f t="array" aca="1" ref="U1230" ca="1">z_score_diff(OFFSET(T1230,0,0,$I$5*-1,1),OFFSET(E1230,0,0,$I$5*-1,1))</f>
        <v>0.29217645620708199</v>
      </c>
      <c r="V1230" s="7">
        <f t="shared" ca="1" si="1337"/>
        <v>0.10902831087872925</v>
      </c>
      <c r="W1230" s="14">
        <f t="shared" ca="1" si="1332"/>
        <v>7.0892174937095986E-2</v>
      </c>
      <c r="X1230" s="10">
        <f t="shared" ref="X1230:Y1230" ca="1" si="1345">+X1229</f>
        <v>0</v>
      </c>
      <c r="Y1230" s="10">
        <f t="shared" ca="1" si="1345"/>
        <v>0</v>
      </c>
      <c r="Z1230">
        <f t="shared" ca="1" si="1339"/>
        <v>0</v>
      </c>
      <c r="AA1230">
        <f t="shared" ca="1" si="1340"/>
        <v>1</v>
      </c>
      <c r="AB1230" s="19">
        <f t="shared" ca="1" si="1341"/>
        <v>0</v>
      </c>
      <c r="AC1230" s="19">
        <f t="shared" ca="1" si="1342"/>
        <v>7.0892174937095986E-2</v>
      </c>
    </row>
    <row r="1231" spans="3:29" x14ac:dyDescent="0.25">
      <c r="C1231" s="4">
        <v>1224</v>
      </c>
      <c r="D1231" s="28">
        <v>43747</v>
      </c>
      <c r="E1231" s="30">
        <v>15.573</v>
      </c>
      <c r="F1231" s="30">
        <v>53.168018962530766</v>
      </c>
      <c r="G1231" s="30">
        <v>5.2830704713282888</v>
      </c>
      <c r="H1231" s="30">
        <v>60.670981857963348</v>
      </c>
      <c r="I1231" s="8">
        <v>0</v>
      </c>
      <c r="J1231" s="31">
        <v>0</v>
      </c>
      <c r="K1231" s="31">
        <v>0</v>
      </c>
      <c r="L1231" s="31">
        <v>0</v>
      </c>
      <c r="M1231" s="31">
        <v>0</v>
      </c>
      <c r="N1231" s="31">
        <v>0</v>
      </c>
      <c r="O1231" s="31">
        <v>0</v>
      </c>
      <c r="P1231" s="31">
        <v>0</v>
      </c>
      <c r="Q1231" s="31">
        <v>0</v>
      </c>
      <c r="R1231" s="31">
        <v>1</v>
      </c>
      <c r="S1231" s="31">
        <v>0</v>
      </c>
      <c r="T1231" s="21" cm="1">
        <f t="array" aca="1" ref="T1231" ca="1">+fair_value_gap(OFFSET(S1230,0,0,-1*$I$5,-1*$Z$1),OFFSET(E1230,0,0,-1*$I$5,1),F1231:S1231,0)</f>
        <v>16.766440160289864</v>
      </c>
      <c r="U1231" s="7" cm="1">
        <f t="array" aca="1" ref="U1231" ca="1">z_score_diff(OFFSET(T1231,0,0,$I$5*-1,1),OFFSET(E1231,0,0,$I$5*-1,1))</f>
        <v>0.25201767552098836</v>
      </c>
      <c r="V1231" s="7">
        <f t="shared" ca="1" si="1337"/>
        <v>0.13101881194769349</v>
      </c>
      <c r="W1231" s="14">
        <f t="shared" ca="1" si="1332"/>
        <v>4.4460138236175624E-2</v>
      </c>
      <c r="X1231" s="10">
        <f t="shared" ref="X1231:Y1231" ca="1" si="1346">+X1230</f>
        <v>0</v>
      </c>
      <c r="Y1231" s="10">
        <f t="shared" ca="1" si="1346"/>
        <v>0</v>
      </c>
      <c r="Z1231">
        <f t="shared" ca="1" si="1339"/>
        <v>0</v>
      </c>
      <c r="AA1231">
        <f t="shared" ca="1" si="1340"/>
        <v>1</v>
      </c>
      <c r="AB1231" s="19">
        <f t="shared" ca="1" si="1341"/>
        <v>0</v>
      </c>
      <c r="AC1231" s="19">
        <f t="shared" ca="1" si="1342"/>
        <v>4.4460138236175624E-2</v>
      </c>
    </row>
    <row r="1232" spans="3:29" x14ac:dyDescent="0.25">
      <c r="C1232" s="4">
        <v>1225</v>
      </c>
      <c r="D1232" s="28">
        <v>43748</v>
      </c>
      <c r="E1232" s="30">
        <v>15.85</v>
      </c>
      <c r="F1232" s="30">
        <v>53.707742639040347</v>
      </c>
      <c r="G1232" s="30">
        <v>5.2889858233369687</v>
      </c>
      <c r="H1232" s="30">
        <v>60.114503816793899</v>
      </c>
      <c r="I1232" s="8">
        <v>0</v>
      </c>
      <c r="J1232" s="31">
        <v>0</v>
      </c>
      <c r="K1232" s="31">
        <v>0</v>
      </c>
      <c r="L1232" s="31">
        <v>0</v>
      </c>
      <c r="M1232" s="31">
        <v>0</v>
      </c>
      <c r="N1232" s="31">
        <v>0</v>
      </c>
      <c r="O1232" s="31">
        <v>0</v>
      </c>
      <c r="P1232" s="31">
        <v>0</v>
      </c>
      <c r="Q1232" s="31">
        <v>0</v>
      </c>
      <c r="R1232" s="31">
        <v>1</v>
      </c>
      <c r="S1232" s="31">
        <v>0</v>
      </c>
      <c r="T1232" s="21" cm="1">
        <f t="array" aca="1" ref="T1232" ca="1">+fair_value_gap(OFFSET(S1231,0,0,-1*$I$5,-1*$Z$1),OFFSET(E1231,0,0,-1*$I$5,1),F1232:S1232,0)</f>
        <v>16.447318791683287</v>
      </c>
      <c r="U1232" s="7" cm="1">
        <f t="array" aca="1" ref="U1232" ca="1">z_score_diff(OFFSET(T1232,0,0,$I$5*-1,1),OFFSET(E1232,0,0,$I$5*-1,1))</f>
        <v>0.12842743531629364</v>
      </c>
      <c r="V1232" s="7">
        <f t="shared" ca="1" si="1337"/>
        <v>0.14757142662958739</v>
      </c>
      <c r="W1232" s="14">
        <f t="shared" ca="1" si="1332"/>
        <v>1.6767159579029974E-2</v>
      </c>
      <c r="X1232" s="10">
        <f t="shared" ref="X1232:Y1232" ca="1" si="1347">+X1231</f>
        <v>0</v>
      </c>
      <c r="Y1232" s="10">
        <f t="shared" ca="1" si="1347"/>
        <v>0</v>
      </c>
      <c r="Z1232">
        <f t="shared" ca="1" si="1339"/>
        <v>0</v>
      </c>
      <c r="AA1232">
        <f t="shared" ca="1" si="1340"/>
        <v>1</v>
      </c>
      <c r="AB1232" s="19">
        <f t="shared" ca="1" si="1341"/>
        <v>0</v>
      </c>
      <c r="AC1232" s="19">
        <f t="shared" ca="1" si="1342"/>
        <v>1.6767159579029974E-2</v>
      </c>
    </row>
    <row r="1233" spans="3:29" x14ac:dyDescent="0.25">
      <c r="C1233" s="4">
        <v>1226</v>
      </c>
      <c r="D1233" s="28">
        <v>43749</v>
      </c>
      <c r="E1233" s="30">
        <v>16.135999999999999</v>
      </c>
      <c r="F1233" s="30">
        <v>54.809782608695649</v>
      </c>
      <c r="G1233" s="30">
        <v>5.2717391304347823</v>
      </c>
      <c r="H1233" s="30">
        <v>60.054347826086946</v>
      </c>
      <c r="I1233" s="8">
        <v>0</v>
      </c>
      <c r="J1233" s="31">
        <v>0</v>
      </c>
      <c r="K1233" s="31">
        <v>0</v>
      </c>
      <c r="L1233" s="31">
        <v>0</v>
      </c>
      <c r="M1233" s="31">
        <v>0</v>
      </c>
      <c r="N1233" s="31">
        <v>0</v>
      </c>
      <c r="O1233" s="31">
        <v>0</v>
      </c>
      <c r="P1233" s="31">
        <v>0</v>
      </c>
      <c r="Q1233" s="31">
        <v>0</v>
      </c>
      <c r="R1233" s="31">
        <v>1</v>
      </c>
      <c r="S1233" s="31">
        <v>0</v>
      </c>
      <c r="T1233" s="21" cm="1">
        <f t="array" aca="1" ref="T1233" ca="1">+fair_value_gap(OFFSET(S1232,0,0,-1*$I$5,-1*$Z$1),OFFSET(E1232,0,0,-1*$I$5,1),F1233:S1233,0)</f>
        <v>16.26515616461441</v>
      </c>
      <c r="U1233" s="7" cm="1">
        <f t="array" aca="1" ref="U1233" ca="1">z_score_diff(OFFSET(T1233,0,0,$I$5*-1,1),OFFSET(E1233,0,0,$I$5*-1,1))</f>
        <v>3.2059389883711577E-2</v>
      </c>
      <c r="V1233" s="7">
        <f t="shared" ca="1" si="1337"/>
        <v>0.15997429683573985</v>
      </c>
      <c r="W1233" s="14">
        <f t="shared" ca="1" si="1332"/>
        <v>-1.2095664646179111E-2</v>
      </c>
      <c r="X1233" s="10">
        <f t="shared" ref="X1233:Y1233" ca="1" si="1348">+X1232</f>
        <v>0</v>
      </c>
      <c r="Y1233" s="10">
        <f t="shared" ca="1" si="1348"/>
        <v>0</v>
      </c>
      <c r="Z1233">
        <f t="shared" ca="1" si="1339"/>
        <v>0</v>
      </c>
      <c r="AA1233">
        <f t="shared" ca="1" si="1340"/>
        <v>1</v>
      </c>
      <c r="AB1233" s="19">
        <f t="shared" ca="1" si="1341"/>
        <v>0</v>
      </c>
      <c r="AC1233" s="19">
        <f t="shared" ca="1" si="1342"/>
        <v>-1.2095664646179111E-2</v>
      </c>
    </row>
    <row r="1234" spans="3:29" x14ac:dyDescent="0.25">
      <c r="C1234" s="4">
        <v>1227</v>
      </c>
      <c r="D1234" s="28">
        <v>43752</v>
      </c>
      <c r="E1234" s="30">
        <v>16.04</v>
      </c>
      <c r="F1234" s="30">
        <v>53.81755531374683</v>
      </c>
      <c r="G1234" s="30">
        <v>5.2820094305404428</v>
      </c>
      <c r="H1234" s="30">
        <v>60.391730141458105</v>
      </c>
      <c r="I1234" s="8">
        <v>0</v>
      </c>
      <c r="J1234" s="31">
        <v>0</v>
      </c>
      <c r="K1234" s="31">
        <v>0</v>
      </c>
      <c r="L1234" s="31">
        <v>0</v>
      </c>
      <c r="M1234" s="31">
        <v>0</v>
      </c>
      <c r="N1234" s="31">
        <v>0</v>
      </c>
      <c r="O1234" s="31">
        <v>0</v>
      </c>
      <c r="P1234" s="31">
        <v>0</v>
      </c>
      <c r="Q1234" s="31">
        <v>0</v>
      </c>
      <c r="R1234" s="31">
        <v>1</v>
      </c>
      <c r="S1234" s="31">
        <v>0</v>
      </c>
      <c r="T1234" s="21" cm="1">
        <f t="array" aca="1" ref="T1234" ca="1">+fair_value_gap(OFFSET(S1233,0,0,-1*$I$5,-1*$Z$1),OFFSET(E1233,0,0,-1*$I$5,1),F1234:S1234,0)</f>
        <v>16.335017627029924</v>
      </c>
      <c r="U1234" s="7" cm="1">
        <f t="array" aca="1" ref="U1234" ca="1">z_score_diff(OFFSET(T1234,0,0,$I$5*-1,1),OFFSET(E1234,0,0,$I$5*-1,1))</f>
        <v>6.7866173980707239E-2</v>
      </c>
      <c r="V1234" s="7">
        <f t="shared" ca="1" si="1337"/>
        <v>0.15275381027538229</v>
      </c>
      <c r="W1234" s="14">
        <f t="shared" ca="1" si="1332"/>
        <v>-1.2231609295484261E-2</v>
      </c>
      <c r="X1234" s="10">
        <f t="shared" ref="X1234:Y1234" ca="1" si="1349">+X1233</f>
        <v>0</v>
      </c>
      <c r="Y1234" s="10">
        <f t="shared" ca="1" si="1349"/>
        <v>0</v>
      </c>
      <c r="Z1234">
        <f t="shared" ca="1" si="1339"/>
        <v>0</v>
      </c>
      <c r="AA1234">
        <f t="shared" ca="1" si="1340"/>
        <v>1</v>
      </c>
      <c r="AB1234" s="19">
        <f t="shared" ca="1" si="1341"/>
        <v>0</v>
      </c>
      <c r="AC1234" s="19">
        <f t="shared" ca="1" si="1342"/>
        <v>-1.2231609295484261E-2</v>
      </c>
    </row>
    <row r="1235" spans="3:29" x14ac:dyDescent="0.25">
      <c r="C1235" s="4">
        <v>1228</v>
      </c>
      <c r="D1235" s="28">
        <v>43753</v>
      </c>
      <c r="E1235" s="30">
        <v>16.065000000000001</v>
      </c>
      <c r="F1235" s="30">
        <v>53.249932009790591</v>
      </c>
      <c r="G1235" s="30">
        <v>5.2805729308312941</v>
      </c>
      <c r="H1235" s="30">
        <v>60.375305955942338</v>
      </c>
      <c r="I1235" s="8">
        <v>0</v>
      </c>
      <c r="J1235" s="31">
        <v>0</v>
      </c>
      <c r="K1235" s="31">
        <v>0</v>
      </c>
      <c r="L1235" s="31">
        <v>0</v>
      </c>
      <c r="M1235" s="31">
        <v>0</v>
      </c>
      <c r="N1235" s="31">
        <v>0</v>
      </c>
      <c r="O1235" s="31">
        <v>0</v>
      </c>
      <c r="P1235" s="31">
        <v>0</v>
      </c>
      <c r="Q1235" s="31">
        <v>0</v>
      </c>
      <c r="R1235" s="31">
        <v>1</v>
      </c>
      <c r="S1235" s="31">
        <v>0</v>
      </c>
      <c r="T1235" s="21" cm="1">
        <f t="array" aca="1" ref="T1235" ca="1">+fair_value_gap(OFFSET(S1234,0,0,-1*$I$5,-1*$Z$1),OFFSET(E1234,0,0,-1*$I$5,1),F1235:S1235,0)</f>
        <v>16.291107278699016</v>
      </c>
      <c r="U1235" s="7" cm="1">
        <f t="array" aca="1" ref="U1235" ca="1">z_score_diff(OFFSET(T1235,0,0,$I$5*-1,1),OFFSET(E1235,0,0,$I$5*-1,1))</f>
        <v>5.3727786049675201E-2</v>
      </c>
      <c r="V1235" s="7">
        <f t="shared" ca="1" si="1337"/>
        <v>0.13580608438292777</v>
      </c>
      <c r="W1235" s="14">
        <f t="shared" ca="1" si="1332"/>
        <v>-3.283962175979397E-2</v>
      </c>
      <c r="X1235" s="10">
        <f t="shared" ref="X1235:Y1235" ca="1" si="1350">+X1234</f>
        <v>0</v>
      </c>
      <c r="Y1235" s="10">
        <f t="shared" ca="1" si="1350"/>
        <v>0</v>
      </c>
      <c r="Z1235">
        <f t="shared" ca="1" si="1339"/>
        <v>0</v>
      </c>
      <c r="AA1235">
        <f t="shared" ca="1" si="1340"/>
        <v>1</v>
      </c>
      <c r="AB1235" s="19">
        <f t="shared" ca="1" si="1341"/>
        <v>0</v>
      </c>
      <c r="AC1235" s="19">
        <f t="shared" ca="1" si="1342"/>
        <v>-3.283962175979397E-2</v>
      </c>
    </row>
    <row r="1236" spans="3:29" x14ac:dyDescent="0.25">
      <c r="C1236" s="4">
        <v>1229</v>
      </c>
      <c r="D1236" s="28">
        <v>43754</v>
      </c>
      <c r="E1236" s="30">
        <v>16.073</v>
      </c>
      <c r="F1236" s="30">
        <v>53.676603432700993</v>
      </c>
      <c r="G1236" s="30">
        <v>6.3143631436314367</v>
      </c>
      <c r="H1236" s="30">
        <v>60.523938572719061</v>
      </c>
      <c r="I1236" s="8">
        <v>0</v>
      </c>
      <c r="J1236" s="31">
        <v>0</v>
      </c>
      <c r="K1236" s="31">
        <v>0</v>
      </c>
      <c r="L1236" s="31">
        <v>0</v>
      </c>
      <c r="M1236" s="31">
        <v>0</v>
      </c>
      <c r="N1236" s="31">
        <v>0</v>
      </c>
      <c r="O1236" s="31">
        <v>0</v>
      </c>
      <c r="P1236" s="31">
        <v>0</v>
      </c>
      <c r="Q1236" s="31">
        <v>0</v>
      </c>
      <c r="R1236" s="31">
        <v>1</v>
      </c>
      <c r="S1236" s="31">
        <v>0</v>
      </c>
      <c r="T1236" s="21" cm="1">
        <f t="array" aca="1" ref="T1236" ca="1">+fair_value_gap(OFFSET(S1235,0,0,-1*$I$5,-1*$Z$1),OFFSET(E1235,0,0,-1*$I$5,1),F1236:S1236,0)</f>
        <v>16.782064509707656</v>
      </c>
      <c r="U1236" s="7" cm="1">
        <f t="array" aca="1" ref="U1236" ca="1">z_score_diff(OFFSET(T1236,0,0,$I$5*-1,1),OFFSET(E1236,0,0,$I$5*-1,1))</f>
        <v>0.16713556131517615</v>
      </c>
      <c r="V1236" s="7">
        <f t="shared" ca="1" si="1337"/>
        <v>0.12272820868567287</v>
      </c>
      <c r="W1236" s="14">
        <f t="shared" ca="1" si="1332"/>
        <v>-3.9467119418722878E-2</v>
      </c>
      <c r="X1236" s="10">
        <f t="shared" ref="X1236:Y1236" ca="1" si="1351">+X1235</f>
        <v>0</v>
      </c>
      <c r="Y1236" s="10">
        <f t="shared" ca="1" si="1351"/>
        <v>0</v>
      </c>
      <c r="Z1236">
        <f t="shared" ca="1" si="1339"/>
        <v>0</v>
      </c>
      <c r="AA1236">
        <f t="shared" ca="1" si="1340"/>
        <v>1</v>
      </c>
      <c r="AB1236" s="19">
        <f t="shared" ca="1" si="1341"/>
        <v>0</v>
      </c>
      <c r="AC1236" s="19">
        <f t="shared" ca="1" si="1342"/>
        <v>-3.9467119418722878E-2</v>
      </c>
    </row>
    <row r="1237" spans="3:29" x14ac:dyDescent="0.25">
      <c r="C1237" s="4">
        <v>1230</v>
      </c>
      <c r="D1237" s="28">
        <v>43755</v>
      </c>
      <c r="E1237" s="30">
        <v>16.027000000000001</v>
      </c>
      <c r="F1237" s="30">
        <v>53.866211113109145</v>
      </c>
      <c r="G1237" s="30">
        <v>6.3297967991368456</v>
      </c>
      <c r="H1237" s="30">
        <v>60.420787628124437</v>
      </c>
      <c r="I1237" s="8">
        <v>0</v>
      </c>
      <c r="J1237" s="31">
        <v>0</v>
      </c>
      <c r="K1237" s="31">
        <v>0</v>
      </c>
      <c r="L1237" s="31">
        <v>0</v>
      </c>
      <c r="M1237" s="31">
        <v>0</v>
      </c>
      <c r="N1237" s="31">
        <v>0</v>
      </c>
      <c r="O1237" s="31">
        <v>0</v>
      </c>
      <c r="P1237" s="31">
        <v>0</v>
      </c>
      <c r="Q1237" s="31">
        <v>0</v>
      </c>
      <c r="R1237" s="31">
        <v>1</v>
      </c>
      <c r="S1237" s="31">
        <v>0</v>
      </c>
      <c r="T1237" s="21" cm="1">
        <f t="array" aca="1" ref="T1237" ca="1">+fair_value_gap(OFFSET(S1236,0,0,-1*$I$5,-1*$Z$1),OFFSET(E1236,0,0,-1*$I$5,1),F1237:S1237,0)</f>
        <v>16.666090066350677</v>
      </c>
      <c r="U1237" s="7" cm="1">
        <f t="array" aca="1" ref="U1237" ca="1">z_score_diff(OFFSET(T1237,0,0,$I$5*-1,1),OFFSET(E1237,0,0,$I$5*-1,1))</f>
        <v>0.15216849615745945</v>
      </c>
      <c r="V1237" s="7">
        <f t="shared" ca="1" si="1337"/>
        <v>0.11304691177626192</v>
      </c>
      <c r="W1237" s="14">
        <f t="shared" ca="1" si="1332"/>
        <v>-2.2590561889167027E-2</v>
      </c>
      <c r="X1237" s="10">
        <f t="shared" ref="X1237:Y1237" ca="1" si="1352">+X1236</f>
        <v>0</v>
      </c>
      <c r="Y1237" s="10">
        <f t="shared" ca="1" si="1352"/>
        <v>0</v>
      </c>
      <c r="Z1237">
        <f t="shared" ca="1" si="1339"/>
        <v>0</v>
      </c>
      <c r="AA1237">
        <f t="shared" ca="1" si="1340"/>
        <v>1</v>
      </c>
      <c r="AB1237" s="19">
        <f t="shared" ca="1" si="1341"/>
        <v>0</v>
      </c>
      <c r="AC1237" s="19">
        <f t="shared" ca="1" si="1342"/>
        <v>-2.2590561889167027E-2</v>
      </c>
    </row>
    <row r="1238" spans="3:29" x14ac:dyDescent="0.25">
      <c r="C1238" s="4">
        <v>1231</v>
      </c>
      <c r="D1238" s="28">
        <v>43756</v>
      </c>
      <c r="E1238" s="30">
        <v>15.967000000000001</v>
      </c>
      <c r="F1238" s="30">
        <v>53.200823708478829</v>
      </c>
      <c r="G1238" s="30">
        <v>6.2001969737666753</v>
      </c>
      <c r="H1238" s="30">
        <v>60.345599426985409</v>
      </c>
      <c r="I1238" s="8">
        <v>0</v>
      </c>
      <c r="J1238" s="31">
        <v>0</v>
      </c>
      <c r="K1238" s="31">
        <v>0</v>
      </c>
      <c r="L1238" s="31">
        <v>0</v>
      </c>
      <c r="M1238" s="31">
        <v>0</v>
      </c>
      <c r="N1238" s="31">
        <v>0</v>
      </c>
      <c r="O1238" s="31">
        <v>0</v>
      </c>
      <c r="P1238" s="31">
        <v>0</v>
      </c>
      <c r="Q1238" s="31">
        <v>0</v>
      </c>
      <c r="R1238" s="31">
        <v>1</v>
      </c>
      <c r="S1238" s="31">
        <v>0</v>
      </c>
      <c r="T1238" s="21" cm="1">
        <f t="array" aca="1" ref="T1238" ca="1">+fair_value_gap(OFFSET(S1237,0,0,-1*$I$5,-1*$Z$1),OFFSET(E1237,0,0,-1*$I$5,1),F1238:S1238,0)</f>
        <v>16.564109374422522</v>
      </c>
      <c r="U1238" s="7" cm="1">
        <f t="array" aca="1" ref="U1238" ca="1">z_score_diff(OFFSET(T1238,0,0,$I$5*-1,1),OFFSET(E1238,0,0,$I$5*-1,1))</f>
        <v>0.14361821982006776</v>
      </c>
      <c r="V1238" s="7">
        <f t="shared" ca="1" si="1337"/>
        <v>0.10840106263997631</v>
      </c>
      <c r="W1238" s="14">
        <f t="shared" ca="1" si="1332"/>
        <v>-1.6035697149569698E-2</v>
      </c>
      <c r="X1238" s="10">
        <f t="shared" ref="X1238:Y1238" ca="1" si="1353">+X1237</f>
        <v>0</v>
      </c>
      <c r="Y1238" s="10">
        <f t="shared" ca="1" si="1353"/>
        <v>0</v>
      </c>
      <c r="Z1238">
        <f t="shared" ca="1" si="1339"/>
        <v>0</v>
      </c>
      <c r="AA1238">
        <f t="shared" ca="1" si="1340"/>
        <v>1</v>
      </c>
      <c r="AB1238" s="19">
        <f t="shared" ca="1" si="1341"/>
        <v>0</v>
      </c>
      <c r="AC1238" s="19">
        <f t="shared" ca="1" si="1342"/>
        <v>-1.6035697149569698E-2</v>
      </c>
    </row>
    <row r="1239" spans="3:29" x14ac:dyDescent="0.25">
      <c r="C1239" s="4">
        <v>1232</v>
      </c>
      <c r="D1239" s="28">
        <v>43759</v>
      </c>
      <c r="E1239" s="30">
        <v>15.61</v>
      </c>
      <c r="F1239" s="30">
        <v>52.888410477215643</v>
      </c>
      <c r="G1239" s="30">
        <v>6.1490850376749195</v>
      </c>
      <c r="H1239" s="30">
        <v>60.638679583781837</v>
      </c>
      <c r="I1239" s="8">
        <v>0</v>
      </c>
      <c r="J1239" s="31">
        <v>0</v>
      </c>
      <c r="K1239" s="31">
        <v>0</v>
      </c>
      <c r="L1239" s="31">
        <v>0</v>
      </c>
      <c r="M1239" s="31">
        <v>0</v>
      </c>
      <c r="N1239" s="31">
        <v>0</v>
      </c>
      <c r="O1239" s="31">
        <v>0</v>
      </c>
      <c r="P1239" s="31">
        <v>0</v>
      </c>
      <c r="Q1239" s="31">
        <v>0</v>
      </c>
      <c r="R1239" s="31">
        <v>1</v>
      </c>
      <c r="S1239" s="31">
        <v>0</v>
      </c>
      <c r="T1239" s="21" cm="1">
        <f t="array" aca="1" ref="T1239" ca="1">+fair_value_gap(OFFSET(S1238,0,0,-1*$I$5,-1*$Z$1),OFFSET(E1238,0,0,-1*$I$5,1),F1239:S1239,0)</f>
        <v>16.616269487657</v>
      </c>
      <c r="U1239" s="7" cm="1">
        <f t="array" aca="1" ref="U1239" ca="1">z_score_diff(OFFSET(T1239,0,0,$I$5*-1,1),OFFSET(E1239,0,0,$I$5*-1,1))</f>
        <v>0.23163307802347199</v>
      </c>
      <c r="V1239" s="7">
        <f t="shared" ca="1" si="1337"/>
        <v>0.11258351069827044</v>
      </c>
      <c r="W1239" s="14">
        <f t="shared" ca="1" si="1332"/>
        <v>-2.4710229657786881E-2</v>
      </c>
      <c r="X1239" s="10">
        <f t="shared" ref="X1239:Y1239" ca="1" si="1354">+X1238</f>
        <v>0</v>
      </c>
      <c r="Y1239" s="10">
        <f t="shared" ca="1" si="1354"/>
        <v>0</v>
      </c>
      <c r="Z1239">
        <f t="shared" ca="1" si="1339"/>
        <v>0</v>
      </c>
      <c r="AA1239">
        <f t="shared" ca="1" si="1340"/>
        <v>1</v>
      </c>
      <c r="AB1239" s="19">
        <f t="shared" ca="1" si="1341"/>
        <v>0</v>
      </c>
      <c r="AC1239" s="19">
        <f t="shared" ca="1" si="1342"/>
        <v>-2.4710229657786881E-2</v>
      </c>
    </row>
    <row r="1240" spans="3:29" x14ac:dyDescent="0.25">
      <c r="C1240" s="4">
        <v>1233</v>
      </c>
      <c r="D1240" s="28">
        <v>43760</v>
      </c>
      <c r="E1240" s="30">
        <v>15.596</v>
      </c>
      <c r="F1240" s="30">
        <v>53.66774541531823</v>
      </c>
      <c r="G1240" s="30">
        <v>6.0499820208558077</v>
      </c>
      <c r="H1240" s="30">
        <v>60.859403092412798</v>
      </c>
      <c r="I1240" s="8">
        <v>0</v>
      </c>
      <c r="J1240" s="31">
        <v>0</v>
      </c>
      <c r="K1240" s="31">
        <v>0</v>
      </c>
      <c r="L1240" s="31">
        <v>0</v>
      </c>
      <c r="M1240" s="31">
        <v>0</v>
      </c>
      <c r="N1240" s="31">
        <v>0</v>
      </c>
      <c r="O1240" s="31">
        <v>0</v>
      </c>
      <c r="P1240" s="31">
        <v>0</v>
      </c>
      <c r="Q1240" s="31">
        <v>0</v>
      </c>
      <c r="R1240" s="31">
        <v>1</v>
      </c>
      <c r="S1240" s="31">
        <v>0</v>
      </c>
      <c r="T1240" s="21" cm="1">
        <f t="array" aca="1" ref="T1240" ca="1">+fair_value_gap(OFFSET(S1239,0,0,-1*$I$5,-1*$Z$1),OFFSET(E1239,0,0,-1*$I$5,1),F1240:S1240,0)</f>
        <v>16.503985575665379</v>
      </c>
      <c r="U1240" s="7" cm="1">
        <f t="array" aca="1" ref="U1240" ca="1">z_score_diff(OFFSET(T1240,0,0,$I$5*-1,1),OFFSET(E1240,0,0,$I$5*-1,1))</f>
        <v>0.21092654852610548</v>
      </c>
      <c r="V1240" s="7">
        <f t="shared" ca="1" si="1337"/>
        <v>0.11650070397946174</v>
      </c>
      <c r="W1240" s="14">
        <f t="shared" ca="1" si="1332"/>
        <v>-1.9684655286184571E-2</v>
      </c>
      <c r="X1240" s="10">
        <f t="shared" ref="X1240:Y1240" ca="1" si="1355">+X1239</f>
        <v>0</v>
      </c>
      <c r="Y1240" s="10">
        <f t="shared" ca="1" si="1355"/>
        <v>0</v>
      </c>
      <c r="Z1240">
        <f t="shared" ca="1" si="1339"/>
        <v>0</v>
      </c>
      <c r="AA1240">
        <f t="shared" ca="1" si="1340"/>
        <v>1</v>
      </c>
      <c r="AB1240" s="19">
        <f t="shared" ca="1" si="1341"/>
        <v>0</v>
      </c>
      <c r="AC1240" s="19">
        <f t="shared" ca="1" si="1342"/>
        <v>-1.9684655286184571E-2</v>
      </c>
    </row>
    <row r="1241" spans="3:29" x14ac:dyDescent="0.25">
      <c r="C1241" s="4">
        <v>1234</v>
      </c>
      <c r="D1241" s="28">
        <v>43761</v>
      </c>
      <c r="E1241" s="30">
        <v>15.414999999999999</v>
      </c>
      <c r="F1241" s="30">
        <v>54.96450714349897</v>
      </c>
      <c r="G1241" s="30">
        <v>5.9439302722616585</v>
      </c>
      <c r="H1241" s="30">
        <v>60.742205049869703</v>
      </c>
      <c r="I1241" s="8">
        <v>0</v>
      </c>
      <c r="J1241" s="31">
        <v>0</v>
      </c>
      <c r="K1241" s="31">
        <v>0</v>
      </c>
      <c r="L1241" s="31">
        <v>0</v>
      </c>
      <c r="M1241" s="31">
        <v>0</v>
      </c>
      <c r="N1241" s="31">
        <v>0</v>
      </c>
      <c r="O1241" s="31">
        <v>0</v>
      </c>
      <c r="P1241" s="31">
        <v>0</v>
      </c>
      <c r="Q1241" s="31">
        <v>0</v>
      </c>
      <c r="R1241" s="31">
        <v>1</v>
      </c>
      <c r="S1241" s="31">
        <v>0</v>
      </c>
      <c r="T1241" s="21" cm="1">
        <f t="array" aca="1" ref="T1241" ca="1">+fair_value_gap(OFFSET(S1240,0,0,-1*$I$5,-1*$Z$1),OFFSET(E1240,0,0,-1*$I$5,1),F1241:S1241,0)</f>
        <v>16.318986077404457</v>
      </c>
      <c r="U1241" s="7" cm="1">
        <f t="array" aca="1" ref="U1241" ca="1">z_score_diff(OFFSET(T1241,0,0,$I$5*-1,1),OFFSET(E1241,0,0,$I$5*-1,1))</f>
        <v>0.20612652232852979</v>
      </c>
      <c r="V1241" s="7">
        <f t="shared" ca="1" si="1337"/>
        <v>0.11708968333607776</v>
      </c>
      <c r="W1241" s="14">
        <f t="shared" ca="1" si="1332"/>
        <v>1.1160326138349073E-2</v>
      </c>
      <c r="X1241" s="10">
        <f t="shared" ref="X1241:Y1241" ca="1" si="1356">+X1240</f>
        <v>0</v>
      </c>
      <c r="Y1241" s="10">
        <f t="shared" ca="1" si="1356"/>
        <v>0</v>
      </c>
      <c r="Z1241">
        <f t="shared" ca="1" si="1339"/>
        <v>0</v>
      </c>
      <c r="AA1241">
        <f t="shared" ca="1" si="1340"/>
        <v>1</v>
      </c>
      <c r="AB1241" s="19">
        <f t="shared" ca="1" si="1341"/>
        <v>0</v>
      </c>
      <c r="AC1241" s="19">
        <f t="shared" ca="1" si="1342"/>
        <v>1.1160326138349073E-2</v>
      </c>
    </row>
    <row r="1242" spans="3:29" x14ac:dyDescent="0.25">
      <c r="C1242" s="4">
        <v>1235</v>
      </c>
      <c r="D1242" s="28">
        <v>43762</v>
      </c>
      <c r="E1242" s="30">
        <v>15.656000000000001</v>
      </c>
      <c r="F1242" s="30">
        <v>55.538544668587896</v>
      </c>
      <c r="G1242" s="30">
        <v>5.9167867435158499</v>
      </c>
      <c r="H1242" s="30">
        <v>60.878962536023046</v>
      </c>
      <c r="I1242" s="8">
        <v>0</v>
      </c>
      <c r="J1242" s="31">
        <v>0</v>
      </c>
      <c r="K1242" s="31">
        <v>0</v>
      </c>
      <c r="L1242" s="31">
        <v>0</v>
      </c>
      <c r="M1242" s="31">
        <v>0</v>
      </c>
      <c r="N1242" s="31">
        <v>0</v>
      </c>
      <c r="O1242" s="31">
        <v>0</v>
      </c>
      <c r="P1242" s="31">
        <v>0</v>
      </c>
      <c r="Q1242" s="31">
        <v>0</v>
      </c>
      <c r="R1242" s="31">
        <v>1</v>
      </c>
      <c r="S1242" s="31">
        <v>0</v>
      </c>
      <c r="T1242" s="21" cm="1">
        <f t="array" aca="1" ref="T1242" ca="1">+fair_value_gap(OFFSET(S1241,0,0,-1*$I$5,-1*$Z$1),OFFSET(E1241,0,0,-1*$I$5,1),F1242:S1242,0)</f>
        <v>16.243785689287488</v>
      </c>
      <c r="U1242" s="7" cm="1">
        <f t="array" aca="1" ref="U1242" ca="1">z_score_diff(OFFSET(T1242,0,0,$I$5*-1,1),OFFSET(E1242,0,0,$I$5*-1,1))</f>
        <v>0.13847835290391275</v>
      </c>
      <c r="V1242" s="7">
        <f t="shared" ca="1" si="1337"/>
        <v>0.11473719931190833</v>
      </c>
      <c r="W1242" s="14">
        <f t="shared" ca="1" si="1332"/>
        <v>-2.0460365193972784E-3</v>
      </c>
      <c r="X1242" s="10">
        <f t="shared" ref="X1242:Y1242" ca="1" si="1357">+X1241</f>
        <v>0</v>
      </c>
      <c r="Y1242" s="10">
        <f t="shared" ca="1" si="1357"/>
        <v>0</v>
      </c>
      <c r="Z1242">
        <f t="shared" ca="1" si="1339"/>
        <v>0</v>
      </c>
      <c r="AA1242">
        <f t="shared" ca="1" si="1340"/>
        <v>1</v>
      </c>
      <c r="AB1242" s="19">
        <f t="shared" ca="1" si="1341"/>
        <v>0</v>
      </c>
      <c r="AC1242" s="19">
        <f t="shared" ca="1" si="1342"/>
        <v>-2.0460365193972784E-3</v>
      </c>
    </row>
    <row r="1243" spans="3:29" x14ac:dyDescent="0.25">
      <c r="C1243" s="4">
        <v>1236</v>
      </c>
      <c r="D1243" s="28">
        <v>43763</v>
      </c>
      <c r="E1243" s="30">
        <v>15.234999999999999</v>
      </c>
      <c r="F1243" s="30">
        <v>55.984834807727033</v>
      </c>
      <c r="G1243" s="30">
        <v>5.8133237046398278</v>
      </c>
      <c r="H1243" s="30">
        <v>60.751038093518687</v>
      </c>
      <c r="I1243" s="8">
        <v>0</v>
      </c>
      <c r="J1243" s="31">
        <v>0</v>
      </c>
      <c r="K1243" s="31">
        <v>0</v>
      </c>
      <c r="L1243" s="31">
        <v>0</v>
      </c>
      <c r="M1243" s="31">
        <v>0</v>
      </c>
      <c r="N1243" s="31">
        <v>0</v>
      </c>
      <c r="O1243" s="31">
        <v>0</v>
      </c>
      <c r="P1243" s="31">
        <v>0</v>
      </c>
      <c r="Q1243" s="31">
        <v>0</v>
      </c>
      <c r="R1243" s="31">
        <v>1</v>
      </c>
      <c r="S1243" s="31">
        <v>0</v>
      </c>
      <c r="T1243" s="21" cm="1">
        <f t="array" aca="1" ref="T1243" ca="1">+fair_value_gap(OFFSET(S1242,0,0,-1*$I$5,-1*$Z$1),OFFSET(E1242,0,0,-1*$I$5,1),F1243:S1243,0)</f>
        <v>16.110690943547588</v>
      </c>
      <c r="U1243" s="7" cm="1">
        <f t="array" aca="1" ref="U1243" ca="1">z_score_diff(OFFSET(T1243,0,0,$I$5*-1,1),OFFSET(E1243,0,0,$I$5*-1,1))</f>
        <v>0.19365662717988036</v>
      </c>
      <c r="V1243" s="7">
        <f t="shared" ca="1" si="1337"/>
        <v>0.11782149564094835</v>
      </c>
      <c r="W1243" s="14">
        <f t="shared" ca="1" si="1332"/>
        <v>5.1988818781907191E-2</v>
      </c>
      <c r="X1243" s="10">
        <f t="shared" ref="X1243:Y1243" ca="1" si="1358">+X1242</f>
        <v>0</v>
      </c>
      <c r="Y1243" s="10">
        <f t="shared" ca="1" si="1358"/>
        <v>0</v>
      </c>
      <c r="Z1243">
        <f t="shared" ca="1" si="1339"/>
        <v>0</v>
      </c>
      <c r="AA1243">
        <f t="shared" ca="1" si="1340"/>
        <v>1</v>
      </c>
      <c r="AB1243" s="19">
        <f t="shared" ca="1" si="1341"/>
        <v>0</v>
      </c>
      <c r="AC1243" s="19">
        <f t="shared" ca="1" si="1342"/>
        <v>5.1988818781907191E-2</v>
      </c>
    </row>
    <row r="1244" spans="3:29" x14ac:dyDescent="0.25">
      <c r="C1244" s="4">
        <v>1237</v>
      </c>
      <c r="D1244" s="28">
        <v>43766</v>
      </c>
      <c r="E1244" s="30">
        <v>14.391</v>
      </c>
      <c r="F1244" s="30">
        <v>55.478464588214095</v>
      </c>
      <c r="G1244" s="30">
        <v>5.69922508560101</v>
      </c>
      <c r="H1244" s="30">
        <v>60.100919084519738</v>
      </c>
      <c r="I1244" s="8">
        <v>0</v>
      </c>
      <c r="J1244" s="31">
        <v>0</v>
      </c>
      <c r="K1244" s="31">
        <v>0</v>
      </c>
      <c r="L1244" s="31">
        <v>0</v>
      </c>
      <c r="M1244" s="31">
        <v>0</v>
      </c>
      <c r="N1244" s="31">
        <v>0</v>
      </c>
      <c r="O1244" s="31">
        <v>0</v>
      </c>
      <c r="P1244" s="31">
        <v>0</v>
      </c>
      <c r="Q1244" s="31">
        <v>0</v>
      </c>
      <c r="R1244" s="31">
        <v>1</v>
      </c>
      <c r="S1244" s="31">
        <v>0</v>
      </c>
      <c r="T1244" s="21" cm="1">
        <f t="array" aca="1" ref="T1244" ca="1">+fair_value_gap(OFFSET(S1243,0,0,-1*$I$5,-1*$Z$1),OFFSET(E1243,0,0,-1*$I$5,1),F1244:S1244,0)</f>
        <v>15.868321918011791</v>
      </c>
      <c r="U1244" s="7" cm="1">
        <f t="array" aca="1" ref="U1244" ca="1">z_score_diff(OFFSET(T1244,0,0,$I$5*-1,1),OFFSET(E1244,0,0,$I$5*-1,1))</f>
        <v>0.31091796475771688</v>
      </c>
      <c r="V1244" s="7">
        <f t="shared" ca="1" si="1337"/>
        <v>0.15585785515614797</v>
      </c>
      <c r="W1244" s="14">
        <f t="shared" ca="1" si="1332"/>
        <v>0.12068957741694077</v>
      </c>
      <c r="X1244" s="10">
        <f t="shared" ref="X1244:Y1244" ca="1" si="1359">+X1243</f>
        <v>0</v>
      </c>
      <c r="Y1244" s="10">
        <f t="shared" ca="1" si="1359"/>
        <v>0</v>
      </c>
      <c r="Z1244">
        <f t="shared" ca="1" si="1339"/>
        <v>0</v>
      </c>
      <c r="AA1244">
        <f t="shared" ca="1" si="1340"/>
        <v>1</v>
      </c>
      <c r="AB1244" s="19">
        <f t="shared" ca="1" si="1341"/>
        <v>0</v>
      </c>
      <c r="AC1244" s="19">
        <f t="shared" ca="1" si="1342"/>
        <v>0.12068957741694077</v>
      </c>
    </row>
    <row r="1245" spans="3:29" x14ac:dyDescent="0.25">
      <c r="C1245" s="4">
        <v>1238</v>
      </c>
      <c r="D1245" s="28">
        <v>43767</v>
      </c>
      <c r="E1245" s="30">
        <v>13.833</v>
      </c>
      <c r="F1245" s="30">
        <v>55.436543654365437</v>
      </c>
      <c r="G1245" s="30">
        <v>5.6705670567056705</v>
      </c>
      <c r="H1245" s="30">
        <v>59.945994599459944</v>
      </c>
      <c r="I1245" s="8">
        <v>0</v>
      </c>
      <c r="J1245" s="31">
        <v>0</v>
      </c>
      <c r="K1245" s="31">
        <v>0</v>
      </c>
      <c r="L1245" s="31">
        <v>0</v>
      </c>
      <c r="M1245" s="31">
        <v>0</v>
      </c>
      <c r="N1245" s="31">
        <v>0</v>
      </c>
      <c r="O1245" s="31">
        <v>0</v>
      </c>
      <c r="P1245" s="31">
        <v>0</v>
      </c>
      <c r="Q1245" s="31">
        <v>0</v>
      </c>
      <c r="R1245" s="31">
        <v>1</v>
      </c>
      <c r="S1245" s="31">
        <v>0</v>
      </c>
      <c r="T1245" s="21" cm="1">
        <f t="array" aca="1" ref="T1245" ca="1">+fair_value_gap(OFFSET(S1244,0,0,-1*$I$5,-1*$Z$1),OFFSET(E1244,0,0,-1*$I$5,1),F1245:S1245,0)</f>
        <v>15.749979175861554</v>
      </c>
      <c r="U1245" s="7" cm="1">
        <f t="array" aca="1" ref="U1245" ca="1">z_score_diff(OFFSET(T1245,0,0,$I$5*-1,1),OFFSET(E1245,0,0,$I$5*-1,1))</f>
        <v>0.39931142224796767</v>
      </c>
      <c r="V1245" s="7">
        <f t="shared" ca="1" si="1337"/>
        <v>0.17802840451831681</v>
      </c>
      <c r="W1245" s="14">
        <f t="shared" ca="1" si="1332"/>
        <v>0.13604936495761036</v>
      </c>
      <c r="X1245" s="10">
        <f t="shared" ref="X1245:Y1245" ca="1" si="1360">+X1244</f>
        <v>0</v>
      </c>
      <c r="Y1245" s="10">
        <f t="shared" ca="1" si="1360"/>
        <v>0</v>
      </c>
      <c r="Z1245">
        <f t="shared" ca="1" si="1339"/>
        <v>0</v>
      </c>
      <c r="AA1245">
        <f t="shared" ca="1" si="1340"/>
        <v>1</v>
      </c>
      <c r="AB1245" s="19">
        <f t="shared" ca="1" si="1341"/>
        <v>0</v>
      </c>
      <c r="AC1245" s="19">
        <f t="shared" ca="1" si="1342"/>
        <v>0.13604936495761036</v>
      </c>
    </row>
    <row r="1246" spans="3:29" x14ac:dyDescent="0.25">
      <c r="C1246" s="4">
        <v>1239</v>
      </c>
      <c r="D1246" s="28">
        <v>43768</v>
      </c>
      <c r="E1246" s="30">
        <v>13.779</v>
      </c>
      <c r="F1246" s="30">
        <v>54.368496591316827</v>
      </c>
      <c r="G1246" s="30">
        <v>5.5211697165410838</v>
      </c>
      <c r="H1246" s="30">
        <v>59.203444564047359</v>
      </c>
      <c r="I1246" s="8">
        <v>0</v>
      </c>
      <c r="J1246" s="31">
        <v>0</v>
      </c>
      <c r="K1246" s="31">
        <v>0</v>
      </c>
      <c r="L1246" s="31">
        <v>0</v>
      </c>
      <c r="M1246" s="31">
        <v>0</v>
      </c>
      <c r="N1246" s="31">
        <v>0</v>
      </c>
      <c r="O1246" s="31">
        <v>0</v>
      </c>
      <c r="P1246" s="31">
        <v>0</v>
      </c>
      <c r="Q1246" s="31">
        <v>0</v>
      </c>
      <c r="R1246" s="31">
        <v>1</v>
      </c>
      <c r="S1246" s="31">
        <v>0</v>
      </c>
      <c r="T1246" s="21" cm="1">
        <f t="array" aca="1" ref="T1246" ca="1">+fair_value_gap(OFFSET(S1245,0,0,-1*$I$5,-1*$Z$1),OFFSET(E1245,0,0,-1*$I$5,1),F1246:S1246,0)</f>
        <v>15.446274921545477</v>
      </c>
      <c r="U1246" s="7" cm="1">
        <f t="array" aca="1" ref="U1246" ca="1">z_score_diff(OFFSET(T1246,0,0,$I$5*-1,1),OFFSET(E1246,0,0,$I$5*-1,1))</f>
        <v>0.33547881111846334</v>
      </c>
      <c r="V1246" s="7">
        <f t="shared" ca="1" si="1337"/>
        <v>0.19193111038655003</v>
      </c>
      <c r="W1246" s="14">
        <f t="shared" ca="1" si="1332"/>
        <v>0.14819224632636252</v>
      </c>
      <c r="X1246" s="10">
        <f t="shared" ref="X1246:Y1246" ca="1" si="1361">+X1245</f>
        <v>0</v>
      </c>
      <c r="Y1246" s="10">
        <f t="shared" ca="1" si="1361"/>
        <v>0</v>
      </c>
      <c r="Z1246">
        <f t="shared" ca="1" si="1339"/>
        <v>0</v>
      </c>
      <c r="AA1246">
        <f t="shared" ca="1" si="1340"/>
        <v>1</v>
      </c>
      <c r="AB1246" s="19">
        <f t="shared" ca="1" si="1341"/>
        <v>0</v>
      </c>
      <c r="AC1246" s="19">
        <f t="shared" ca="1" si="1342"/>
        <v>0.14819224632636252</v>
      </c>
    </row>
    <row r="1247" spans="3:29" x14ac:dyDescent="0.25">
      <c r="C1247" s="4">
        <v>1240</v>
      </c>
      <c r="D1247" s="28">
        <v>43769</v>
      </c>
      <c r="E1247" s="30">
        <v>16.132999999999999</v>
      </c>
      <c r="F1247" s="30">
        <v>54.017937219730939</v>
      </c>
      <c r="G1247" s="30">
        <v>5.5964125560538118</v>
      </c>
      <c r="H1247" s="30">
        <v>59.955156950672638</v>
      </c>
      <c r="I1247" s="8">
        <v>0</v>
      </c>
      <c r="J1247" s="31">
        <v>0</v>
      </c>
      <c r="K1247" s="31">
        <v>0</v>
      </c>
      <c r="L1247" s="31">
        <v>0</v>
      </c>
      <c r="M1247" s="31">
        <v>0</v>
      </c>
      <c r="N1247" s="31">
        <v>0</v>
      </c>
      <c r="O1247" s="31">
        <v>0</v>
      </c>
      <c r="P1247" s="31">
        <v>0</v>
      </c>
      <c r="Q1247" s="31">
        <v>0</v>
      </c>
      <c r="R1247" s="31">
        <v>1</v>
      </c>
      <c r="S1247" s="31">
        <v>0</v>
      </c>
      <c r="T1247" s="21" cm="1">
        <f t="array" aca="1" ref="T1247" ca="1">+fair_value_gap(OFFSET(S1246,0,0,-1*$I$5,-1*$Z$1),OFFSET(E1246,0,0,-1*$I$5,1),F1247:S1247,0)</f>
        <v>15.617702149466648</v>
      </c>
      <c r="U1247" s="7" cm="1">
        <f t="array" aca="1" ref="U1247" ca="1">z_score_diff(OFFSET(T1247,0,0,$I$5*-1,1),OFFSET(E1247,0,0,$I$5*-1,1))</f>
        <v>-0.12093516185451539</v>
      </c>
      <c r="V1247" s="7">
        <f t="shared" ca="1" si="1337"/>
        <v>0.18357860270505572</v>
      </c>
      <c r="W1247" s="14">
        <f t="shared" ca="1" si="1332"/>
        <v>-3.0459846502972062E-2</v>
      </c>
      <c r="X1247" s="10">
        <f t="shared" ref="X1247:Y1247" ca="1" si="1362">+X1246</f>
        <v>0</v>
      </c>
      <c r="Y1247" s="10">
        <f t="shared" ca="1" si="1362"/>
        <v>0</v>
      </c>
      <c r="Z1247">
        <f t="shared" ca="1" si="1339"/>
        <v>0</v>
      </c>
      <c r="AA1247">
        <f t="shared" ca="1" si="1340"/>
        <v>1</v>
      </c>
      <c r="AB1247" s="19">
        <f t="shared" ca="1" si="1341"/>
        <v>0</v>
      </c>
      <c r="AC1247" s="19">
        <f t="shared" ca="1" si="1342"/>
        <v>-3.0459846502972062E-2</v>
      </c>
    </row>
    <row r="1248" spans="3:29" x14ac:dyDescent="0.25">
      <c r="C1248" s="4">
        <v>1241</v>
      </c>
      <c r="D1248" s="28">
        <v>43770</v>
      </c>
      <c r="E1248" s="30">
        <v>16.177</v>
      </c>
      <c r="F1248" s="30">
        <v>55.253022839229729</v>
      </c>
      <c r="G1248" s="30">
        <v>5.6650246305418719</v>
      </c>
      <c r="H1248" s="30">
        <v>60.85982982534707</v>
      </c>
      <c r="I1248" s="8">
        <v>0</v>
      </c>
      <c r="J1248" s="31">
        <v>0</v>
      </c>
      <c r="K1248" s="31">
        <v>0</v>
      </c>
      <c r="L1248" s="31">
        <v>0</v>
      </c>
      <c r="M1248" s="31">
        <v>0</v>
      </c>
      <c r="N1248" s="31">
        <v>0</v>
      </c>
      <c r="O1248" s="31">
        <v>0</v>
      </c>
      <c r="P1248" s="31">
        <v>0</v>
      </c>
      <c r="Q1248" s="31">
        <v>0</v>
      </c>
      <c r="R1248" s="31">
        <v>0</v>
      </c>
      <c r="S1248" s="31">
        <v>1</v>
      </c>
      <c r="T1248" s="21" cm="1">
        <f t="array" aca="1" ref="T1248" ca="1">+fair_value_gap(OFFSET(S1247,0,0,-1*$I$5,-1*$Z$1),OFFSET(E1247,0,0,-1*$I$5,1),F1248:S1248,0)</f>
        <v>17.995258372620277</v>
      </c>
      <c r="U1248" s="7" cm="1">
        <f t="array" aca="1" ref="U1248" ca="1">z_score_diff(OFFSET(T1248,0,0,$I$5*-1,1),OFFSET(E1248,0,0,$I$5*-1,1))</f>
        <v>0.47212629878601825</v>
      </c>
      <c r="V1248" s="7">
        <f t="shared" ca="1" si="1337"/>
        <v>0.19760471118711828</v>
      </c>
      <c r="W1248" s="14">
        <f t="shared" ca="1" si="1332"/>
        <v>9.4134266348167555E-3</v>
      </c>
      <c r="X1248" s="10">
        <f t="shared" ref="X1248:Y1248" ca="1" si="1363">+X1247</f>
        <v>0</v>
      </c>
      <c r="Y1248" s="10">
        <f t="shared" ca="1" si="1363"/>
        <v>0</v>
      </c>
      <c r="Z1248">
        <f t="shared" ca="1" si="1339"/>
        <v>0</v>
      </c>
      <c r="AA1248">
        <f t="shared" ca="1" si="1340"/>
        <v>1</v>
      </c>
      <c r="AB1248" s="19">
        <f t="shared" ca="1" si="1341"/>
        <v>0</v>
      </c>
      <c r="AC1248" s="19">
        <f t="shared" ca="1" si="1342"/>
        <v>9.4134266348167555E-3</v>
      </c>
    </row>
    <row r="1249" spans="3:29" x14ac:dyDescent="0.25">
      <c r="C1249" s="4">
        <v>1242</v>
      </c>
      <c r="D1249" s="28">
        <v>43773</v>
      </c>
      <c r="E1249" s="30">
        <v>16.478000000000002</v>
      </c>
      <c r="F1249" s="30">
        <v>55.842171490203128</v>
      </c>
      <c r="G1249" s="30">
        <v>5.6624123674276463</v>
      </c>
      <c r="H1249" s="30">
        <v>61.432680208520573</v>
      </c>
      <c r="I1249" s="8">
        <v>0</v>
      </c>
      <c r="J1249" s="31">
        <v>0</v>
      </c>
      <c r="K1249" s="31">
        <v>0</v>
      </c>
      <c r="L1249" s="31">
        <v>0</v>
      </c>
      <c r="M1249" s="31">
        <v>0</v>
      </c>
      <c r="N1249" s="31">
        <v>0</v>
      </c>
      <c r="O1249" s="31">
        <v>0</v>
      </c>
      <c r="P1249" s="31">
        <v>0</v>
      </c>
      <c r="Q1249" s="31">
        <v>0</v>
      </c>
      <c r="R1249" s="31">
        <v>0</v>
      </c>
      <c r="S1249" s="31">
        <v>1</v>
      </c>
      <c r="T1249" s="21" cm="1">
        <f t="array" aca="1" ref="T1249" ca="1">+fair_value_gap(OFFSET(S1248,0,0,-1*$I$5,-1*$Z$1),OFFSET(E1248,0,0,-1*$I$5,1),F1249:S1249,0)</f>
        <v>17.804192519185904</v>
      </c>
      <c r="U1249" s="7" cm="1">
        <f t="array" aca="1" ref="U1249" ca="1">z_score_diff(OFFSET(T1249,0,0,$I$5*-1,1),OFFSET(E1249,0,0,$I$5*-1,1))</f>
        <v>0.35866421234554302</v>
      </c>
      <c r="V1249" s="7">
        <f t="shared" ca="1" si="1337"/>
        <v>0.20127909353071277</v>
      </c>
      <c r="W1249" s="14">
        <f t="shared" ca="1" si="1332"/>
        <v>-4.138350667201765E-2</v>
      </c>
      <c r="X1249" s="10">
        <f t="shared" ref="X1249:Y1249" ca="1" si="1364">+X1248</f>
        <v>0</v>
      </c>
      <c r="Y1249" s="10">
        <f t="shared" ca="1" si="1364"/>
        <v>0</v>
      </c>
      <c r="Z1249">
        <f t="shared" ca="1" si="1339"/>
        <v>0</v>
      </c>
      <c r="AA1249">
        <f t="shared" ca="1" si="1340"/>
        <v>1</v>
      </c>
      <c r="AB1249" s="19">
        <f t="shared" ca="1" si="1341"/>
        <v>0</v>
      </c>
      <c r="AC1249" s="19">
        <f t="shared" ca="1" si="1342"/>
        <v>-4.138350667201765E-2</v>
      </c>
    </row>
    <row r="1250" spans="3:29" x14ac:dyDescent="0.25">
      <c r="C1250" s="4">
        <v>1243</v>
      </c>
      <c r="D1250" s="28">
        <v>43774</v>
      </c>
      <c r="E1250" s="30">
        <v>16.789000000000001</v>
      </c>
      <c r="F1250" s="30">
        <v>56.853891999277593</v>
      </c>
      <c r="G1250" s="30">
        <v>5.6122448979591839</v>
      </c>
      <c r="H1250" s="30">
        <v>62.398410691710311</v>
      </c>
      <c r="I1250" s="8">
        <v>0</v>
      </c>
      <c r="J1250" s="31">
        <v>0</v>
      </c>
      <c r="K1250" s="31">
        <v>0</v>
      </c>
      <c r="L1250" s="31">
        <v>0</v>
      </c>
      <c r="M1250" s="31">
        <v>0</v>
      </c>
      <c r="N1250" s="31">
        <v>0</v>
      </c>
      <c r="O1250" s="31">
        <v>0</v>
      </c>
      <c r="P1250" s="31">
        <v>0</v>
      </c>
      <c r="Q1250" s="31">
        <v>0</v>
      </c>
      <c r="R1250" s="31">
        <v>0</v>
      </c>
      <c r="S1250" s="31">
        <v>1</v>
      </c>
      <c r="T1250" s="21" cm="1">
        <f t="array" aca="1" ref="T1250" ca="1">+fair_value_gap(OFFSET(S1249,0,0,-1*$I$5,-1*$Z$1),OFFSET(E1249,0,0,-1*$I$5,1),F1250:S1250,0)</f>
        <v>17.67768872312088</v>
      </c>
      <c r="U1250" s="7" cm="1">
        <f t="array" aca="1" ref="U1250" ca="1">z_score_diff(OFFSET(T1250,0,0,$I$5*-1,1),OFFSET(E1250,0,0,$I$5*-1,1))</f>
        <v>0.25555644923505461</v>
      </c>
      <c r="V1250" s="7">
        <f t="shared" ca="1" si="1337"/>
        <v>0.19944809318211137</v>
      </c>
      <c r="W1250" s="14">
        <f t="shared" ca="1" si="1332"/>
        <v>-6.2551099548840361E-2</v>
      </c>
      <c r="X1250" s="10">
        <f t="shared" ref="X1250:Y1250" ca="1" si="1365">+X1249</f>
        <v>0</v>
      </c>
      <c r="Y1250" s="10">
        <f t="shared" ca="1" si="1365"/>
        <v>0</v>
      </c>
      <c r="Z1250">
        <f t="shared" ca="1" si="1339"/>
        <v>0</v>
      </c>
      <c r="AA1250">
        <f t="shared" ca="1" si="1340"/>
        <v>1</v>
      </c>
      <c r="AB1250" s="19">
        <f t="shared" ca="1" si="1341"/>
        <v>0</v>
      </c>
      <c r="AC1250" s="19">
        <f t="shared" ca="1" si="1342"/>
        <v>-6.2551099548840361E-2</v>
      </c>
    </row>
    <row r="1251" spans="3:29" x14ac:dyDescent="0.25">
      <c r="C1251" s="4">
        <v>1244</v>
      </c>
      <c r="D1251" s="28">
        <v>43775</v>
      </c>
      <c r="E1251" s="30">
        <v>16.280999999999999</v>
      </c>
      <c r="F1251" s="30">
        <v>55.797559873474924</v>
      </c>
      <c r="G1251" s="30">
        <v>5.5625847266154542</v>
      </c>
      <c r="H1251" s="30">
        <v>62.58472661545413</v>
      </c>
      <c r="I1251" s="8">
        <v>0</v>
      </c>
      <c r="J1251" s="31">
        <v>0</v>
      </c>
      <c r="K1251" s="31">
        <v>0</v>
      </c>
      <c r="L1251" s="31">
        <v>0</v>
      </c>
      <c r="M1251" s="31">
        <v>0</v>
      </c>
      <c r="N1251" s="31">
        <v>0</v>
      </c>
      <c r="O1251" s="31">
        <v>0</v>
      </c>
      <c r="P1251" s="31">
        <v>0</v>
      </c>
      <c r="Q1251" s="31">
        <v>0</v>
      </c>
      <c r="R1251" s="31">
        <v>0</v>
      </c>
      <c r="S1251" s="31">
        <v>1</v>
      </c>
      <c r="T1251" s="21" cm="1">
        <f t="array" aca="1" ref="T1251" ca="1">+fair_value_gap(OFFSET(S1250,0,0,-1*$I$5,-1*$Z$1),OFFSET(E1250,0,0,-1*$I$5,1),F1251:S1251,0)</f>
        <v>17.562109605299543</v>
      </c>
      <c r="U1251" s="7" cm="1">
        <f t="array" aca="1" ref="U1251" ca="1">z_score_diff(OFFSET(T1251,0,0,$I$5*-1,1),OFFSET(E1251,0,0,$I$5*-1,1))</f>
        <v>0.33547013997540187</v>
      </c>
      <c r="V1251" s="7">
        <f t="shared" ca="1" si="1337"/>
        <v>0.20362071640483209</v>
      </c>
      <c r="W1251" s="14">
        <f t="shared" ca="1" si="1332"/>
        <v>-2.4812391276358245E-2</v>
      </c>
      <c r="X1251" s="10">
        <f t="shared" ref="X1251:Y1251" ca="1" si="1366">+X1250</f>
        <v>0</v>
      </c>
      <c r="Y1251" s="10">
        <f t="shared" ca="1" si="1366"/>
        <v>0</v>
      </c>
      <c r="Z1251">
        <f t="shared" ca="1" si="1339"/>
        <v>0</v>
      </c>
      <c r="AA1251">
        <f t="shared" ca="1" si="1340"/>
        <v>1</v>
      </c>
      <c r="AB1251" s="19">
        <f t="shared" ca="1" si="1341"/>
        <v>0</v>
      </c>
      <c r="AC1251" s="19">
        <f t="shared" ca="1" si="1342"/>
        <v>-2.4812391276358245E-2</v>
      </c>
    </row>
    <row r="1252" spans="3:29" x14ac:dyDescent="0.25">
      <c r="C1252" s="4">
        <v>1245</v>
      </c>
      <c r="D1252" s="28">
        <v>43776</v>
      </c>
      <c r="E1252" s="30">
        <v>16.117999999999999</v>
      </c>
      <c r="F1252" s="30">
        <v>56.376142637342745</v>
      </c>
      <c r="G1252" s="30">
        <v>5.5163363200289615</v>
      </c>
      <c r="H1252" s="30">
        <v>62.584849307629653</v>
      </c>
      <c r="I1252" s="8">
        <v>0</v>
      </c>
      <c r="J1252" s="31">
        <v>0</v>
      </c>
      <c r="K1252" s="31">
        <v>0</v>
      </c>
      <c r="L1252" s="31">
        <v>0</v>
      </c>
      <c r="M1252" s="31">
        <v>0</v>
      </c>
      <c r="N1252" s="31">
        <v>0</v>
      </c>
      <c r="O1252" s="31">
        <v>0</v>
      </c>
      <c r="P1252" s="31">
        <v>0</v>
      </c>
      <c r="Q1252" s="31">
        <v>0</v>
      </c>
      <c r="R1252" s="31">
        <v>0</v>
      </c>
      <c r="S1252" s="31">
        <v>1</v>
      </c>
      <c r="T1252" s="21" cm="1">
        <f t="array" aca="1" ref="T1252" ca="1">+fair_value_gap(OFFSET(S1251,0,0,-1*$I$5,-1*$Z$1),OFFSET(E1251,0,0,-1*$I$5,1),F1252:S1252,0)</f>
        <v>17.247708932281373</v>
      </c>
      <c r="U1252" s="7" cm="1">
        <f t="array" aca="1" ref="U1252" ca="1">z_score_diff(OFFSET(T1252,0,0,$I$5*-1,1),OFFSET(E1252,0,0,$I$5*-1,1))</f>
        <v>0.28863244796915832</v>
      </c>
      <c r="V1252" s="7">
        <f t="shared" ca="1" si="1337"/>
        <v>0.21163096703747533</v>
      </c>
      <c r="W1252" s="14">
        <f t="shared" ca="1" si="1332"/>
        <v>-4.4595598564205856E-2</v>
      </c>
      <c r="X1252" s="10">
        <f t="shared" ref="X1252:Y1252" ca="1" si="1367">+X1251</f>
        <v>0</v>
      </c>
      <c r="Y1252" s="10">
        <f t="shared" ca="1" si="1367"/>
        <v>0</v>
      </c>
      <c r="Z1252">
        <f t="shared" ca="1" si="1339"/>
        <v>0</v>
      </c>
      <c r="AA1252">
        <f t="shared" ca="1" si="1340"/>
        <v>1</v>
      </c>
      <c r="AB1252" s="19">
        <f t="shared" ca="1" si="1341"/>
        <v>0</v>
      </c>
      <c r="AC1252" s="19">
        <f t="shared" ca="1" si="1342"/>
        <v>-4.4595598564205856E-2</v>
      </c>
    </row>
    <row r="1253" spans="3:29" x14ac:dyDescent="0.25">
      <c r="C1253" s="4">
        <v>1246</v>
      </c>
      <c r="D1253" s="28">
        <v>43777</v>
      </c>
      <c r="E1253" s="30">
        <v>15.942</v>
      </c>
      <c r="F1253" s="30">
        <v>56.744734931009447</v>
      </c>
      <c r="G1253" s="30">
        <v>5.5691721132897607</v>
      </c>
      <c r="H1253" s="30">
        <v>62.681554103122735</v>
      </c>
      <c r="I1253" s="8">
        <v>0</v>
      </c>
      <c r="J1253" s="31">
        <v>0</v>
      </c>
      <c r="K1253" s="31">
        <v>0</v>
      </c>
      <c r="L1253" s="31">
        <v>0</v>
      </c>
      <c r="M1253" s="31">
        <v>0</v>
      </c>
      <c r="N1253" s="31">
        <v>0</v>
      </c>
      <c r="O1253" s="31">
        <v>0</v>
      </c>
      <c r="P1253" s="31">
        <v>0</v>
      </c>
      <c r="Q1253" s="31">
        <v>0</v>
      </c>
      <c r="R1253" s="31">
        <v>0</v>
      </c>
      <c r="S1253" s="31">
        <v>1</v>
      </c>
      <c r="T1253" s="21" cm="1">
        <f t="array" aca="1" ref="T1253" ca="1">+fair_value_gap(OFFSET(S1252,0,0,-1*$I$5,-1*$Z$1),OFFSET(E1252,0,0,-1*$I$5,1),F1253:S1253,0)</f>
        <v>17.037606000873829</v>
      </c>
      <c r="U1253" s="7" cm="1">
        <f t="array" aca="1" ref="U1253" ca="1">z_score_diff(OFFSET(T1253,0,0,$I$5*-1,1),OFFSET(E1253,0,0,$I$5*-1,1))</f>
        <v>0.27297204947050435</v>
      </c>
      <c r="V1253" s="7">
        <f t="shared" ca="1" si="1337"/>
        <v>0.22367660001681494</v>
      </c>
      <c r="W1253" s="14">
        <f t="shared" ca="1" si="1332"/>
        <v>-5.1550839979496485E-2</v>
      </c>
      <c r="X1253" s="10">
        <f t="shared" ref="X1253:Y1253" ca="1" si="1368">+X1252</f>
        <v>0</v>
      </c>
      <c r="Y1253" s="10">
        <f t="shared" ca="1" si="1368"/>
        <v>0</v>
      </c>
      <c r="Z1253">
        <f t="shared" ca="1" si="1339"/>
        <v>0</v>
      </c>
      <c r="AA1253">
        <f t="shared" ca="1" si="1340"/>
        <v>1</v>
      </c>
      <c r="AB1253" s="19">
        <f t="shared" ca="1" si="1341"/>
        <v>0</v>
      </c>
      <c r="AC1253" s="19">
        <f t="shared" ca="1" si="1342"/>
        <v>-5.1550839979496485E-2</v>
      </c>
    </row>
    <row r="1254" spans="3:29" x14ac:dyDescent="0.25">
      <c r="C1254" s="4">
        <v>1247</v>
      </c>
      <c r="D1254" s="28">
        <v>43780</v>
      </c>
      <c r="E1254" s="30">
        <v>15.845000000000001</v>
      </c>
      <c r="F1254" s="30">
        <v>56.363306744017407</v>
      </c>
      <c r="G1254" s="30">
        <v>5.5112400290065269</v>
      </c>
      <c r="H1254" s="30">
        <v>63.542422044960112</v>
      </c>
      <c r="I1254" s="8">
        <v>0</v>
      </c>
      <c r="J1254" s="31">
        <v>0</v>
      </c>
      <c r="K1254" s="31">
        <v>0</v>
      </c>
      <c r="L1254" s="31">
        <v>0</v>
      </c>
      <c r="M1254" s="31">
        <v>0</v>
      </c>
      <c r="N1254" s="31">
        <v>0</v>
      </c>
      <c r="O1254" s="31">
        <v>0</v>
      </c>
      <c r="P1254" s="31">
        <v>0</v>
      </c>
      <c r="Q1254" s="31">
        <v>0</v>
      </c>
      <c r="R1254" s="31">
        <v>0</v>
      </c>
      <c r="S1254" s="31">
        <v>1</v>
      </c>
      <c r="T1254" s="21" cm="1">
        <f t="array" aca="1" ref="T1254" ca="1">+fair_value_gap(OFFSET(S1253,0,0,-1*$I$5,-1*$Z$1),OFFSET(E1253,0,0,-1*$I$5,1),F1254:S1254,0)</f>
        <v>17.088708231944889</v>
      </c>
      <c r="U1254" s="7" cm="1">
        <f t="array" aca="1" ref="U1254" ca="1">z_score_diff(OFFSET(T1254,0,0,$I$5*-1,1),OFFSET(E1254,0,0,$I$5*-1,1))</f>
        <v>0.31020250150065359</v>
      </c>
      <c r="V1254" s="7">
        <f t="shared" ca="1" si="1337"/>
        <v>0.23579341639281229</v>
      </c>
      <c r="W1254" s="14">
        <f t="shared" ca="1" si="1332"/>
        <v>-6.2298473802934531E-2</v>
      </c>
      <c r="X1254" s="10">
        <f t="shared" ref="X1254:Y1254" ca="1" si="1369">+X1253</f>
        <v>0</v>
      </c>
      <c r="Y1254" s="10">
        <f t="shared" ca="1" si="1369"/>
        <v>0</v>
      </c>
      <c r="Z1254">
        <f t="shared" ca="1" si="1339"/>
        <v>0</v>
      </c>
      <c r="AA1254">
        <f t="shared" ca="1" si="1340"/>
        <v>1</v>
      </c>
      <c r="AB1254" s="19">
        <f t="shared" ca="1" si="1341"/>
        <v>0</v>
      </c>
      <c r="AC1254" s="19">
        <f t="shared" ca="1" si="1342"/>
        <v>-6.2298473802934531E-2</v>
      </c>
    </row>
    <row r="1255" spans="3:29" x14ac:dyDescent="0.25">
      <c r="C1255" s="4">
        <v>1248</v>
      </c>
      <c r="D1255" s="28">
        <v>43781</v>
      </c>
      <c r="E1255" s="30">
        <v>15.545999999999999</v>
      </c>
      <c r="F1255" s="30">
        <v>56.382302171345508</v>
      </c>
      <c r="G1255" s="30">
        <v>5.4692468429181424</v>
      </c>
      <c r="H1255" s="30">
        <v>64.050149904606158</v>
      </c>
      <c r="I1255" s="8">
        <v>0</v>
      </c>
      <c r="J1255" s="31">
        <v>0</v>
      </c>
      <c r="K1255" s="31">
        <v>0</v>
      </c>
      <c r="L1255" s="31">
        <v>0</v>
      </c>
      <c r="M1255" s="31">
        <v>0</v>
      </c>
      <c r="N1255" s="31">
        <v>0</v>
      </c>
      <c r="O1255" s="31">
        <v>0</v>
      </c>
      <c r="P1255" s="31">
        <v>0</v>
      </c>
      <c r="Q1255" s="31">
        <v>0</v>
      </c>
      <c r="R1255" s="31">
        <v>0</v>
      </c>
      <c r="S1255" s="31">
        <v>1</v>
      </c>
      <c r="T1255" s="21" cm="1">
        <f t="array" aca="1" ref="T1255" ca="1">+fair_value_gap(OFFSET(S1254,0,0,-1*$I$5,-1*$Z$1),OFFSET(E1254,0,0,-1*$I$5,1),F1255:S1255,0)</f>
        <v>17.060999250436495</v>
      </c>
      <c r="U1255" s="7" cm="1">
        <f t="array" aca="1" ref="U1255" ca="1">z_score_diff(OFFSET(T1255,0,0,$I$5*-1,1),OFFSET(E1255,0,0,$I$5*-1,1))</f>
        <v>0.37201103538308017</v>
      </c>
      <c r="V1255" s="7">
        <f t="shared" ca="1" si="1337"/>
        <v>0.25170757885948253</v>
      </c>
      <c r="W1255" s="14">
        <f t="shared" ca="1" si="1332"/>
        <v>-6.7450256449072377E-2</v>
      </c>
      <c r="X1255" s="10">
        <f t="shared" ref="X1255:Y1255" ca="1" si="1370">+X1254</f>
        <v>0</v>
      </c>
      <c r="Y1255" s="10">
        <f t="shared" ca="1" si="1370"/>
        <v>0</v>
      </c>
      <c r="Z1255">
        <f t="shared" ca="1" si="1339"/>
        <v>0</v>
      </c>
      <c r="AA1255">
        <f t="shared" ca="1" si="1340"/>
        <v>1</v>
      </c>
      <c r="AB1255" s="19">
        <f t="shared" ca="1" si="1341"/>
        <v>0</v>
      </c>
      <c r="AC1255" s="19">
        <f t="shared" ca="1" si="1342"/>
        <v>-6.7450256449072377E-2</v>
      </c>
    </row>
    <row r="1256" spans="3:29" x14ac:dyDescent="0.25">
      <c r="C1256" s="4">
        <v>1249</v>
      </c>
      <c r="D1256" s="28">
        <v>43782</v>
      </c>
      <c r="E1256" s="30">
        <v>15.451000000000001</v>
      </c>
      <c r="F1256" s="30">
        <v>56.669089587497723</v>
      </c>
      <c r="G1256" s="30">
        <v>5.5242594948210071</v>
      </c>
      <c r="H1256" s="30">
        <v>63.965109940032711</v>
      </c>
      <c r="I1256" s="8">
        <v>0</v>
      </c>
      <c r="J1256" s="31">
        <v>0</v>
      </c>
      <c r="K1256" s="31">
        <v>0</v>
      </c>
      <c r="L1256" s="31">
        <v>0</v>
      </c>
      <c r="M1256" s="31">
        <v>0</v>
      </c>
      <c r="N1256" s="31">
        <v>0</v>
      </c>
      <c r="O1256" s="31">
        <v>0</v>
      </c>
      <c r="P1256" s="31">
        <v>0</v>
      </c>
      <c r="Q1256" s="31">
        <v>0</v>
      </c>
      <c r="R1256" s="31">
        <v>0</v>
      </c>
      <c r="S1256" s="31">
        <v>1</v>
      </c>
      <c r="T1256" s="21" cm="1">
        <f t="array" aca="1" ref="T1256" ca="1">+fair_value_gap(OFFSET(S1255,0,0,-1*$I$5,-1*$Z$1),OFFSET(E1255,0,0,-1*$I$5,1),F1256:S1256,0)</f>
        <v>16.883155851035735</v>
      </c>
      <c r="U1256" s="7" cm="1">
        <f t="array" aca="1" ref="U1256" ca="1">z_score_diff(OFFSET(T1256,0,0,$I$5*-1,1),OFFSET(E1256,0,0,$I$5*-1,1))</f>
        <v>0.34775008897014215</v>
      </c>
      <c r="V1256" s="7">
        <f t="shared" ca="1" si="1337"/>
        <v>0.26073830524223085</v>
      </c>
      <c r="W1256" s="14">
        <f t="shared" ca="1" si="1332"/>
        <v>-9.526487631950839E-2</v>
      </c>
      <c r="X1256" s="10">
        <f t="shared" ref="X1256:Y1256" ca="1" si="1371">+X1255</f>
        <v>0</v>
      </c>
      <c r="Y1256" s="10">
        <f t="shared" ca="1" si="1371"/>
        <v>0</v>
      </c>
      <c r="Z1256">
        <f t="shared" ca="1" si="1339"/>
        <v>0</v>
      </c>
      <c r="AA1256">
        <f t="shared" ca="1" si="1340"/>
        <v>1</v>
      </c>
      <c r="AB1256" s="19">
        <f t="shared" ca="1" si="1341"/>
        <v>0</v>
      </c>
      <c r="AC1256" s="19">
        <f t="shared" ca="1" si="1342"/>
        <v>-9.526487631950839E-2</v>
      </c>
    </row>
    <row r="1257" spans="3:29" x14ac:dyDescent="0.25">
      <c r="C1257" s="4">
        <v>1250</v>
      </c>
      <c r="D1257" s="28">
        <v>43783</v>
      </c>
      <c r="E1257" s="30">
        <v>15.669</v>
      </c>
      <c r="F1257" s="30">
        <v>56.510298521005353</v>
      </c>
      <c r="G1257" s="30">
        <v>5.5167407676254419</v>
      </c>
      <c r="H1257" s="30">
        <v>64.331730333000635</v>
      </c>
      <c r="I1257" s="8">
        <v>0</v>
      </c>
      <c r="J1257" s="31">
        <v>0</v>
      </c>
      <c r="K1257" s="31">
        <v>0</v>
      </c>
      <c r="L1257" s="31">
        <v>0</v>
      </c>
      <c r="M1257" s="31">
        <v>0</v>
      </c>
      <c r="N1257" s="31">
        <v>0</v>
      </c>
      <c r="O1257" s="31">
        <v>0</v>
      </c>
      <c r="P1257" s="31">
        <v>0</v>
      </c>
      <c r="Q1257" s="31">
        <v>0</v>
      </c>
      <c r="R1257" s="31">
        <v>0</v>
      </c>
      <c r="S1257" s="31">
        <v>1</v>
      </c>
      <c r="T1257" s="21" cm="1">
        <f t="array" aca="1" ref="T1257" ca="1">+fair_value_gap(OFFSET(S1256,0,0,-1*$I$5,-1*$Z$1),OFFSET(E1256,0,0,-1*$I$5,1),F1257:S1257,0)</f>
        <v>16.847534327682915</v>
      </c>
      <c r="U1257" s="7" cm="1">
        <f t="array" aca="1" ref="U1257" ca="1">z_score_diff(OFFSET(T1257,0,0,$I$5*-1,1),OFFSET(E1257,0,0,$I$5*-1,1))</f>
        <v>0.28877705519096453</v>
      </c>
      <c r="V1257" s="7">
        <f t="shared" ca="1" si="1337"/>
        <v>0.26756873319390606</v>
      </c>
      <c r="W1257" s="14">
        <f t="shared" ca="1" si="1332"/>
        <v>-5.9221560361774991E-2</v>
      </c>
      <c r="X1257" s="10">
        <f t="shared" ref="X1257:Y1257" ca="1" si="1372">+X1256</f>
        <v>0</v>
      </c>
      <c r="Y1257" s="10">
        <f t="shared" ca="1" si="1372"/>
        <v>0</v>
      </c>
      <c r="Z1257">
        <f t="shared" ca="1" si="1339"/>
        <v>0</v>
      </c>
      <c r="AA1257">
        <f t="shared" ca="1" si="1340"/>
        <v>1</v>
      </c>
      <c r="AB1257" s="19">
        <f t="shared" ca="1" si="1341"/>
        <v>0</v>
      </c>
      <c r="AC1257" s="19">
        <f t="shared" ca="1" si="1342"/>
        <v>-5.9221560361774991E-2</v>
      </c>
    </row>
    <row r="1258" spans="3:29" x14ac:dyDescent="0.25">
      <c r="C1258" s="4">
        <v>1251</v>
      </c>
      <c r="D1258" s="28">
        <v>43784</v>
      </c>
      <c r="E1258" s="30">
        <v>15.712999999999999</v>
      </c>
      <c r="F1258" s="30">
        <v>57.285067873303163</v>
      </c>
      <c r="G1258" s="30">
        <v>5.502262443438914</v>
      </c>
      <c r="H1258" s="30">
        <v>64.932126696832583</v>
      </c>
      <c r="I1258" s="8">
        <v>0</v>
      </c>
      <c r="J1258" s="31">
        <v>0</v>
      </c>
      <c r="K1258" s="31">
        <v>0</v>
      </c>
      <c r="L1258" s="31">
        <v>0</v>
      </c>
      <c r="M1258" s="31">
        <v>0</v>
      </c>
      <c r="N1258" s="31">
        <v>0</v>
      </c>
      <c r="O1258" s="31">
        <v>0</v>
      </c>
      <c r="P1258" s="31">
        <v>0</v>
      </c>
      <c r="Q1258" s="31">
        <v>0</v>
      </c>
      <c r="R1258" s="31">
        <v>0</v>
      </c>
      <c r="S1258" s="31">
        <v>1</v>
      </c>
      <c r="T1258" s="21" cm="1">
        <f t="array" aca="1" ref="T1258" ca="1">+fair_value_gap(OFFSET(S1257,0,0,-1*$I$5,-1*$Z$1),OFFSET(E1257,0,0,-1*$I$5,1),F1258:S1258,0)</f>
        <v>16.812595623318629</v>
      </c>
      <c r="U1258" s="7" cm="1">
        <f t="array" aca="1" ref="U1258" ca="1">z_score_diff(OFFSET(T1258,0,0,$I$5*-1,1),OFFSET(E1258,0,0,$I$5*-1,1))</f>
        <v>0.26985988741130101</v>
      </c>
      <c r="V1258" s="7">
        <f t="shared" ca="1" si="1337"/>
        <v>0.27388081657346774</v>
      </c>
      <c r="W1258" s="14">
        <f t="shared" ca="1" si="1332"/>
        <v>-0.12952998997223766</v>
      </c>
      <c r="X1258" s="10">
        <f t="shared" ref="X1258:Y1258" ca="1" si="1373">+X1257</f>
        <v>0</v>
      </c>
      <c r="Y1258" s="10">
        <f t="shared" ca="1" si="1373"/>
        <v>0</v>
      </c>
      <c r="Z1258">
        <f t="shared" ca="1" si="1339"/>
        <v>0</v>
      </c>
      <c r="AA1258">
        <f t="shared" ca="1" si="1340"/>
        <v>1</v>
      </c>
      <c r="AB1258" s="19">
        <f t="shared" ca="1" si="1341"/>
        <v>0</v>
      </c>
      <c r="AC1258" s="19">
        <f t="shared" ca="1" si="1342"/>
        <v>-0.12952998997223766</v>
      </c>
    </row>
    <row r="1259" spans="3:29" x14ac:dyDescent="0.25">
      <c r="C1259" s="4">
        <v>1252</v>
      </c>
      <c r="D1259" s="28">
        <v>43787</v>
      </c>
      <c r="E1259" s="30">
        <v>15.228999999999999</v>
      </c>
      <c r="F1259" s="30">
        <v>56.404697380307134</v>
      </c>
      <c r="G1259" s="30">
        <v>5.3748870822041557</v>
      </c>
      <c r="H1259" s="30">
        <v>66.57633242999097</v>
      </c>
      <c r="I1259" s="8">
        <v>0</v>
      </c>
      <c r="J1259" s="31">
        <v>0</v>
      </c>
      <c r="K1259" s="31">
        <v>0</v>
      </c>
      <c r="L1259" s="31">
        <v>0</v>
      </c>
      <c r="M1259" s="31">
        <v>0</v>
      </c>
      <c r="N1259" s="31">
        <v>0</v>
      </c>
      <c r="O1259" s="31">
        <v>0</v>
      </c>
      <c r="P1259" s="31">
        <v>0</v>
      </c>
      <c r="Q1259" s="31">
        <v>0</v>
      </c>
      <c r="R1259" s="31">
        <v>0</v>
      </c>
      <c r="S1259" s="31">
        <v>1</v>
      </c>
      <c r="T1259" s="21" cm="1">
        <f t="array" aca="1" ref="T1259" ca="1">+fair_value_gap(OFFSET(S1258,0,0,-1*$I$5,-1*$Z$1),OFFSET(E1258,0,0,-1*$I$5,1),F1259:S1259,0)</f>
        <v>17.185028578115279</v>
      </c>
      <c r="U1259" s="7" cm="1">
        <f t="array" aca="1" ref="U1259" ca="1">z_score_diff(OFFSET(T1259,0,0,$I$5*-1,1),OFFSET(E1259,0,0,$I$5*-1,1))</f>
        <v>0.48946358682961133</v>
      </c>
      <c r="V1259" s="7">
        <f t="shared" ca="1" si="1337"/>
        <v>0.28677234201377472</v>
      </c>
      <c r="W1259" s="14">
        <f t="shared" ca="1" si="1332"/>
        <v>-9.2032348103301354E-2</v>
      </c>
      <c r="X1259" s="10">
        <f t="shared" ref="X1259:Y1259" ca="1" si="1374">+X1258</f>
        <v>0</v>
      </c>
      <c r="Y1259" s="10">
        <f t="shared" ca="1" si="1374"/>
        <v>0</v>
      </c>
      <c r="Z1259">
        <f t="shared" ca="1" si="1339"/>
        <v>0</v>
      </c>
      <c r="AA1259">
        <f t="shared" ca="1" si="1340"/>
        <v>1</v>
      </c>
      <c r="AB1259" s="19">
        <f t="shared" ca="1" si="1341"/>
        <v>0</v>
      </c>
      <c r="AC1259" s="19">
        <f t="shared" ca="1" si="1342"/>
        <v>-9.2032348103301354E-2</v>
      </c>
    </row>
    <row r="1260" spans="3:29" x14ac:dyDescent="0.25">
      <c r="C1260" s="4">
        <v>1253</v>
      </c>
      <c r="D1260" s="28">
        <v>43788</v>
      </c>
      <c r="E1260" s="30">
        <v>15.292</v>
      </c>
      <c r="F1260" s="30">
        <v>54.982848889691283</v>
      </c>
      <c r="G1260" s="30">
        <v>5.3303845459469228</v>
      </c>
      <c r="H1260" s="30">
        <v>66.889330204007948</v>
      </c>
      <c r="I1260" s="8">
        <v>0</v>
      </c>
      <c r="J1260" s="31">
        <v>0</v>
      </c>
      <c r="K1260" s="31">
        <v>0</v>
      </c>
      <c r="L1260" s="31">
        <v>0</v>
      </c>
      <c r="M1260" s="31">
        <v>0</v>
      </c>
      <c r="N1260" s="31">
        <v>0</v>
      </c>
      <c r="O1260" s="31">
        <v>0</v>
      </c>
      <c r="P1260" s="31">
        <v>0</v>
      </c>
      <c r="Q1260" s="31">
        <v>0</v>
      </c>
      <c r="R1260" s="31">
        <v>0</v>
      </c>
      <c r="S1260" s="31">
        <v>1</v>
      </c>
      <c r="T1260" s="21" cm="1">
        <f t="array" aca="1" ref="T1260" ca="1">+fair_value_gap(OFFSET(S1259,0,0,-1*$I$5,-1*$Z$1),OFFSET(E1259,0,0,-1*$I$5,1),F1260:S1260,0)</f>
        <v>17.201366695961827</v>
      </c>
      <c r="U1260" s="7" cm="1">
        <f t="array" aca="1" ref="U1260" ca="1">z_score_diff(OFFSET(T1260,0,0,$I$5*-1,1),OFFSET(E1260,0,0,$I$5*-1,1))</f>
        <v>0.48168075879436989</v>
      </c>
      <c r="V1260" s="7">
        <f t="shared" ca="1" si="1337"/>
        <v>0.3003100525271879</v>
      </c>
      <c r="W1260" s="14">
        <f t="shared" ca="1" si="1332"/>
        <v>-5.5874445201511226E-2</v>
      </c>
      <c r="X1260" s="10">
        <f t="shared" ref="X1260:Y1260" ca="1" si="1375">+X1259</f>
        <v>0</v>
      </c>
      <c r="Y1260" s="10">
        <f t="shared" ca="1" si="1375"/>
        <v>0</v>
      </c>
      <c r="Z1260">
        <f t="shared" ca="1" si="1339"/>
        <v>0</v>
      </c>
      <c r="AA1260">
        <f t="shared" ca="1" si="1340"/>
        <v>1</v>
      </c>
      <c r="AB1260" s="19">
        <f t="shared" ca="1" si="1341"/>
        <v>0</v>
      </c>
      <c r="AC1260" s="19">
        <f t="shared" ca="1" si="1342"/>
        <v>-5.5874445201511226E-2</v>
      </c>
    </row>
    <row r="1261" spans="3:29" x14ac:dyDescent="0.25">
      <c r="C1261" s="4">
        <v>1254</v>
      </c>
      <c r="D1261" s="28">
        <v>43789</v>
      </c>
      <c r="E1261" s="30">
        <v>15.587999999999999</v>
      </c>
      <c r="F1261" s="30">
        <v>56.358381502890175</v>
      </c>
      <c r="G1261" s="30">
        <v>5.3739161849710984</v>
      </c>
      <c r="H1261" s="30">
        <v>68.054552023121389</v>
      </c>
      <c r="I1261" s="8">
        <v>0</v>
      </c>
      <c r="J1261" s="31">
        <v>0</v>
      </c>
      <c r="K1261" s="31">
        <v>0</v>
      </c>
      <c r="L1261" s="31">
        <v>0</v>
      </c>
      <c r="M1261" s="31">
        <v>0</v>
      </c>
      <c r="N1261" s="31">
        <v>0</v>
      </c>
      <c r="O1261" s="31">
        <v>0</v>
      </c>
      <c r="P1261" s="31">
        <v>0</v>
      </c>
      <c r="Q1261" s="31">
        <v>0</v>
      </c>
      <c r="R1261" s="31">
        <v>0</v>
      </c>
      <c r="S1261" s="31">
        <v>1</v>
      </c>
      <c r="T1261" s="21" cm="1">
        <f t="array" aca="1" ref="T1261" ca="1">+fair_value_gap(OFFSET(S1260,0,0,-1*$I$5,-1*$Z$1),OFFSET(E1260,0,0,-1*$I$5,1),F1261:S1261,0)</f>
        <v>17.226933472475167</v>
      </c>
      <c r="U1261" s="7" cm="1">
        <f t="array" aca="1" ref="U1261" ca="1">z_score_diff(OFFSET(T1261,0,0,$I$5*-1,1),OFFSET(E1261,0,0,$I$5*-1,1))</f>
        <v>0.4201741250437363</v>
      </c>
      <c r="V1261" s="7">
        <f t="shared" ca="1" si="1337"/>
        <v>0.31101243266294826</v>
      </c>
      <c r="W1261" s="14">
        <f t="shared" ca="1" si="1332"/>
        <v>-4.1723200244671889E-2</v>
      </c>
      <c r="X1261" s="10">
        <f t="shared" ref="X1261:Y1261" ca="1" si="1376">+X1260</f>
        <v>0</v>
      </c>
      <c r="Y1261" s="10">
        <f t="shared" ca="1" si="1376"/>
        <v>0</v>
      </c>
      <c r="Z1261">
        <f t="shared" ca="1" si="1339"/>
        <v>0</v>
      </c>
      <c r="AA1261">
        <f t="shared" ca="1" si="1340"/>
        <v>1</v>
      </c>
      <c r="AB1261" s="19">
        <f t="shared" ca="1" si="1341"/>
        <v>0</v>
      </c>
      <c r="AC1261" s="19">
        <f t="shared" ca="1" si="1342"/>
        <v>-4.1723200244671889E-2</v>
      </c>
    </row>
    <row r="1262" spans="3:29" x14ac:dyDescent="0.25">
      <c r="C1262" s="4">
        <v>1255</v>
      </c>
      <c r="D1262" s="28">
        <v>43790</v>
      </c>
      <c r="E1262" s="30">
        <v>15.624000000000001</v>
      </c>
      <c r="F1262" s="30">
        <v>57.854752645383016</v>
      </c>
      <c r="G1262" s="30">
        <v>5.3224201863073173</v>
      </c>
      <c r="H1262" s="30">
        <v>68.960839287329293</v>
      </c>
      <c r="I1262" s="8">
        <v>0</v>
      </c>
      <c r="J1262" s="31">
        <v>0</v>
      </c>
      <c r="K1262" s="31">
        <v>0</v>
      </c>
      <c r="L1262" s="31">
        <v>0</v>
      </c>
      <c r="M1262" s="31">
        <v>0</v>
      </c>
      <c r="N1262" s="31">
        <v>0</v>
      </c>
      <c r="O1262" s="31">
        <v>0</v>
      </c>
      <c r="P1262" s="31">
        <v>0</v>
      </c>
      <c r="Q1262" s="31">
        <v>0</v>
      </c>
      <c r="R1262" s="31">
        <v>0</v>
      </c>
      <c r="S1262" s="31">
        <v>1</v>
      </c>
      <c r="T1262" s="21" cm="1">
        <f t="array" aca="1" ref="T1262" ca="1">+fair_value_gap(OFFSET(S1261,0,0,-1*$I$5,-1*$Z$1),OFFSET(E1261,0,0,-1*$I$5,1),F1262:S1262,0)</f>
        <v>17.160637961571229</v>
      </c>
      <c r="U1262" s="7" cm="1">
        <f t="array" aca="1" ref="U1262" ca="1">z_score_diff(OFFSET(T1262,0,0,$I$5*-1,1),OFFSET(E1262,0,0,$I$5*-1,1))</f>
        <v>0.39525104403620753</v>
      </c>
      <c r="V1262" s="7">
        <f t="shared" ca="1" si="1337"/>
        <v>0.32385106721956303</v>
      </c>
      <c r="W1262" s="14">
        <f t="shared" ca="1" si="1332"/>
        <v>-4.029143466052533E-2</v>
      </c>
      <c r="X1262" s="10">
        <f t="shared" ref="X1262:Y1262" ca="1" si="1377">+X1261</f>
        <v>0</v>
      </c>
      <c r="Y1262" s="10">
        <f t="shared" ca="1" si="1377"/>
        <v>0</v>
      </c>
      <c r="Z1262">
        <f t="shared" ca="1" si="1339"/>
        <v>0</v>
      </c>
      <c r="AA1262">
        <f t="shared" ca="1" si="1340"/>
        <v>1</v>
      </c>
      <c r="AB1262" s="19">
        <f t="shared" ca="1" si="1341"/>
        <v>0</v>
      </c>
      <c r="AC1262" s="19">
        <f t="shared" ca="1" si="1342"/>
        <v>-4.029143466052533E-2</v>
      </c>
    </row>
    <row r="1263" spans="3:29" x14ac:dyDescent="0.25">
      <c r="C1263" s="4">
        <v>1256</v>
      </c>
      <c r="D1263" s="28">
        <v>43791</v>
      </c>
      <c r="E1263" s="30">
        <v>16.047999999999998</v>
      </c>
      <c r="F1263" s="30">
        <v>57.512248230811103</v>
      </c>
      <c r="G1263" s="30">
        <v>5.3756124115405548</v>
      </c>
      <c r="H1263" s="30">
        <v>69.225185991653049</v>
      </c>
      <c r="I1263" s="8">
        <v>0</v>
      </c>
      <c r="J1263" s="31">
        <v>0</v>
      </c>
      <c r="K1263" s="31">
        <v>0</v>
      </c>
      <c r="L1263" s="31">
        <v>0</v>
      </c>
      <c r="M1263" s="31">
        <v>0</v>
      </c>
      <c r="N1263" s="31">
        <v>0</v>
      </c>
      <c r="O1263" s="31">
        <v>0</v>
      </c>
      <c r="P1263" s="31">
        <v>0</v>
      </c>
      <c r="Q1263" s="31">
        <v>0</v>
      </c>
      <c r="R1263" s="31">
        <v>0</v>
      </c>
      <c r="S1263" s="31">
        <v>1</v>
      </c>
      <c r="T1263" s="21" cm="1">
        <f t="array" aca="1" ref="T1263" ca="1">+fair_value_gap(OFFSET(S1262,0,0,-1*$I$5,-1*$Z$1),OFFSET(E1262,0,0,-1*$I$5,1),F1263:S1263,0)</f>
        <v>17.110674208365001</v>
      </c>
      <c r="U1263" s="7" cm="1">
        <f t="array" aca="1" ref="U1263" ca="1">z_score_diff(OFFSET(T1263,0,0,$I$5*-1,1),OFFSET(E1263,0,0,$I$5*-1,1))</f>
        <v>0.27877201633355442</v>
      </c>
      <c r="V1263" s="7">
        <f t="shared" ca="1" si="1337"/>
        <v>0.32810683667724672</v>
      </c>
      <c r="W1263" s="14">
        <f t="shared" ca="1" si="1332"/>
        <v>-0.11988051048957876</v>
      </c>
      <c r="X1263" s="10">
        <f t="shared" ref="X1263:Y1263" ca="1" si="1378">+X1262</f>
        <v>0</v>
      </c>
      <c r="Y1263" s="10">
        <f t="shared" ca="1" si="1378"/>
        <v>0</v>
      </c>
      <c r="Z1263">
        <f t="shared" ca="1" si="1339"/>
        <v>0</v>
      </c>
      <c r="AA1263">
        <f t="shared" ca="1" si="1340"/>
        <v>1</v>
      </c>
      <c r="AB1263" s="19">
        <f t="shared" ca="1" si="1341"/>
        <v>0</v>
      </c>
      <c r="AC1263" s="19">
        <f t="shared" ca="1" si="1342"/>
        <v>-0.11988051048957876</v>
      </c>
    </row>
    <row r="1264" spans="3:29" x14ac:dyDescent="0.25">
      <c r="C1264" s="4">
        <v>1257</v>
      </c>
      <c r="D1264" s="28">
        <v>43794</v>
      </c>
      <c r="E1264" s="30">
        <v>16.236999999999998</v>
      </c>
      <c r="F1264" s="30">
        <v>57.795332788522657</v>
      </c>
      <c r="G1264" s="30">
        <v>5.3119041133206206</v>
      </c>
      <c r="H1264" s="30">
        <v>69.463361481885045</v>
      </c>
      <c r="I1264" s="8">
        <v>0</v>
      </c>
      <c r="J1264" s="31">
        <v>0</v>
      </c>
      <c r="K1264" s="31">
        <v>0</v>
      </c>
      <c r="L1264" s="31">
        <v>0</v>
      </c>
      <c r="M1264" s="31">
        <v>0</v>
      </c>
      <c r="N1264" s="31">
        <v>0</v>
      </c>
      <c r="O1264" s="31">
        <v>0</v>
      </c>
      <c r="P1264" s="31">
        <v>0</v>
      </c>
      <c r="Q1264" s="31">
        <v>0</v>
      </c>
      <c r="R1264" s="31">
        <v>0</v>
      </c>
      <c r="S1264" s="31">
        <v>1</v>
      </c>
      <c r="T1264" s="21" cm="1">
        <f t="array" aca="1" ref="T1264" ca="1">+fair_value_gap(OFFSET(S1263,0,0,-1*$I$5,-1*$Z$1),OFFSET(E1263,0,0,-1*$I$5,1),F1264:S1264,0)</f>
        <v>16.945567654244769</v>
      </c>
      <c r="U1264" s="7" cm="1">
        <f t="array" aca="1" ref="U1264" ca="1">z_score_diff(OFFSET(T1264,0,0,$I$5*-1,1),OFFSET(E1264,0,0,$I$5*-1,1))</f>
        <v>0.17816005936516879</v>
      </c>
      <c r="V1264" s="7">
        <f t="shared" ca="1" si="1337"/>
        <v>0.32146894140761934</v>
      </c>
      <c r="W1264" s="14">
        <f t="shared" ca="1" si="1332"/>
        <v>-0.22026846188955027</v>
      </c>
      <c r="X1264" s="10">
        <f t="shared" ref="X1264:Y1264" ca="1" si="1379">+X1263</f>
        <v>0</v>
      </c>
      <c r="Y1264" s="10">
        <f t="shared" ca="1" si="1379"/>
        <v>0</v>
      </c>
      <c r="Z1264">
        <f t="shared" ca="1" si="1339"/>
        <v>0</v>
      </c>
      <c r="AA1264">
        <f t="shared" ca="1" si="1340"/>
        <v>1</v>
      </c>
      <c r="AB1264" s="19">
        <f t="shared" ca="1" si="1341"/>
        <v>0</v>
      </c>
      <c r="AC1264" s="19">
        <f t="shared" ca="1" si="1342"/>
        <v>-0.22026846188955027</v>
      </c>
    </row>
    <row r="1265" spans="3:29" x14ac:dyDescent="0.25">
      <c r="C1265" s="4">
        <v>1258</v>
      </c>
      <c r="D1265" s="28">
        <v>43795</v>
      </c>
      <c r="E1265" s="30">
        <v>15.849</v>
      </c>
      <c r="F1265" s="30">
        <v>58.331820657106555</v>
      </c>
      <c r="G1265" s="30">
        <v>5.2459611544744966</v>
      </c>
      <c r="H1265" s="30">
        <v>69.431838809221276</v>
      </c>
      <c r="I1265" s="8">
        <v>0</v>
      </c>
      <c r="J1265" s="31">
        <v>0</v>
      </c>
      <c r="K1265" s="31">
        <v>0</v>
      </c>
      <c r="L1265" s="31">
        <v>0</v>
      </c>
      <c r="M1265" s="31">
        <v>0</v>
      </c>
      <c r="N1265" s="31">
        <v>0</v>
      </c>
      <c r="O1265" s="31">
        <v>0</v>
      </c>
      <c r="P1265" s="31">
        <v>0</v>
      </c>
      <c r="Q1265" s="31">
        <v>0</v>
      </c>
      <c r="R1265" s="31">
        <v>0</v>
      </c>
      <c r="S1265" s="31">
        <v>1</v>
      </c>
      <c r="T1265" s="21" cm="1">
        <f t="array" aca="1" ref="T1265" ca="1">+fair_value_gap(OFFSET(S1264,0,0,-1*$I$5,-1*$Z$1),OFFSET(E1264,0,0,-1*$I$5,1),F1265:S1265,0)</f>
        <v>16.850547314137973</v>
      </c>
      <c r="U1265" s="7" cm="1">
        <f t="array" aca="1" ref="U1265" ca="1">z_score_diff(OFFSET(T1265,0,0,$I$5*-1,1),OFFSET(E1265,0,0,$I$5*-1,1))</f>
        <v>0.24462424389985168</v>
      </c>
      <c r="V1265" s="7">
        <f t="shared" ca="1" si="1337"/>
        <v>0.31373458249021347</v>
      </c>
      <c r="W1265" s="14">
        <f t="shared" ca="1" si="1332"/>
        <v>-0.22885419160115622</v>
      </c>
      <c r="X1265" s="10">
        <f t="shared" ref="X1265:Y1265" ca="1" si="1380">+X1264</f>
        <v>0</v>
      </c>
      <c r="Y1265" s="10">
        <f t="shared" ca="1" si="1380"/>
        <v>0</v>
      </c>
      <c r="Z1265">
        <f t="shared" ca="1" si="1339"/>
        <v>0</v>
      </c>
      <c r="AA1265">
        <f t="shared" ca="1" si="1340"/>
        <v>1</v>
      </c>
      <c r="AB1265" s="19">
        <f t="shared" ca="1" si="1341"/>
        <v>0</v>
      </c>
      <c r="AC1265" s="19">
        <f t="shared" ca="1" si="1342"/>
        <v>-0.22885419160115622</v>
      </c>
    </row>
    <row r="1266" spans="3:29" x14ac:dyDescent="0.25">
      <c r="C1266" s="4">
        <v>1259</v>
      </c>
      <c r="D1266" s="28">
        <v>43796</v>
      </c>
      <c r="E1266" s="30">
        <v>15.98</v>
      </c>
      <c r="F1266" s="30">
        <v>58.24695399163484</v>
      </c>
      <c r="G1266" s="30">
        <v>5.2054919076195665</v>
      </c>
      <c r="H1266" s="30">
        <v>69.603564284415341</v>
      </c>
      <c r="I1266" s="8">
        <v>0</v>
      </c>
      <c r="J1266" s="31">
        <v>0</v>
      </c>
      <c r="K1266" s="31">
        <v>0</v>
      </c>
      <c r="L1266" s="31">
        <v>0</v>
      </c>
      <c r="M1266" s="31">
        <v>0</v>
      </c>
      <c r="N1266" s="31">
        <v>0</v>
      </c>
      <c r="O1266" s="31">
        <v>0</v>
      </c>
      <c r="P1266" s="31">
        <v>0</v>
      </c>
      <c r="Q1266" s="31">
        <v>0</v>
      </c>
      <c r="R1266" s="31">
        <v>0</v>
      </c>
      <c r="S1266" s="31">
        <v>1</v>
      </c>
      <c r="T1266" s="21" cm="1">
        <f t="array" aca="1" ref="T1266" ca="1">+fair_value_gap(OFFSET(S1265,0,0,-1*$I$5,-1*$Z$1),OFFSET(E1265,0,0,-1*$I$5,1),F1266:S1266,0)</f>
        <v>16.810230916133847</v>
      </c>
      <c r="U1266" s="7" cm="1">
        <f t="array" aca="1" ref="U1266" ca="1">z_score_diff(OFFSET(T1266,0,0,$I$5*-1,1),OFFSET(E1266,0,0,$I$5*-1,1))</f>
        <v>0.19659590089922707</v>
      </c>
      <c r="V1266" s="7">
        <f t="shared" ca="1" si="1337"/>
        <v>0.30679043697925162</v>
      </c>
      <c r="W1266" s="14">
        <f t="shared" ca="1" si="1332"/>
        <v>-0.22447422349991494</v>
      </c>
      <c r="X1266" s="10">
        <f t="shared" ref="X1266:Y1266" ca="1" si="1381">+X1265</f>
        <v>0</v>
      </c>
      <c r="Y1266" s="10">
        <f t="shared" ca="1" si="1381"/>
        <v>0</v>
      </c>
      <c r="Z1266">
        <f t="shared" ca="1" si="1339"/>
        <v>0</v>
      </c>
      <c r="AA1266">
        <f t="shared" ca="1" si="1340"/>
        <v>1</v>
      </c>
      <c r="AB1266" s="19">
        <f t="shared" ca="1" si="1341"/>
        <v>0</v>
      </c>
      <c r="AC1266" s="19">
        <f t="shared" ca="1" si="1342"/>
        <v>-0.22447422349991494</v>
      </c>
    </row>
    <row r="1267" spans="3:29" x14ac:dyDescent="0.25">
      <c r="C1267" s="4">
        <v>1260</v>
      </c>
      <c r="D1267" s="28">
        <v>43797</v>
      </c>
      <c r="E1267" s="30">
        <v>15.648999999999999</v>
      </c>
      <c r="F1267" s="30">
        <v>58.026710275279363</v>
      </c>
      <c r="G1267" s="30">
        <v>5.2012355773598618</v>
      </c>
      <c r="H1267" s="30">
        <v>69.00154447169983</v>
      </c>
      <c r="I1267" s="8">
        <v>0</v>
      </c>
      <c r="J1267" s="31">
        <v>0</v>
      </c>
      <c r="K1267" s="31">
        <v>0</v>
      </c>
      <c r="L1267" s="31">
        <v>0</v>
      </c>
      <c r="M1267" s="31">
        <v>0</v>
      </c>
      <c r="N1267" s="31">
        <v>0</v>
      </c>
      <c r="O1267" s="31">
        <v>0</v>
      </c>
      <c r="P1267" s="31">
        <v>0</v>
      </c>
      <c r="Q1267" s="31">
        <v>0</v>
      </c>
      <c r="R1267" s="31">
        <v>0</v>
      </c>
      <c r="S1267" s="31">
        <v>1</v>
      </c>
      <c r="T1267" s="21" cm="1">
        <f t="array" aca="1" ref="T1267" ca="1">+fair_value_gap(OFFSET(S1266,0,0,-1*$I$5,-1*$Z$1),OFFSET(E1266,0,0,-1*$I$5,1),F1267:S1267,0)</f>
        <v>16.611081098864325</v>
      </c>
      <c r="U1267" s="7" cm="1">
        <f t="array" aca="1" ref="U1267" ca="1">z_score_diff(OFFSET(T1267,0,0,$I$5*-1,1),OFFSET(E1267,0,0,$I$5*-1,1))</f>
        <v>0.22161086746744896</v>
      </c>
      <c r="V1267" s="7">
        <f t="shared" ca="1" si="1337"/>
        <v>0.32391773844534988</v>
      </c>
      <c r="W1267" s="14">
        <f t="shared" ca="1" si="1332"/>
        <v>-0.24137702249583098</v>
      </c>
      <c r="X1267" s="10">
        <f t="shared" ref="X1267:Y1267" ca="1" si="1382">+X1266</f>
        <v>0</v>
      </c>
      <c r="Y1267" s="10">
        <f t="shared" ca="1" si="1382"/>
        <v>0</v>
      </c>
      <c r="Z1267">
        <f t="shared" ca="1" si="1339"/>
        <v>0</v>
      </c>
      <c r="AA1267">
        <f t="shared" ca="1" si="1340"/>
        <v>1</v>
      </c>
      <c r="AB1267" s="19">
        <f t="shared" ca="1" si="1341"/>
        <v>0</v>
      </c>
      <c r="AC1267" s="19">
        <f t="shared" ca="1" si="1342"/>
        <v>-0.24137702249583098</v>
      </c>
    </row>
    <row r="1268" spans="3:29" x14ac:dyDescent="0.25">
      <c r="C1268" s="4">
        <v>1261</v>
      </c>
      <c r="D1268" s="28">
        <v>43798</v>
      </c>
      <c r="E1268" s="30">
        <v>16.329999999999998</v>
      </c>
      <c r="F1268" s="30">
        <v>56.677258284157972</v>
      </c>
      <c r="G1268" s="30">
        <v>5.1112119836586478</v>
      </c>
      <c r="H1268" s="30">
        <v>69.223785746709041</v>
      </c>
      <c r="I1268" s="8">
        <v>0</v>
      </c>
      <c r="J1268" s="31">
        <v>0</v>
      </c>
      <c r="K1268" s="31">
        <v>0</v>
      </c>
      <c r="L1268" s="31">
        <v>0</v>
      </c>
      <c r="M1268" s="31">
        <v>0</v>
      </c>
      <c r="N1268" s="31">
        <v>0</v>
      </c>
      <c r="O1268" s="31">
        <v>0</v>
      </c>
      <c r="P1268" s="31">
        <v>0</v>
      </c>
      <c r="Q1268" s="31">
        <v>0</v>
      </c>
      <c r="R1268" s="31">
        <v>0</v>
      </c>
      <c r="S1268" s="31">
        <v>1</v>
      </c>
      <c r="T1268" s="21" cm="1">
        <f t="array" aca="1" ref="T1268" ca="1">+fair_value_gap(OFFSET(S1267,0,0,-1*$I$5,-1*$Z$1),OFFSET(E1267,0,0,-1*$I$5,1),F1268:S1268,0)</f>
        <v>16.596346003886406</v>
      </c>
      <c r="U1268" s="7" cm="1">
        <f t="array" aca="1" ref="U1268" ca="1">z_score_diff(OFFSET(T1268,0,0,$I$5*-1,1),OFFSET(E1268,0,0,$I$5*-1,1))</f>
        <v>3.8808902153517677E-2</v>
      </c>
      <c r="V1268" s="7">
        <f t="shared" ca="1" si="1337"/>
        <v>0.30225186861372483</v>
      </c>
      <c r="W1268" s="14">
        <f t="shared" ca="1" si="1332"/>
        <v>-0.3038562629371187</v>
      </c>
      <c r="X1268" s="10">
        <f t="shared" ref="X1268:Y1268" ca="1" si="1383">+X1267</f>
        <v>0</v>
      </c>
      <c r="Y1268" s="10">
        <f t="shared" ca="1" si="1383"/>
        <v>0</v>
      </c>
      <c r="Z1268">
        <f t="shared" ca="1" si="1339"/>
        <v>0</v>
      </c>
      <c r="AA1268">
        <f t="shared" ca="1" si="1340"/>
        <v>1</v>
      </c>
      <c r="AB1268" s="19">
        <f t="shared" ca="1" si="1341"/>
        <v>0</v>
      </c>
      <c r="AC1268" s="19">
        <f t="shared" ca="1" si="1342"/>
        <v>-0.3038562629371187</v>
      </c>
    </row>
    <row r="1269" spans="3:29" x14ac:dyDescent="0.25">
      <c r="C1269" s="4">
        <v>1262</v>
      </c>
      <c r="D1269" s="28">
        <v>43801</v>
      </c>
      <c r="E1269" s="30">
        <v>15.81</v>
      </c>
      <c r="F1269" s="30">
        <v>54.996840299720148</v>
      </c>
      <c r="G1269" s="30">
        <v>5.0555204477746685</v>
      </c>
      <c r="H1269" s="30">
        <v>74.749480906382601</v>
      </c>
      <c r="I1269" s="8">
        <v>0</v>
      </c>
      <c r="J1269" s="31">
        <v>0</v>
      </c>
      <c r="K1269" s="31">
        <v>0</v>
      </c>
      <c r="L1269" s="31">
        <v>0</v>
      </c>
      <c r="M1269" s="31">
        <v>0</v>
      </c>
      <c r="N1269" s="31">
        <v>0</v>
      </c>
      <c r="O1269" s="31">
        <v>0</v>
      </c>
      <c r="P1269" s="31">
        <v>0</v>
      </c>
      <c r="Q1269" s="31">
        <v>0</v>
      </c>
      <c r="R1269" s="31">
        <v>0</v>
      </c>
      <c r="S1269" s="31">
        <v>0</v>
      </c>
      <c r="T1269" s="21" cm="1">
        <f t="array" aca="1" ref="T1269" ca="1">+fair_value_gap(OFFSET(S1268,0,0,-1*$I$5,-1*$Z$1),OFFSET(E1268,0,0,-1*$I$5,1),F1269:S1269,0)</f>
        <v>19.589657919079553</v>
      </c>
      <c r="U1269" s="7" cm="1">
        <f t="array" aca="1" ref="U1269" ca="1">z_score_diff(OFFSET(T1269,0,0,$I$5*-1,1),OFFSET(E1269,0,0,$I$5*-1,1))</f>
        <v>1.0560411186820298</v>
      </c>
      <c r="V1269" s="7">
        <f t="shared" ca="1" si="1337"/>
        <v>0.33712071393054915</v>
      </c>
      <c r="W1269" s="14">
        <f t="shared" ca="1" si="1332"/>
        <v>-0.26967109687113028</v>
      </c>
      <c r="X1269" s="10">
        <f t="shared" ref="X1269:Y1269" ca="1" si="1384">+X1268</f>
        <v>0</v>
      </c>
      <c r="Y1269" s="10">
        <f t="shared" ca="1" si="1384"/>
        <v>0</v>
      </c>
      <c r="Z1269">
        <f t="shared" ca="1" si="1339"/>
        <v>0</v>
      </c>
      <c r="AA1269">
        <f t="shared" ca="1" si="1340"/>
        <v>1</v>
      </c>
      <c r="AB1269" s="19">
        <f t="shared" ca="1" si="1341"/>
        <v>0</v>
      </c>
      <c r="AC1269" s="19">
        <f t="shared" ca="1" si="1342"/>
        <v>-0.26967109687113028</v>
      </c>
    </row>
    <row r="1270" spans="3:29" x14ac:dyDescent="0.25">
      <c r="C1270" s="4">
        <v>1263</v>
      </c>
      <c r="D1270" s="28">
        <v>43802</v>
      </c>
      <c r="E1270" s="30">
        <v>15.771000000000001</v>
      </c>
      <c r="F1270" s="30">
        <v>54.886743073729804</v>
      </c>
      <c r="G1270" s="30">
        <v>5.0852811118130123</v>
      </c>
      <c r="H1270" s="30">
        <v>76.211533255121381</v>
      </c>
      <c r="I1270" s="8">
        <v>0</v>
      </c>
      <c r="J1270" s="31">
        <v>0</v>
      </c>
      <c r="K1270" s="31">
        <v>0</v>
      </c>
      <c r="L1270" s="31">
        <v>0</v>
      </c>
      <c r="M1270" s="31">
        <v>0</v>
      </c>
      <c r="N1270" s="31">
        <v>0</v>
      </c>
      <c r="O1270" s="31">
        <v>0</v>
      </c>
      <c r="P1270" s="31">
        <v>0</v>
      </c>
      <c r="Q1270" s="31">
        <v>0</v>
      </c>
      <c r="R1270" s="31">
        <v>0</v>
      </c>
      <c r="S1270" s="31">
        <v>0</v>
      </c>
      <c r="T1270" s="21" cm="1">
        <f t="array" aca="1" ref="T1270" ca="1">+fair_value_gap(OFFSET(S1269,0,0,-1*$I$5,-1*$Z$1),OFFSET(E1269,0,0,-1*$I$5,1),F1270:S1270,0)</f>
        <v>18.918690640095022</v>
      </c>
      <c r="U1270" s="7" cm="1">
        <f t="array" aca="1" ref="U1270" ca="1">z_score_diff(OFFSET(T1270,0,0,$I$5*-1,1),OFFSET(E1270,0,0,$I$5*-1,1))</f>
        <v>0.86592994857466354</v>
      </c>
      <c r="V1270" s="7">
        <f t="shared" ca="1" si="1337"/>
        <v>0.36763938889752962</v>
      </c>
      <c r="W1270" s="14">
        <f t="shared" ca="1" si="1332"/>
        <v>-0.19437796539070903</v>
      </c>
      <c r="X1270" s="10">
        <f t="shared" ref="X1270:Y1270" ca="1" si="1385">+X1269</f>
        <v>0</v>
      </c>
      <c r="Y1270" s="10">
        <f t="shared" ca="1" si="1385"/>
        <v>0</v>
      </c>
      <c r="Z1270">
        <f t="shared" ca="1" si="1339"/>
        <v>0</v>
      </c>
      <c r="AA1270">
        <f t="shared" ca="1" si="1340"/>
        <v>1</v>
      </c>
      <c r="AB1270" s="19">
        <f t="shared" ca="1" si="1341"/>
        <v>0</v>
      </c>
      <c r="AC1270" s="19">
        <f t="shared" ca="1" si="1342"/>
        <v>-0.19437796539070903</v>
      </c>
    </row>
    <row r="1271" spans="3:29" x14ac:dyDescent="0.25">
      <c r="C1271" s="4">
        <v>1264</v>
      </c>
      <c r="D1271" s="28">
        <v>43803</v>
      </c>
      <c r="E1271" s="30">
        <v>15.882</v>
      </c>
      <c r="F1271" s="30">
        <v>56.879739978331529</v>
      </c>
      <c r="G1271" s="30">
        <v>5.0875767425063199</v>
      </c>
      <c r="H1271" s="30">
        <v>74.033947273383902</v>
      </c>
      <c r="I1271" s="8">
        <v>0</v>
      </c>
      <c r="J1271" s="31">
        <v>0</v>
      </c>
      <c r="K1271" s="31">
        <v>0</v>
      </c>
      <c r="L1271" s="31">
        <v>0</v>
      </c>
      <c r="M1271" s="31">
        <v>0</v>
      </c>
      <c r="N1271" s="31">
        <v>0</v>
      </c>
      <c r="O1271" s="31">
        <v>0</v>
      </c>
      <c r="P1271" s="31">
        <v>0</v>
      </c>
      <c r="Q1271" s="31">
        <v>0</v>
      </c>
      <c r="R1271" s="31">
        <v>0</v>
      </c>
      <c r="S1271" s="31">
        <v>0</v>
      </c>
      <c r="T1271" s="21" cm="1">
        <f t="array" aca="1" ref="T1271" ca="1">+fair_value_gap(OFFSET(S1270,0,0,-1*$I$5,-1*$Z$1),OFFSET(E1270,0,0,-1*$I$5,1),F1271:S1271,0)</f>
        <v>17.494409776238474</v>
      </c>
      <c r="U1271" s="7" cm="1">
        <f t="array" aca="1" ref="U1271" ca="1">z_score_diff(OFFSET(T1271,0,0,$I$5*-1,1),OFFSET(E1271,0,0,$I$5*-1,1))</f>
        <v>0.41054082489277566</v>
      </c>
      <c r="V1271" s="7">
        <f t="shared" ca="1" si="1337"/>
        <v>0.37139292314339833</v>
      </c>
      <c r="W1271" s="14">
        <f t="shared" ca="1" si="1332"/>
        <v>-0.2572144697540229</v>
      </c>
      <c r="X1271" s="10">
        <f t="shared" ref="X1271:Y1271" ca="1" si="1386">+X1270</f>
        <v>0</v>
      </c>
      <c r="Y1271" s="10">
        <f t="shared" ca="1" si="1386"/>
        <v>0</v>
      </c>
      <c r="Z1271">
        <f t="shared" ca="1" si="1339"/>
        <v>0</v>
      </c>
      <c r="AA1271">
        <f t="shared" ca="1" si="1340"/>
        <v>1</v>
      </c>
      <c r="AB1271" s="19">
        <f t="shared" ca="1" si="1341"/>
        <v>0</v>
      </c>
      <c r="AC1271" s="19">
        <f t="shared" ca="1" si="1342"/>
        <v>-0.2572144697540229</v>
      </c>
    </row>
    <row r="1272" spans="3:29" x14ac:dyDescent="0.25">
      <c r="C1272" s="4">
        <v>1265</v>
      </c>
      <c r="D1272" s="28">
        <v>43804</v>
      </c>
      <c r="E1272" s="30">
        <v>15.414999999999999</v>
      </c>
      <c r="F1272" s="30">
        <v>57.097820212574305</v>
      </c>
      <c r="G1272" s="30">
        <v>5.0756620428751571</v>
      </c>
      <c r="H1272" s="30">
        <v>74.536119618086829</v>
      </c>
      <c r="I1272" s="8">
        <v>0</v>
      </c>
      <c r="J1272" s="31">
        <v>0</v>
      </c>
      <c r="K1272" s="31">
        <v>0</v>
      </c>
      <c r="L1272" s="31">
        <v>0</v>
      </c>
      <c r="M1272" s="31">
        <v>0</v>
      </c>
      <c r="N1272" s="31">
        <v>0</v>
      </c>
      <c r="O1272" s="31">
        <v>0</v>
      </c>
      <c r="P1272" s="31">
        <v>0</v>
      </c>
      <c r="Q1272" s="31">
        <v>0</v>
      </c>
      <c r="R1272" s="31">
        <v>0</v>
      </c>
      <c r="S1272" s="31">
        <v>0</v>
      </c>
      <c r="T1272" s="21" cm="1">
        <f t="array" aca="1" ref="T1272" ca="1">+fair_value_gap(OFFSET(S1271,0,0,-1*$I$5,-1*$Z$1),OFFSET(E1271,0,0,-1*$I$5,1),F1272:S1272,0)</f>
        <v>17.195939997572605</v>
      </c>
      <c r="U1272" s="7" cm="1">
        <f t="array" aca="1" ref="U1272" ca="1">z_score_diff(OFFSET(T1272,0,0,$I$5*-1,1),OFFSET(E1272,0,0,$I$5*-1,1))</f>
        <v>0.44674819137527294</v>
      </c>
      <c r="V1272" s="7">
        <f t="shared" ca="1" si="1337"/>
        <v>0.3792987103137041</v>
      </c>
      <c r="W1272" s="14">
        <f t="shared" ca="1" si="1332"/>
        <v>-0.25636865103830475</v>
      </c>
      <c r="X1272" s="10">
        <f t="shared" ref="X1272:Y1272" ca="1" si="1387">+X1271</f>
        <v>0</v>
      </c>
      <c r="Y1272" s="10">
        <f t="shared" ca="1" si="1387"/>
        <v>0</v>
      </c>
      <c r="Z1272">
        <f t="shared" ca="1" si="1339"/>
        <v>0</v>
      </c>
      <c r="AA1272">
        <f t="shared" ca="1" si="1340"/>
        <v>1</v>
      </c>
      <c r="AB1272" s="19">
        <f t="shared" ca="1" si="1341"/>
        <v>0</v>
      </c>
      <c r="AC1272" s="19">
        <f t="shared" ca="1" si="1342"/>
        <v>-0.25636865103830475</v>
      </c>
    </row>
    <row r="1273" spans="3:29" x14ac:dyDescent="0.25">
      <c r="C1273" s="4">
        <v>1266</v>
      </c>
      <c r="D1273" s="28">
        <v>43805</v>
      </c>
      <c r="E1273" s="30">
        <v>15.141</v>
      </c>
      <c r="F1273" s="30">
        <v>58.234602514244372</v>
      </c>
      <c r="G1273" s="30">
        <v>5.0782309848964466</v>
      </c>
      <c r="H1273" s="30">
        <v>74.161164872931181</v>
      </c>
      <c r="I1273" s="8">
        <v>0</v>
      </c>
      <c r="J1273" s="31">
        <v>0</v>
      </c>
      <c r="K1273" s="31">
        <v>0</v>
      </c>
      <c r="L1273" s="31">
        <v>0</v>
      </c>
      <c r="M1273" s="31">
        <v>0</v>
      </c>
      <c r="N1273" s="31">
        <v>0</v>
      </c>
      <c r="O1273" s="31">
        <v>0</v>
      </c>
      <c r="P1273" s="31">
        <v>0</v>
      </c>
      <c r="Q1273" s="31">
        <v>0</v>
      </c>
      <c r="R1273" s="31">
        <v>0</v>
      </c>
      <c r="S1273" s="31">
        <v>0</v>
      </c>
      <c r="T1273" s="21" cm="1">
        <f t="array" aca="1" ref="T1273" ca="1">+fair_value_gap(OFFSET(S1272,0,0,-1*$I$5,-1*$Z$1),OFFSET(E1272,0,0,-1*$I$5,1),F1273:S1273,0)</f>
        <v>16.558730335163542</v>
      </c>
      <c r="U1273" s="7" cm="1">
        <f t="array" aca="1" ref="U1273" ca="1">z_score_diff(OFFSET(T1273,0,0,$I$5*-1,1),OFFSET(E1273,0,0,$I$5*-1,1))</f>
        <v>0.32903220141258405</v>
      </c>
      <c r="V1273" s="7">
        <f t="shared" ca="1" si="1337"/>
        <v>0.3821017179108081</v>
      </c>
      <c r="W1273" s="14">
        <f t="shared" ca="1" si="1332"/>
        <v>-0.23550415525853341</v>
      </c>
      <c r="X1273" s="10">
        <f t="shared" ref="X1273:Y1273" ca="1" si="1388">+X1272</f>
        <v>0</v>
      </c>
      <c r="Y1273" s="10">
        <f t="shared" ca="1" si="1388"/>
        <v>0</v>
      </c>
      <c r="Z1273">
        <f t="shared" ca="1" si="1339"/>
        <v>0</v>
      </c>
      <c r="AA1273">
        <f t="shared" ca="1" si="1340"/>
        <v>1</v>
      </c>
      <c r="AB1273" s="19">
        <f t="shared" ca="1" si="1341"/>
        <v>0</v>
      </c>
      <c r="AC1273" s="19">
        <f t="shared" ca="1" si="1342"/>
        <v>-0.23550415525853341</v>
      </c>
    </row>
    <row r="1274" spans="3:29" x14ac:dyDescent="0.25">
      <c r="C1274" s="4">
        <v>1267</v>
      </c>
      <c r="D1274" s="28">
        <v>43808</v>
      </c>
      <c r="E1274" s="30">
        <v>14.888</v>
      </c>
      <c r="F1274" s="30">
        <v>58.081721207738198</v>
      </c>
      <c r="G1274" s="30">
        <v>5.0714156572048452</v>
      </c>
      <c r="H1274" s="30">
        <v>74.444042668595188</v>
      </c>
      <c r="I1274" s="8">
        <v>0</v>
      </c>
      <c r="J1274" s="31">
        <v>0</v>
      </c>
      <c r="K1274" s="31">
        <v>0</v>
      </c>
      <c r="L1274" s="31">
        <v>0</v>
      </c>
      <c r="M1274" s="31">
        <v>0</v>
      </c>
      <c r="N1274" s="31">
        <v>0</v>
      </c>
      <c r="O1274" s="31">
        <v>0</v>
      </c>
      <c r="P1274" s="31">
        <v>0</v>
      </c>
      <c r="Q1274" s="31">
        <v>0</v>
      </c>
      <c r="R1274" s="31">
        <v>0</v>
      </c>
      <c r="S1274" s="31">
        <v>0</v>
      </c>
      <c r="T1274" s="21" cm="1">
        <f t="array" aca="1" ref="T1274" ca="1">+fair_value_gap(OFFSET(S1273,0,0,-1*$I$5,-1*$Z$1),OFFSET(E1273,0,0,-1*$I$5,1),F1274:S1274,0)</f>
        <v>16.330883036705131</v>
      </c>
      <c r="U1274" s="7" cm="1">
        <f t="array" aca="1" ref="U1274" ca="1">z_score_diff(OFFSET(T1274,0,0,$I$5*-1,1),OFFSET(E1274,0,0,$I$5*-1,1))</f>
        <v>0.3304502027614491</v>
      </c>
      <c r="V1274" s="7">
        <f t="shared" ca="1" si="1337"/>
        <v>0.3831141029738479</v>
      </c>
      <c r="W1274" s="14">
        <f t="shared" ca="1" si="1332"/>
        <v>-0.20084236223497615</v>
      </c>
      <c r="X1274" s="10">
        <f t="shared" ref="X1274:Y1274" ca="1" si="1389">+X1273</f>
        <v>0</v>
      </c>
      <c r="Y1274" s="10">
        <f t="shared" ca="1" si="1389"/>
        <v>0</v>
      </c>
      <c r="Z1274">
        <f t="shared" ca="1" si="1339"/>
        <v>0</v>
      </c>
      <c r="AA1274">
        <f t="shared" ca="1" si="1340"/>
        <v>1</v>
      </c>
      <c r="AB1274" s="19">
        <f t="shared" ca="1" si="1341"/>
        <v>0</v>
      </c>
      <c r="AC1274" s="19">
        <f t="shared" ca="1" si="1342"/>
        <v>-0.20084236223497615</v>
      </c>
    </row>
    <row r="1275" spans="3:29" x14ac:dyDescent="0.25">
      <c r="C1275" s="4">
        <v>1268</v>
      </c>
      <c r="D1275" s="28">
        <v>43809</v>
      </c>
      <c r="E1275" s="30">
        <v>14.532</v>
      </c>
      <c r="F1275" s="30">
        <v>58.00576992426975</v>
      </c>
      <c r="G1275" s="30">
        <v>5.0757302560403899</v>
      </c>
      <c r="H1275" s="30">
        <v>74.197619906238728</v>
      </c>
      <c r="I1275" s="8">
        <v>0</v>
      </c>
      <c r="J1275" s="31">
        <v>0</v>
      </c>
      <c r="K1275" s="31">
        <v>0</v>
      </c>
      <c r="L1275" s="31">
        <v>0</v>
      </c>
      <c r="M1275" s="31">
        <v>0</v>
      </c>
      <c r="N1275" s="31">
        <v>0</v>
      </c>
      <c r="O1275" s="31">
        <v>0</v>
      </c>
      <c r="P1275" s="31">
        <v>0</v>
      </c>
      <c r="Q1275" s="31">
        <v>0</v>
      </c>
      <c r="R1275" s="31">
        <v>0</v>
      </c>
      <c r="S1275" s="31">
        <v>0</v>
      </c>
      <c r="T1275" s="21" cm="1">
        <f t="array" aca="1" ref="T1275" ca="1">+fair_value_gap(OFFSET(S1274,0,0,-1*$I$5,-1*$Z$1),OFFSET(E1274,0,0,-1*$I$5,1),F1275:S1275,0)</f>
        <v>15.998923959236908</v>
      </c>
      <c r="U1275" s="7" cm="1">
        <f t="array" aca="1" ref="U1275" ca="1">z_score_diff(OFFSET(T1275,0,0,$I$5*-1,1),OFFSET(E1275,0,0,$I$5*-1,1))</f>
        <v>0.32989426665771371</v>
      </c>
      <c r="V1275" s="7">
        <f t="shared" ca="1" si="1337"/>
        <v>0.38100826453757958</v>
      </c>
      <c r="W1275" s="14">
        <f t="shared" ca="1" si="1332"/>
        <v>-0.19645900639449954</v>
      </c>
      <c r="X1275" s="10">
        <f t="shared" ref="X1275:Y1275" ca="1" si="1390">+X1274</f>
        <v>0</v>
      </c>
      <c r="Y1275" s="10">
        <f t="shared" ca="1" si="1390"/>
        <v>0</v>
      </c>
      <c r="Z1275">
        <f t="shared" ca="1" si="1339"/>
        <v>0</v>
      </c>
      <c r="AA1275">
        <f t="shared" ca="1" si="1340"/>
        <v>1</v>
      </c>
      <c r="AB1275" s="19">
        <f t="shared" ca="1" si="1341"/>
        <v>0</v>
      </c>
      <c r="AC1275" s="19">
        <f t="shared" ca="1" si="1342"/>
        <v>-0.19645900639449954</v>
      </c>
    </row>
    <row r="1276" spans="3:29" x14ac:dyDescent="0.25">
      <c r="C1276" s="4">
        <v>1269</v>
      </c>
      <c r="D1276" s="28">
        <v>43810</v>
      </c>
      <c r="E1276" s="30">
        <v>14.047000000000001</v>
      </c>
      <c r="F1276" s="30">
        <v>57.260963335729691</v>
      </c>
      <c r="G1276" s="30">
        <v>5.059309849029475</v>
      </c>
      <c r="H1276" s="30">
        <v>73.912652767792949</v>
      </c>
      <c r="I1276" s="8">
        <v>0</v>
      </c>
      <c r="J1276" s="31">
        <v>0</v>
      </c>
      <c r="K1276" s="31">
        <v>0</v>
      </c>
      <c r="L1276" s="31">
        <v>0</v>
      </c>
      <c r="M1276" s="31">
        <v>0</v>
      </c>
      <c r="N1276" s="31">
        <v>0</v>
      </c>
      <c r="O1276" s="31">
        <v>0</v>
      </c>
      <c r="P1276" s="31">
        <v>0</v>
      </c>
      <c r="Q1276" s="31">
        <v>0</v>
      </c>
      <c r="R1276" s="31">
        <v>0</v>
      </c>
      <c r="S1276" s="31">
        <v>0</v>
      </c>
      <c r="T1276" s="21" cm="1">
        <f t="array" aca="1" ref="T1276" ca="1">+fair_value_gap(OFFSET(S1275,0,0,-1*$I$5,-1*$Z$1),OFFSET(E1275,0,0,-1*$I$5,1),F1276:S1276,0)</f>
        <v>15.812850053064924</v>
      </c>
      <c r="U1276" s="7" cm="1">
        <f t="array" aca="1" ref="U1276" ca="1">z_score_diff(OFFSET(T1276,0,0,$I$5*-1,1),OFFSET(E1276,0,0,$I$5*-1,1))</f>
        <v>0.41278461905586022</v>
      </c>
      <c r="V1276" s="7">
        <f t="shared" ca="1" si="1337"/>
        <v>0.38425999104186548</v>
      </c>
      <c r="W1276" s="14">
        <f t="shared" ca="1" si="1332"/>
        <v>-0.15301229478792047</v>
      </c>
      <c r="X1276" s="10">
        <f t="shared" ref="X1276:Y1276" ca="1" si="1391">+X1275</f>
        <v>0</v>
      </c>
      <c r="Y1276" s="10">
        <f t="shared" ca="1" si="1391"/>
        <v>0</v>
      </c>
      <c r="Z1276">
        <f t="shared" ca="1" si="1339"/>
        <v>0</v>
      </c>
      <c r="AA1276">
        <f t="shared" ca="1" si="1340"/>
        <v>1</v>
      </c>
      <c r="AB1276" s="19">
        <f t="shared" ca="1" si="1341"/>
        <v>0</v>
      </c>
      <c r="AC1276" s="19">
        <f t="shared" ca="1" si="1342"/>
        <v>-0.15301229478792047</v>
      </c>
    </row>
    <row r="1277" spans="3:29" x14ac:dyDescent="0.25">
      <c r="C1277" s="4">
        <v>1270</v>
      </c>
      <c r="D1277" s="28">
        <v>43811</v>
      </c>
      <c r="E1277" s="30">
        <v>14.768000000000001</v>
      </c>
      <c r="F1277" s="30">
        <v>57.692307692307693</v>
      </c>
      <c r="G1277" s="30">
        <v>5.0682961897915169</v>
      </c>
      <c r="H1277" s="30">
        <v>73.508267433501075</v>
      </c>
      <c r="I1277" s="8">
        <v>0</v>
      </c>
      <c r="J1277" s="31">
        <v>0</v>
      </c>
      <c r="K1277" s="31">
        <v>0</v>
      </c>
      <c r="L1277" s="31">
        <v>0</v>
      </c>
      <c r="M1277" s="31">
        <v>0</v>
      </c>
      <c r="N1277" s="31">
        <v>0</v>
      </c>
      <c r="O1277" s="31">
        <v>0</v>
      </c>
      <c r="P1277" s="31">
        <v>0</v>
      </c>
      <c r="Q1277" s="31">
        <v>0</v>
      </c>
      <c r="R1277" s="31">
        <v>0</v>
      </c>
      <c r="S1277" s="31">
        <v>0</v>
      </c>
      <c r="T1277" s="21" cm="1">
        <f t="array" aca="1" ref="T1277" ca="1">+fair_value_gap(OFFSET(S1276,0,0,-1*$I$5,-1*$Z$1),OFFSET(E1276,0,0,-1*$I$5,1),F1277:S1277,0)</f>
        <v>15.391369270163494</v>
      </c>
      <c r="U1277" s="7" cm="1">
        <f t="array" aca="1" ref="U1277" ca="1">z_score_diff(OFFSET(T1277,0,0,$I$5*-1,1),OFFSET(E1277,0,0,$I$5*-1,1))</f>
        <v>7.1183038329781387E-2</v>
      </c>
      <c r="V1277" s="7">
        <f t="shared" ca="1" si="1337"/>
        <v>0.37338029019880631</v>
      </c>
      <c r="W1277" s="14">
        <f t="shared" ca="1" si="1332"/>
        <v>-0.26739450055190234</v>
      </c>
      <c r="X1277" s="10">
        <f t="shared" ref="X1277:Y1277" ca="1" si="1392">+X1276</f>
        <v>0</v>
      </c>
      <c r="Y1277" s="10">
        <f t="shared" ca="1" si="1392"/>
        <v>0</v>
      </c>
      <c r="Z1277">
        <f t="shared" ca="1" si="1339"/>
        <v>0</v>
      </c>
      <c r="AA1277">
        <f t="shared" ca="1" si="1340"/>
        <v>1</v>
      </c>
      <c r="AB1277" s="19">
        <f t="shared" ca="1" si="1341"/>
        <v>0</v>
      </c>
      <c r="AC1277" s="19">
        <f t="shared" ca="1" si="1342"/>
        <v>-0.26739450055190234</v>
      </c>
    </row>
    <row r="1278" spans="3:29" x14ac:dyDescent="0.25">
      <c r="C1278" s="4">
        <v>1271</v>
      </c>
      <c r="D1278" s="28">
        <v>43812</v>
      </c>
      <c r="E1278" s="30">
        <v>13.804</v>
      </c>
      <c r="F1278" s="30">
        <v>58.656353988668037</v>
      </c>
      <c r="G1278" s="30">
        <v>5.0768954042629728</v>
      </c>
      <c r="H1278" s="30">
        <v>73.387894594837647</v>
      </c>
      <c r="I1278" s="8">
        <v>0</v>
      </c>
      <c r="J1278" s="31">
        <v>0</v>
      </c>
      <c r="K1278" s="31">
        <v>0</v>
      </c>
      <c r="L1278" s="31">
        <v>0</v>
      </c>
      <c r="M1278" s="31">
        <v>0</v>
      </c>
      <c r="N1278" s="31">
        <v>0</v>
      </c>
      <c r="O1278" s="31">
        <v>0</v>
      </c>
      <c r="P1278" s="31">
        <v>0</v>
      </c>
      <c r="Q1278" s="31">
        <v>0</v>
      </c>
      <c r="R1278" s="31">
        <v>0</v>
      </c>
      <c r="S1278" s="31">
        <v>0</v>
      </c>
      <c r="T1278" s="21" cm="1">
        <f t="array" aca="1" ref="T1278" ca="1">+fair_value_gap(OFFSET(S1277,0,0,-1*$I$5,-1*$Z$1),OFFSET(E1277,0,0,-1*$I$5,1),F1278:S1278,0)</f>
        <v>15.102974361156441</v>
      </c>
      <c r="U1278" s="7" cm="1">
        <f t="array" aca="1" ref="U1278" ca="1">z_score_diff(OFFSET(T1278,0,0,$I$5*-1,1),OFFSET(E1278,0,0,$I$5*-1,1))</f>
        <v>0.26299912828097777</v>
      </c>
      <c r="V1278" s="7">
        <f t="shared" ca="1" si="1337"/>
        <v>0.37303725224229012</v>
      </c>
      <c r="W1278" s="14">
        <f t="shared" ca="1" si="1332"/>
        <v>-0.21092138694756823</v>
      </c>
      <c r="X1278" s="10">
        <f t="shared" ref="X1278:Y1278" ca="1" si="1393">+X1277</f>
        <v>0</v>
      </c>
      <c r="Y1278" s="10">
        <f t="shared" ca="1" si="1393"/>
        <v>0</v>
      </c>
      <c r="Z1278">
        <f t="shared" ca="1" si="1339"/>
        <v>0</v>
      </c>
      <c r="AA1278">
        <f t="shared" ca="1" si="1340"/>
        <v>1</v>
      </c>
      <c r="AB1278" s="19">
        <f t="shared" ca="1" si="1341"/>
        <v>0</v>
      </c>
      <c r="AC1278" s="19">
        <f t="shared" ca="1" si="1342"/>
        <v>-0.21092138694756823</v>
      </c>
    </row>
    <row r="1279" spans="3:29" x14ac:dyDescent="0.25">
      <c r="C1279" s="4">
        <v>1272</v>
      </c>
      <c r="D1279" s="28">
        <v>43815</v>
      </c>
      <c r="E1279" s="30">
        <v>13.89</v>
      </c>
      <c r="F1279" s="30">
        <v>58.64297253634895</v>
      </c>
      <c r="G1279" s="30">
        <v>4.8375516065338351</v>
      </c>
      <c r="H1279" s="30">
        <v>73.415903787470825</v>
      </c>
      <c r="I1279" s="8">
        <v>0</v>
      </c>
      <c r="J1279" s="31">
        <v>0</v>
      </c>
      <c r="K1279" s="31">
        <v>0</v>
      </c>
      <c r="L1279" s="31">
        <v>0</v>
      </c>
      <c r="M1279" s="31">
        <v>0</v>
      </c>
      <c r="N1279" s="31">
        <v>0</v>
      </c>
      <c r="O1279" s="31">
        <v>0</v>
      </c>
      <c r="P1279" s="31">
        <v>0</v>
      </c>
      <c r="Q1279" s="31">
        <v>0</v>
      </c>
      <c r="R1279" s="31">
        <v>0</v>
      </c>
      <c r="S1279" s="31">
        <v>0</v>
      </c>
      <c r="T1279" s="21" cm="1">
        <f t="array" aca="1" ref="T1279" ca="1">+fair_value_gap(OFFSET(S1278,0,0,-1*$I$5,-1*$Z$1),OFFSET(E1278,0,0,-1*$I$5,1),F1279:S1279,0)</f>
        <v>14.723617351165899</v>
      </c>
      <c r="U1279" s="7" cm="1">
        <f t="array" aca="1" ref="U1279" ca="1">z_score_diff(OFFSET(T1279,0,0,$I$5*-1,1),OFFSET(E1279,0,0,$I$5*-1,1))</f>
        <v>0.11483721639781688</v>
      </c>
      <c r="V1279" s="7">
        <f t="shared" ca="1" si="1337"/>
        <v>0.35430593372070041</v>
      </c>
      <c r="W1279" s="14">
        <f t="shared" ca="1" si="1332"/>
        <v>-0.22269368851477442</v>
      </c>
      <c r="X1279" s="10">
        <f t="shared" ref="X1279:Y1279" ca="1" si="1394">+X1278</f>
        <v>0</v>
      </c>
      <c r="Y1279" s="10">
        <f t="shared" ca="1" si="1394"/>
        <v>0</v>
      </c>
      <c r="Z1279">
        <f t="shared" ca="1" si="1339"/>
        <v>0</v>
      </c>
      <c r="AA1279">
        <f t="shared" ca="1" si="1340"/>
        <v>1</v>
      </c>
      <c r="AB1279" s="19">
        <f t="shared" ca="1" si="1341"/>
        <v>0</v>
      </c>
      <c r="AC1279" s="19">
        <f t="shared" ca="1" si="1342"/>
        <v>-0.22269368851477442</v>
      </c>
    </row>
    <row r="1280" spans="3:29" x14ac:dyDescent="0.25">
      <c r="C1280" s="4">
        <v>1273</v>
      </c>
      <c r="D1280" s="28">
        <v>43816</v>
      </c>
      <c r="E1280" s="30">
        <v>14.461</v>
      </c>
      <c r="F1280" s="30">
        <v>59.287828504798632</v>
      </c>
      <c r="G1280" s="30">
        <v>4.9556013992286303</v>
      </c>
      <c r="H1280" s="30">
        <v>73.280114808503001</v>
      </c>
      <c r="I1280" s="8">
        <v>0</v>
      </c>
      <c r="J1280" s="31">
        <v>0</v>
      </c>
      <c r="K1280" s="31">
        <v>0</v>
      </c>
      <c r="L1280" s="31">
        <v>0</v>
      </c>
      <c r="M1280" s="31">
        <v>0</v>
      </c>
      <c r="N1280" s="31">
        <v>0</v>
      </c>
      <c r="O1280" s="31">
        <v>0</v>
      </c>
      <c r="P1280" s="31">
        <v>0</v>
      </c>
      <c r="Q1280" s="31">
        <v>0</v>
      </c>
      <c r="R1280" s="31">
        <v>0</v>
      </c>
      <c r="S1280" s="31">
        <v>0</v>
      </c>
      <c r="T1280" s="21" cm="1">
        <f t="array" aca="1" ref="T1280" ca="1">+fair_value_gap(OFFSET(S1279,0,0,-1*$I$5,-1*$Z$1),OFFSET(E1279,0,0,-1*$I$5,1),F1280:S1280,0)</f>
        <v>14.606135219632286</v>
      </c>
      <c r="U1280" s="7" cm="1">
        <f t="array" aca="1" ref="U1280" ca="1">z_score_diff(OFFSET(T1280,0,0,$I$5*-1,1),OFFSET(E1280,0,0,$I$5*-1,1))</f>
        <v>-9.7451760702551515E-2</v>
      </c>
      <c r="V1280" s="7">
        <f t="shared" ca="1" si="1337"/>
        <v>0.32534930774585435</v>
      </c>
      <c r="W1280" s="14">
        <f t="shared" ca="1" si="1332"/>
        <v>-0.28003556393811868</v>
      </c>
      <c r="X1280" s="10">
        <f t="shared" ref="X1280:Y1280" ca="1" si="1395">+X1279</f>
        <v>0</v>
      </c>
      <c r="Y1280" s="10">
        <f t="shared" ca="1" si="1395"/>
        <v>0</v>
      </c>
      <c r="Z1280">
        <f t="shared" ca="1" si="1339"/>
        <v>0</v>
      </c>
      <c r="AA1280">
        <f t="shared" ca="1" si="1340"/>
        <v>1</v>
      </c>
      <c r="AB1280" s="19">
        <f t="shared" ca="1" si="1341"/>
        <v>0</v>
      </c>
      <c r="AC1280" s="19">
        <f t="shared" ca="1" si="1342"/>
        <v>-0.28003556393811868</v>
      </c>
    </row>
    <row r="1281" spans="3:29" x14ac:dyDescent="0.25">
      <c r="C1281" s="4">
        <v>1274</v>
      </c>
      <c r="D1281" s="28">
        <v>43817</v>
      </c>
      <c r="E1281" s="30">
        <v>14.951000000000001</v>
      </c>
      <c r="F1281" s="30">
        <v>59.55359553595536</v>
      </c>
      <c r="G1281" s="30">
        <v>4.9950499504995047</v>
      </c>
      <c r="H1281" s="30">
        <v>73.800738007380076</v>
      </c>
      <c r="I1281" s="8">
        <v>0</v>
      </c>
      <c r="J1281" s="31">
        <v>0</v>
      </c>
      <c r="K1281" s="31">
        <v>0</v>
      </c>
      <c r="L1281" s="31">
        <v>0</v>
      </c>
      <c r="M1281" s="31">
        <v>0</v>
      </c>
      <c r="N1281" s="31">
        <v>0</v>
      </c>
      <c r="O1281" s="31">
        <v>0</v>
      </c>
      <c r="P1281" s="31">
        <v>0</v>
      </c>
      <c r="Q1281" s="31">
        <v>0</v>
      </c>
      <c r="R1281" s="31">
        <v>0</v>
      </c>
      <c r="S1281" s="31">
        <v>0</v>
      </c>
      <c r="T1281" s="21" cm="1">
        <f t="array" aca="1" ref="T1281" ca="1">+fair_value_gap(OFFSET(S1280,0,0,-1*$I$5,-1*$Z$1),OFFSET(E1280,0,0,-1*$I$5,1),F1281:S1281,0)</f>
        <v>14.702821317694305</v>
      </c>
      <c r="U1281" s="7" cm="1">
        <f t="array" aca="1" ref="U1281" ca="1">z_score_diff(OFFSET(T1281,0,0,$I$5*-1,1),OFFSET(E1281,0,0,$I$5*-1,1))</f>
        <v>-0.21676436789771042</v>
      </c>
      <c r="V1281" s="7">
        <f t="shared" ca="1" si="1337"/>
        <v>0.29350238309878207</v>
      </c>
      <c r="W1281" s="14">
        <f t="shared" ca="1" si="1332"/>
        <v>-0.34713688848966667</v>
      </c>
      <c r="X1281" s="10">
        <f t="shared" ref="X1281:Y1281" ca="1" si="1396">+X1280</f>
        <v>0</v>
      </c>
      <c r="Y1281" s="10">
        <f t="shared" ca="1" si="1396"/>
        <v>0</v>
      </c>
      <c r="Z1281">
        <f t="shared" ca="1" si="1339"/>
        <v>0</v>
      </c>
      <c r="AA1281">
        <f t="shared" ca="1" si="1340"/>
        <v>1</v>
      </c>
      <c r="AB1281" s="19">
        <f t="shared" ca="1" si="1341"/>
        <v>0</v>
      </c>
      <c r="AC1281" s="19">
        <f t="shared" ca="1" si="1342"/>
        <v>-0.34713688848966667</v>
      </c>
    </row>
    <row r="1282" spans="3:29" x14ac:dyDescent="0.25">
      <c r="C1282" s="4">
        <v>1275</v>
      </c>
      <c r="D1282" s="28">
        <v>43818</v>
      </c>
      <c r="E1282" s="30">
        <v>15.007</v>
      </c>
      <c r="F1282" s="30">
        <v>59.838129496402878</v>
      </c>
      <c r="G1282" s="30">
        <v>4.9685251798561154</v>
      </c>
      <c r="H1282" s="30">
        <v>74.640287769784166</v>
      </c>
      <c r="I1282" s="8">
        <v>0</v>
      </c>
      <c r="J1282" s="31">
        <v>0</v>
      </c>
      <c r="K1282" s="31">
        <v>0</v>
      </c>
      <c r="L1282" s="31">
        <v>0</v>
      </c>
      <c r="M1282" s="31">
        <v>0</v>
      </c>
      <c r="N1282" s="31">
        <v>0</v>
      </c>
      <c r="O1282" s="31">
        <v>0</v>
      </c>
      <c r="P1282" s="31">
        <v>0</v>
      </c>
      <c r="Q1282" s="31">
        <v>0</v>
      </c>
      <c r="R1282" s="31">
        <v>0</v>
      </c>
      <c r="S1282" s="31">
        <v>0</v>
      </c>
      <c r="T1282" s="21" cm="1">
        <f t="array" aca="1" ref="T1282" ca="1">+fair_value_gap(OFFSET(S1281,0,0,-1*$I$5,-1*$Z$1),OFFSET(E1281,0,0,-1*$I$5,1),F1282:S1282,0)</f>
        <v>14.847957906718054</v>
      </c>
      <c r="U1282" s="7" cm="1">
        <f t="array" aca="1" ref="U1282" ca="1">z_score_diff(OFFSET(T1282,0,0,$I$5*-1,1),OFFSET(E1282,0,0,$I$5*-1,1))</f>
        <v>-0.18443103396394525</v>
      </c>
      <c r="V1282" s="7">
        <f t="shared" ca="1" si="1337"/>
        <v>0.26451827919877435</v>
      </c>
      <c r="W1282" s="14">
        <f t="shared" ca="1" si="1332"/>
        <v>-0.33110252529915785</v>
      </c>
      <c r="X1282" s="10">
        <f t="shared" ref="X1282:Y1282" ca="1" si="1397">+X1281</f>
        <v>0</v>
      </c>
      <c r="Y1282" s="10">
        <f t="shared" ca="1" si="1397"/>
        <v>0</v>
      </c>
      <c r="Z1282">
        <f t="shared" ca="1" si="1339"/>
        <v>0</v>
      </c>
      <c r="AA1282">
        <f t="shared" ca="1" si="1340"/>
        <v>1</v>
      </c>
      <c r="AB1282" s="19">
        <f t="shared" ca="1" si="1341"/>
        <v>0</v>
      </c>
      <c r="AC1282" s="19">
        <f t="shared" ca="1" si="1342"/>
        <v>-0.33110252529915785</v>
      </c>
    </row>
    <row r="1283" spans="3:29" x14ac:dyDescent="0.25">
      <c r="C1283" s="4">
        <v>1276</v>
      </c>
      <c r="D1283" s="28">
        <v>43819</v>
      </c>
      <c r="E1283" s="30">
        <v>14.234999999999999</v>
      </c>
      <c r="F1283" s="30">
        <v>59.703917674670521</v>
      </c>
      <c r="G1283" s="30">
        <v>4.9196605885538913</v>
      </c>
      <c r="H1283" s="30">
        <v>74.020581332370469</v>
      </c>
      <c r="I1283" s="8">
        <v>0</v>
      </c>
      <c r="J1283" s="31">
        <v>0</v>
      </c>
      <c r="K1283" s="31">
        <v>0</v>
      </c>
      <c r="L1283" s="31">
        <v>0</v>
      </c>
      <c r="M1283" s="31">
        <v>0</v>
      </c>
      <c r="N1283" s="31">
        <v>0</v>
      </c>
      <c r="O1283" s="31">
        <v>0</v>
      </c>
      <c r="P1283" s="31">
        <v>0</v>
      </c>
      <c r="Q1283" s="31">
        <v>0</v>
      </c>
      <c r="R1283" s="31">
        <v>0</v>
      </c>
      <c r="S1283" s="31">
        <v>0</v>
      </c>
      <c r="T1283" s="21" cm="1">
        <f t="array" aca="1" ref="T1283" ca="1">+fair_value_gap(OFFSET(S1282,0,0,-1*$I$5,-1*$Z$1),OFFSET(E1282,0,0,-1*$I$5,1),F1283:S1283,0)</f>
        <v>14.658239944593305</v>
      </c>
      <c r="U1283" s="7" cm="1">
        <f t="array" aca="1" ref="U1283" ca="1">z_score_diff(OFFSET(T1283,0,0,$I$5*-1,1),OFFSET(E1283,0,0,$I$5*-1,1))</f>
        <v>-1.199392375453244E-2</v>
      </c>
      <c r="V1283" s="7">
        <f t="shared" ca="1" si="1337"/>
        <v>0.24997998219437001</v>
      </c>
      <c r="W1283" s="14">
        <f t="shared" ca="1" si="1332"/>
        <v>-0.30862338784940396</v>
      </c>
      <c r="X1283" s="10">
        <f t="shared" ref="X1283:Y1283" ca="1" si="1398">+X1282</f>
        <v>0</v>
      </c>
      <c r="Y1283" s="10">
        <f t="shared" ca="1" si="1398"/>
        <v>0</v>
      </c>
      <c r="Z1283">
        <f t="shared" ca="1" si="1339"/>
        <v>0</v>
      </c>
      <c r="AA1283">
        <f t="shared" ca="1" si="1340"/>
        <v>1</v>
      </c>
      <c r="AB1283" s="19">
        <f t="shared" ca="1" si="1341"/>
        <v>0</v>
      </c>
      <c r="AC1283" s="19">
        <f t="shared" ca="1" si="1342"/>
        <v>-0.30862338784940396</v>
      </c>
    </row>
    <row r="1284" spans="3:29" x14ac:dyDescent="0.25">
      <c r="C1284" s="4">
        <v>1277</v>
      </c>
      <c r="D1284" s="28">
        <v>43822</v>
      </c>
      <c r="E1284" s="30">
        <v>13.026999999999999</v>
      </c>
      <c r="F1284" s="30">
        <v>59.8863431354862</v>
      </c>
      <c r="G1284" s="30">
        <v>4.7808046184376689</v>
      </c>
      <c r="H1284" s="30">
        <v>73.606350351795044</v>
      </c>
      <c r="I1284" s="8">
        <v>0</v>
      </c>
      <c r="J1284" s="31">
        <v>0</v>
      </c>
      <c r="K1284" s="31">
        <v>0</v>
      </c>
      <c r="L1284" s="31">
        <v>0</v>
      </c>
      <c r="M1284" s="31">
        <v>0</v>
      </c>
      <c r="N1284" s="31">
        <v>0</v>
      </c>
      <c r="O1284" s="31">
        <v>0</v>
      </c>
      <c r="P1284" s="31">
        <v>0</v>
      </c>
      <c r="Q1284" s="31">
        <v>0</v>
      </c>
      <c r="R1284" s="31">
        <v>0</v>
      </c>
      <c r="S1284" s="31">
        <v>0</v>
      </c>
      <c r="T1284" s="21" cm="1">
        <f t="array" aca="1" ref="T1284" ca="1">+fair_value_gap(OFFSET(S1283,0,0,-1*$I$5,-1*$Z$1),OFFSET(E1283,0,0,-1*$I$5,1),F1284:S1284,0)</f>
        <v>14.436369463324015</v>
      </c>
      <c r="U1284" s="7" cm="1">
        <f t="array" aca="1" ref="U1284" ca="1">z_score_diff(OFFSET(T1284,0,0,$I$5*-1,1),OFFSET(E1284,0,0,$I$5*-1,1))</f>
        <v>0.29407909225062956</v>
      </c>
      <c r="V1284" s="7">
        <f t="shared" ca="1" si="1337"/>
        <v>0.25577593383864305</v>
      </c>
      <c r="W1284" s="14">
        <f t="shared" ca="1" si="1332"/>
        <v>-0.22252963064417158</v>
      </c>
      <c r="X1284" s="10">
        <f t="shared" ref="X1284:Y1284" ca="1" si="1399">+X1283</f>
        <v>0</v>
      </c>
      <c r="Y1284" s="10">
        <f t="shared" ca="1" si="1399"/>
        <v>0</v>
      </c>
      <c r="Z1284">
        <f t="shared" ca="1" si="1339"/>
        <v>0</v>
      </c>
      <c r="AA1284">
        <f t="shared" ca="1" si="1340"/>
        <v>1</v>
      </c>
      <c r="AB1284" s="19">
        <f t="shared" ca="1" si="1341"/>
        <v>0</v>
      </c>
      <c r="AC1284" s="19">
        <f t="shared" ca="1" si="1342"/>
        <v>-0.22252963064417158</v>
      </c>
    </row>
    <row r="1285" spans="3:29" x14ac:dyDescent="0.25">
      <c r="C1285" s="4">
        <v>1278</v>
      </c>
      <c r="D1285" s="28">
        <v>43823</v>
      </c>
      <c r="E1285" s="30">
        <v>12.606999999999999</v>
      </c>
      <c r="F1285" s="30">
        <v>60.611527013619558</v>
      </c>
      <c r="G1285" s="30">
        <v>4.7397853341751599</v>
      </c>
      <c r="H1285" s="30">
        <v>75.313430143411196</v>
      </c>
      <c r="I1285" s="8">
        <v>0</v>
      </c>
      <c r="J1285" s="31">
        <v>0</v>
      </c>
      <c r="K1285" s="31">
        <v>0</v>
      </c>
      <c r="L1285" s="31">
        <v>0</v>
      </c>
      <c r="M1285" s="31">
        <v>0</v>
      </c>
      <c r="N1285" s="31">
        <v>0</v>
      </c>
      <c r="O1285" s="31">
        <v>0</v>
      </c>
      <c r="P1285" s="31">
        <v>0</v>
      </c>
      <c r="Q1285" s="31">
        <v>0</v>
      </c>
      <c r="R1285" s="31">
        <v>0</v>
      </c>
      <c r="S1285" s="31">
        <v>0</v>
      </c>
      <c r="T1285" s="21" cm="1">
        <f t="array" aca="1" ref="T1285" ca="1">+fair_value_gap(OFFSET(S1284,0,0,-1*$I$5,-1*$Z$1),OFFSET(E1284,0,0,-1*$I$5,1),F1285:S1285,0)</f>
        <v>14.625246039460228</v>
      </c>
      <c r="U1285" s="7" cm="1">
        <f t="array" aca="1" ref="U1285" ca="1">z_score_diff(OFFSET(T1285,0,0,$I$5*-1,1),OFFSET(E1285,0,0,$I$5*-1,1))</f>
        <v>0.49496239320097285</v>
      </c>
      <c r="V1285" s="7">
        <f t="shared" ca="1" si="1337"/>
        <v>0.26829284130369907</v>
      </c>
      <c r="W1285" s="14">
        <f t="shared" ca="1" si="1332"/>
        <v>-0.18717188236853535</v>
      </c>
      <c r="X1285" s="10">
        <f t="shared" ref="X1285:Y1285" ca="1" si="1400">+X1284</f>
        <v>0</v>
      </c>
      <c r="Y1285" s="10">
        <f t="shared" ca="1" si="1400"/>
        <v>0</v>
      </c>
      <c r="Z1285">
        <f t="shared" ca="1" si="1339"/>
        <v>0</v>
      </c>
      <c r="AA1285">
        <f t="shared" ca="1" si="1340"/>
        <v>1</v>
      </c>
      <c r="AB1285" s="19">
        <f t="shared" ca="1" si="1341"/>
        <v>0</v>
      </c>
      <c r="AC1285" s="19">
        <f t="shared" ca="1" si="1342"/>
        <v>-0.18717188236853535</v>
      </c>
    </row>
    <row r="1286" spans="3:29" x14ac:dyDescent="0.25">
      <c r="C1286" s="4">
        <v>1279</v>
      </c>
      <c r="D1286" s="28">
        <v>43826</v>
      </c>
      <c r="E1286" s="30">
        <v>12.766999999999999</v>
      </c>
      <c r="F1286" s="30">
        <v>60.993288590604024</v>
      </c>
      <c r="G1286" s="30">
        <v>4.6756152125279637</v>
      </c>
      <c r="H1286" s="30">
        <v>70.335570469798654</v>
      </c>
      <c r="I1286" s="8">
        <v>0</v>
      </c>
      <c r="J1286" s="31">
        <v>0</v>
      </c>
      <c r="K1286" s="31">
        <v>0</v>
      </c>
      <c r="L1286" s="31">
        <v>0</v>
      </c>
      <c r="M1286" s="31">
        <v>0</v>
      </c>
      <c r="N1286" s="31">
        <v>0</v>
      </c>
      <c r="O1286" s="31">
        <v>0</v>
      </c>
      <c r="P1286" s="31">
        <v>0</v>
      </c>
      <c r="Q1286" s="31">
        <v>0</v>
      </c>
      <c r="R1286" s="31">
        <v>0</v>
      </c>
      <c r="S1286" s="31">
        <v>0</v>
      </c>
      <c r="T1286" s="21" cm="1">
        <f t="array" aca="1" ref="T1286" ca="1">+fair_value_gap(OFFSET(S1285,0,0,-1*$I$5,-1*$Z$1),OFFSET(E1285,0,0,-1*$I$5,1),F1286:S1286,0)</f>
        <v>13.333906157492395</v>
      </c>
      <c r="U1286" s="7" cm="1">
        <f t="array" aca="1" ref="U1286" ca="1">z_score_diff(OFFSET(T1286,0,0,$I$5*-1,1),OFFSET(E1286,0,0,$I$5*-1,1))</f>
        <v>-5.1445399087041155E-3</v>
      </c>
      <c r="V1286" s="7">
        <f t="shared" ca="1" si="1337"/>
        <v>0.25820581926330255</v>
      </c>
      <c r="W1286" s="14">
        <f t="shared" ca="1" si="1332"/>
        <v>-0.19301532990662656</v>
      </c>
      <c r="X1286" s="10">
        <f t="shared" ref="X1286:Y1286" ca="1" si="1401">+X1285</f>
        <v>0</v>
      </c>
      <c r="Y1286" s="10">
        <f t="shared" ca="1" si="1401"/>
        <v>0</v>
      </c>
      <c r="Z1286">
        <f t="shared" ca="1" si="1339"/>
        <v>0</v>
      </c>
      <c r="AA1286">
        <f t="shared" ca="1" si="1340"/>
        <v>1</v>
      </c>
      <c r="AB1286" s="19">
        <f t="shared" ca="1" si="1341"/>
        <v>0</v>
      </c>
      <c r="AC1286" s="19">
        <f t="shared" ca="1" si="1342"/>
        <v>-0.19301532990662656</v>
      </c>
    </row>
    <row r="1287" spans="3:29" x14ac:dyDescent="0.25">
      <c r="C1287" s="4">
        <v>1280</v>
      </c>
      <c r="D1287" s="28">
        <v>43829</v>
      </c>
      <c r="E1287" s="30">
        <v>12.292999999999999</v>
      </c>
      <c r="F1287" s="30">
        <v>61.123515227293026</v>
      </c>
      <c r="G1287" s="30">
        <v>4.6887559167634194</v>
      </c>
      <c r="H1287" s="30">
        <v>70.2866839331964</v>
      </c>
      <c r="I1287" s="8">
        <v>0</v>
      </c>
      <c r="J1287" s="31">
        <v>0</v>
      </c>
      <c r="K1287" s="31">
        <v>0</v>
      </c>
      <c r="L1287" s="31">
        <v>0</v>
      </c>
      <c r="M1287" s="31">
        <v>0</v>
      </c>
      <c r="N1287" s="31">
        <v>0</v>
      </c>
      <c r="O1287" s="31">
        <v>0</v>
      </c>
      <c r="P1287" s="31">
        <v>0</v>
      </c>
      <c r="Q1287" s="31">
        <v>0</v>
      </c>
      <c r="R1287" s="31">
        <v>0</v>
      </c>
      <c r="S1287" s="31">
        <v>0</v>
      </c>
      <c r="T1287" s="21" cm="1">
        <f t="array" aca="1" ref="T1287" ca="1">+fair_value_gap(OFFSET(S1286,0,0,-1*$I$5,-1*$Z$1),OFFSET(E1286,0,0,-1*$I$5,1),F1287:S1287,0)</f>
        <v>13.252500988395335</v>
      </c>
      <c r="U1287" s="7" cm="1">
        <f t="array" aca="1" ref="U1287" ca="1">z_score_diff(OFFSET(T1287,0,0,$I$5*-1,1),OFFSET(E1287,0,0,$I$5*-1,1))</f>
        <v>0.12410067117521406</v>
      </c>
      <c r="V1287" s="7">
        <f t="shared" ca="1" si="1337"/>
        <v>0.25333030944869084</v>
      </c>
      <c r="W1287" s="14">
        <f t="shared" ref="W1287:W1350" ca="1" si="1402">+LN(OFFSET(E1287,$W$3,0,1,1)/E1287)</f>
        <v>-0.13022487577974917</v>
      </c>
      <c r="X1287" s="10">
        <f t="shared" ref="X1287:Y1287" ca="1" si="1403">+X1286</f>
        <v>0</v>
      </c>
      <c r="Y1287" s="10">
        <f t="shared" ca="1" si="1403"/>
        <v>0</v>
      </c>
      <c r="Z1287">
        <f t="shared" ca="1" si="1339"/>
        <v>0</v>
      </c>
      <c r="AA1287">
        <f t="shared" ca="1" si="1340"/>
        <v>1</v>
      </c>
      <c r="AB1287" s="19">
        <f t="shared" ca="1" si="1341"/>
        <v>0</v>
      </c>
      <c r="AC1287" s="19">
        <f t="shared" ca="1" si="1342"/>
        <v>-0.13022487577974917</v>
      </c>
    </row>
    <row r="1288" spans="3:29" x14ac:dyDescent="0.25">
      <c r="C1288" s="4">
        <v>1281</v>
      </c>
      <c r="D1288" s="28">
        <v>43830</v>
      </c>
      <c r="E1288" s="30">
        <v>12.051</v>
      </c>
      <c r="F1288" s="30">
        <v>58.876003568242638</v>
      </c>
      <c r="G1288" s="30">
        <v>4.7279214986619085</v>
      </c>
      <c r="H1288" s="30">
        <v>71.09723461195361</v>
      </c>
      <c r="I1288" s="8">
        <v>0</v>
      </c>
      <c r="J1288" s="31">
        <v>0</v>
      </c>
      <c r="K1288" s="31">
        <v>0</v>
      </c>
      <c r="L1288" s="31">
        <v>0</v>
      </c>
      <c r="M1288" s="31">
        <v>0</v>
      </c>
      <c r="N1288" s="31">
        <v>0</v>
      </c>
      <c r="O1288" s="31">
        <v>0</v>
      </c>
      <c r="P1288" s="31">
        <v>0</v>
      </c>
      <c r="Q1288" s="31">
        <v>0</v>
      </c>
      <c r="R1288" s="31">
        <v>0</v>
      </c>
      <c r="S1288" s="31">
        <v>0</v>
      </c>
      <c r="T1288" s="21" cm="1">
        <f t="array" aca="1" ref="T1288" ca="1">+fair_value_gap(OFFSET(S1287,0,0,-1*$I$5,-1*$Z$1),OFFSET(E1287,0,0,-1*$I$5,1),F1288:S1288,0)</f>
        <v>13.588184098074684</v>
      </c>
      <c r="U1288" s="7" cm="1">
        <f t="array" aca="1" ref="U1288" ca="1">z_score_diff(OFFSET(T1288,0,0,$I$5*-1,1),OFFSET(E1288,0,0,$I$5*-1,1))</f>
        <v>0.32320964372785366</v>
      </c>
      <c r="V1288" s="7">
        <f t="shared" ca="1" si="1337"/>
        <v>0.26755034652740761</v>
      </c>
      <c r="W1288" s="14">
        <f t="shared" ca="1" si="1402"/>
        <v>-0.17167393855745849</v>
      </c>
      <c r="X1288" s="10">
        <f t="shared" ref="X1288:Y1288" ca="1" si="1404">+X1287</f>
        <v>0</v>
      </c>
      <c r="Y1288" s="10">
        <f t="shared" ca="1" si="1404"/>
        <v>0</v>
      </c>
      <c r="Z1288">
        <f t="shared" ca="1" si="1339"/>
        <v>0</v>
      </c>
      <c r="AA1288">
        <f t="shared" ca="1" si="1340"/>
        <v>1</v>
      </c>
      <c r="AB1288" s="19">
        <f t="shared" ca="1" si="1341"/>
        <v>0</v>
      </c>
      <c r="AC1288" s="19">
        <f t="shared" ca="1" si="1342"/>
        <v>-0.17167393855745849</v>
      </c>
    </row>
    <row r="1289" spans="3:29" x14ac:dyDescent="0.25">
      <c r="C1289" s="4">
        <v>1282</v>
      </c>
      <c r="D1289" s="28">
        <v>43832</v>
      </c>
      <c r="E1289" s="30">
        <v>12.073</v>
      </c>
      <c r="F1289" s="30">
        <v>59.310653536257831</v>
      </c>
      <c r="G1289" s="30">
        <v>4.7000895255147714</v>
      </c>
      <c r="H1289" s="30">
        <v>71.396598030438682</v>
      </c>
      <c r="I1289" s="8">
        <v>1</v>
      </c>
      <c r="J1289" s="31">
        <v>0</v>
      </c>
      <c r="K1289" s="31">
        <v>0</v>
      </c>
      <c r="L1289" s="31">
        <v>0</v>
      </c>
      <c r="M1289" s="31">
        <v>0</v>
      </c>
      <c r="N1289" s="31">
        <v>0</v>
      </c>
      <c r="O1289" s="31">
        <v>0</v>
      </c>
      <c r="P1289" s="31">
        <v>0</v>
      </c>
      <c r="Q1289" s="31">
        <v>0</v>
      </c>
      <c r="R1289" s="31">
        <v>0</v>
      </c>
      <c r="S1289" s="31">
        <v>0</v>
      </c>
      <c r="T1289" s="21" cm="1">
        <f t="array" aca="1" ref="T1289" ca="1">+fair_value_gap(OFFSET(S1288,0,0,-1*$I$5,-1*$Z$1),OFFSET(E1288,0,0,-1*$I$5,1),F1289:S1289,0)</f>
        <v>17.480290963315824</v>
      </c>
      <c r="U1289" s="7" cm="1">
        <f t="array" aca="1" ref="U1289" ca="1">z_score_diff(OFFSET(T1289,0,0,$I$5*-1,1),OFFSET(E1289,0,0,$I$5*-1,1))</f>
        <v>1.6794372846019474</v>
      </c>
      <c r="V1289" s="7">
        <f t="shared" ca="1" si="1337"/>
        <v>0.29872015482340342</v>
      </c>
      <c r="W1289" s="14">
        <f t="shared" ca="1" si="1402"/>
        <v>-0.21052982604189441</v>
      </c>
      <c r="X1289" s="10">
        <f t="shared" ref="X1289:Y1289" ca="1" si="1405">+X1288</f>
        <v>0</v>
      </c>
      <c r="Y1289" s="10">
        <f t="shared" ca="1" si="1405"/>
        <v>0</v>
      </c>
      <c r="Z1289">
        <f t="shared" ca="1" si="1339"/>
        <v>0</v>
      </c>
      <c r="AA1289">
        <f t="shared" ca="1" si="1340"/>
        <v>1</v>
      </c>
      <c r="AB1289" s="19">
        <f t="shared" ca="1" si="1341"/>
        <v>0</v>
      </c>
      <c r="AC1289" s="19">
        <f t="shared" ca="1" si="1342"/>
        <v>-0.21052982604189441</v>
      </c>
    </row>
    <row r="1290" spans="3:29" x14ac:dyDescent="0.25">
      <c r="C1290" s="4">
        <v>1283</v>
      </c>
      <c r="D1290" s="28">
        <v>43833</v>
      </c>
      <c r="E1290" s="30">
        <v>12.984999999999999</v>
      </c>
      <c r="F1290" s="30">
        <v>61.480552070263485</v>
      </c>
      <c r="G1290" s="30">
        <v>4.8261337157196635</v>
      </c>
      <c r="H1290" s="30">
        <v>71.697436816633811</v>
      </c>
      <c r="I1290" s="8">
        <v>1</v>
      </c>
      <c r="J1290" s="31">
        <v>0</v>
      </c>
      <c r="K1290" s="31">
        <v>0</v>
      </c>
      <c r="L1290" s="31">
        <v>0</v>
      </c>
      <c r="M1290" s="31">
        <v>0</v>
      </c>
      <c r="N1290" s="31">
        <v>0</v>
      </c>
      <c r="O1290" s="31">
        <v>0</v>
      </c>
      <c r="P1290" s="31">
        <v>0</v>
      </c>
      <c r="Q1290" s="31">
        <v>0</v>
      </c>
      <c r="R1290" s="31">
        <v>0</v>
      </c>
      <c r="S1290" s="31">
        <v>0</v>
      </c>
      <c r="T1290" s="21" cm="1">
        <f t="array" aca="1" ref="T1290" ca="1">+fair_value_gap(OFFSET(S1289,0,0,-1*$I$5,-1*$Z$1),OFFSET(E1289,0,0,-1*$I$5,1),F1290:S1290,0)</f>
        <v>15.843957742327314</v>
      </c>
      <c r="U1290" s="7" cm="1">
        <f t="array" aca="1" ref="U1290" ca="1">z_score_diff(OFFSET(T1290,0,0,$I$5*-1,1),OFFSET(E1290,0,0,$I$5*-1,1))</f>
        <v>0.7954611924604178</v>
      </c>
      <c r="V1290" s="7">
        <f t="shared" ca="1" si="1337"/>
        <v>0.29519671701769112</v>
      </c>
      <c r="W1290" s="14">
        <f t="shared" ca="1" si="1402"/>
        <v>-0.28601487103963708</v>
      </c>
      <c r="X1290" s="10">
        <f t="shared" ref="X1290:Y1290" ca="1" si="1406">+X1289</f>
        <v>0</v>
      </c>
      <c r="Y1290" s="10">
        <f t="shared" ca="1" si="1406"/>
        <v>0</v>
      </c>
      <c r="Z1290">
        <f t="shared" ca="1" si="1339"/>
        <v>0</v>
      </c>
      <c r="AA1290">
        <f t="shared" ca="1" si="1340"/>
        <v>1</v>
      </c>
      <c r="AB1290" s="19">
        <f t="shared" ca="1" si="1341"/>
        <v>0</v>
      </c>
      <c r="AC1290" s="19">
        <f t="shared" ca="1" si="1342"/>
        <v>-0.28601487103963708</v>
      </c>
    </row>
    <row r="1291" spans="3:29" x14ac:dyDescent="0.25">
      <c r="C1291" s="4">
        <v>1284</v>
      </c>
      <c r="D1291" s="28">
        <v>43836</v>
      </c>
      <c r="E1291" s="30">
        <v>12.28</v>
      </c>
      <c r="F1291" s="30">
        <v>61.565264004288395</v>
      </c>
      <c r="G1291" s="30">
        <v>4.7485035289913347</v>
      </c>
      <c r="H1291" s="30">
        <v>72.902707049048516</v>
      </c>
      <c r="I1291" s="8">
        <v>1</v>
      </c>
      <c r="J1291" s="31">
        <v>0</v>
      </c>
      <c r="K1291" s="31">
        <v>0</v>
      </c>
      <c r="L1291" s="31">
        <v>0</v>
      </c>
      <c r="M1291" s="31">
        <v>0</v>
      </c>
      <c r="N1291" s="31">
        <v>0</v>
      </c>
      <c r="O1291" s="31">
        <v>0</v>
      </c>
      <c r="P1291" s="31">
        <v>0</v>
      </c>
      <c r="Q1291" s="31">
        <v>0</v>
      </c>
      <c r="R1291" s="31">
        <v>0</v>
      </c>
      <c r="S1291" s="31">
        <v>0</v>
      </c>
      <c r="T1291" s="21" cm="1">
        <f t="array" aca="1" ref="T1291" ca="1">+fair_value_gap(OFFSET(S1290,0,0,-1*$I$5,-1*$Z$1),OFFSET(E1290,0,0,-1*$I$5,1),F1291:S1291,0)</f>
        <v>15.401742070949247</v>
      </c>
      <c r="U1291" s="7" cm="1">
        <f t="array" aca="1" ref="U1291" ca="1">z_score_diff(OFFSET(T1291,0,0,$I$5*-1,1),OFFSET(E1291,0,0,$I$5*-1,1))</f>
        <v>0.88547227548545837</v>
      </c>
      <c r="V1291" s="7">
        <f t="shared" ref="V1291:V1354" ca="1" si="1407">+IF(ISERROR(AVERAGE(OFFSET(U1291,0,0,$V$5*-1,1))),"",AVERAGE(OFFSET(U1291,0,0,$V$5*-1,1)))</f>
        <v>0.31894328954732531</v>
      </c>
      <c r="W1291" s="14">
        <f t="shared" ca="1" si="1402"/>
        <v>-0.28757350071289783</v>
      </c>
      <c r="X1291" s="10">
        <f t="shared" ref="X1291:Y1291" ca="1" si="1408">+X1290</f>
        <v>0</v>
      </c>
      <c r="Y1291" s="10">
        <f t="shared" ca="1" si="1408"/>
        <v>0</v>
      </c>
      <c r="Z1291">
        <f t="shared" ref="Z1291:Z1354" ca="1" si="1409">+IF(V1291="","",IF(V1291&lt;X1291,1,0))</f>
        <v>0</v>
      </c>
      <c r="AA1291">
        <f t="shared" ref="AA1291:AA1354" ca="1" si="1410">+IF(V1291="","",IF(V1291&gt;Y1291,1,0))</f>
        <v>1</v>
      </c>
      <c r="AB1291" s="19">
        <f t="shared" ref="AB1291:AB1354" ca="1" si="1411">+IF(ISERROR(Z1291*W1291),"",Z1291*W1291)</f>
        <v>0</v>
      </c>
      <c r="AC1291" s="19">
        <f t="shared" ref="AC1291:AC1354" ca="1" si="1412">+IF(ISERROR(AA1291*W1291),"",AA1291*W1291)</f>
        <v>-0.28757350071289783</v>
      </c>
    </row>
    <row r="1292" spans="3:29" x14ac:dyDescent="0.25">
      <c r="C1292" s="4">
        <v>1285</v>
      </c>
      <c r="D1292" s="28">
        <v>43837</v>
      </c>
      <c r="E1292" s="30">
        <v>11.929</v>
      </c>
      <c r="F1292" s="30">
        <v>61.223208680835796</v>
      </c>
      <c r="G1292" s="30">
        <v>4.7529369563267867</v>
      </c>
      <c r="H1292" s="30">
        <v>76.495381580127344</v>
      </c>
      <c r="I1292" s="8">
        <v>1</v>
      </c>
      <c r="J1292" s="31">
        <v>0</v>
      </c>
      <c r="K1292" s="31">
        <v>0</v>
      </c>
      <c r="L1292" s="31">
        <v>0</v>
      </c>
      <c r="M1292" s="31">
        <v>0</v>
      </c>
      <c r="N1292" s="31">
        <v>0</v>
      </c>
      <c r="O1292" s="31">
        <v>0</v>
      </c>
      <c r="P1292" s="31">
        <v>0</v>
      </c>
      <c r="Q1292" s="31">
        <v>0</v>
      </c>
      <c r="R1292" s="31">
        <v>0</v>
      </c>
      <c r="S1292" s="31">
        <v>0</v>
      </c>
      <c r="T1292" s="21" cm="1">
        <f t="array" aca="1" ref="T1292" ca="1">+fair_value_gap(OFFSET(S1291,0,0,-1*$I$5,-1*$Z$1),OFFSET(E1291,0,0,-1*$I$5,1),F1292:S1292,0)</f>
        <v>15.917174289644823</v>
      </c>
      <c r="U1292" s="7" cm="1">
        <f t="array" aca="1" ref="U1292" ca="1">z_score_diff(OFFSET(T1292,0,0,$I$5*-1,1),OFFSET(E1292,0,0,$I$5*-1,1))</f>
        <v>1.1966797546496362</v>
      </c>
      <c r="V1292" s="7">
        <f t="shared" ca="1" si="1407"/>
        <v>0.35643986771104341</v>
      </c>
      <c r="W1292" s="14">
        <f t="shared" ca="1" si="1402"/>
        <v>-0.24188629953845886</v>
      </c>
      <c r="X1292" s="10">
        <f t="shared" ref="X1292:Y1292" ca="1" si="1413">+X1291</f>
        <v>0</v>
      </c>
      <c r="Y1292" s="10">
        <f t="shared" ca="1" si="1413"/>
        <v>0</v>
      </c>
      <c r="Z1292">
        <f t="shared" ca="1" si="1409"/>
        <v>0</v>
      </c>
      <c r="AA1292">
        <f t="shared" ca="1" si="1410"/>
        <v>1</v>
      </c>
      <c r="AB1292" s="19">
        <f t="shared" ca="1" si="1411"/>
        <v>0</v>
      </c>
      <c r="AC1292" s="19">
        <f t="shared" ca="1" si="1412"/>
        <v>-0.24188629953845886</v>
      </c>
    </row>
    <row r="1293" spans="3:29" x14ac:dyDescent="0.25">
      <c r="C1293" s="4">
        <v>1286</v>
      </c>
      <c r="D1293" s="28">
        <v>43838</v>
      </c>
      <c r="E1293" s="30">
        <v>11.964</v>
      </c>
      <c r="F1293" s="30">
        <v>58.939025488606674</v>
      </c>
      <c r="G1293" s="30">
        <v>4.7824912185895698</v>
      </c>
      <c r="H1293" s="30">
        <v>77.456543276591901</v>
      </c>
      <c r="I1293" s="8">
        <v>1</v>
      </c>
      <c r="J1293" s="31">
        <v>0</v>
      </c>
      <c r="K1293" s="31">
        <v>0</v>
      </c>
      <c r="L1293" s="31">
        <v>0</v>
      </c>
      <c r="M1293" s="31">
        <v>0</v>
      </c>
      <c r="N1293" s="31">
        <v>0</v>
      </c>
      <c r="O1293" s="31">
        <v>0</v>
      </c>
      <c r="P1293" s="31">
        <v>0</v>
      </c>
      <c r="Q1293" s="31">
        <v>0</v>
      </c>
      <c r="R1293" s="31">
        <v>0</v>
      </c>
      <c r="S1293" s="31">
        <v>0</v>
      </c>
      <c r="T1293" s="21" cm="1">
        <f t="array" aca="1" ref="T1293" ca="1">+fair_value_gap(OFFSET(S1292,0,0,-1*$I$5,-1*$Z$1),OFFSET(E1292,0,0,-1*$I$5,1),F1293:S1293,0)</f>
        <v>16.16796446254353</v>
      </c>
      <c r="U1293" s="7" cm="1">
        <f t="array" aca="1" ref="U1293" ca="1">z_score_diff(OFFSET(T1293,0,0,$I$5*-1,1),OFFSET(E1293,0,0,$I$5*-1,1))</f>
        <v>1.2805692261722075</v>
      </c>
      <c r="V1293" s="7">
        <f t="shared" ca="1" si="1407"/>
        <v>0.40401671894902469</v>
      </c>
      <c r="W1293" s="14">
        <f t="shared" ca="1" si="1402"/>
        <v>-0.25049086722818087</v>
      </c>
      <c r="X1293" s="10">
        <f t="shared" ref="X1293:Y1293" ca="1" si="1414">+X1292</f>
        <v>0</v>
      </c>
      <c r="Y1293" s="10">
        <f t="shared" ca="1" si="1414"/>
        <v>0</v>
      </c>
      <c r="Z1293">
        <f t="shared" ca="1" si="1409"/>
        <v>0</v>
      </c>
      <c r="AA1293">
        <f t="shared" ca="1" si="1410"/>
        <v>1</v>
      </c>
      <c r="AB1293" s="19">
        <f t="shared" ca="1" si="1411"/>
        <v>0</v>
      </c>
      <c r="AC1293" s="19">
        <f t="shared" ca="1" si="1412"/>
        <v>-0.25049086722818087</v>
      </c>
    </row>
    <row r="1294" spans="3:29" x14ac:dyDescent="0.25">
      <c r="C1294" s="4">
        <v>1287</v>
      </c>
      <c r="D1294" s="28">
        <v>43839</v>
      </c>
      <c r="E1294" s="30">
        <v>12.179</v>
      </c>
      <c r="F1294" s="30">
        <v>58.865375956776226</v>
      </c>
      <c r="G1294" s="30">
        <v>4.7726249437190456</v>
      </c>
      <c r="H1294" s="30">
        <v>78.568212516884287</v>
      </c>
      <c r="I1294" s="8">
        <v>1</v>
      </c>
      <c r="J1294" s="31">
        <v>0</v>
      </c>
      <c r="K1294" s="31">
        <v>0</v>
      </c>
      <c r="L1294" s="31">
        <v>0</v>
      </c>
      <c r="M1294" s="31">
        <v>0</v>
      </c>
      <c r="N1294" s="31">
        <v>0</v>
      </c>
      <c r="O1294" s="31">
        <v>0</v>
      </c>
      <c r="P1294" s="31">
        <v>0</v>
      </c>
      <c r="Q1294" s="31">
        <v>0</v>
      </c>
      <c r="R1294" s="31">
        <v>0</v>
      </c>
      <c r="S1294" s="31">
        <v>0</v>
      </c>
      <c r="T1294" s="21" cm="1">
        <f t="array" aca="1" ref="T1294" ca="1">+fair_value_gap(OFFSET(S1293,0,0,-1*$I$5,-1*$Z$1),OFFSET(E1293,0,0,-1*$I$5,1),F1294:S1294,0)</f>
        <v>15.968182284880752</v>
      </c>
      <c r="U1294" s="7" cm="1">
        <f t="array" aca="1" ref="U1294" ca="1">z_score_diff(OFFSET(T1294,0,0,$I$5*-1,1),OFFSET(E1294,0,0,$I$5*-1,1))</f>
        <v>1.1404674864550388</v>
      </c>
      <c r="V1294" s="7">
        <f t="shared" ca="1" si="1407"/>
        <v>0.44451758313370415</v>
      </c>
      <c r="W1294" s="14">
        <f t="shared" ca="1" si="1402"/>
        <v>-0.28606857340757541</v>
      </c>
      <c r="X1294" s="10">
        <f t="shared" ref="X1294:Y1294" ca="1" si="1415">+X1293</f>
        <v>0</v>
      </c>
      <c r="Y1294" s="10">
        <f t="shared" ca="1" si="1415"/>
        <v>0</v>
      </c>
      <c r="Z1294">
        <f t="shared" ca="1" si="1409"/>
        <v>0</v>
      </c>
      <c r="AA1294">
        <f t="shared" ca="1" si="1410"/>
        <v>1</v>
      </c>
      <c r="AB1294" s="19">
        <f t="shared" ca="1" si="1411"/>
        <v>0</v>
      </c>
      <c r="AC1294" s="19">
        <f t="shared" ca="1" si="1412"/>
        <v>-0.28606857340757541</v>
      </c>
    </row>
    <row r="1295" spans="3:29" x14ac:dyDescent="0.25">
      <c r="C1295" s="4">
        <v>1288</v>
      </c>
      <c r="D1295" s="28">
        <v>43840</v>
      </c>
      <c r="E1295" s="30">
        <v>11.94</v>
      </c>
      <c r="F1295" s="30">
        <v>58.435251798561147</v>
      </c>
      <c r="G1295" s="30">
        <v>4.7661870503597115</v>
      </c>
      <c r="H1295" s="30">
        <v>83.183453237410063</v>
      </c>
      <c r="I1295" s="8">
        <v>1</v>
      </c>
      <c r="J1295" s="31">
        <v>0</v>
      </c>
      <c r="K1295" s="31">
        <v>0</v>
      </c>
      <c r="L1295" s="31">
        <v>0</v>
      </c>
      <c r="M1295" s="31">
        <v>0</v>
      </c>
      <c r="N1295" s="31">
        <v>0</v>
      </c>
      <c r="O1295" s="31">
        <v>0</v>
      </c>
      <c r="P1295" s="31">
        <v>0</v>
      </c>
      <c r="Q1295" s="31">
        <v>0</v>
      </c>
      <c r="R1295" s="31">
        <v>0</v>
      </c>
      <c r="S1295" s="31">
        <v>0</v>
      </c>
      <c r="T1295" s="21" cm="1">
        <f t="array" aca="1" ref="T1295" ca="1">+fair_value_gap(OFFSET(S1294,0,0,-1*$I$5,-1*$Z$1),OFFSET(E1294,0,0,-1*$I$5,1),F1295:S1295,0)</f>
        <v>16.853771264403257</v>
      </c>
      <c r="U1295" s="7" cm="1">
        <f t="array" aca="1" ref="U1295" ca="1">z_score_diff(OFFSET(T1295,0,0,$I$5*-1,1),OFFSET(E1295,0,0,$I$5*-1,1))</f>
        <v>1.5625341925401162</v>
      </c>
      <c r="V1295" s="7">
        <f t="shared" ca="1" si="1407"/>
        <v>0.50614957942782435</v>
      </c>
      <c r="W1295" s="14">
        <f t="shared" ca="1" si="1402"/>
        <v>-0.27514237531917352</v>
      </c>
      <c r="X1295" s="10">
        <f t="shared" ref="X1295:Y1295" ca="1" si="1416">+X1294</f>
        <v>0</v>
      </c>
      <c r="Y1295" s="10">
        <f t="shared" ca="1" si="1416"/>
        <v>0</v>
      </c>
      <c r="Z1295">
        <f t="shared" ca="1" si="1409"/>
        <v>0</v>
      </c>
      <c r="AA1295">
        <f t="shared" ca="1" si="1410"/>
        <v>1</v>
      </c>
      <c r="AB1295" s="19">
        <f t="shared" ca="1" si="1411"/>
        <v>0</v>
      </c>
      <c r="AC1295" s="19">
        <f t="shared" ca="1" si="1412"/>
        <v>-0.27514237531917352</v>
      </c>
    </row>
    <row r="1296" spans="3:29" x14ac:dyDescent="0.25">
      <c r="C1296" s="4">
        <v>1289</v>
      </c>
      <c r="D1296" s="28">
        <v>43843</v>
      </c>
      <c r="E1296" s="30">
        <v>12.054</v>
      </c>
      <c r="F1296" s="30">
        <v>57.666397197520887</v>
      </c>
      <c r="G1296" s="30">
        <v>4.7606215754962724</v>
      </c>
      <c r="H1296" s="30">
        <v>81.873708793676471</v>
      </c>
      <c r="I1296" s="8">
        <v>1</v>
      </c>
      <c r="J1296" s="31">
        <v>0</v>
      </c>
      <c r="K1296" s="31">
        <v>0</v>
      </c>
      <c r="L1296" s="31">
        <v>0</v>
      </c>
      <c r="M1296" s="31">
        <v>0</v>
      </c>
      <c r="N1296" s="31">
        <v>0</v>
      </c>
      <c r="O1296" s="31">
        <v>0</v>
      </c>
      <c r="P1296" s="31">
        <v>0</v>
      </c>
      <c r="Q1296" s="31">
        <v>0</v>
      </c>
      <c r="R1296" s="31">
        <v>0</v>
      </c>
      <c r="S1296" s="31">
        <v>0</v>
      </c>
      <c r="T1296" s="21" cm="1">
        <f t="array" aca="1" ref="T1296" ca="1">+fair_value_gap(OFFSET(S1295,0,0,-1*$I$5,-1*$Z$1),OFFSET(E1295,0,0,-1*$I$5,1),F1296:S1296,0)</f>
        <v>15.998135444104317</v>
      </c>
      <c r="U1296" s="7" cm="1">
        <f t="array" aca="1" ref="U1296" ca="1">z_score_diff(OFFSET(T1296,0,0,$I$5*-1,1),OFFSET(E1296,0,0,$I$5*-1,1))</f>
        <v>1.2160833333163972</v>
      </c>
      <c r="V1296" s="7">
        <f t="shared" ca="1" si="1407"/>
        <v>0.54631451514085116</v>
      </c>
      <c r="W1296" s="14">
        <f t="shared" ca="1" si="1402"/>
        <v>-0.33264681029035115</v>
      </c>
      <c r="X1296" s="10">
        <f t="shared" ref="X1296:Y1296" ca="1" si="1417">+X1295</f>
        <v>0</v>
      </c>
      <c r="Y1296" s="10">
        <f t="shared" ca="1" si="1417"/>
        <v>0</v>
      </c>
      <c r="Z1296">
        <f t="shared" ca="1" si="1409"/>
        <v>0</v>
      </c>
      <c r="AA1296">
        <f t="shared" ca="1" si="1410"/>
        <v>1</v>
      </c>
      <c r="AB1296" s="19">
        <f t="shared" ca="1" si="1411"/>
        <v>0</v>
      </c>
      <c r="AC1296" s="19">
        <f t="shared" ca="1" si="1412"/>
        <v>-0.33264681029035115</v>
      </c>
    </row>
    <row r="1297" spans="3:29" x14ac:dyDescent="0.25">
      <c r="C1297" s="4">
        <v>1290</v>
      </c>
      <c r="D1297" s="28">
        <v>43844</v>
      </c>
      <c r="E1297" s="30">
        <v>11.303000000000001</v>
      </c>
      <c r="F1297" s="30">
        <v>57.958119888559352</v>
      </c>
      <c r="G1297" s="30">
        <v>4.7631886402444499</v>
      </c>
      <c r="H1297" s="30">
        <v>78.143255145142447</v>
      </c>
      <c r="I1297" s="8">
        <v>1</v>
      </c>
      <c r="J1297" s="31">
        <v>0</v>
      </c>
      <c r="K1297" s="31">
        <v>0</v>
      </c>
      <c r="L1297" s="31">
        <v>0</v>
      </c>
      <c r="M1297" s="31">
        <v>0</v>
      </c>
      <c r="N1297" s="31">
        <v>0</v>
      </c>
      <c r="O1297" s="31">
        <v>0</v>
      </c>
      <c r="P1297" s="31">
        <v>0</v>
      </c>
      <c r="Q1297" s="31">
        <v>0</v>
      </c>
      <c r="R1297" s="31">
        <v>0</v>
      </c>
      <c r="S1297" s="31">
        <v>0</v>
      </c>
      <c r="T1297" s="21" cm="1">
        <f t="array" aca="1" ref="T1297" ca="1">+fair_value_gap(OFFSET(S1296,0,0,-1*$I$5,-1*$Z$1),OFFSET(E1296,0,0,-1*$I$5,1),F1297:S1297,0)</f>
        <v>14.610636604115534</v>
      </c>
      <c r="U1297" s="7" cm="1">
        <f t="array" aca="1" ref="U1297" ca="1">z_score_diff(OFFSET(T1297,0,0,$I$5*-1,1),OFFSET(E1297,0,0,$I$5*-1,1))</f>
        <v>0.99411684119888977</v>
      </c>
      <c r="V1297" s="7">
        <f t="shared" ca="1" si="1407"/>
        <v>0.59246120528430657</v>
      </c>
      <c r="W1297" s="14">
        <f t="shared" ca="1" si="1402"/>
        <v>-0.2783185157726763</v>
      </c>
      <c r="X1297" s="10">
        <f t="shared" ref="X1297:Y1297" ca="1" si="1418">+X1296</f>
        <v>0</v>
      </c>
      <c r="Y1297" s="10">
        <f t="shared" ca="1" si="1418"/>
        <v>0</v>
      </c>
      <c r="Z1297">
        <f t="shared" ca="1" si="1409"/>
        <v>0</v>
      </c>
      <c r="AA1297">
        <f t="shared" ca="1" si="1410"/>
        <v>1</v>
      </c>
      <c r="AB1297" s="19">
        <f t="shared" ca="1" si="1411"/>
        <v>0</v>
      </c>
      <c r="AC1297" s="19">
        <f t="shared" ca="1" si="1412"/>
        <v>-0.2783185157726763</v>
      </c>
    </row>
    <row r="1298" spans="3:29" x14ac:dyDescent="0.25">
      <c r="C1298" s="4">
        <v>1291</v>
      </c>
      <c r="D1298" s="28">
        <v>43845</v>
      </c>
      <c r="E1298" s="30">
        <v>11.179</v>
      </c>
      <c r="F1298" s="30">
        <v>57.404251502376894</v>
      </c>
      <c r="G1298" s="30">
        <v>4.7493048703919634</v>
      </c>
      <c r="H1298" s="30">
        <v>77.540586599695047</v>
      </c>
      <c r="I1298" s="8">
        <v>1</v>
      </c>
      <c r="J1298" s="31">
        <v>0</v>
      </c>
      <c r="K1298" s="31">
        <v>0</v>
      </c>
      <c r="L1298" s="31">
        <v>0</v>
      </c>
      <c r="M1298" s="31">
        <v>0</v>
      </c>
      <c r="N1298" s="31">
        <v>0</v>
      </c>
      <c r="O1298" s="31">
        <v>0</v>
      </c>
      <c r="P1298" s="31">
        <v>0</v>
      </c>
      <c r="Q1298" s="31">
        <v>0</v>
      </c>
      <c r="R1298" s="31">
        <v>0</v>
      </c>
      <c r="S1298" s="31">
        <v>0</v>
      </c>
      <c r="T1298" s="21" cm="1">
        <f t="array" aca="1" ref="T1298" ca="1">+fair_value_gap(OFFSET(S1297,0,0,-1*$I$5,-1*$Z$1),OFFSET(E1297,0,0,-1*$I$5,1),F1298:S1298,0)</f>
        <v>14.222307926260914</v>
      </c>
      <c r="U1298" s="7" cm="1">
        <f t="array" aca="1" ref="U1298" ca="1">z_score_diff(OFFSET(T1298,0,0,$I$5*-1,1),OFFSET(E1298,0,0,$I$5*-1,1))</f>
        <v>0.90642339594347221</v>
      </c>
      <c r="V1298" s="7">
        <f t="shared" ca="1" si="1407"/>
        <v>0.62463241866743124</v>
      </c>
      <c r="W1298" s="14">
        <f t="shared" ca="1" si="1402"/>
        <v>-0.24818844886761413</v>
      </c>
      <c r="X1298" s="10">
        <f t="shared" ref="X1298:Y1298" ca="1" si="1419">+X1297</f>
        <v>0</v>
      </c>
      <c r="Y1298" s="10">
        <f t="shared" ca="1" si="1419"/>
        <v>0</v>
      </c>
      <c r="Z1298">
        <f t="shared" ca="1" si="1409"/>
        <v>0</v>
      </c>
      <c r="AA1298">
        <f t="shared" ca="1" si="1410"/>
        <v>1</v>
      </c>
      <c r="AB1298" s="19">
        <f t="shared" ca="1" si="1411"/>
        <v>0</v>
      </c>
      <c r="AC1298" s="19">
        <f t="shared" ca="1" si="1412"/>
        <v>-0.24818844886761413</v>
      </c>
    </row>
    <row r="1299" spans="3:29" x14ac:dyDescent="0.25">
      <c r="C1299" s="4">
        <v>1292</v>
      </c>
      <c r="D1299" s="28">
        <v>43846</v>
      </c>
      <c r="E1299" s="30">
        <v>11.117000000000001</v>
      </c>
      <c r="F1299" s="30">
        <v>58.033228558599021</v>
      </c>
      <c r="G1299" s="30">
        <v>3.7539290525370452</v>
      </c>
      <c r="H1299" s="30">
        <v>78.221823080377192</v>
      </c>
      <c r="I1299" s="8">
        <v>1</v>
      </c>
      <c r="J1299" s="31">
        <v>0</v>
      </c>
      <c r="K1299" s="31">
        <v>0</v>
      </c>
      <c r="L1299" s="31">
        <v>0</v>
      </c>
      <c r="M1299" s="31">
        <v>0</v>
      </c>
      <c r="N1299" s="31">
        <v>0</v>
      </c>
      <c r="O1299" s="31">
        <v>0</v>
      </c>
      <c r="P1299" s="31">
        <v>0</v>
      </c>
      <c r="Q1299" s="31">
        <v>0</v>
      </c>
      <c r="R1299" s="31">
        <v>0</v>
      </c>
      <c r="S1299" s="31">
        <v>0</v>
      </c>
      <c r="T1299" s="21" cm="1">
        <f t="array" aca="1" ref="T1299" ca="1">+fair_value_gap(OFFSET(S1298,0,0,-1*$I$5,-1*$Z$1),OFFSET(E1298,0,0,-1*$I$5,1),F1299:S1299,0)</f>
        <v>12.310233333997164</v>
      </c>
      <c r="U1299" s="7" cm="1">
        <f t="array" aca="1" ref="U1299" ca="1">z_score_diff(OFFSET(T1299,0,0,$I$5*-1,1),OFFSET(E1299,0,0,$I$5*-1,1))</f>
        <v>0.20321423515237391</v>
      </c>
      <c r="V1299" s="7">
        <f t="shared" ca="1" si="1407"/>
        <v>0.62905126960515911</v>
      </c>
      <c r="W1299" s="14">
        <f t="shared" ca="1" si="1402"/>
        <v>-0.22366091099194027</v>
      </c>
      <c r="X1299" s="10">
        <f t="shared" ref="X1299:Y1299" ca="1" si="1420">+X1298</f>
        <v>0</v>
      </c>
      <c r="Y1299" s="10">
        <f t="shared" ca="1" si="1420"/>
        <v>0</v>
      </c>
      <c r="Z1299">
        <f t="shared" ca="1" si="1409"/>
        <v>0</v>
      </c>
      <c r="AA1299">
        <f t="shared" ca="1" si="1410"/>
        <v>1</v>
      </c>
      <c r="AB1299" s="19">
        <f t="shared" ca="1" si="1411"/>
        <v>0</v>
      </c>
      <c r="AC1299" s="19">
        <f t="shared" ca="1" si="1412"/>
        <v>-0.22366091099194027</v>
      </c>
    </row>
    <row r="1300" spans="3:29" x14ac:dyDescent="0.25">
      <c r="C1300" s="4">
        <v>1293</v>
      </c>
      <c r="D1300" s="28">
        <v>43847</v>
      </c>
      <c r="E1300" s="30">
        <v>10.929</v>
      </c>
      <c r="F1300" s="30">
        <v>58.486652236652233</v>
      </c>
      <c r="G1300" s="30">
        <v>3.7247474747474745</v>
      </c>
      <c r="H1300" s="30">
        <v>78.373015873015873</v>
      </c>
      <c r="I1300" s="8">
        <v>1</v>
      </c>
      <c r="J1300" s="31">
        <v>0</v>
      </c>
      <c r="K1300" s="31">
        <v>0</v>
      </c>
      <c r="L1300" s="31">
        <v>0</v>
      </c>
      <c r="M1300" s="31">
        <v>0</v>
      </c>
      <c r="N1300" s="31">
        <v>0</v>
      </c>
      <c r="O1300" s="31">
        <v>0</v>
      </c>
      <c r="P1300" s="31">
        <v>0</v>
      </c>
      <c r="Q1300" s="31">
        <v>0</v>
      </c>
      <c r="R1300" s="31">
        <v>0</v>
      </c>
      <c r="S1300" s="31">
        <v>0</v>
      </c>
      <c r="T1300" s="21" cm="1">
        <f t="array" aca="1" ref="T1300" ca="1">+fair_value_gap(OFFSET(S1299,0,0,-1*$I$5,-1*$Z$1),OFFSET(E1299,0,0,-1*$I$5,1),F1300:S1300,0)</f>
        <v>12.07029602071621</v>
      </c>
      <c r="U1300" s="7" cm="1">
        <f t="array" aca="1" ref="U1300" ca="1">z_score_diff(OFFSET(T1300,0,0,$I$5*-1,1),OFFSET(E1300,0,0,$I$5*-1,1))</f>
        <v>0.18587879568164922</v>
      </c>
      <c r="V1300" s="7">
        <f t="shared" ca="1" si="1407"/>
        <v>0.64321779742436913</v>
      </c>
      <c r="W1300" s="14">
        <f t="shared" ca="1" si="1402"/>
        <v>-0.20773086864434676</v>
      </c>
      <c r="X1300" s="10">
        <f t="shared" ref="X1300:Y1300" ca="1" si="1421">+X1299</f>
        <v>0</v>
      </c>
      <c r="Y1300" s="10">
        <f t="shared" ca="1" si="1421"/>
        <v>0</v>
      </c>
      <c r="Z1300">
        <f t="shared" ca="1" si="1409"/>
        <v>0</v>
      </c>
      <c r="AA1300">
        <f t="shared" ca="1" si="1410"/>
        <v>1</v>
      </c>
      <c r="AB1300" s="19">
        <f t="shared" ca="1" si="1411"/>
        <v>0</v>
      </c>
      <c r="AC1300" s="19">
        <f t="shared" ca="1" si="1412"/>
        <v>-0.20773086864434676</v>
      </c>
    </row>
    <row r="1301" spans="3:29" x14ac:dyDescent="0.25">
      <c r="C1301" s="4">
        <v>1294</v>
      </c>
      <c r="D1301" s="28">
        <v>43850</v>
      </c>
      <c r="E1301" s="30">
        <v>10.566000000000001</v>
      </c>
      <c r="F1301" s="30">
        <v>58.770506580133414</v>
      </c>
      <c r="G1301" s="30">
        <v>3.7227330088336039</v>
      </c>
      <c r="H1301" s="30">
        <v>77.609518658734444</v>
      </c>
      <c r="I1301" s="8">
        <v>1</v>
      </c>
      <c r="J1301" s="31">
        <v>0</v>
      </c>
      <c r="K1301" s="31">
        <v>0</v>
      </c>
      <c r="L1301" s="31">
        <v>0</v>
      </c>
      <c r="M1301" s="31">
        <v>0</v>
      </c>
      <c r="N1301" s="31">
        <v>0</v>
      </c>
      <c r="O1301" s="31">
        <v>0</v>
      </c>
      <c r="P1301" s="31">
        <v>0</v>
      </c>
      <c r="Q1301" s="31">
        <v>0</v>
      </c>
      <c r="R1301" s="31">
        <v>0</v>
      </c>
      <c r="S1301" s="31">
        <v>0</v>
      </c>
      <c r="T1301" s="21" cm="1">
        <f t="array" aca="1" ref="T1301" ca="1">+fair_value_gap(OFFSET(S1300,0,0,-1*$I$5,-1*$Z$1),OFFSET(E1300,0,0,-1*$I$5,1),F1301:S1301,0)</f>
        <v>11.711837286093301</v>
      </c>
      <c r="U1301" s="7" cm="1">
        <f t="array" aca="1" ref="U1301" ca="1">z_score_diff(OFFSET(T1301,0,0,$I$5*-1,1),OFFSET(E1301,0,0,$I$5*-1,1))</f>
        <v>0.19152117889573428</v>
      </c>
      <c r="V1301" s="7">
        <f t="shared" ca="1" si="1407"/>
        <v>0.6636320747640414</v>
      </c>
      <c r="W1301" s="14">
        <f t="shared" ca="1" si="1402"/>
        <v>-0.1263374077530422</v>
      </c>
      <c r="X1301" s="10">
        <f t="shared" ref="X1301:Y1301" ca="1" si="1422">+X1300</f>
        <v>0</v>
      </c>
      <c r="Y1301" s="10">
        <f t="shared" ca="1" si="1422"/>
        <v>0</v>
      </c>
      <c r="Z1301">
        <f t="shared" ca="1" si="1409"/>
        <v>0</v>
      </c>
      <c r="AA1301">
        <f t="shared" ca="1" si="1410"/>
        <v>1</v>
      </c>
      <c r="AB1301" s="19">
        <f t="shared" ca="1" si="1411"/>
        <v>0</v>
      </c>
      <c r="AC1301" s="19">
        <f t="shared" ca="1" si="1412"/>
        <v>-0.1263374077530422</v>
      </c>
    </row>
    <row r="1302" spans="3:29" x14ac:dyDescent="0.25">
      <c r="C1302" s="4">
        <v>1295</v>
      </c>
      <c r="D1302" s="28">
        <v>43851</v>
      </c>
      <c r="E1302" s="30">
        <v>10.776999999999999</v>
      </c>
      <c r="F1302" s="30">
        <v>58.283703302652953</v>
      </c>
      <c r="G1302" s="30">
        <v>3.6771340913192563</v>
      </c>
      <c r="H1302" s="30">
        <v>77.783793539072363</v>
      </c>
      <c r="I1302" s="8">
        <v>1</v>
      </c>
      <c r="J1302" s="31">
        <v>0</v>
      </c>
      <c r="K1302" s="31">
        <v>0</v>
      </c>
      <c r="L1302" s="31">
        <v>0</v>
      </c>
      <c r="M1302" s="31">
        <v>0</v>
      </c>
      <c r="N1302" s="31">
        <v>0</v>
      </c>
      <c r="O1302" s="31">
        <v>0</v>
      </c>
      <c r="P1302" s="31">
        <v>0</v>
      </c>
      <c r="Q1302" s="31">
        <v>0</v>
      </c>
      <c r="R1302" s="31">
        <v>0</v>
      </c>
      <c r="S1302" s="31">
        <v>0</v>
      </c>
      <c r="T1302" s="21" cm="1">
        <f t="array" aca="1" ref="T1302" ca="1">+fair_value_gap(OFFSET(S1301,0,0,-1*$I$5,-1*$Z$1),OFFSET(E1301,0,0,-1*$I$5,1),F1302:S1302,0)</f>
        <v>11.616345493843328</v>
      </c>
      <c r="U1302" s="7" cm="1">
        <f t="array" aca="1" ref="U1302" ca="1">z_score_diff(OFFSET(T1302,0,0,$I$5*-1,1),OFFSET(E1302,0,0,$I$5*-1,1))</f>
        <v>6.8977310804821057E-2</v>
      </c>
      <c r="V1302" s="7">
        <f t="shared" ca="1" si="1407"/>
        <v>0.6763024920024796</v>
      </c>
      <c r="W1302" s="14">
        <f t="shared" ca="1" si="1402"/>
        <v>-0.13883447059656118</v>
      </c>
      <c r="X1302" s="10">
        <f t="shared" ref="X1302:Y1302" ca="1" si="1423">+X1301</f>
        <v>0</v>
      </c>
      <c r="Y1302" s="10">
        <f t="shared" ca="1" si="1423"/>
        <v>0</v>
      </c>
      <c r="Z1302">
        <f t="shared" ca="1" si="1409"/>
        <v>0</v>
      </c>
      <c r="AA1302">
        <f t="shared" ca="1" si="1410"/>
        <v>1</v>
      </c>
      <c r="AB1302" s="19">
        <f t="shared" ca="1" si="1411"/>
        <v>0</v>
      </c>
      <c r="AC1302" s="19">
        <f t="shared" ca="1" si="1412"/>
        <v>-0.13883447059656118</v>
      </c>
    </row>
    <row r="1303" spans="3:29" x14ac:dyDescent="0.25">
      <c r="C1303" s="4">
        <v>1296</v>
      </c>
      <c r="D1303" s="28">
        <v>43852</v>
      </c>
      <c r="E1303" s="30">
        <v>10.455</v>
      </c>
      <c r="F1303" s="30">
        <v>56.992155802001626</v>
      </c>
      <c r="G1303" s="30">
        <v>3.6245604544225043</v>
      </c>
      <c r="H1303" s="30">
        <v>78.171490397619692</v>
      </c>
      <c r="I1303" s="8">
        <v>1</v>
      </c>
      <c r="J1303" s="31">
        <v>0</v>
      </c>
      <c r="K1303" s="31">
        <v>0</v>
      </c>
      <c r="L1303" s="31">
        <v>0</v>
      </c>
      <c r="M1303" s="31">
        <v>0</v>
      </c>
      <c r="N1303" s="31">
        <v>0</v>
      </c>
      <c r="O1303" s="31">
        <v>0</v>
      </c>
      <c r="P1303" s="31">
        <v>0</v>
      </c>
      <c r="Q1303" s="31">
        <v>0</v>
      </c>
      <c r="R1303" s="31">
        <v>0</v>
      </c>
      <c r="S1303" s="31">
        <v>0</v>
      </c>
      <c r="T1303" s="21" cm="1">
        <f t="array" aca="1" ref="T1303" ca="1">+fair_value_gap(OFFSET(S1302,0,0,-1*$I$5,-1*$Z$1),OFFSET(E1302,0,0,-1*$I$5,1),F1303:S1303,0)</f>
        <v>11.639646997458165</v>
      </c>
      <c r="U1303" s="7" cm="1">
        <f t="array" aca="1" ref="U1303" ca="1">z_score_diff(OFFSET(T1303,0,0,$I$5*-1,1),OFFSET(E1303,0,0,$I$5*-1,1))</f>
        <v>0.21021400892591613</v>
      </c>
      <c r="V1303" s="7">
        <f t="shared" ca="1" si="1407"/>
        <v>0.68741288863650207</v>
      </c>
      <c r="W1303" s="14">
        <f t="shared" ca="1" si="1402"/>
        <v>-8.8238162834470141E-2</v>
      </c>
      <c r="X1303" s="10">
        <f t="shared" ref="X1303:Y1303" ca="1" si="1424">+X1302</f>
        <v>0</v>
      </c>
      <c r="Y1303" s="10">
        <f t="shared" ca="1" si="1424"/>
        <v>0</v>
      </c>
      <c r="Z1303">
        <f t="shared" ca="1" si="1409"/>
        <v>0</v>
      </c>
      <c r="AA1303">
        <f t="shared" ca="1" si="1410"/>
        <v>1</v>
      </c>
      <c r="AB1303" s="19">
        <f t="shared" ca="1" si="1411"/>
        <v>0</v>
      </c>
      <c r="AC1303" s="19">
        <f t="shared" ca="1" si="1412"/>
        <v>-8.8238162834470141E-2</v>
      </c>
    </row>
    <row r="1304" spans="3:29" x14ac:dyDescent="0.25">
      <c r="C1304" s="4">
        <v>1297</v>
      </c>
      <c r="D1304" s="28">
        <v>43853</v>
      </c>
      <c r="E1304" s="30">
        <v>10.428000000000001</v>
      </c>
      <c r="F1304" s="30">
        <v>56.134636264929426</v>
      </c>
      <c r="G1304" s="30">
        <v>3.6192544335866814</v>
      </c>
      <c r="H1304" s="30">
        <v>78.447339847991316</v>
      </c>
      <c r="I1304" s="8">
        <v>1</v>
      </c>
      <c r="J1304" s="31">
        <v>0</v>
      </c>
      <c r="K1304" s="31">
        <v>0</v>
      </c>
      <c r="L1304" s="31">
        <v>0</v>
      </c>
      <c r="M1304" s="31">
        <v>0</v>
      </c>
      <c r="N1304" s="31">
        <v>0</v>
      </c>
      <c r="O1304" s="31">
        <v>0</v>
      </c>
      <c r="P1304" s="31">
        <v>0</v>
      </c>
      <c r="Q1304" s="31">
        <v>0</v>
      </c>
      <c r="R1304" s="31">
        <v>0</v>
      </c>
      <c r="S1304" s="31">
        <v>0</v>
      </c>
      <c r="T1304" s="21" cm="1">
        <f t="array" aca="1" ref="T1304" ca="1">+fair_value_gap(OFFSET(S1303,0,0,-1*$I$5,-1*$Z$1),OFFSET(E1303,0,0,-1*$I$5,1),F1304:S1304,0)</f>
        <v>11.533768135360848</v>
      </c>
      <c r="U1304" s="7" cm="1">
        <f t="array" aca="1" ref="U1304" ca="1">z_score_diff(OFFSET(T1304,0,0,$I$5*-1,1),OFFSET(E1304,0,0,$I$5*-1,1))</f>
        <v>0.17739636910110068</v>
      </c>
      <c r="V1304" s="7">
        <f t="shared" ca="1" si="1407"/>
        <v>0.68157875247902555</v>
      </c>
      <c r="W1304" s="14">
        <f t="shared" ca="1" si="1402"/>
        <v>-8.6174819375225073E-2</v>
      </c>
      <c r="X1304" s="10">
        <f t="shared" ref="X1304:Y1304" ca="1" si="1425">+X1303</f>
        <v>0</v>
      </c>
      <c r="Y1304" s="10">
        <f t="shared" ca="1" si="1425"/>
        <v>0</v>
      </c>
      <c r="Z1304">
        <f t="shared" ca="1" si="1409"/>
        <v>0</v>
      </c>
      <c r="AA1304">
        <f t="shared" ca="1" si="1410"/>
        <v>1</v>
      </c>
      <c r="AB1304" s="19">
        <f t="shared" ca="1" si="1411"/>
        <v>0</v>
      </c>
      <c r="AC1304" s="19">
        <f t="shared" ca="1" si="1412"/>
        <v>-8.6174819375225073E-2</v>
      </c>
    </row>
    <row r="1305" spans="3:29" x14ac:dyDescent="0.25">
      <c r="C1305" s="4">
        <v>1298</v>
      </c>
      <c r="D1305" s="28">
        <v>43854</v>
      </c>
      <c r="E1305" s="30">
        <v>10.455</v>
      </c>
      <c r="F1305" s="30">
        <v>55.057606822099245</v>
      </c>
      <c r="G1305" s="30">
        <v>3.6287761952281592</v>
      </c>
      <c r="H1305" s="30">
        <v>78.653724031570349</v>
      </c>
      <c r="I1305" s="8">
        <v>1</v>
      </c>
      <c r="J1305" s="31">
        <v>0</v>
      </c>
      <c r="K1305" s="31">
        <v>0</v>
      </c>
      <c r="L1305" s="31">
        <v>0</v>
      </c>
      <c r="M1305" s="31">
        <v>0</v>
      </c>
      <c r="N1305" s="31">
        <v>0</v>
      </c>
      <c r="O1305" s="31">
        <v>0</v>
      </c>
      <c r="P1305" s="31">
        <v>0</v>
      </c>
      <c r="Q1305" s="31">
        <v>0</v>
      </c>
      <c r="R1305" s="31">
        <v>0</v>
      </c>
      <c r="S1305" s="31">
        <v>0</v>
      </c>
      <c r="T1305" s="21" cm="1">
        <f t="array" aca="1" ref="T1305" ca="1">+fair_value_gap(OFFSET(S1304,0,0,-1*$I$5,-1*$Z$1),OFFSET(E1304,0,0,-1*$I$5,1),F1305:S1305,0)</f>
        <v>11.353788519737929</v>
      </c>
      <c r="U1305" s="7" cm="1">
        <f t="array" aca="1" ref="U1305" ca="1">z_score_diff(OFFSET(T1305,0,0,$I$5*-1,1),OFFSET(E1305,0,0,$I$5*-1,1))</f>
        <v>9.6705619262246634E-2</v>
      </c>
      <c r="V1305" s="7">
        <f t="shared" ca="1" si="1407"/>
        <v>0.66166591378208939</v>
      </c>
      <c r="W1305" s="14">
        <f t="shared" ca="1" si="1402"/>
        <v>-0.10530737928330866</v>
      </c>
      <c r="X1305" s="10">
        <f t="shared" ref="X1305:Y1305" ca="1" si="1426">+X1304</f>
        <v>0</v>
      </c>
      <c r="Y1305" s="10">
        <f t="shared" ca="1" si="1426"/>
        <v>0</v>
      </c>
      <c r="Z1305">
        <f t="shared" ca="1" si="1409"/>
        <v>0</v>
      </c>
      <c r="AA1305">
        <f t="shared" ca="1" si="1410"/>
        <v>1</v>
      </c>
      <c r="AB1305" s="19">
        <f t="shared" ca="1" si="1411"/>
        <v>0</v>
      </c>
      <c r="AC1305" s="19">
        <f t="shared" ca="1" si="1412"/>
        <v>-0.10530737928330866</v>
      </c>
    </row>
    <row r="1306" spans="3:29" x14ac:dyDescent="0.25">
      <c r="C1306" s="4">
        <v>1299</v>
      </c>
      <c r="D1306" s="28">
        <v>43857</v>
      </c>
      <c r="E1306" s="30">
        <v>10.526</v>
      </c>
      <c r="F1306" s="30">
        <v>53.848946986201895</v>
      </c>
      <c r="G1306" s="30">
        <v>3.6310820624546118</v>
      </c>
      <c r="H1306" s="30">
        <v>78.703703703703709</v>
      </c>
      <c r="I1306" s="8">
        <v>1</v>
      </c>
      <c r="J1306" s="31">
        <v>0</v>
      </c>
      <c r="K1306" s="31">
        <v>0</v>
      </c>
      <c r="L1306" s="31">
        <v>0</v>
      </c>
      <c r="M1306" s="31">
        <v>0</v>
      </c>
      <c r="N1306" s="31">
        <v>0</v>
      </c>
      <c r="O1306" s="31">
        <v>0</v>
      </c>
      <c r="P1306" s="31">
        <v>0</v>
      </c>
      <c r="Q1306" s="31">
        <v>0</v>
      </c>
      <c r="R1306" s="31">
        <v>0</v>
      </c>
      <c r="S1306" s="31">
        <v>0</v>
      </c>
      <c r="T1306" s="21" cm="1">
        <f t="array" aca="1" ref="T1306" ca="1">+fair_value_gap(OFFSET(S1305,0,0,-1*$I$5,-1*$Z$1),OFFSET(E1305,0,0,-1*$I$5,1),F1306:S1306,0)</f>
        <v>11.321954977630343</v>
      </c>
      <c r="U1306" s="7" cm="1">
        <f t="array" aca="1" ref="U1306" ca="1">z_score_diff(OFFSET(T1306,0,0,$I$5*-1,1),OFFSET(E1306,0,0,$I$5*-1,1))</f>
        <v>5.82381573767905E-2</v>
      </c>
      <c r="V1306" s="7">
        <f t="shared" ca="1" si="1407"/>
        <v>0.66483504864636411</v>
      </c>
      <c r="W1306" s="14">
        <f t="shared" ca="1" si="1402"/>
        <v>-0.15174683251586368</v>
      </c>
      <c r="X1306" s="10">
        <f t="shared" ref="X1306:Y1306" ca="1" si="1427">+X1305</f>
        <v>0</v>
      </c>
      <c r="Y1306" s="10">
        <f t="shared" ca="1" si="1427"/>
        <v>0</v>
      </c>
      <c r="Z1306">
        <f t="shared" ca="1" si="1409"/>
        <v>0</v>
      </c>
      <c r="AA1306">
        <f t="shared" ca="1" si="1410"/>
        <v>1</v>
      </c>
      <c r="AB1306" s="19">
        <f t="shared" ca="1" si="1411"/>
        <v>0</v>
      </c>
      <c r="AC1306" s="19">
        <f t="shared" ca="1" si="1412"/>
        <v>-0.15174683251586368</v>
      </c>
    </row>
    <row r="1307" spans="3:29" x14ac:dyDescent="0.25">
      <c r="C1307" s="4">
        <v>1300</v>
      </c>
      <c r="D1307" s="28">
        <v>43858</v>
      </c>
      <c r="E1307" s="30">
        <v>10.792</v>
      </c>
      <c r="F1307" s="30">
        <v>54.001814882032662</v>
      </c>
      <c r="G1307" s="30">
        <v>3.629764065335753</v>
      </c>
      <c r="H1307" s="30">
        <v>81.215970961887464</v>
      </c>
      <c r="I1307" s="8">
        <v>1</v>
      </c>
      <c r="J1307" s="31">
        <v>0</v>
      </c>
      <c r="K1307" s="31">
        <v>0</v>
      </c>
      <c r="L1307" s="31">
        <v>0</v>
      </c>
      <c r="M1307" s="31">
        <v>0</v>
      </c>
      <c r="N1307" s="31">
        <v>0</v>
      </c>
      <c r="O1307" s="31">
        <v>0</v>
      </c>
      <c r="P1307" s="31">
        <v>0</v>
      </c>
      <c r="Q1307" s="31">
        <v>0</v>
      </c>
      <c r="R1307" s="31">
        <v>0</v>
      </c>
      <c r="S1307" s="31">
        <v>0</v>
      </c>
      <c r="T1307" s="21" cm="1">
        <f t="array" aca="1" ref="T1307" ca="1">+fair_value_gap(OFFSET(S1306,0,0,-1*$I$5,-1*$Z$1),OFFSET(E1306,0,0,-1*$I$5,1),F1307:S1307,0)</f>
        <v>11.654777782350635</v>
      </c>
      <c r="U1307" s="7" cm="1">
        <f t="array" aca="1" ref="U1307" ca="1">z_score_diff(OFFSET(T1307,0,0,$I$5*-1,1),OFFSET(E1307,0,0,$I$5*-1,1))</f>
        <v>8.5290714546040869E-2</v>
      </c>
      <c r="V1307" s="7">
        <f t="shared" ca="1" si="1407"/>
        <v>0.66289455081490534</v>
      </c>
      <c r="W1307" s="14">
        <f t="shared" ca="1" si="1402"/>
        <v>-0.18080306610384905</v>
      </c>
      <c r="X1307" s="10">
        <f t="shared" ref="X1307:Y1307" ca="1" si="1428">+X1306</f>
        <v>0</v>
      </c>
      <c r="Y1307" s="10">
        <f t="shared" ca="1" si="1428"/>
        <v>0</v>
      </c>
      <c r="Z1307">
        <f t="shared" ca="1" si="1409"/>
        <v>0</v>
      </c>
      <c r="AA1307">
        <f t="shared" ca="1" si="1410"/>
        <v>1</v>
      </c>
      <c r="AB1307" s="19">
        <f t="shared" ca="1" si="1411"/>
        <v>0</v>
      </c>
      <c r="AC1307" s="19">
        <f t="shared" ca="1" si="1412"/>
        <v>-0.18080306610384905</v>
      </c>
    </row>
    <row r="1308" spans="3:29" x14ac:dyDescent="0.25">
      <c r="C1308" s="4">
        <v>1301</v>
      </c>
      <c r="D1308" s="28">
        <v>43859</v>
      </c>
      <c r="E1308" s="30">
        <v>10.15</v>
      </c>
      <c r="F1308" s="30">
        <v>54.328276864383689</v>
      </c>
      <c r="G1308" s="30">
        <v>3.5425560904714324</v>
      </c>
      <c r="H1308" s="30">
        <v>78.753746934326458</v>
      </c>
      <c r="I1308" s="8">
        <v>1</v>
      </c>
      <c r="J1308" s="31">
        <v>0</v>
      </c>
      <c r="K1308" s="31">
        <v>0</v>
      </c>
      <c r="L1308" s="31">
        <v>0</v>
      </c>
      <c r="M1308" s="31">
        <v>0</v>
      </c>
      <c r="N1308" s="31">
        <v>0</v>
      </c>
      <c r="O1308" s="31">
        <v>0</v>
      </c>
      <c r="P1308" s="31">
        <v>0</v>
      </c>
      <c r="Q1308" s="31">
        <v>0</v>
      </c>
      <c r="R1308" s="31">
        <v>0</v>
      </c>
      <c r="S1308" s="31">
        <v>0</v>
      </c>
      <c r="T1308" s="21" cm="1">
        <f t="array" aca="1" ref="T1308" ca="1">+fair_value_gap(OFFSET(S1307,0,0,-1*$I$5,-1*$Z$1),OFFSET(E1307,0,0,-1*$I$5,1),F1308:S1308,0)</f>
        <v>11.086296896287372</v>
      </c>
      <c r="U1308" s="7" cm="1">
        <f t="array" aca="1" ref="U1308" ca="1">z_score_diff(OFFSET(T1308,0,0,$I$5*-1,1),OFFSET(E1308,0,0,$I$5*-1,1))</f>
        <v>0.127681474170104</v>
      </c>
      <c r="V1308" s="7">
        <f t="shared" ca="1" si="1407"/>
        <v>0.65311814233701782</v>
      </c>
      <c r="W1308" s="14">
        <f t="shared" ca="1" si="1402"/>
        <v>-0.11239119385498927</v>
      </c>
      <c r="X1308" s="10">
        <f t="shared" ref="X1308:Y1308" ca="1" si="1429">+X1307</f>
        <v>0</v>
      </c>
      <c r="Y1308" s="10">
        <f t="shared" ca="1" si="1429"/>
        <v>0</v>
      </c>
      <c r="Z1308">
        <f t="shared" ca="1" si="1409"/>
        <v>0</v>
      </c>
      <c r="AA1308">
        <f t="shared" ca="1" si="1410"/>
        <v>1</v>
      </c>
      <c r="AB1308" s="19">
        <f t="shared" ca="1" si="1411"/>
        <v>0</v>
      </c>
      <c r="AC1308" s="19">
        <f t="shared" ca="1" si="1412"/>
        <v>-0.11239119385498927</v>
      </c>
    </row>
    <row r="1309" spans="3:29" x14ac:dyDescent="0.25">
      <c r="C1309" s="4">
        <v>1302</v>
      </c>
      <c r="D1309" s="28">
        <v>43860</v>
      </c>
      <c r="E1309" s="30">
        <v>9.7810000000000006</v>
      </c>
      <c r="F1309" s="30">
        <v>52.846781504986403</v>
      </c>
      <c r="G1309" s="30">
        <v>3.513145965548504</v>
      </c>
      <c r="H1309" s="30">
        <v>77.969174977334546</v>
      </c>
      <c r="I1309" s="8">
        <v>1</v>
      </c>
      <c r="J1309" s="31">
        <v>0</v>
      </c>
      <c r="K1309" s="31">
        <v>0</v>
      </c>
      <c r="L1309" s="31">
        <v>0</v>
      </c>
      <c r="M1309" s="31">
        <v>0</v>
      </c>
      <c r="N1309" s="31">
        <v>0</v>
      </c>
      <c r="O1309" s="31">
        <v>0</v>
      </c>
      <c r="P1309" s="31">
        <v>0</v>
      </c>
      <c r="Q1309" s="31">
        <v>0</v>
      </c>
      <c r="R1309" s="31">
        <v>0</v>
      </c>
      <c r="S1309" s="31">
        <v>0</v>
      </c>
      <c r="T1309" s="21" cm="1">
        <f t="array" aca="1" ref="T1309" ca="1">+fair_value_gap(OFFSET(S1308,0,0,-1*$I$5,-1*$Z$1),OFFSET(E1308,0,0,-1*$I$5,1),F1309:S1309,0)</f>
        <v>10.896131816887619</v>
      </c>
      <c r="U1309" s="7" cm="1">
        <f t="array" aca="1" ref="U1309" ca="1">z_score_diff(OFFSET(T1309,0,0,$I$5*-1,1),OFFSET(E1309,0,0,$I$5*-1,1))</f>
        <v>0.20946912609746171</v>
      </c>
      <c r="V1309" s="7">
        <f t="shared" ca="1" si="1407"/>
        <v>0.5796197344117936</v>
      </c>
      <c r="W1309" s="14">
        <f t="shared" ca="1" si="1402"/>
        <v>-9.7654198769906025E-2</v>
      </c>
      <c r="X1309" s="10">
        <f t="shared" ref="X1309:Y1309" ca="1" si="1430">+X1308</f>
        <v>0</v>
      </c>
      <c r="Y1309" s="10">
        <f t="shared" ca="1" si="1430"/>
        <v>0</v>
      </c>
      <c r="Z1309">
        <f t="shared" ca="1" si="1409"/>
        <v>0</v>
      </c>
      <c r="AA1309">
        <f t="shared" ca="1" si="1410"/>
        <v>1</v>
      </c>
      <c r="AB1309" s="19">
        <f t="shared" ca="1" si="1411"/>
        <v>0</v>
      </c>
      <c r="AC1309" s="19">
        <f t="shared" ca="1" si="1412"/>
        <v>-9.7654198769906025E-2</v>
      </c>
    </row>
    <row r="1310" spans="3:29" x14ac:dyDescent="0.25">
      <c r="C1310" s="4">
        <v>1303</v>
      </c>
      <c r="D1310" s="28">
        <v>43861</v>
      </c>
      <c r="E1310" s="30">
        <v>9.7550000000000008</v>
      </c>
      <c r="F1310" s="30">
        <v>52.429460019832327</v>
      </c>
      <c r="G1310" s="30">
        <v>3.623906968358424</v>
      </c>
      <c r="H1310" s="30">
        <v>77.526367979807091</v>
      </c>
      <c r="I1310" s="8">
        <v>1</v>
      </c>
      <c r="J1310" s="31">
        <v>0</v>
      </c>
      <c r="K1310" s="31">
        <v>0</v>
      </c>
      <c r="L1310" s="31">
        <v>0</v>
      </c>
      <c r="M1310" s="31">
        <v>0</v>
      </c>
      <c r="N1310" s="31">
        <v>0</v>
      </c>
      <c r="O1310" s="31">
        <v>0</v>
      </c>
      <c r="P1310" s="31">
        <v>0</v>
      </c>
      <c r="Q1310" s="31">
        <v>0</v>
      </c>
      <c r="R1310" s="31">
        <v>0</v>
      </c>
      <c r="S1310" s="31">
        <v>0</v>
      </c>
      <c r="T1310" s="21" cm="1">
        <f t="array" aca="1" ref="T1310" ca="1">+fair_value_gap(OFFSET(S1309,0,0,-1*$I$5,-1*$Z$1),OFFSET(E1309,0,0,-1*$I$5,1),F1310:S1310,0)</f>
        <v>10.831947722804452</v>
      </c>
      <c r="U1310" s="7" cm="1">
        <f t="array" aca="1" ref="U1310" ca="1">z_score_diff(OFFSET(T1310,0,0,$I$5*-1,1),OFFSET(E1310,0,0,$I$5*-1,1))</f>
        <v>0.19314199612315175</v>
      </c>
      <c r="V1310" s="7">
        <f t="shared" ca="1" si="1407"/>
        <v>0.54950377459493005</v>
      </c>
      <c r="W1310" s="14">
        <f t="shared" ca="1" si="1402"/>
        <v>-9.4654321118356824E-2</v>
      </c>
      <c r="X1310" s="10">
        <f t="shared" ref="X1310:Y1310" ca="1" si="1431">+X1309</f>
        <v>0</v>
      </c>
      <c r="Y1310" s="10">
        <f t="shared" ca="1" si="1431"/>
        <v>0</v>
      </c>
      <c r="Z1310">
        <f t="shared" ca="1" si="1409"/>
        <v>0</v>
      </c>
      <c r="AA1310">
        <f t="shared" ca="1" si="1410"/>
        <v>1</v>
      </c>
      <c r="AB1310" s="19">
        <f t="shared" ca="1" si="1411"/>
        <v>0</v>
      </c>
      <c r="AC1310" s="19">
        <f t="shared" ca="1" si="1412"/>
        <v>-9.4654321118356824E-2</v>
      </c>
    </row>
    <row r="1311" spans="3:29" x14ac:dyDescent="0.25">
      <c r="C1311" s="4">
        <v>1304</v>
      </c>
      <c r="D1311" s="28">
        <v>43864</v>
      </c>
      <c r="E1311" s="30">
        <v>9.2110000000000003</v>
      </c>
      <c r="F1311" s="30">
        <v>49.240368963646233</v>
      </c>
      <c r="G1311" s="30">
        <v>3.3731235304756741</v>
      </c>
      <c r="H1311" s="30">
        <v>72.797974317236395</v>
      </c>
      <c r="I1311" s="8">
        <v>0</v>
      </c>
      <c r="J1311" s="31">
        <v>1</v>
      </c>
      <c r="K1311" s="31">
        <v>0</v>
      </c>
      <c r="L1311" s="31">
        <v>0</v>
      </c>
      <c r="M1311" s="31">
        <v>0</v>
      </c>
      <c r="N1311" s="31">
        <v>0</v>
      </c>
      <c r="O1311" s="31">
        <v>0</v>
      </c>
      <c r="P1311" s="31">
        <v>0</v>
      </c>
      <c r="Q1311" s="31">
        <v>0</v>
      </c>
      <c r="R1311" s="31">
        <v>0</v>
      </c>
      <c r="S1311" s="31">
        <v>0</v>
      </c>
      <c r="T1311" s="21" cm="1">
        <f t="array" aca="1" ref="T1311" ca="1">+fair_value_gap(OFFSET(S1310,0,0,-1*$I$5,-1*$Z$1),OFFSET(E1310,0,0,-1*$I$5,1),F1311:S1311,0)</f>
        <v>15.626108082721306</v>
      </c>
      <c r="U1311" s="7" cm="1">
        <f t="array" aca="1" ref="U1311" ca="1">z_score_diff(OFFSET(T1311,0,0,$I$5*-1,1),OFFSET(E1311,0,0,$I$5*-1,1))</f>
        <v>2.4123924005078692</v>
      </c>
      <c r="V1311" s="7">
        <f t="shared" ca="1" si="1407"/>
        <v>0.62584978084605081</v>
      </c>
      <c r="W1311" s="14">
        <f t="shared" ca="1" si="1402"/>
        <v>-3.5808887249760384E-2</v>
      </c>
      <c r="X1311" s="10">
        <f t="shared" ref="X1311:Y1311" ca="1" si="1432">+X1310</f>
        <v>0</v>
      </c>
      <c r="Y1311" s="10">
        <f t="shared" ca="1" si="1432"/>
        <v>0</v>
      </c>
      <c r="Z1311">
        <f t="shared" ca="1" si="1409"/>
        <v>0</v>
      </c>
      <c r="AA1311">
        <f t="shared" ca="1" si="1410"/>
        <v>1</v>
      </c>
      <c r="AB1311" s="19">
        <f t="shared" ca="1" si="1411"/>
        <v>0</v>
      </c>
      <c r="AC1311" s="19">
        <f t="shared" ca="1" si="1412"/>
        <v>-3.5808887249760384E-2</v>
      </c>
    </row>
    <row r="1312" spans="3:29" x14ac:dyDescent="0.25">
      <c r="C1312" s="4">
        <v>1305</v>
      </c>
      <c r="D1312" s="28">
        <v>43865</v>
      </c>
      <c r="E1312" s="30">
        <v>9.3659999999999997</v>
      </c>
      <c r="F1312" s="30">
        <v>48.867958703133489</v>
      </c>
      <c r="G1312" s="30">
        <v>3.3508422387248684</v>
      </c>
      <c r="H1312" s="30">
        <v>75.801485238181485</v>
      </c>
      <c r="I1312" s="8">
        <v>0</v>
      </c>
      <c r="J1312" s="31">
        <v>1</v>
      </c>
      <c r="K1312" s="31">
        <v>0</v>
      </c>
      <c r="L1312" s="31">
        <v>0</v>
      </c>
      <c r="M1312" s="31">
        <v>0</v>
      </c>
      <c r="N1312" s="31">
        <v>0</v>
      </c>
      <c r="O1312" s="31">
        <v>0</v>
      </c>
      <c r="P1312" s="31">
        <v>0</v>
      </c>
      <c r="Q1312" s="31">
        <v>0</v>
      </c>
      <c r="R1312" s="31">
        <v>0</v>
      </c>
      <c r="S1312" s="31">
        <v>0</v>
      </c>
      <c r="T1312" s="21" cm="1">
        <f t="array" aca="1" ref="T1312" ca="1">+fair_value_gap(OFFSET(S1311,0,0,-1*$I$5,-1*$Z$1),OFFSET(E1311,0,0,-1*$I$5,1),F1312:S1312,0)</f>
        <v>14.653402937311155</v>
      </c>
      <c r="U1312" s="7" cm="1">
        <f t="array" aca="1" ref="U1312" ca="1">z_score_diff(OFFSET(T1312,0,0,$I$5*-1,1),OFFSET(E1312,0,0,$I$5*-1,1))</f>
        <v>1.9323702552300612</v>
      </c>
      <c r="V1312" s="7">
        <f t="shared" ca="1" si="1407"/>
        <v>0.66263430587507199</v>
      </c>
      <c r="W1312" s="14">
        <f t="shared" ca="1" si="1402"/>
        <v>-2.1257881693586164E-2</v>
      </c>
      <c r="X1312" s="10">
        <f t="shared" ref="X1312:Y1312" ca="1" si="1433">+X1311</f>
        <v>0</v>
      </c>
      <c r="Y1312" s="10">
        <f t="shared" ca="1" si="1433"/>
        <v>0</v>
      </c>
      <c r="Z1312">
        <f t="shared" ca="1" si="1409"/>
        <v>0</v>
      </c>
      <c r="AA1312">
        <f t="shared" ca="1" si="1410"/>
        <v>1</v>
      </c>
      <c r="AB1312" s="19">
        <f t="shared" ca="1" si="1411"/>
        <v>0</v>
      </c>
      <c r="AC1312" s="19">
        <f t="shared" ca="1" si="1412"/>
        <v>-2.1257881693586164E-2</v>
      </c>
    </row>
    <row r="1313" spans="3:29" x14ac:dyDescent="0.25">
      <c r="C1313" s="4">
        <v>1306</v>
      </c>
      <c r="D1313" s="28">
        <v>43866</v>
      </c>
      <c r="E1313" s="30">
        <v>9.3130000000000006</v>
      </c>
      <c r="F1313" s="30">
        <v>50.268254978630544</v>
      </c>
      <c r="G1313" s="30">
        <v>3.2736200782031468</v>
      </c>
      <c r="H1313" s="30">
        <v>77.339274347549335</v>
      </c>
      <c r="I1313" s="8">
        <v>0</v>
      </c>
      <c r="J1313" s="31">
        <v>1</v>
      </c>
      <c r="K1313" s="31">
        <v>0</v>
      </c>
      <c r="L1313" s="31">
        <v>0</v>
      </c>
      <c r="M1313" s="31">
        <v>0</v>
      </c>
      <c r="N1313" s="31">
        <v>0</v>
      </c>
      <c r="O1313" s="31">
        <v>0</v>
      </c>
      <c r="P1313" s="31">
        <v>0</v>
      </c>
      <c r="Q1313" s="31">
        <v>0</v>
      </c>
      <c r="R1313" s="31">
        <v>0</v>
      </c>
      <c r="S1313" s="31">
        <v>0</v>
      </c>
      <c r="T1313" s="21" cm="1">
        <f t="array" aca="1" ref="T1313" ca="1">+fair_value_gap(OFFSET(S1312,0,0,-1*$I$5,-1*$Z$1),OFFSET(E1312,0,0,-1*$I$5,1),F1313:S1313,0)</f>
        <v>13.671409592907425</v>
      </c>
      <c r="U1313" s="7" cm="1">
        <f t="array" aca="1" ref="U1313" ca="1">z_score_diff(OFFSET(T1313,0,0,$I$5*-1,1),OFFSET(E1313,0,0,$I$5*-1,1))</f>
        <v>1.5361918890882398</v>
      </c>
      <c r="V1313" s="7">
        <f t="shared" ca="1" si="1407"/>
        <v>0.67541543902087375</v>
      </c>
      <c r="W1313" s="14">
        <f t="shared" ca="1" si="1402"/>
        <v>-4.4012590354592505E-2</v>
      </c>
      <c r="X1313" s="10">
        <f t="shared" ref="X1313:Y1313" ca="1" si="1434">+X1312</f>
        <v>0</v>
      </c>
      <c r="Y1313" s="10">
        <f t="shared" ca="1" si="1434"/>
        <v>0</v>
      </c>
      <c r="Z1313">
        <f t="shared" ca="1" si="1409"/>
        <v>0</v>
      </c>
      <c r="AA1313">
        <f t="shared" ca="1" si="1410"/>
        <v>1</v>
      </c>
      <c r="AB1313" s="19">
        <f t="shared" ca="1" si="1411"/>
        <v>0</v>
      </c>
      <c r="AC1313" s="19">
        <f t="shared" ca="1" si="1412"/>
        <v>-4.4012590354592505E-2</v>
      </c>
    </row>
    <row r="1314" spans="3:29" x14ac:dyDescent="0.25">
      <c r="C1314" s="4">
        <v>1307</v>
      </c>
      <c r="D1314" s="28">
        <v>43867</v>
      </c>
      <c r="E1314" s="30">
        <v>9.1489999999999991</v>
      </c>
      <c r="F1314" s="30">
        <v>50.027322404371581</v>
      </c>
      <c r="G1314" s="30">
        <v>3.2377049180327866</v>
      </c>
      <c r="H1314" s="30">
        <v>77.140255009107463</v>
      </c>
      <c r="I1314" s="8">
        <v>0</v>
      </c>
      <c r="J1314" s="31">
        <v>1</v>
      </c>
      <c r="K1314" s="31">
        <v>0</v>
      </c>
      <c r="L1314" s="31">
        <v>0</v>
      </c>
      <c r="M1314" s="31">
        <v>0</v>
      </c>
      <c r="N1314" s="31">
        <v>0</v>
      </c>
      <c r="O1314" s="31">
        <v>0</v>
      </c>
      <c r="P1314" s="31">
        <v>0</v>
      </c>
      <c r="Q1314" s="31">
        <v>0</v>
      </c>
      <c r="R1314" s="31">
        <v>0</v>
      </c>
      <c r="S1314" s="31">
        <v>0</v>
      </c>
      <c r="T1314" s="21" cm="1">
        <f t="array" aca="1" ref="T1314" ca="1">+fair_value_gap(OFFSET(S1313,0,0,-1*$I$5,-1*$Z$1),OFFSET(E1313,0,0,-1*$I$5,1),F1314:S1314,0)</f>
        <v>12.821772337807783</v>
      </c>
      <c r="U1314" s="7" cm="1">
        <f t="array" aca="1" ref="U1314" ca="1">z_score_diff(OFFSET(T1314,0,0,$I$5*-1,1),OFFSET(E1314,0,0,$I$5*-1,1))</f>
        <v>1.2389679007325347</v>
      </c>
      <c r="V1314" s="7">
        <f t="shared" ca="1" si="1407"/>
        <v>0.68034045973474866</v>
      </c>
      <c r="W1314" s="14">
        <f t="shared" ca="1" si="1402"/>
        <v>-3.3340125412184923E-2</v>
      </c>
      <c r="X1314" s="10">
        <f t="shared" ref="X1314:Y1314" ca="1" si="1435">+X1313</f>
        <v>0</v>
      </c>
      <c r="Y1314" s="10">
        <f t="shared" ca="1" si="1435"/>
        <v>0</v>
      </c>
      <c r="Z1314">
        <f t="shared" ca="1" si="1409"/>
        <v>0</v>
      </c>
      <c r="AA1314">
        <f t="shared" ca="1" si="1410"/>
        <v>1</v>
      </c>
      <c r="AB1314" s="19">
        <f t="shared" ca="1" si="1411"/>
        <v>0</v>
      </c>
      <c r="AC1314" s="19">
        <f t="shared" ca="1" si="1412"/>
        <v>-3.3340125412184923E-2</v>
      </c>
    </row>
    <row r="1315" spans="3:29" x14ac:dyDescent="0.25">
      <c r="C1315" s="4">
        <v>1308</v>
      </c>
      <c r="D1315" s="28">
        <v>43868</v>
      </c>
      <c r="E1315" s="30">
        <v>9.0679999999999996</v>
      </c>
      <c r="F1315" s="30">
        <v>49.776112583386634</v>
      </c>
      <c r="G1315" s="30">
        <v>3.2623594992232476</v>
      </c>
      <c r="H1315" s="30">
        <v>76.121721648542447</v>
      </c>
      <c r="I1315" s="8">
        <v>0</v>
      </c>
      <c r="J1315" s="31">
        <v>1</v>
      </c>
      <c r="K1315" s="31">
        <v>0</v>
      </c>
      <c r="L1315" s="31">
        <v>0</v>
      </c>
      <c r="M1315" s="31">
        <v>0</v>
      </c>
      <c r="N1315" s="31">
        <v>0</v>
      </c>
      <c r="O1315" s="31">
        <v>0</v>
      </c>
      <c r="P1315" s="31">
        <v>0</v>
      </c>
      <c r="Q1315" s="31">
        <v>0</v>
      </c>
      <c r="R1315" s="31">
        <v>0</v>
      </c>
      <c r="S1315" s="31">
        <v>0</v>
      </c>
      <c r="T1315" s="21" cm="1">
        <f t="array" aca="1" ref="T1315" ca="1">+fair_value_gap(OFFSET(S1314,0,0,-1*$I$5,-1*$Z$1),OFFSET(E1314,0,0,-1*$I$5,1),F1315:S1315,0)</f>
        <v>12.237267040576416</v>
      </c>
      <c r="U1315" s="7" cm="1">
        <f t="array" aca="1" ref="U1315" ca="1">z_score_diff(OFFSET(T1315,0,0,$I$5*-1,1),OFFSET(E1315,0,0,$I$5*-1,1))</f>
        <v>1.0182180994182966</v>
      </c>
      <c r="V1315" s="7">
        <f t="shared" ca="1" si="1407"/>
        <v>0.65312465507865758</v>
      </c>
      <c r="W1315" s="14">
        <f t="shared" ca="1" si="1402"/>
        <v>-4.7539292666989356E-2</v>
      </c>
      <c r="X1315" s="10">
        <f t="shared" ref="X1315:Y1315" ca="1" si="1436">+X1314</f>
        <v>0</v>
      </c>
      <c r="Y1315" s="10">
        <f t="shared" ca="1" si="1436"/>
        <v>0</v>
      </c>
      <c r="Z1315">
        <f t="shared" ca="1" si="1409"/>
        <v>0</v>
      </c>
      <c r="AA1315">
        <f t="shared" ca="1" si="1410"/>
        <v>1</v>
      </c>
      <c r="AB1315" s="19">
        <f t="shared" ca="1" si="1411"/>
        <v>0</v>
      </c>
      <c r="AC1315" s="19">
        <f t="shared" ca="1" si="1412"/>
        <v>-4.7539292666989356E-2</v>
      </c>
    </row>
    <row r="1316" spans="3:29" x14ac:dyDescent="0.25">
      <c r="C1316" s="4">
        <v>1309</v>
      </c>
      <c r="D1316" s="28">
        <v>43871</v>
      </c>
      <c r="E1316" s="30">
        <v>8.6430000000000007</v>
      </c>
      <c r="F1316" s="30">
        <v>48.831240260335505</v>
      </c>
      <c r="G1316" s="30">
        <v>3.2266935557796317</v>
      </c>
      <c r="H1316" s="30">
        <v>77.825648547071239</v>
      </c>
      <c r="I1316" s="8">
        <v>0</v>
      </c>
      <c r="J1316" s="31">
        <v>1</v>
      </c>
      <c r="K1316" s="31">
        <v>0</v>
      </c>
      <c r="L1316" s="31">
        <v>0</v>
      </c>
      <c r="M1316" s="31">
        <v>0</v>
      </c>
      <c r="N1316" s="31">
        <v>0</v>
      </c>
      <c r="O1316" s="31">
        <v>0</v>
      </c>
      <c r="P1316" s="31">
        <v>0</v>
      </c>
      <c r="Q1316" s="31">
        <v>0</v>
      </c>
      <c r="R1316" s="31">
        <v>0</v>
      </c>
      <c r="S1316" s="31">
        <v>0</v>
      </c>
      <c r="T1316" s="21" cm="1">
        <f t="array" aca="1" ref="T1316" ca="1">+fair_value_gap(OFFSET(S1315,0,0,-1*$I$5,-1*$Z$1),OFFSET(E1315,0,0,-1*$I$5,1),F1316:S1316,0)</f>
        <v>11.774784280584905</v>
      </c>
      <c r="U1316" s="7" cm="1">
        <f t="array" aca="1" ref="U1316" ca="1">z_score_diff(OFFSET(T1316,0,0,$I$5*-1,1),OFFSET(E1316,0,0,$I$5*-1,1))</f>
        <v>0.99204709638991218</v>
      </c>
      <c r="V1316" s="7">
        <f t="shared" ca="1" si="1407"/>
        <v>0.6419228432323334</v>
      </c>
      <c r="W1316" s="14">
        <f t="shared" ca="1" si="1402"/>
        <v>-1.8529246760593454E-3</v>
      </c>
      <c r="X1316" s="10">
        <f t="shared" ref="X1316:Y1316" ca="1" si="1437">+X1315</f>
        <v>0</v>
      </c>
      <c r="Y1316" s="10">
        <f t="shared" ca="1" si="1437"/>
        <v>0</v>
      </c>
      <c r="Z1316">
        <f t="shared" ca="1" si="1409"/>
        <v>0</v>
      </c>
      <c r="AA1316">
        <f t="shared" ca="1" si="1410"/>
        <v>1</v>
      </c>
      <c r="AB1316" s="19">
        <f t="shared" ca="1" si="1411"/>
        <v>0</v>
      </c>
      <c r="AC1316" s="19">
        <f t="shared" ca="1" si="1412"/>
        <v>-1.8529246760593454E-3</v>
      </c>
    </row>
    <row r="1317" spans="3:29" x14ac:dyDescent="0.25">
      <c r="C1317" s="4">
        <v>1310</v>
      </c>
      <c r="D1317" s="28">
        <v>43872</v>
      </c>
      <c r="E1317" s="30">
        <v>8.5570000000000004</v>
      </c>
      <c r="F1317" s="30">
        <v>49.486897562763424</v>
      </c>
      <c r="G1317" s="30">
        <v>3.2297965915338098</v>
      </c>
      <c r="H1317" s="30">
        <v>78.156496243357154</v>
      </c>
      <c r="I1317" s="8">
        <v>0</v>
      </c>
      <c r="J1317" s="31">
        <v>1</v>
      </c>
      <c r="K1317" s="31">
        <v>0</v>
      </c>
      <c r="L1317" s="31">
        <v>0</v>
      </c>
      <c r="M1317" s="31">
        <v>0</v>
      </c>
      <c r="N1317" s="31">
        <v>0</v>
      </c>
      <c r="O1317" s="31">
        <v>0</v>
      </c>
      <c r="P1317" s="31">
        <v>0</v>
      </c>
      <c r="Q1317" s="31">
        <v>0</v>
      </c>
      <c r="R1317" s="31">
        <v>0</v>
      </c>
      <c r="S1317" s="31">
        <v>0</v>
      </c>
      <c r="T1317" s="21" cm="1">
        <f t="array" aca="1" ref="T1317" ca="1">+fair_value_gap(OFFSET(S1316,0,0,-1*$I$5,-1*$Z$1),OFFSET(E1316,0,0,-1*$I$5,1),F1317:S1317,0)</f>
        <v>11.433709641971287</v>
      </c>
      <c r="U1317" s="7" cm="1">
        <f t="array" aca="1" ref="U1317" ca="1">z_score_diff(OFFSET(T1317,0,0,$I$5*-1,1),OFFSET(E1317,0,0,$I$5*-1,1))</f>
        <v>0.87306540542872613</v>
      </c>
      <c r="V1317" s="7">
        <f t="shared" ca="1" si="1407"/>
        <v>0.63587027144382513</v>
      </c>
      <c r="W1317" s="14">
        <f t="shared" ca="1" si="1402"/>
        <v>4.9696835496460673E-2</v>
      </c>
      <c r="X1317" s="10">
        <f t="shared" ref="X1317:Y1317" ca="1" si="1438">+X1316</f>
        <v>0</v>
      </c>
      <c r="Y1317" s="10">
        <f t="shared" ca="1" si="1438"/>
        <v>0</v>
      </c>
      <c r="Z1317">
        <f t="shared" ca="1" si="1409"/>
        <v>0</v>
      </c>
      <c r="AA1317">
        <f t="shared" ca="1" si="1410"/>
        <v>1</v>
      </c>
      <c r="AB1317" s="19">
        <f t="shared" ca="1" si="1411"/>
        <v>0</v>
      </c>
      <c r="AC1317" s="19">
        <f t="shared" ca="1" si="1412"/>
        <v>4.9696835496460673E-2</v>
      </c>
    </row>
    <row r="1318" spans="3:29" x14ac:dyDescent="0.25">
      <c r="C1318" s="4">
        <v>1311</v>
      </c>
      <c r="D1318" s="28">
        <v>43873</v>
      </c>
      <c r="E1318" s="30">
        <v>8.7219999999999995</v>
      </c>
      <c r="F1318" s="30">
        <v>51.320025756600131</v>
      </c>
      <c r="G1318" s="30">
        <v>3.2425719804985742</v>
      </c>
      <c r="H1318" s="30">
        <v>78.235672891178368</v>
      </c>
      <c r="I1318" s="8">
        <v>0</v>
      </c>
      <c r="J1318" s="31">
        <v>1</v>
      </c>
      <c r="K1318" s="31">
        <v>0</v>
      </c>
      <c r="L1318" s="31">
        <v>0</v>
      </c>
      <c r="M1318" s="31">
        <v>0</v>
      </c>
      <c r="N1318" s="31">
        <v>0</v>
      </c>
      <c r="O1318" s="31">
        <v>0</v>
      </c>
      <c r="P1318" s="31">
        <v>0</v>
      </c>
      <c r="Q1318" s="31">
        <v>0</v>
      </c>
      <c r="R1318" s="31">
        <v>0</v>
      </c>
      <c r="S1318" s="31">
        <v>0</v>
      </c>
      <c r="T1318" s="21" cm="1">
        <f t="array" aca="1" ref="T1318" ca="1">+fair_value_gap(OFFSET(S1317,0,0,-1*$I$5,-1*$Z$1),OFFSET(E1317,0,0,-1*$I$5,1),F1318:S1318,0)</f>
        <v>11.227174789788915</v>
      </c>
      <c r="U1318" s="7" cm="1">
        <f t="array" aca="1" ref="U1318" ca="1">z_score_diff(OFFSET(T1318,0,0,$I$5*-1,1),OFFSET(E1318,0,0,$I$5*-1,1))</f>
        <v>0.70817632617937676</v>
      </c>
      <c r="V1318" s="7">
        <f t="shared" ca="1" si="1407"/>
        <v>0.62595791795562039</v>
      </c>
      <c r="W1318" s="14">
        <f t="shared" ca="1" si="1402"/>
        <v>7.1557797548476521E-2</v>
      </c>
      <c r="X1318" s="10">
        <f t="shared" ref="X1318:Y1318" ca="1" si="1439">+X1317</f>
        <v>0</v>
      </c>
      <c r="Y1318" s="10">
        <f t="shared" ca="1" si="1439"/>
        <v>0</v>
      </c>
      <c r="Z1318">
        <f t="shared" ca="1" si="1409"/>
        <v>0</v>
      </c>
      <c r="AA1318">
        <f t="shared" ca="1" si="1410"/>
        <v>1</v>
      </c>
      <c r="AB1318" s="19">
        <f t="shared" ca="1" si="1411"/>
        <v>0</v>
      </c>
      <c r="AC1318" s="19">
        <f t="shared" ca="1" si="1412"/>
        <v>7.1557797548476521E-2</v>
      </c>
    </row>
    <row r="1319" spans="3:29" x14ac:dyDescent="0.25">
      <c r="C1319" s="4">
        <v>1312</v>
      </c>
      <c r="D1319" s="28">
        <v>43874</v>
      </c>
      <c r="E1319" s="30">
        <v>8.8889999999999993</v>
      </c>
      <c r="F1319" s="30">
        <v>51.974169741697416</v>
      </c>
      <c r="G1319" s="30">
        <v>3.2518450184501844</v>
      </c>
      <c r="H1319" s="30">
        <v>78.505535055350549</v>
      </c>
      <c r="I1319" s="8">
        <v>0</v>
      </c>
      <c r="J1319" s="31">
        <v>1</v>
      </c>
      <c r="K1319" s="31">
        <v>0</v>
      </c>
      <c r="L1319" s="31">
        <v>0</v>
      </c>
      <c r="M1319" s="31">
        <v>0</v>
      </c>
      <c r="N1319" s="31">
        <v>0</v>
      </c>
      <c r="O1319" s="31">
        <v>0</v>
      </c>
      <c r="P1319" s="31">
        <v>0</v>
      </c>
      <c r="Q1319" s="31">
        <v>0</v>
      </c>
      <c r="R1319" s="31">
        <v>0</v>
      </c>
      <c r="S1319" s="31">
        <v>0</v>
      </c>
      <c r="T1319" s="21" cm="1">
        <f t="array" aca="1" ref="T1319" ca="1">+fair_value_gap(OFFSET(S1318,0,0,-1*$I$5,-1*$Z$1),OFFSET(E1318,0,0,-1*$I$5,1),F1319:S1319,0)</f>
        <v>10.975814376672545</v>
      </c>
      <c r="U1319" s="7" cm="1">
        <f t="array" aca="1" ref="U1319" ca="1">z_score_diff(OFFSET(T1319,0,0,$I$5*-1,1),OFFSET(E1319,0,0,$I$5*-1,1))</f>
        <v>0.52289692621776451</v>
      </c>
      <c r="V1319" s="7">
        <f t="shared" ca="1" si="1407"/>
        <v>0.64194205250888992</v>
      </c>
      <c r="W1319" s="14">
        <f t="shared" ca="1" si="1402"/>
        <v>4.777716391397295E-2</v>
      </c>
      <c r="X1319" s="10">
        <f t="shared" ref="X1319:Y1319" ca="1" si="1440">+X1318</f>
        <v>0</v>
      </c>
      <c r="Y1319" s="10">
        <f t="shared" ca="1" si="1440"/>
        <v>0</v>
      </c>
      <c r="Z1319">
        <f t="shared" ca="1" si="1409"/>
        <v>0</v>
      </c>
      <c r="AA1319">
        <f t="shared" ca="1" si="1410"/>
        <v>1</v>
      </c>
      <c r="AB1319" s="19">
        <f t="shared" ca="1" si="1411"/>
        <v>0</v>
      </c>
      <c r="AC1319" s="19">
        <f t="shared" ca="1" si="1412"/>
        <v>4.777716391397295E-2</v>
      </c>
    </row>
    <row r="1320" spans="3:29" x14ac:dyDescent="0.25">
      <c r="C1320" s="4">
        <v>1313</v>
      </c>
      <c r="D1320" s="28">
        <v>43875</v>
      </c>
      <c r="E1320" s="30">
        <v>8.8789999999999996</v>
      </c>
      <c r="F1320" s="30">
        <v>52.927054478301017</v>
      </c>
      <c r="G1320" s="30">
        <v>3.2502308402585411</v>
      </c>
      <c r="H1320" s="30">
        <v>78.254847645429365</v>
      </c>
      <c r="I1320" s="8">
        <v>0</v>
      </c>
      <c r="J1320" s="31">
        <v>1</v>
      </c>
      <c r="K1320" s="31">
        <v>0</v>
      </c>
      <c r="L1320" s="31">
        <v>0</v>
      </c>
      <c r="M1320" s="31">
        <v>0</v>
      </c>
      <c r="N1320" s="31">
        <v>0</v>
      </c>
      <c r="O1320" s="31">
        <v>0</v>
      </c>
      <c r="P1320" s="31">
        <v>0</v>
      </c>
      <c r="Q1320" s="31">
        <v>0</v>
      </c>
      <c r="R1320" s="31">
        <v>0</v>
      </c>
      <c r="S1320" s="31">
        <v>0</v>
      </c>
      <c r="T1320" s="21" cm="1">
        <f t="array" aca="1" ref="T1320" ca="1">+fair_value_gap(OFFSET(S1319,0,0,-1*$I$5,-1*$Z$1),OFFSET(E1319,0,0,-1*$I$5,1),F1320:S1320,0)</f>
        <v>10.745204379403503</v>
      </c>
      <c r="U1320" s="7" cm="1">
        <f t="array" aca="1" ref="U1320" ca="1">z_score_diff(OFFSET(T1320,0,0,$I$5*-1,1),OFFSET(E1320,0,0,$I$5*-1,1))</f>
        <v>0.42330810176070011</v>
      </c>
      <c r="V1320" s="7">
        <f t="shared" ca="1" si="1407"/>
        <v>0.65381351781284247</v>
      </c>
      <c r="W1320" s="14">
        <f t="shared" ca="1" si="1402"/>
        <v>4.471125675447938E-2</v>
      </c>
      <c r="X1320" s="10">
        <f t="shared" ref="X1320:Y1320" ca="1" si="1441">+X1319</f>
        <v>0</v>
      </c>
      <c r="Y1320" s="10">
        <f t="shared" ca="1" si="1441"/>
        <v>0</v>
      </c>
      <c r="Z1320">
        <f t="shared" ca="1" si="1409"/>
        <v>0</v>
      </c>
      <c r="AA1320">
        <f t="shared" ca="1" si="1410"/>
        <v>1</v>
      </c>
      <c r="AB1320" s="19">
        <f t="shared" ca="1" si="1411"/>
        <v>0</v>
      </c>
      <c r="AC1320" s="19">
        <f t="shared" ca="1" si="1412"/>
        <v>4.471125675447938E-2</v>
      </c>
    </row>
    <row r="1321" spans="3:29" x14ac:dyDescent="0.25">
      <c r="C1321" s="4">
        <v>1314</v>
      </c>
      <c r="D1321" s="28">
        <v>43878</v>
      </c>
      <c r="E1321" s="30">
        <v>9.3119999999999994</v>
      </c>
      <c r="F1321" s="30">
        <v>53.2305704264353</v>
      </c>
      <c r="G1321" s="30">
        <v>3.2490308288720695</v>
      </c>
      <c r="H1321" s="30">
        <v>78.225955325826106</v>
      </c>
      <c r="I1321" s="8">
        <v>0</v>
      </c>
      <c r="J1321" s="31">
        <v>1</v>
      </c>
      <c r="K1321" s="31">
        <v>0</v>
      </c>
      <c r="L1321" s="31">
        <v>0</v>
      </c>
      <c r="M1321" s="31">
        <v>0</v>
      </c>
      <c r="N1321" s="31">
        <v>0</v>
      </c>
      <c r="O1321" s="31">
        <v>0</v>
      </c>
      <c r="P1321" s="31">
        <v>0</v>
      </c>
      <c r="Q1321" s="31">
        <v>0</v>
      </c>
      <c r="R1321" s="31">
        <v>0</v>
      </c>
      <c r="S1321" s="31">
        <v>0</v>
      </c>
      <c r="T1321" s="21" cm="1">
        <f t="array" aca="1" ref="T1321" ca="1">+fair_value_gap(OFFSET(S1320,0,0,-1*$I$5,-1*$Z$1),OFFSET(E1320,0,0,-1*$I$5,1),F1321:S1321,0)</f>
        <v>10.479106875300729</v>
      </c>
      <c r="U1321" s="7" cm="1">
        <f t="array" aca="1" ref="U1321" ca="1">z_score_diff(OFFSET(T1321,0,0,$I$5*-1,1),OFFSET(E1321,0,0,$I$5*-1,1))</f>
        <v>0.12123324392132129</v>
      </c>
      <c r="V1321" s="7">
        <f t="shared" ca="1" si="1407"/>
        <v>0.6502991210641218</v>
      </c>
      <c r="W1321" s="14">
        <f t="shared" ca="1" si="1402"/>
        <v>-6.3279291390731129E-2</v>
      </c>
      <c r="X1321" s="10">
        <f t="shared" ref="X1321:Y1321" ca="1" si="1442">+X1320</f>
        <v>0</v>
      </c>
      <c r="Y1321" s="10">
        <f t="shared" ca="1" si="1442"/>
        <v>0</v>
      </c>
      <c r="Z1321">
        <f t="shared" ca="1" si="1409"/>
        <v>0</v>
      </c>
      <c r="AA1321">
        <f t="shared" ca="1" si="1410"/>
        <v>1</v>
      </c>
      <c r="AB1321" s="19">
        <f t="shared" ca="1" si="1411"/>
        <v>0</v>
      </c>
      <c r="AC1321" s="19">
        <f t="shared" ca="1" si="1412"/>
        <v>-6.3279291390731129E-2</v>
      </c>
    </row>
    <row r="1322" spans="3:29" x14ac:dyDescent="0.25">
      <c r="C1322" s="4">
        <v>1315</v>
      </c>
      <c r="D1322" s="28">
        <v>43879</v>
      </c>
      <c r="E1322" s="30">
        <v>9.3800000000000008</v>
      </c>
      <c r="F1322" s="30">
        <v>53.516819571865447</v>
      </c>
      <c r="G1322" s="30">
        <v>2.7569270688536744</v>
      </c>
      <c r="H1322" s="30">
        <v>78.120656102307478</v>
      </c>
      <c r="I1322" s="8">
        <v>0</v>
      </c>
      <c r="J1322" s="31">
        <v>1</v>
      </c>
      <c r="K1322" s="31">
        <v>0</v>
      </c>
      <c r="L1322" s="31">
        <v>0</v>
      </c>
      <c r="M1322" s="31">
        <v>0</v>
      </c>
      <c r="N1322" s="31">
        <v>0</v>
      </c>
      <c r="O1322" s="31">
        <v>0</v>
      </c>
      <c r="P1322" s="31">
        <v>0</v>
      </c>
      <c r="Q1322" s="31">
        <v>0</v>
      </c>
      <c r="R1322" s="31">
        <v>0</v>
      </c>
      <c r="S1322" s="31">
        <v>0</v>
      </c>
      <c r="T1322" s="21" cm="1">
        <f t="array" aca="1" ref="T1322" ca="1">+fair_value_gap(OFFSET(S1321,0,0,-1*$I$5,-1*$Z$1),OFFSET(E1321,0,0,-1*$I$5,1),F1322:S1322,0)</f>
        <v>9.4871674218835071</v>
      </c>
      <c r="U1322" s="7" cm="1">
        <f t="array" aca="1" ref="U1322" ca="1">z_score_diff(OFFSET(T1322,0,0,$I$5*-1,1),OFFSET(E1322,0,0,$I$5*-1,1))</f>
        <v>-0.32625476492798033</v>
      </c>
      <c r="V1322" s="7">
        <f t="shared" ca="1" si="1407"/>
        <v>0.63053751727748164</v>
      </c>
      <c r="W1322" s="14">
        <f t="shared" ca="1" si="1402"/>
        <v>-0.10204925435417035</v>
      </c>
      <c r="X1322" s="10">
        <f t="shared" ref="X1322:Y1322" ca="1" si="1443">+X1321</f>
        <v>0</v>
      </c>
      <c r="Y1322" s="10">
        <f t="shared" ca="1" si="1443"/>
        <v>0</v>
      </c>
      <c r="Z1322">
        <f t="shared" ca="1" si="1409"/>
        <v>0</v>
      </c>
      <c r="AA1322">
        <f t="shared" ca="1" si="1410"/>
        <v>1</v>
      </c>
      <c r="AB1322" s="19">
        <f t="shared" ca="1" si="1411"/>
        <v>0</v>
      </c>
      <c r="AC1322" s="19">
        <f t="shared" ca="1" si="1412"/>
        <v>-0.10204925435417035</v>
      </c>
    </row>
    <row r="1323" spans="3:29" x14ac:dyDescent="0.25">
      <c r="C1323" s="4">
        <v>1316</v>
      </c>
      <c r="D1323" s="28">
        <v>43880</v>
      </c>
      <c r="E1323" s="30">
        <v>9.5719999999999992</v>
      </c>
      <c r="F1323" s="30">
        <v>54.720473898556087</v>
      </c>
      <c r="G1323" s="30">
        <v>2.7721214365049982</v>
      </c>
      <c r="H1323" s="30">
        <v>77.610144390966298</v>
      </c>
      <c r="I1323" s="8">
        <v>0</v>
      </c>
      <c r="J1323" s="31">
        <v>1</v>
      </c>
      <c r="K1323" s="31">
        <v>0</v>
      </c>
      <c r="L1323" s="31">
        <v>0</v>
      </c>
      <c r="M1323" s="31">
        <v>0</v>
      </c>
      <c r="N1323" s="31">
        <v>0</v>
      </c>
      <c r="O1323" s="31">
        <v>0</v>
      </c>
      <c r="P1323" s="31">
        <v>0</v>
      </c>
      <c r="Q1323" s="31">
        <v>0</v>
      </c>
      <c r="R1323" s="31">
        <v>0</v>
      </c>
      <c r="S1323" s="31">
        <v>0</v>
      </c>
      <c r="T1323" s="21" cm="1">
        <f t="array" aca="1" ref="T1323" ca="1">+fair_value_gap(OFFSET(S1322,0,0,-1*$I$5,-1*$Z$1),OFFSET(E1322,0,0,-1*$I$5,1),F1323:S1323,0)</f>
        <v>9.3798851303555217</v>
      </c>
      <c r="U1323" s="7" cm="1">
        <f t="array" aca="1" ref="U1323" ca="1">z_score_diff(OFFSET(T1323,0,0,$I$5*-1,1),OFFSET(E1323,0,0,$I$5*-1,1))</f>
        <v>-0.44312822116672956</v>
      </c>
      <c r="V1323" s="7">
        <f t="shared" ca="1" si="1407"/>
        <v>0.59787040577284944</v>
      </c>
      <c r="W1323" s="14">
        <f t="shared" ca="1" si="1402"/>
        <v>-0.14681243877313921</v>
      </c>
      <c r="X1323" s="10">
        <f t="shared" ref="X1323:Y1323" ca="1" si="1444">+X1322</f>
        <v>0</v>
      </c>
      <c r="Y1323" s="10">
        <f t="shared" ca="1" si="1444"/>
        <v>0</v>
      </c>
      <c r="Z1323">
        <f t="shared" ca="1" si="1409"/>
        <v>0</v>
      </c>
      <c r="AA1323">
        <f t="shared" ca="1" si="1410"/>
        <v>1</v>
      </c>
      <c r="AB1323" s="19">
        <f t="shared" ca="1" si="1411"/>
        <v>0</v>
      </c>
      <c r="AC1323" s="19">
        <f t="shared" ca="1" si="1412"/>
        <v>-0.14681243877313921</v>
      </c>
    </row>
    <row r="1324" spans="3:29" x14ac:dyDescent="0.25">
      <c r="C1324" s="4">
        <v>1317</v>
      </c>
      <c r="D1324" s="28">
        <v>43881</v>
      </c>
      <c r="E1324" s="30">
        <v>9.5670000000000002</v>
      </c>
      <c r="F1324" s="30">
        <v>55.003245849948996</v>
      </c>
      <c r="G1324" s="30">
        <v>2.7589724566447185</v>
      </c>
      <c r="H1324" s="30">
        <v>77.622183065937122</v>
      </c>
      <c r="I1324" s="8">
        <v>0</v>
      </c>
      <c r="J1324" s="31">
        <v>1</v>
      </c>
      <c r="K1324" s="31">
        <v>0</v>
      </c>
      <c r="L1324" s="31">
        <v>0</v>
      </c>
      <c r="M1324" s="31">
        <v>0</v>
      </c>
      <c r="N1324" s="31">
        <v>0</v>
      </c>
      <c r="O1324" s="31">
        <v>0</v>
      </c>
      <c r="P1324" s="31">
        <v>0</v>
      </c>
      <c r="Q1324" s="31">
        <v>0</v>
      </c>
      <c r="R1324" s="31">
        <v>0</v>
      </c>
      <c r="S1324" s="31">
        <v>0</v>
      </c>
      <c r="T1324" s="21" cm="1">
        <f t="array" aca="1" ref="T1324" ca="1">+fair_value_gap(OFFSET(S1323,0,0,-1*$I$5,-1*$Z$1),OFFSET(E1323,0,0,-1*$I$5,1),F1324:S1324,0)</f>
        <v>9.1461581116518254</v>
      </c>
      <c r="U1324" s="7" cm="1">
        <f t="array" aca="1" ref="U1324" ca="1">z_score_diff(OFFSET(T1324,0,0,$I$5*-1,1),OFFSET(E1324,0,0,$I$5*-1,1))</f>
        <v>-0.52569695360485258</v>
      </c>
      <c r="V1324" s="7">
        <f t="shared" ca="1" si="1407"/>
        <v>0.56271573963755173</v>
      </c>
      <c r="W1324" s="14">
        <f t="shared" ca="1" si="1402"/>
        <v>-0.11309039447819118</v>
      </c>
      <c r="X1324" s="10">
        <f t="shared" ref="X1324:Y1324" ca="1" si="1445">+X1323</f>
        <v>0</v>
      </c>
      <c r="Y1324" s="10">
        <f t="shared" ca="1" si="1445"/>
        <v>0</v>
      </c>
      <c r="Z1324">
        <f t="shared" ca="1" si="1409"/>
        <v>0</v>
      </c>
      <c r="AA1324">
        <f t="shared" ca="1" si="1410"/>
        <v>1</v>
      </c>
      <c r="AB1324" s="19">
        <f t="shared" ca="1" si="1411"/>
        <v>0</v>
      </c>
      <c r="AC1324" s="19">
        <f t="shared" ca="1" si="1412"/>
        <v>-0.11309039447819118</v>
      </c>
    </row>
    <row r="1325" spans="3:29" x14ac:dyDescent="0.25">
      <c r="C1325" s="4">
        <v>1318</v>
      </c>
      <c r="D1325" s="28">
        <v>43882</v>
      </c>
      <c r="E1325" s="30">
        <v>9.41</v>
      </c>
      <c r="F1325" s="30">
        <v>53.951858341787329</v>
      </c>
      <c r="G1325" s="30">
        <v>2.7621506963017617</v>
      </c>
      <c r="H1325" s="30">
        <v>77.100433459374699</v>
      </c>
      <c r="I1325" s="8">
        <v>0</v>
      </c>
      <c r="J1325" s="31">
        <v>1</v>
      </c>
      <c r="K1325" s="31">
        <v>0</v>
      </c>
      <c r="L1325" s="31">
        <v>0</v>
      </c>
      <c r="M1325" s="31">
        <v>0</v>
      </c>
      <c r="N1325" s="31">
        <v>0</v>
      </c>
      <c r="O1325" s="31">
        <v>0</v>
      </c>
      <c r="P1325" s="31">
        <v>0</v>
      </c>
      <c r="Q1325" s="31">
        <v>0</v>
      </c>
      <c r="R1325" s="31">
        <v>0</v>
      </c>
      <c r="S1325" s="31">
        <v>0</v>
      </c>
      <c r="T1325" s="21" cm="1">
        <f t="array" aca="1" ref="T1325" ca="1">+fair_value_gap(OFFSET(S1324,0,0,-1*$I$5,-1*$Z$1),OFFSET(E1324,0,0,-1*$I$5,1),F1325:S1325,0)</f>
        <v>8.7641699879116874</v>
      </c>
      <c r="U1325" s="7" cm="1">
        <f t="array" aca="1" ref="U1325" ca="1">z_score_diff(OFFSET(T1325,0,0,$I$5*-1,1),OFFSET(E1325,0,0,$I$5*-1,1))</f>
        <v>-0.60553727860297513</v>
      </c>
      <c r="V1325" s="7">
        <f t="shared" ca="1" si="1407"/>
        <v>0.52760359474429064</v>
      </c>
      <c r="W1325" s="14">
        <f t="shared" ca="1" si="1402"/>
        <v>-0.12636116812822171</v>
      </c>
      <c r="X1325" s="10">
        <f t="shared" ref="X1325:Y1325" ca="1" si="1446">+X1324</f>
        <v>0</v>
      </c>
      <c r="Y1325" s="10">
        <f t="shared" ca="1" si="1446"/>
        <v>0</v>
      </c>
      <c r="Z1325">
        <f t="shared" ca="1" si="1409"/>
        <v>0</v>
      </c>
      <c r="AA1325">
        <f t="shared" ca="1" si="1410"/>
        <v>1</v>
      </c>
      <c r="AB1325" s="19">
        <f t="shared" ca="1" si="1411"/>
        <v>0</v>
      </c>
      <c r="AC1325" s="19">
        <f t="shared" ca="1" si="1412"/>
        <v>-0.12636116812822171</v>
      </c>
    </row>
    <row r="1326" spans="3:29" x14ac:dyDescent="0.25">
      <c r="C1326" s="4">
        <v>1319</v>
      </c>
      <c r="D1326" s="28">
        <v>43885</v>
      </c>
      <c r="E1326" s="30">
        <v>9.0440000000000005</v>
      </c>
      <c r="F1326" s="30">
        <v>51.879837817913746</v>
      </c>
      <c r="G1326" s="30">
        <v>2.649281238481386</v>
      </c>
      <c r="H1326" s="30">
        <v>76.990416513085151</v>
      </c>
      <c r="I1326" s="8">
        <v>0</v>
      </c>
      <c r="J1326" s="31">
        <v>1</v>
      </c>
      <c r="K1326" s="31">
        <v>0</v>
      </c>
      <c r="L1326" s="31">
        <v>0</v>
      </c>
      <c r="M1326" s="31">
        <v>0</v>
      </c>
      <c r="N1326" s="31">
        <v>0</v>
      </c>
      <c r="O1326" s="31">
        <v>0</v>
      </c>
      <c r="P1326" s="31">
        <v>0</v>
      </c>
      <c r="Q1326" s="31">
        <v>0</v>
      </c>
      <c r="R1326" s="31">
        <v>0</v>
      </c>
      <c r="S1326" s="31">
        <v>0</v>
      </c>
      <c r="T1326" s="21" cm="1">
        <f t="array" aca="1" ref="T1326" ca="1">+fair_value_gap(OFFSET(S1325,0,0,-1*$I$5,-1*$Z$1),OFFSET(E1325,0,0,-1*$I$5,1),F1326:S1326,0)</f>
        <v>8.7290314054722753</v>
      </c>
      <c r="U1326" s="7" cm="1">
        <f t="array" aca="1" ref="U1326" ca="1">z_score_diff(OFFSET(T1326,0,0,$I$5*-1,1),OFFSET(E1326,0,0,$I$5*-1,1))</f>
        <v>-0.44929628482684025</v>
      </c>
      <c r="V1326" s="7">
        <f t="shared" ca="1" si="1407"/>
        <v>0.50222687263410914</v>
      </c>
      <c r="W1326" s="14">
        <f t="shared" ca="1" si="1402"/>
        <v>-0.14171541927104683</v>
      </c>
      <c r="X1326" s="10">
        <f t="shared" ref="X1326:Y1326" ca="1" si="1447">+X1325</f>
        <v>0</v>
      </c>
      <c r="Y1326" s="10">
        <f t="shared" ca="1" si="1447"/>
        <v>0</v>
      </c>
      <c r="Z1326">
        <f t="shared" ca="1" si="1409"/>
        <v>0</v>
      </c>
      <c r="AA1326">
        <f t="shared" ca="1" si="1410"/>
        <v>1</v>
      </c>
      <c r="AB1326" s="19">
        <f t="shared" ca="1" si="1411"/>
        <v>0</v>
      </c>
      <c r="AC1326" s="19">
        <f t="shared" ca="1" si="1412"/>
        <v>-0.14171541927104683</v>
      </c>
    </row>
    <row r="1327" spans="3:29" x14ac:dyDescent="0.25">
      <c r="C1327" s="4">
        <v>1320</v>
      </c>
      <c r="D1327" s="28">
        <v>43886</v>
      </c>
      <c r="E1327" s="30">
        <v>9.0069999999999997</v>
      </c>
      <c r="F1327" s="30">
        <v>50.510157183564665</v>
      </c>
      <c r="G1327" s="30">
        <v>2.6656861843919475</v>
      </c>
      <c r="H1327" s="30">
        <v>76.293777001562631</v>
      </c>
      <c r="I1327" s="8">
        <v>0</v>
      </c>
      <c r="J1327" s="31">
        <v>1</v>
      </c>
      <c r="K1327" s="31">
        <v>0</v>
      </c>
      <c r="L1327" s="31">
        <v>0</v>
      </c>
      <c r="M1327" s="31">
        <v>0</v>
      </c>
      <c r="N1327" s="31">
        <v>0</v>
      </c>
      <c r="O1327" s="31">
        <v>0</v>
      </c>
      <c r="P1327" s="31">
        <v>0</v>
      </c>
      <c r="Q1327" s="31">
        <v>0</v>
      </c>
      <c r="R1327" s="31">
        <v>0</v>
      </c>
      <c r="S1327" s="31">
        <v>0</v>
      </c>
      <c r="T1327" s="21" cm="1">
        <f t="array" aca="1" ref="T1327" ca="1">+fair_value_gap(OFFSET(S1326,0,0,-1*$I$5,-1*$Z$1),OFFSET(E1326,0,0,-1*$I$5,1),F1327:S1327,0)</f>
        <v>8.6681965089054014</v>
      </c>
      <c r="U1327" s="7" cm="1">
        <f t="array" aca="1" ref="U1327" ca="1">z_score_diff(OFFSET(T1327,0,0,$I$5*-1,1),OFFSET(E1327,0,0,$I$5*-1,1))</f>
        <v>-0.44749660319047346</v>
      </c>
      <c r="V1327" s="7">
        <f t="shared" ca="1" si="1407"/>
        <v>0.47558750674728351</v>
      </c>
      <c r="W1327" s="14">
        <f t="shared" ca="1" si="1402"/>
        <v>-0.13012714749323523</v>
      </c>
      <c r="X1327" s="10">
        <f t="shared" ref="X1327:Y1327" ca="1" si="1448">+X1326</f>
        <v>0</v>
      </c>
      <c r="Y1327" s="10">
        <f t="shared" ca="1" si="1448"/>
        <v>0</v>
      </c>
      <c r="Z1327">
        <f t="shared" ca="1" si="1409"/>
        <v>0</v>
      </c>
      <c r="AA1327">
        <f t="shared" ca="1" si="1410"/>
        <v>1</v>
      </c>
      <c r="AB1327" s="19">
        <f t="shared" ca="1" si="1411"/>
        <v>0</v>
      </c>
      <c r="AC1327" s="19">
        <f t="shared" ca="1" si="1412"/>
        <v>-0.13012714749323523</v>
      </c>
    </row>
    <row r="1328" spans="3:29" x14ac:dyDescent="0.25">
      <c r="C1328" s="4">
        <v>1321</v>
      </c>
      <c r="D1328" s="28">
        <v>43887</v>
      </c>
      <c r="E1328" s="30">
        <v>9.0709999999999997</v>
      </c>
      <c r="F1328" s="30">
        <v>49.11296994209026</v>
      </c>
      <c r="G1328" s="30">
        <v>2.7622024083095869</v>
      </c>
      <c r="H1328" s="30">
        <v>76.109936575052842</v>
      </c>
      <c r="I1328" s="8">
        <v>0</v>
      </c>
      <c r="J1328" s="31">
        <v>1</v>
      </c>
      <c r="K1328" s="31">
        <v>0</v>
      </c>
      <c r="L1328" s="31">
        <v>0</v>
      </c>
      <c r="M1328" s="31">
        <v>0</v>
      </c>
      <c r="N1328" s="31">
        <v>0</v>
      </c>
      <c r="O1328" s="31">
        <v>0</v>
      </c>
      <c r="P1328" s="31">
        <v>0</v>
      </c>
      <c r="Q1328" s="31">
        <v>0</v>
      </c>
      <c r="R1328" s="31">
        <v>0</v>
      </c>
      <c r="S1328" s="31">
        <v>0</v>
      </c>
      <c r="T1328" s="21" cm="1">
        <f t="array" aca="1" ref="T1328" ca="1">+fair_value_gap(OFFSET(S1327,0,0,-1*$I$5,-1*$Z$1),OFFSET(E1327,0,0,-1*$I$5,1),F1328:S1328,0)</f>
        <v>8.7228184968329359</v>
      </c>
      <c r="U1328" s="7" cm="1">
        <f t="array" aca="1" ref="U1328" ca="1">z_score_diff(OFFSET(T1328,0,0,$I$5*-1,1),OFFSET(E1328,0,0,$I$5*-1,1))</f>
        <v>-0.44169144835417096</v>
      </c>
      <c r="V1328" s="7">
        <f t="shared" ca="1" si="1407"/>
        <v>0.44711886062106976</v>
      </c>
      <c r="W1328" s="14">
        <f t="shared" ca="1" si="1402"/>
        <v>-0.15816416165853123</v>
      </c>
      <c r="X1328" s="10">
        <f t="shared" ref="X1328:Y1328" ca="1" si="1449">+X1327</f>
        <v>0</v>
      </c>
      <c r="Y1328" s="10">
        <f t="shared" ca="1" si="1449"/>
        <v>0</v>
      </c>
      <c r="Z1328">
        <f t="shared" ca="1" si="1409"/>
        <v>0</v>
      </c>
      <c r="AA1328">
        <f t="shared" ca="1" si="1410"/>
        <v>1</v>
      </c>
      <c r="AB1328" s="19">
        <f t="shared" ca="1" si="1411"/>
        <v>0</v>
      </c>
      <c r="AC1328" s="19">
        <f t="shared" ca="1" si="1412"/>
        <v>-0.15816416165853123</v>
      </c>
    </row>
    <row r="1329" spans="3:29" x14ac:dyDescent="0.25">
      <c r="C1329" s="4">
        <v>1322</v>
      </c>
      <c r="D1329" s="28">
        <v>43888</v>
      </c>
      <c r="E1329" s="30">
        <v>8.8710000000000004</v>
      </c>
      <c r="F1329" s="30">
        <v>47.444989998181484</v>
      </c>
      <c r="G1329" s="30">
        <v>2.7050372795053645</v>
      </c>
      <c r="H1329" s="30">
        <v>75.286415711947612</v>
      </c>
      <c r="I1329" s="8">
        <v>0</v>
      </c>
      <c r="J1329" s="31">
        <v>1</v>
      </c>
      <c r="K1329" s="31">
        <v>0</v>
      </c>
      <c r="L1329" s="31">
        <v>0</v>
      </c>
      <c r="M1329" s="31">
        <v>0</v>
      </c>
      <c r="N1329" s="31">
        <v>0</v>
      </c>
      <c r="O1329" s="31">
        <v>0</v>
      </c>
      <c r="P1329" s="31">
        <v>0</v>
      </c>
      <c r="Q1329" s="31">
        <v>0</v>
      </c>
      <c r="R1329" s="31">
        <v>0</v>
      </c>
      <c r="S1329" s="31">
        <v>0</v>
      </c>
      <c r="T1329" s="21" cm="1">
        <f t="array" aca="1" ref="T1329" ca="1">+fair_value_gap(OFFSET(S1328,0,0,-1*$I$5,-1*$Z$1),OFFSET(E1328,0,0,-1*$I$5,1),F1329:S1329,0)</f>
        <v>8.5668238544059943</v>
      </c>
      <c r="U1329" s="7" cm="1">
        <f t="array" aca="1" ref="U1329" ca="1">z_score_diff(OFFSET(T1329,0,0,$I$5*-1,1),OFFSET(E1329,0,0,$I$5*-1,1))</f>
        <v>-0.40880805341215587</v>
      </c>
      <c r="V1329" s="7">
        <f t="shared" ca="1" si="1407"/>
        <v>0.41620500164558888</v>
      </c>
      <c r="W1329" s="14">
        <f t="shared" ca="1" si="1402"/>
        <v>-0.157934178143017</v>
      </c>
      <c r="X1329" s="10">
        <f t="shared" ref="X1329:Y1329" ca="1" si="1450">+X1328</f>
        <v>0</v>
      </c>
      <c r="Y1329" s="10">
        <f t="shared" ca="1" si="1450"/>
        <v>0</v>
      </c>
      <c r="Z1329">
        <f t="shared" ca="1" si="1409"/>
        <v>0</v>
      </c>
      <c r="AA1329">
        <f t="shared" ca="1" si="1410"/>
        <v>1</v>
      </c>
      <c r="AB1329" s="19">
        <f t="shared" ca="1" si="1411"/>
        <v>0</v>
      </c>
      <c r="AC1329" s="19">
        <f t="shared" ca="1" si="1412"/>
        <v>-0.157934178143017</v>
      </c>
    </row>
    <row r="1330" spans="3:29" x14ac:dyDescent="0.25">
      <c r="C1330" s="4">
        <v>1323</v>
      </c>
      <c r="D1330" s="28">
        <v>43889</v>
      </c>
      <c r="E1330" s="30">
        <v>8.8740000000000006</v>
      </c>
      <c r="F1330" s="30">
        <v>45.823129251700685</v>
      </c>
      <c r="G1330" s="30">
        <v>2.6848072562358274</v>
      </c>
      <c r="H1330" s="30">
        <v>73.696145124716551</v>
      </c>
      <c r="I1330" s="8">
        <v>0</v>
      </c>
      <c r="J1330" s="31">
        <v>1</v>
      </c>
      <c r="K1330" s="31">
        <v>0</v>
      </c>
      <c r="L1330" s="31">
        <v>0</v>
      </c>
      <c r="M1330" s="31">
        <v>0</v>
      </c>
      <c r="N1330" s="31">
        <v>0</v>
      </c>
      <c r="O1330" s="31">
        <v>0</v>
      </c>
      <c r="P1330" s="31">
        <v>0</v>
      </c>
      <c r="Q1330" s="31">
        <v>0</v>
      </c>
      <c r="R1330" s="31">
        <v>0</v>
      </c>
      <c r="S1330" s="31">
        <v>0</v>
      </c>
      <c r="T1330" s="21" cm="1">
        <f t="array" aca="1" ref="T1330" ca="1">+fair_value_gap(OFFSET(S1329,0,0,-1*$I$5,-1*$Z$1),OFFSET(E1329,0,0,-1*$I$5,1),F1330:S1330,0)</f>
        <v>8.3262050945342345</v>
      </c>
      <c r="U1330" s="7" cm="1">
        <f t="array" aca="1" ref="U1330" ca="1">z_score_diff(OFFSET(T1330,0,0,$I$5*-1,1),OFFSET(E1330,0,0,$I$5*-1,1))</f>
        <v>-0.49604967493422647</v>
      </c>
      <c r="V1330" s="7">
        <f t="shared" ca="1" si="1407"/>
        <v>0.38174541809272</v>
      </c>
      <c r="W1330" s="14">
        <f t="shared" ca="1" si="1402"/>
        <v>-0.20654774673612097</v>
      </c>
      <c r="X1330" s="10">
        <f t="shared" ref="X1330:Y1330" ca="1" si="1451">+X1329</f>
        <v>0</v>
      </c>
      <c r="Y1330" s="10">
        <f t="shared" ca="1" si="1451"/>
        <v>0</v>
      </c>
      <c r="Z1330">
        <f t="shared" ca="1" si="1409"/>
        <v>0</v>
      </c>
      <c r="AA1330">
        <f t="shared" ca="1" si="1410"/>
        <v>1</v>
      </c>
      <c r="AB1330" s="19">
        <f t="shared" ca="1" si="1411"/>
        <v>0</v>
      </c>
      <c r="AC1330" s="19">
        <f t="shared" ca="1" si="1412"/>
        <v>-0.20654774673612097</v>
      </c>
    </row>
    <row r="1331" spans="3:29" x14ac:dyDescent="0.25">
      <c r="C1331" s="4">
        <v>1324</v>
      </c>
      <c r="D1331" s="28">
        <v>43892</v>
      </c>
      <c r="E1331" s="30">
        <v>8.8870000000000005</v>
      </c>
      <c r="F1331" s="30">
        <v>46.622349982033775</v>
      </c>
      <c r="G1331" s="30">
        <v>2.7398490837226013</v>
      </c>
      <c r="H1331" s="30">
        <v>66.744520301832551</v>
      </c>
      <c r="I1331" s="8">
        <v>0</v>
      </c>
      <c r="J1331" s="31">
        <v>0</v>
      </c>
      <c r="K1331" s="31">
        <v>1</v>
      </c>
      <c r="L1331" s="31">
        <v>0</v>
      </c>
      <c r="M1331" s="31">
        <v>0</v>
      </c>
      <c r="N1331" s="31">
        <v>0</v>
      </c>
      <c r="O1331" s="31">
        <v>0</v>
      </c>
      <c r="P1331" s="31">
        <v>0</v>
      </c>
      <c r="Q1331" s="31">
        <v>0</v>
      </c>
      <c r="R1331" s="31">
        <v>0</v>
      </c>
      <c r="S1331" s="31">
        <v>0</v>
      </c>
      <c r="T1331" s="21" cm="1">
        <f t="array" aca="1" ref="T1331" ca="1">+fair_value_gap(OFFSET(S1330,0,0,-1*$I$5,-1*$Z$1),OFFSET(E1330,0,0,-1*$I$5,1),F1331:S1331,0)</f>
        <v>13.303238580091531</v>
      </c>
      <c r="U1331" s="7" cm="1">
        <f t="array" aca="1" ref="U1331" ca="1">z_score_diff(OFFSET(T1331,0,0,$I$5*-1,1),OFFSET(E1331,0,0,$I$5*-1,1))</f>
        <v>1.5408268260825839</v>
      </c>
      <c r="V1331" s="7">
        <f t="shared" ca="1" si="1407"/>
        <v>0.33816713937145565</v>
      </c>
      <c r="W1331" s="14">
        <f t="shared" ca="1" si="1402"/>
        <v>-0.25350300030718398</v>
      </c>
      <c r="X1331" s="10">
        <f t="shared" ref="X1331:Y1331" ca="1" si="1452">+X1330</f>
        <v>0</v>
      </c>
      <c r="Y1331" s="10">
        <f t="shared" ca="1" si="1452"/>
        <v>0</v>
      </c>
      <c r="Z1331">
        <f t="shared" ca="1" si="1409"/>
        <v>0</v>
      </c>
      <c r="AA1331">
        <f t="shared" ca="1" si="1410"/>
        <v>1</v>
      </c>
      <c r="AB1331" s="19">
        <f t="shared" ca="1" si="1411"/>
        <v>0</v>
      </c>
      <c r="AC1331" s="19">
        <f t="shared" ca="1" si="1412"/>
        <v>-0.25350300030718398</v>
      </c>
    </row>
    <row r="1332" spans="3:29" x14ac:dyDescent="0.25">
      <c r="C1332" s="4">
        <v>1325</v>
      </c>
      <c r="D1332" s="28">
        <v>43893</v>
      </c>
      <c r="E1332" s="30">
        <v>9.1690000000000005</v>
      </c>
      <c r="F1332" s="30">
        <v>46.423775848178316</v>
      </c>
      <c r="G1332" s="30">
        <v>2.7526631456449739</v>
      </c>
      <c r="H1332" s="30">
        <v>65.437292990779696</v>
      </c>
      <c r="I1332" s="8">
        <v>0</v>
      </c>
      <c r="J1332" s="31">
        <v>0</v>
      </c>
      <c r="K1332" s="31">
        <v>1</v>
      </c>
      <c r="L1332" s="31">
        <v>0</v>
      </c>
      <c r="M1332" s="31">
        <v>0</v>
      </c>
      <c r="N1332" s="31">
        <v>0</v>
      </c>
      <c r="O1332" s="31">
        <v>0</v>
      </c>
      <c r="P1332" s="31">
        <v>0</v>
      </c>
      <c r="Q1332" s="31">
        <v>0</v>
      </c>
      <c r="R1332" s="31">
        <v>0</v>
      </c>
      <c r="S1332" s="31">
        <v>0</v>
      </c>
      <c r="T1332" s="21" cm="1">
        <f t="array" aca="1" ref="T1332" ca="1">+fair_value_gap(OFFSET(S1331,0,0,-1*$I$5,-1*$Z$1),OFFSET(E1331,0,0,-1*$I$5,1),F1332:S1332,0)</f>
        <v>12.330926293083078</v>
      </c>
      <c r="U1332" s="7" cm="1">
        <f t="array" aca="1" ref="U1332" ca="1">z_score_diff(OFFSET(T1332,0,0,$I$5*-1,1),OFFSET(E1332,0,0,$I$5*-1,1))</f>
        <v>1.0081826136080314</v>
      </c>
      <c r="V1332" s="7">
        <f t="shared" ca="1" si="1407"/>
        <v>0.29195775729035411</v>
      </c>
      <c r="W1332" s="14">
        <f t="shared" ca="1" si="1402"/>
        <v>-0.28401700439195215</v>
      </c>
      <c r="X1332" s="10">
        <f t="shared" ref="X1332:Y1332" ca="1" si="1453">+X1331</f>
        <v>0</v>
      </c>
      <c r="Y1332" s="10">
        <f t="shared" ca="1" si="1453"/>
        <v>0</v>
      </c>
      <c r="Z1332">
        <f t="shared" ca="1" si="1409"/>
        <v>0</v>
      </c>
      <c r="AA1332">
        <f t="shared" ca="1" si="1410"/>
        <v>1</v>
      </c>
      <c r="AB1332" s="19">
        <f t="shared" ca="1" si="1411"/>
        <v>0</v>
      </c>
      <c r="AC1332" s="19">
        <f t="shared" ca="1" si="1412"/>
        <v>-0.28401700439195215</v>
      </c>
    </row>
    <row r="1333" spans="3:29" x14ac:dyDescent="0.25">
      <c r="C1333" s="4">
        <v>1326</v>
      </c>
      <c r="D1333" s="28">
        <v>43894</v>
      </c>
      <c r="E1333" s="30">
        <v>8.9120000000000008</v>
      </c>
      <c r="F1333" s="30">
        <v>45.922399856296032</v>
      </c>
      <c r="G1333" s="30">
        <v>2.7618106700197598</v>
      </c>
      <c r="H1333" s="30">
        <v>64.21771151428058</v>
      </c>
      <c r="I1333" s="8">
        <v>0</v>
      </c>
      <c r="J1333" s="31">
        <v>0</v>
      </c>
      <c r="K1333" s="31">
        <v>1</v>
      </c>
      <c r="L1333" s="31">
        <v>0</v>
      </c>
      <c r="M1333" s="31">
        <v>0</v>
      </c>
      <c r="N1333" s="31">
        <v>0</v>
      </c>
      <c r="O1333" s="31">
        <v>0</v>
      </c>
      <c r="P1333" s="31">
        <v>0</v>
      </c>
      <c r="Q1333" s="31">
        <v>0</v>
      </c>
      <c r="R1333" s="31">
        <v>0</v>
      </c>
      <c r="S1333" s="31">
        <v>0</v>
      </c>
      <c r="T1333" s="21" cm="1">
        <f t="array" aca="1" ref="T1333" ca="1">+fair_value_gap(OFFSET(S1332,0,0,-1*$I$5,-1*$Z$1),OFFSET(E1332,0,0,-1*$I$5,1),F1333:S1333,0)</f>
        <v>11.703316200843862</v>
      </c>
      <c r="U1333" s="7" cm="1">
        <f t="array" aca="1" ref="U1333" ca="1">z_score_diff(OFFSET(T1333,0,0,$I$5*-1,1),OFFSET(E1333,0,0,$I$5*-1,1))</f>
        <v>0.84993779489381693</v>
      </c>
      <c r="V1333" s="7">
        <f t="shared" ca="1" si="1407"/>
        <v>0.25764505258063303</v>
      </c>
      <c r="W1333" s="14">
        <f t="shared" ca="1" si="1402"/>
        <v>-0.26695287299555032</v>
      </c>
      <c r="X1333" s="10">
        <f t="shared" ref="X1333:Y1333" ca="1" si="1454">+X1332</f>
        <v>0</v>
      </c>
      <c r="Y1333" s="10">
        <f t="shared" ca="1" si="1454"/>
        <v>0</v>
      </c>
      <c r="Z1333">
        <f t="shared" ca="1" si="1409"/>
        <v>0</v>
      </c>
      <c r="AA1333">
        <f t="shared" ca="1" si="1410"/>
        <v>1</v>
      </c>
      <c r="AB1333" s="19">
        <f t="shared" ca="1" si="1411"/>
        <v>0</v>
      </c>
      <c r="AC1333" s="19">
        <f t="shared" ca="1" si="1412"/>
        <v>-0.26695287299555032</v>
      </c>
    </row>
    <row r="1334" spans="3:29" x14ac:dyDescent="0.25">
      <c r="C1334" s="4">
        <v>1327</v>
      </c>
      <c r="D1334" s="28">
        <v>43895</v>
      </c>
      <c r="E1334" s="30">
        <v>8.8490000000000002</v>
      </c>
      <c r="F1334" s="30">
        <v>44.479046178485639</v>
      </c>
      <c r="G1334" s="30">
        <v>2.7449061304386513</v>
      </c>
      <c r="H1334" s="30">
        <v>61.971705667764049</v>
      </c>
      <c r="I1334" s="8">
        <v>0</v>
      </c>
      <c r="J1334" s="31">
        <v>0</v>
      </c>
      <c r="K1334" s="31">
        <v>1</v>
      </c>
      <c r="L1334" s="31">
        <v>0</v>
      </c>
      <c r="M1334" s="31">
        <v>0</v>
      </c>
      <c r="N1334" s="31">
        <v>0</v>
      </c>
      <c r="O1334" s="31">
        <v>0</v>
      </c>
      <c r="P1334" s="31">
        <v>0</v>
      </c>
      <c r="Q1334" s="31">
        <v>0</v>
      </c>
      <c r="R1334" s="31">
        <v>0</v>
      </c>
      <c r="S1334" s="31">
        <v>0</v>
      </c>
      <c r="T1334" s="21" cm="1">
        <f t="array" aca="1" ref="T1334" ca="1">+fair_value_gap(OFFSET(S1333,0,0,-1*$I$5,-1*$Z$1),OFFSET(E1333,0,0,-1*$I$5,1),F1334:S1334,0)</f>
        <v>11.033471426989955</v>
      </c>
      <c r="U1334" s="7" cm="1">
        <f t="array" aca="1" ref="U1334" ca="1">z_score_diff(OFFSET(T1334,0,0,$I$5*-1,1),OFFSET(E1334,0,0,$I$5*-1,1))</f>
        <v>0.59078729589326673</v>
      </c>
      <c r="V1334" s="7">
        <f t="shared" ca="1" si="1407"/>
        <v>0.22523602233866966</v>
      </c>
      <c r="W1334" s="14">
        <f t="shared" ca="1" si="1402"/>
        <v>-0.24372340451841834</v>
      </c>
      <c r="X1334" s="10">
        <f t="shared" ref="X1334:Y1334" ca="1" si="1455">+X1333</f>
        <v>0</v>
      </c>
      <c r="Y1334" s="10">
        <f t="shared" ca="1" si="1455"/>
        <v>0</v>
      </c>
      <c r="Z1334">
        <f t="shared" ca="1" si="1409"/>
        <v>0</v>
      </c>
      <c r="AA1334">
        <f t="shared" ca="1" si="1410"/>
        <v>1</v>
      </c>
      <c r="AB1334" s="19">
        <f t="shared" ca="1" si="1411"/>
        <v>0</v>
      </c>
      <c r="AC1334" s="19">
        <f t="shared" ca="1" si="1412"/>
        <v>-0.24372340451841834</v>
      </c>
    </row>
    <row r="1335" spans="3:29" x14ac:dyDescent="0.25">
      <c r="C1335" s="4">
        <v>1328</v>
      </c>
      <c r="D1335" s="28">
        <v>43896</v>
      </c>
      <c r="E1335" s="30">
        <v>8.6470000000000002</v>
      </c>
      <c r="F1335" s="30">
        <v>40.115197164377491</v>
      </c>
      <c r="G1335" s="30">
        <v>2.7603012848914488</v>
      </c>
      <c r="H1335" s="30">
        <v>59.415152857775801</v>
      </c>
      <c r="I1335" s="8">
        <v>0</v>
      </c>
      <c r="J1335" s="31">
        <v>0</v>
      </c>
      <c r="K1335" s="31">
        <v>1</v>
      </c>
      <c r="L1335" s="31">
        <v>0</v>
      </c>
      <c r="M1335" s="31">
        <v>0</v>
      </c>
      <c r="N1335" s="31">
        <v>0</v>
      </c>
      <c r="O1335" s="31">
        <v>0</v>
      </c>
      <c r="P1335" s="31">
        <v>0</v>
      </c>
      <c r="Q1335" s="31">
        <v>0</v>
      </c>
      <c r="R1335" s="31">
        <v>0</v>
      </c>
      <c r="S1335" s="31">
        <v>0</v>
      </c>
      <c r="T1335" s="21" cm="1">
        <f t="array" aca="1" ref="T1335" ca="1">+fair_value_gap(OFFSET(S1334,0,0,-1*$I$5,-1*$Z$1),OFFSET(E1334,0,0,-1*$I$5,1),F1335:S1335,0)</f>
        <v>10.161547858077878</v>
      </c>
      <c r="U1335" s="7" cm="1">
        <f t="array" aca="1" ref="U1335" ca="1">z_score_diff(OFFSET(T1335,0,0,$I$5*-1,1),OFFSET(E1335,0,0,$I$5*-1,1))</f>
        <v>0.30960249218071745</v>
      </c>
      <c r="V1335" s="7">
        <f t="shared" ca="1" si="1407"/>
        <v>0.18980524197679069</v>
      </c>
      <c r="W1335" s="14">
        <f t="shared" ca="1" si="1402"/>
        <v>-0.22250769476514079</v>
      </c>
      <c r="X1335" s="10">
        <f t="shared" ref="X1335:Y1335" ca="1" si="1456">+X1334</f>
        <v>0</v>
      </c>
      <c r="Y1335" s="10">
        <f t="shared" ca="1" si="1456"/>
        <v>0</v>
      </c>
      <c r="Z1335">
        <f t="shared" ca="1" si="1409"/>
        <v>0</v>
      </c>
      <c r="AA1335">
        <f t="shared" ca="1" si="1410"/>
        <v>1</v>
      </c>
      <c r="AB1335" s="19">
        <f t="shared" ca="1" si="1411"/>
        <v>0</v>
      </c>
      <c r="AC1335" s="19">
        <f t="shared" ca="1" si="1412"/>
        <v>-0.22250769476514079</v>
      </c>
    </row>
    <row r="1336" spans="3:29" x14ac:dyDescent="0.25">
      <c r="C1336" s="4">
        <v>1329</v>
      </c>
      <c r="D1336" s="28">
        <v>43899</v>
      </c>
      <c r="E1336" s="30">
        <v>8.6270000000000007</v>
      </c>
      <c r="F1336" s="30">
        <v>30.016598235345505</v>
      </c>
      <c r="G1336" s="30">
        <v>2.7081331353192977</v>
      </c>
      <c r="H1336" s="30">
        <v>57.132873241897443</v>
      </c>
      <c r="I1336" s="8">
        <v>0</v>
      </c>
      <c r="J1336" s="31">
        <v>0</v>
      </c>
      <c r="K1336" s="31">
        <v>1</v>
      </c>
      <c r="L1336" s="31">
        <v>0</v>
      </c>
      <c r="M1336" s="31">
        <v>0</v>
      </c>
      <c r="N1336" s="31">
        <v>0</v>
      </c>
      <c r="O1336" s="31">
        <v>0</v>
      </c>
      <c r="P1336" s="31">
        <v>0</v>
      </c>
      <c r="Q1336" s="31">
        <v>0</v>
      </c>
      <c r="R1336" s="31">
        <v>0</v>
      </c>
      <c r="S1336" s="31">
        <v>0</v>
      </c>
      <c r="T1336" s="21" cm="1">
        <f t="array" aca="1" ref="T1336" ca="1">+fair_value_gap(OFFSET(S1335,0,0,-1*$I$5,-1*$Z$1),OFFSET(E1335,0,0,-1*$I$5,1),F1336:S1336,0)</f>
        <v>8.5897661994205627</v>
      </c>
      <c r="U1336" s="7" cm="1">
        <f t="array" aca="1" ref="U1336" ca="1">z_score_diff(OFFSET(T1336,0,0,$I$5*-1,1),OFFSET(E1336,0,0,$I$5*-1,1))</f>
        <v>-0.32572396412649351</v>
      </c>
      <c r="V1336" s="7">
        <f t="shared" ca="1" si="1407"/>
        <v>0.12391668895097037</v>
      </c>
      <c r="W1336" s="14">
        <f t="shared" ca="1" si="1402"/>
        <v>-0.16880488140629671</v>
      </c>
      <c r="X1336" s="10">
        <f t="shared" ref="X1336:Y1336" ca="1" si="1457">+X1335</f>
        <v>0</v>
      </c>
      <c r="Y1336" s="10">
        <f t="shared" ca="1" si="1457"/>
        <v>0</v>
      </c>
      <c r="Z1336">
        <f t="shared" ca="1" si="1409"/>
        <v>0</v>
      </c>
      <c r="AA1336">
        <f t="shared" ca="1" si="1410"/>
        <v>1</v>
      </c>
      <c r="AB1336" s="19">
        <f t="shared" ca="1" si="1411"/>
        <v>0</v>
      </c>
      <c r="AC1336" s="19">
        <f t="shared" ca="1" si="1412"/>
        <v>-0.16880488140629671</v>
      </c>
    </row>
    <row r="1337" spans="3:29" x14ac:dyDescent="0.25">
      <c r="C1337" s="4">
        <v>1330</v>
      </c>
      <c r="D1337" s="28">
        <v>43900</v>
      </c>
      <c r="E1337" s="30">
        <v>8.9930000000000003</v>
      </c>
      <c r="F1337" s="30">
        <v>32.999379377604399</v>
      </c>
      <c r="G1337" s="30">
        <v>2.7617696604308897</v>
      </c>
      <c r="H1337" s="30">
        <v>58.294175015515563</v>
      </c>
      <c r="I1337" s="8">
        <v>0</v>
      </c>
      <c r="J1337" s="31">
        <v>0</v>
      </c>
      <c r="K1337" s="31">
        <v>1</v>
      </c>
      <c r="L1337" s="31">
        <v>0</v>
      </c>
      <c r="M1337" s="31">
        <v>0</v>
      </c>
      <c r="N1337" s="31">
        <v>0</v>
      </c>
      <c r="O1337" s="31">
        <v>0</v>
      </c>
      <c r="P1337" s="31">
        <v>0</v>
      </c>
      <c r="Q1337" s="31">
        <v>0</v>
      </c>
      <c r="R1337" s="31">
        <v>0</v>
      </c>
      <c r="S1337" s="31">
        <v>0</v>
      </c>
      <c r="T1337" s="21" cm="1">
        <f t="array" aca="1" ref="T1337" ca="1">+fair_value_gap(OFFSET(S1336,0,0,-1*$I$5,-1*$Z$1),OFFSET(E1336,0,0,-1*$I$5,1),F1337:S1337,0)</f>
        <v>9.0016973365172763</v>
      </c>
      <c r="U1337" s="7" cm="1">
        <f t="array" aca="1" ref="U1337" ca="1">z_score_diff(OFFSET(T1337,0,0,$I$5*-1,1),OFFSET(E1337,0,0,$I$5*-1,1))</f>
        <v>-0.30560553136291868</v>
      </c>
      <c r="V1337" s="7">
        <f t="shared" ca="1" si="1407"/>
        <v>6.4983142111388115E-2</v>
      </c>
      <c r="W1337" s="14">
        <f t="shared" ca="1" si="1402"/>
        <v>-0.21090363169660026</v>
      </c>
      <c r="X1337" s="10">
        <f t="shared" ref="X1337:Y1337" ca="1" si="1458">+X1336</f>
        <v>0</v>
      </c>
      <c r="Y1337" s="10">
        <f t="shared" ca="1" si="1458"/>
        <v>0</v>
      </c>
      <c r="Z1337">
        <f t="shared" ca="1" si="1409"/>
        <v>0</v>
      </c>
      <c r="AA1337">
        <f t="shared" ca="1" si="1410"/>
        <v>1</v>
      </c>
      <c r="AB1337" s="19">
        <f t="shared" ca="1" si="1411"/>
        <v>0</v>
      </c>
      <c r="AC1337" s="19">
        <f t="shared" ca="1" si="1412"/>
        <v>-0.21090363169660026</v>
      </c>
    </row>
    <row r="1338" spans="3:29" x14ac:dyDescent="0.25">
      <c r="C1338" s="4">
        <v>1331</v>
      </c>
      <c r="D1338" s="28">
        <v>43901</v>
      </c>
      <c r="E1338" s="30">
        <v>9.3689999999999998</v>
      </c>
      <c r="F1338" s="30">
        <v>31.765332386615778</v>
      </c>
      <c r="G1338" s="30">
        <v>2.7780243188071356</v>
      </c>
      <c r="H1338" s="30">
        <v>59.421318895890657</v>
      </c>
      <c r="I1338" s="8">
        <v>0</v>
      </c>
      <c r="J1338" s="31">
        <v>0</v>
      </c>
      <c r="K1338" s="31">
        <v>1</v>
      </c>
      <c r="L1338" s="31">
        <v>0</v>
      </c>
      <c r="M1338" s="31">
        <v>0</v>
      </c>
      <c r="N1338" s="31">
        <v>0</v>
      </c>
      <c r="O1338" s="31">
        <v>0</v>
      </c>
      <c r="P1338" s="31">
        <v>0</v>
      </c>
      <c r="Q1338" s="31">
        <v>0</v>
      </c>
      <c r="R1338" s="31">
        <v>0</v>
      </c>
      <c r="S1338" s="31">
        <v>0</v>
      </c>
      <c r="T1338" s="21" cm="1">
        <f t="array" aca="1" ref="T1338" ca="1">+fair_value_gap(OFFSET(S1337,0,0,-1*$I$5,-1*$Z$1),OFFSET(E1337,0,0,-1*$I$5,1),F1338:S1338,0)</f>
        <v>8.8974219600892948</v>
      </c>
      <c r="U1338" s="7" cm="1">
        <f t="array" aca="1" ref="U1338" ca="1">z_score_diff(OFFSET(T1338,0,0,$I$5*-1,1),OFFSET(E1338,0,0,$I$5*-1,1))</f>
        <v>-0.49821313666515921</v>
      </c>
      <c r="V1338" s="7">
        <f t="shared" ca="1" si="1407"/>
        <v>4.6636689691612939E-3</v>
      </c>
      <c r="W1338" s="14">
        <f t="shared" ca="1" si="1402"/>
        <v>-0.25516428866634761</v>
      </c>
      <c r="X1338" s="10">
        <f t="shared" ref="X1338:Y1338" ca="1" si="1459">+X1337</f>
        <v>0</v>
      </c>
      <c r="Y1338" s="10">
        <f t="shared" ca="1" si="1459"/>
        <v>0</v>
      </c>
      <c r="Z1338">
        <f t="shared" ca="1" si="1409"/>
        <v>0</v>
      </c>
      <c r="AA1338">
        <f t="shared" ca="1" si="1410"/>
        <v>1</v>
      </c>
      <c r="AB1338" s="19">
        <f t="shared" ca="1" si="1411"/>
        <v>0</v>
      </c>
      <c r="AC1338" s="19">
        <f t="shared" ca="1" si="1412"/>
        <v>-0.25516428866634761</v>
      </c>
    </row>
    <row r="1339" spans="3:29" x14ac:dyDescent="0.25">
      <c r="C1339" s="4">
        <v>1332</v>
      </c>
      <c r="D1339" s="28">
        <v>43902</v>
      </c>
      <c r="E1339" s="30">
        <v>9.3239999999999998</v>
      </c>
      <c r="F1339" s="30">
        <v>29.705803451667705</v>
      </c>
      <c r="G1339" s="30">
        <v>2.8078333184297595</v>
      </c>
      <c r="H1339" s="30">
        <v>59.152284717875347</v>
      </c>
      <c r="I1339" s="8">
        <v>0</v>
      </c>
      <c r="J1339" s="31">
        <v>0</v>
      </c>
      <c r="K1339" s="31">
        <v>1</v>
      </c>
      <c r="L1339" s="31">
        <v>0</v>
      </c>
      <c r="M1339" s="31">
        <v>0</v>
      </c>
      <c r="N1339" s="31">
        <v>0</v>
      </c>
      <c r="O1339" s="31">
        <v>0</v>
      </c>
      <c r="P1339" s="31">
        <v>0</v>
      </c>
      <c r="Q1339" s="31">
        <v>0</v>
      </c>
      <c r="R1339" s="31">
        <v>0</v>
      </c>
      <c r="S1339" s="31">
        <v>0</v>
      </c>
      <c r="T1339" s="21" cm="1">
        <f t="array" aca="1" ref="T1339" ca="1">+fair_value_gap(OFFSET(S1338,0,0,-1*$I$5,-1*$Z$1),OFFSET(E1338,0,0,-1*$I$5,1),F1339:S1339,0)</f>
        <v>8.7360833606950354</v>
      </c>
      <c r="U1339" s="7" cm="1">
        <f t="array" aca="1" ref="U1339" ca="1">z_score_diff(OFFSET(T1339,0,0,$I$5*-1,1),OFFSET(E1339,0,0,$I$5*-1,1))</f>
        <v>-0.53342387074285713</v>
      </c>
      <c r="V1339" s="7">
        <f t="shared" ca="1" si="1407"/>
        <v>-4.8152370878869755E-2</v>
      </c>
      <c r="W1339" s="14">
        <f t="shared" ca="1" si="1402"/>
        <v>-0.2475982310373899</v>
      </c>
      <c r="X1339" s="10">
        <f t="shared" ref="X1339:Y1339" ca="1" si="1460">+X1338</f>
        <v>0</v>
      </c>
      <c r="Y1339" s="10">
        <f t="shared" ca="1" si="1460"/>
        <v>0</v>
      </c>
      <c r="Z1339">
        <f t="shared" ca="1" si="1409"/>
        <v>1</v>
      </c>
      <c r="AA1339">
        <f t="shared" ca="1" si="1410"/>
        <v>0</v>
      </c>
      <c r="AB1339" s="19">
        <f t="shared" ca="1" si="1411"/>
        <v>-0.2475982310373899</v>
      </c>
      <c r="AC1339" s="19">
        <f t="shared" ca="1" si="1412"/>
        <v>0</v>
      </c>
    </row>
    <row r="1340" spans="3:29" x14ac:dyDescent="0.25">
      <c r="C1340" s="4">
        <v>1333</v>
      </c>
      <c r="D1340" s="28">
        <v>43903</v>
      </c>
      <c r="E1340" s="30">
        <v>9.2850000000000001</v>
      </c>
      <c r="F1340" s="30">
        <v>30.481764970733902</v>
      </c>
      <c r="G1340" s="30">
        <v>2.8275551553354346</v>
      </c>
      <c r="H1340" s="30">
        <v>59.387663214768125</v>
      </c>
      <c r="I1340" s="8">
        <v>0</v>
      </c>
      <c r="J1340" s="31">
        <v>0</v>
      </c>
      <c r="K1340" s="31">
        <v>1</v>
      </c>
      <c r="L1340" s="31">
        <v>0</v>
      </c>
      <c r="M1340" s="31">
        <v>0</v>
      </c>
      <c r="N1340" s="31">
        <v>0</v>
      </c>
      <c r="O1340" s="31">
        <v>0</v>
      </c>
      <c r="P1340" s="31">
        <v>0</v>
      </c>
      <c r="Q1340" s="31">
        <v>0</v>
      </c>
      <c r="R1340" s="31">
        <v>0</v>
      </c>
      <c r="S1340" s="31">
        <v>0</v>
      </c>
      <c r="T1340" s="21" cm="1">
        <f t="array" aca="1" ref="T1340" ca="1">+fair_value_gap(OFFSET(S1339,0,0,-1*$I$5,-1*$Z$1),OFFSET(E1339,0,0,-1*$I$5,1),F1340:S1340,0)</f>
        <v>8.9248645953640366</v>
      </c>
      <c r="U1340" s="7" cm="1">
        <f t="array" aca="1" ref="U1340" ca="1">z_score_diff(OFFSET(T1340,0,0,$I$5*-1,1),OFFSET(E1340,0,0,$I$5*-1,1))</f>
        <v>-0.43208457319683991</v>
      </c>
      <c r="V1340" s="7">
        <f t="shared" ca="1" si="1407"/>
        <v>-9.0922004626746794E-2</v>
      </c>
      <c r="W1340" s="14">
        <f t="shared" ca="1" si="1402"/>
        <v>-0.30065401637702704</v>
      </c>
      <c r="X1340" s="10">
        <f t="shared" ref="X1340:Y1340" ca="1" si="1461">+X1339</f>
        <v>0</v>
      </c>
      <c r="Y1340" s="10">
        <f t="shared" ca="1" si="1461"/>
        <v>0</v>
      </c>
      <c r="Z1340">
        <f t="shared" ca="1" si="1409"/>
        <v>1</v>
      </c>
      <c r="AA1340">
        <f t="shared" ca="1" si="1410"/>
        <v>0</v>
      </c>
      <c r="AB1340" s="19">
        <f t="shared" ca="1" si="1411"/>
        <v>-0.30065401637702704</v>
      </c>
      <c r="AC1340" s="19">
        <f t="shared" ca="1" si="1412"/>
        <v>0</v>
      </c>
    </row>
    <row r="1341" spans="3:29" x14ac:dyDescent="0.25">
      <c r="C1341" s="4">
        <v>1334</v>
      </c>
      <c r="D1341" s="28">
        <v>43906</v>
      </c>
      <c r="E1341" s="30">
        <v>8.7409999999999997</v>
      </c>
      <c r="F1341" s="30">
        <v>26.875950272784184</v>
      </c>
      <c r="G1341" s="30">
        <v>3.0453447813254626</v>
      </c>
      <c r="H1341" s="30">
        <v>58.715678382971113</v>
      </c>
      <c r="I1341" s="8">
        <v>0</v>
      </c>
      <c r="J1341" s="31">
        <v>0</v>
      </c>
      <c r="K1341" s="31">
        <v>1</v>
      </c>
      <c r="L1341" s="31">
        <v>0</v>
      </c>
      <c r="M1341" s="31">
        <v>0</v>
      </c>
      <c r="N1341" s="31">
        <v>0</v>
      </c>
      <c r="O1341" s="31">
        <v>0</v>
      </c>
      <c r="P1341" s="31">
        <v>0</v>
      </c>
      <c r="Q1341" s="31">
        <v>0</v>
      </c>
      <c r="R1341" s="31">
        <v>0</v>
      </c>
      <c r="S1341" s="31">
        <v>0</v>
      </c>
      <c r="T1341" s="21" cm="1">
        <f t="array" aca="1" ref="T1341" ca="1">+fair_value_gap(OFFSET(S1340,0,0,-1*$I$5,-1*$Z$1),OFFSET(E1340,0,0,-1*$I$5,1),F1341:S1341,0)</f>
        <v>8.7418217582925344</v>
      </c>
      <c r="U1341" s="7" cm="1">
        <f t="array" aca="1" ref="U1341" ca="1">z_score_diff(OFFSET(T1341,0,0,$I$5*-1,1),OFFSET(E1341,0,0,$I$5*-1,1))</f>
        <v>-0.26893961515998899</v>
      </c>
      <c r="V1341" s="7">
        <f t="shared" ca="1" si="1407"/>
        <v>-0.11043064758081236</v>
      </c>
      <c r="W1341" s="14">
        <f t="shared" ca="1" si="1402"/>
        <v>-0.27355813217803288</v>
      </c>
      <c r="X1341" s="10">
        <f t="shared" ref="X1341:Y1341" ca="1" si="1462">+X1340</f>
        <v>0</v>
      </c>
      <c r="Y1341" s="10">
        <f t="shared" ca="1" si="1462"/>
        <v>0</v>
      </c>
      <c r="Z1341">
        <f t="shared" ca="1" si="1409"/>
        <v>1</v>
      </c>
      <c r="AA1341">
        <f t="shared" ca="1" si="1410"/>
        <v>0</v>
      </c>
      <c r="AB1341" s="19">
        <f t="shared" ca="1" si="1411"/>
        <v>-0.27355813217803288</v>
      </c>
      <c r="AC1341" s="19">
        <f t="shared" ca="1" si="1412"/>
        <v>0</v>
      </c>
    </row>
    <row r="1342" spans="3:29" x14ac:dyDescent="0.25">
      <c r="C1342" s="4">
        <v>1335</v>
      </c>
      <c r="D1342" s="28">
        <v>43907</v>
      </c>
      <c r="E1342" s="30">
        <v>8.4700000000000006</v>
      </c>
      <c r="F1342" s="30">
        <v>26.127682793743183</v>
      </c>
      <c r="G1342" s="30">
        <v>3.1420516551473265</v>
      </c>
      <c r="H1342" s="30">
        <v>58.839578028373964</v>
      </c>
      <c r="I1342" s="8">
        <v>0</v>
      </c>
      <c r="J1342" s="31">
        <v>0</v>
      </c>
      <c r="K1342" s="31">
        <v>1</v>
      </c>
      <c r="L1342" s="31">
        <v>0</v>
      </c>
      <c r="M1342" s="31">
        <v>0</v>
      </c>
      <c r="N1342" s="31">
        <v>0</v>
      </c>
      <c r="O1342" s="31">
        <v>0</v>
      </c>
      <c r="P1342" s="31">
        <v>0</v>
      </c>
      <c r="Q1342" s="31">
        <v>0</v>
      </c>
      <c r="R1342" s="31">
        <v>0</v>
      </c>
      <c r="S1342" s="31">
        <v>0</v>
      </c>
      <c r="T1342" s="21" cm="1">
        <f t="array" aca="1" ref="T1342" ca="1">+fair_value_gap(OFFSET(S1341,0,0,-1*$I$5,-1*$Z$1),OFFSET(E1341,0,0,-1*$I$5,1),F1342:S1342,0)</f>
        <v>8.760812621590782</v>
      </c>
      <c r="U1342" s="7" cm="1">
        <f t="array" aca="1" ref="U1342" ca="1">z_score_diff(OFFSET(T1342,0,0,$I$5*-1,1),OFFSET(E1342,0,0,$I$5*-1,1))</f>
        <v>-0.14364577016129365</v>
      </c>
      <c r="V1342" s="7">
        <f t="shared" ca="1" si="1407"/>
        <v>-0.10130019784247794</v>
      </c>
      <c r="W1342" s="14">
        <f t="shared" ca="1" si="1402"/>
        <v>-0.20399511855712721</v>
      </c>
      <c r="X1342" s="10">
        <f t="shared" ref="X1342:Y1342" ca="1" si="1463">+X1341</f>
        <v>0</v>
      </c>
      <c r="Y1342" s="10">
        <f t="shared" ca="1" si="1463"/>
        <v>0</v>
      </c>
      <c r="Z1342">
        <f t="shared" ca="1" si="1409"/>
        <v>1</v>
      </c>
      <c r="AA1342">
        <f t="shared" ca="1" si="1410"/>
        <v>0</v>
      </c>
      <c r="AB1342" s="19">
        <f t="shared" ca="1" si="1411"/>
        <v>-0.20399511855712721</v>
      </c>
      <c r="AC1342" s="19">
        <f t="shared" ca="1" si="1412"/>
        <v>0</v>
      </c>
    </row>
    <row r="1343" spans="3:29" x14ac:dyDescent="0.25">
      <c r="C1343" s="4">
        <v>1336</v>
      </c>
      <c r="D1343" s="28">
        <v>43908</v>
      </c>
      <c r="E1343" s="30">
        <v>8.2650000000000006</v>
      </c>
      <c r="F1343" s="30">
        <v>22.79849720516815</v>
      </c>
      <c r="G1343" s="30">
        <v>3.115550261156419</v>
      </c>
      <c r="H1343" s="30">
        <v>58.416567396682858</v>
      </c>
      <c r="I1343" s="8">
        <v>0</v>
      </c>
      <c r="J1343" s="31">
        <v>0</v>
      </c>
      <c r="K1343" s="31">
        <v>1</v>
      </c>
      <c r="L1343" s="31">
        <v>0</v>
      </c>
      <c r="M1343" s="31">
        <v>0</v>
      </c>
      <c r="N1343" s="31">
        <v>0</v>
      </c>
      <c r="O1343" s="31">
        <v>0</v>
      </c>
      <c r="P1343" s="31">
        <v>0</v>
      </c>
      <c r="Q1343" s="31">
        <v>0</v>
      </c>
      <c r="R1343" s="31">
        <v>0</v>
      </c>
      <c r="S1343" s="31">
        <v>0</v>
      </c>
      <c r="T1343" s="21" cm="1">
        <f t="array" aca="1" ref="T1343" ca="1">+fair_value_gap(OFFSET(S1342,0,0,-1*$I$5,-1*$Z$1),OFFSET(E1342,0,0,-1*$I$5,1),F1343:S1343,0)</f>
        <v>8.4393001580180922</v>
      </c>
      <c r="U1343" s="7" cm="1">
        <f t="array" aca="1" ref="U1343" ca="1">z_score_diff(OFFSET(T1343,0,0,$I$5*-1,1),OFFSET(E1343,0,0,$I$5*-1,1))</f>
        <v>-0.17947606780331649</v>
      </c>
      <c r="V1343" s="7">
        <f t="shared" ca="1" si="1407"/>
        <v>-8.8117590174307328E-2</v>
      </c>
      <c r="W1343" s="14">
        <f t="shared" ca="1" si="1402"/>
        <v>-0.16697709263180352</v>
      </c>
      <c r="X1343" s="10">
        <f t="shared" ref="X1343:Y1343" ca="1" si="1464">+X1342</f>
        <v>0</v>
      </c>
      <c r="Y1343" s="10">
        <f t="shared" ca="1" si="1464"/>
        <v>0</v>
      </c>
      <c r="Z1343">
        <f t="shared" ca="1" si="1409"/>
        <v>1</v>
      </c>
      <c r="AA1343">
        <f t="shared" ca="1" si="1410"/>
        <v>0</v>
      </c>
      <c r="AB1343" s="19">
        <f t="shared" ca="1" si="1411"/>
        <v>-0.16697709263180352</v>
      </c>
      <c r="AC1343" s="19">
        <f t="shared" ca="1" si="1412"/>
        <v>0</v>
      </c>
    </row>
    <row r="1344" spans="3:29" x14ac:dyDescent="0.25">
      <c r="C1344" s="4">
        <v>1337</v>
      </c>
      <c r="D1344" s="28">
        <v>43909</v>
      </c>
      <c r="E1344" s="30">
        <v>8.5440000000000005</v>
      </c>
      <c r="F1344" s="30">
        <v>26.632366697848457</v>
      </c>
      <c r="G1344" s="30">
        <v>3.1805425631431246</v>
      </c>
      <c r="H1344" s="30">
        <v>58.933582787652014</v>
      </c>
      <c r="I1344" s="8">
        <v>0</v>
      </c>
      <c r="J1344" s="31">
        <v>0</v>
      </c>
      <c r="K1344" s="31">
        <v>1</v>
      </c>
      <c r="L1344" s="31">
        <v>0</v>
      </c>
      <c r="M1344" s="31">
        <v>0</v>
      </c>
      <c r="N1344" s="31">
        <v>0</v>
      </c>
      <c r="O1344" s="31">
        <v>0</v>
      </c>
      <c r="P1344" s="31">
        <v>0</v>
      </c>
      <c r="Q1344" s="31">
        <v>0</v>
      </c>
      <c r="R1344" s="31">
        <v>0</v>
      </c>
      <c r="S1344" s="31">
        <v>0</v>
      </c>
      <c r="T1344" s="21" cm="1">
        <f t="array" aca="1" ref="T1344" ca="1">+fair_value_gap(OFFSET(S1343,0,0,-1*$I$5,-1*$Z$1),OFFSET(E1343,0,0,-1*$I$5,1),F1344:S1344,0)</f>
        <v>8.7891830573769436</v>
      </c>
      <c r="U1344" s="7" cm="1">
        <f t="array" aca="1" ref="U1344" ca="1">z_score_diff(OFFSET(T1344,0,0,$I$5*-1,1),OFFSET(E1344,0,0,$I$5*-1,1))</f>
        <v>-0.15513456861968233</v>
      </c>
      <c r="V1344" s="7">
        <f t="shared" ca="1" si="1407"/>
        <v>-6.9589470925048774E-2</v>
      </c>
      <c r="W1344" s="14">
        <f t="shared" ca="1" si="1402"/>
        <v>-0.25543607271841856</v>
      </c>
      <c r="X1344" s="10">
        <f t="shared" ref="X1344:Y1344" ca="1" si="1465">+X1343</f>
        <v>0</v>
      </c>
      <c r="Y1344" s="10">
        <f t="shared" ca="1" si="1465"/>
        <v>0</v>
      </c>
      <c r="Z1344">
        <f t="shared" ca="1" si="1409"/>
        <v>1</v>
      </c>
      <c r="AA1344">
        <f t="shared" ca="1" si="1410"/>
        <v>0</v>
      </c>
      <c r="AB1344" s="19">
        <f t="shared" ca="1" si="1411"/>
        <v>-0.25543607271841856</v>
      </c>
      <c r="AC1344" s="19">
        <f t="shared" ca="1" si="1412"/>
        <v>0</v>
      </c>
    </row>
    <row r="1345" spans="3:29" x14ac:dyDescent="0.25">
      <c r="C1345" s="4">
        <v>1338</v>
      </c>
      <c r="D1345" s="28">
        <v>43910</v>
      </c>
      <c r="E1345" s="30">
        <v>8.2929999999999993</v>
      </c>
      <c r="F1345" s="30">
        <v>25.229100430147749</v>
      </c>
      <c r="G1345" s="30">
        <v>3.2074060220684499</v>
      </c>
      <c r="H1345" s="30">
        <v>59.379091079109784</v>
      </c>
      <c r="I1345" s="8">
        <v>0</v>
      </c>
      <c r="J1345" s="31">
        <v>0</v>
      </c>
      <c r="K1345" s="31">
        <v>1</v>
      </c>
      <c r="L1345" s="31">
        <v>0</v>
      </c>
      <c r="M1345" s="31">
        <v>0</v>
      </c>
      <c r="N1345" s="31">
        <v>0</v>
      </c>
      <c r="O1345" s="31">
        <v>0</v>
      </c>
      <c r="P1345" s="31">
        <v>0</v>
      </c>
      <c r="Q1345" s="31">
        <v>0</v>
      </c>
      <c r="R1345" s="31">
        <v>0</v>
      </c>
      <c r="S1345" s="31">
        <v>0</v>
      </c>
      <c r="T1345" s="21" cm="1">
        <f t="array" aca="1" ref="T1345" ca="1">+fair_value_gap(OFFSET(S1344,0,0,-1*$I$5,-1*$Z$1),OFFSET(E1344,0,0,-1*$I$5,1),F1345:S1345,0)</f>
        <v>8.7935762375945536</v>
      </c>
      <c r="U1345" s="7" cm="1">
        <f t="array" aca="1" ref="U1345" ca="1">z_score_diff(OFFSET(T1345,0,0,$I$5*-1,1),OFFSET(E1345,0,0,$I$5*-1,1))</f>
        <v>-4.7923181432042217E-2</v>
      </c>
      <c r="V1345" s="7">
        <f t="shared" ca="1" si="1407"/>
        <v>-4.1708766066502125E-2</v>
      </c>
      <c r="W1345" s="14">
        <f t="shared" ca="1" si="1402"/>
        <v>-0.27248402966661206</v>
      </c>
      <c r="X1345" s="10">
        <f t="shared" ref="X1345:Y1345" ca="1" si="1466">+X1344</f>
        <v>0</v>
      </c>
      <c r="Y1345" s="10">
        <f t="shared" ca="1" si="1466"/>
        <v>0</v>
      </c>
      <c r="Z1345">
        <f t="shared" ca="1" si="1409"/>
        <v>1</v>
      </c>
      <c r="AA1345">
        <f t="shared" ca="1" si="1410"/>
        <v>0</v>
      </c>
      <c r="AB1345" s="19">
        <f t="shared" ca="1" si="1411"/>
        <v>-0.27248402966661206</v>
      </c>
      <c r="AC1345" s="19">
        <f t="shared" ca="1" si="1412"/>
        <v>0</v>
      </c>
    </row>
    <row r="1346" spans="3:29" x14ac:dyDescent="0.25">
      <c r="C1346" s="4">
        <v>1339</v>
      </c>
      <c r="D1346" s="28">
        <v>43913</v>
      </c>
      <c r="E1346" s="30">
        <v>7.8490000000000002</v>
      </c>
      <c r="F1346" s="30">
        <v>25.212200354444548</v>
      </c>
      <c r="G1346" s="30">
        <v>3.0314336349221152</v>
      </c>
      <c r="H1346" s="30">
        <v>57.550601622982931</v>
      </c>
      <c r="I1346" s="8">
        <v>0</v>
      </c>
      <c r="J1346" s="31">
        <v>0</v>
      </c>
      <c r="K1346" s="31">
        <v>1</v>
      </c>
      <c r="L1346" s="31">
        <v>0</v>
      </c>
      <c r="M1346" s="31">
        <v>0</v>
      </c>
      <c r="N1346" s="31">
        <v>0</v>
      </c>
      <c r="O1346" s="31">
        <v>0</v>
      </c>
      <c r="P1346" s="31">
        <v>0</v>
      </c>
      <c r="Q1346" s="31">
        <v>0</v>
      </c>
      <c r="R1346" s="31">
        <v>0</v>
      </c>
      <c r="S1346" s="31">
        <v>0</v>
      </c>
      <c r="T1346" s="21" cm="1">
        <f t="array" aca="1" ref="T1346" ca="1">+fair_value_gap(OFFSET(S1345,0,0,-1*$I$5,-1*$Z$1),OFFSET(E1345,0,0,-1*$I$5,1),F1346:S1346,0)</f>
        <v>8.4319560578562562</v>
      </c>
      <c r="U1346" s="7" cm="1">
        <f t="array" aca="1" ref="U1346" ca="1">z_score_diff(OFFSET(T1346,0,0,$I$5*-1,1),OFFSET(E1346,0,0,$I$5*-1,1))</f>
        <v>-4.3782700216454806E-3</v>
      </c>
      <c r="V1346" s="7">
        <f t="shared" ca="1" si="1407"/>
        <v>-1.9462865326242373E-2</v>
      </c>
      <c r="W1346" s="14">
        <f t="shared" ca="1" si="1402"/>
        <v>-0.23165206312526027</v>
      </c>
      <c r="X1346" s="10">
        <f t="shared" ref="X1346:Y1346" ca="1" si="1467">+X1345</f>
        <v>0</v>
      </c>
      <c r="Y1346" s="10">
        <f t="shared" ca="1" si="1467"/>
        <v>0</v>
      </c>
      <c r="Z1346">
        <f t="shared" ca="1" si="1409"/>
        <v>1</v>
      </c>
      <c r="AA1346">
        <f t="shared" ca="1" si="1410"/>
        <v>0</v>
      </c>
      <c r="AB1346" s="19">
        <f t="shared" ca="1" si="1411"/>
        <v>-0.23165206312526027</v>
      </c>
      <c r="AC1346" s="19">
        <f t="shared" ca="1" si="1412"/>
        <v>0</v>
      </c>
    </row>
    <row r="1347" spans="3:29" x14ac:dyDescent="0.25">
      <c r="C1347" s="4">
        <v>1340</v>
      </c>
      <c r="D1347" s="28">
        <v>43914</v>
      </c>
      <c r="E1347" s="30">
        <v>7.9080000000000004</v>
      </c>
      <c r="F1347" s="30">
        <v>25.169185130249375</v>
      </c>
      <c r="G1347" s="30">
        <v>2.9201817001946786</v>
      </c>
      <c r="H1347" s="30">
        <v>58.681746546769254</v>
      </c>
      <c r="I1347" s="8">
        <v>0</v>
      </c>
      <c r="J1347" s="31">
        <v>0</v>
      </c>
      <c r="K1347" s="31">
        <v>1</v>
      </c>
      <c r="L1347" s="31">
        <v>0</v>
      </c>
      <c r="M1347" s="31">
        <v>0</v>
      </c>
      <c r="N1347" s="31">
        <v>0</v>
      </c>
      <c r="O1347" s="31">
        <v>0</v>
      </c>
      <c r="P1347" s="31">
        <v>0</v>
      </c>
      <c r="Q1347" s="31">
        <v>0</v>
      </c>
      <c r="R1347" s="31">
        <v>0</v>
      </c>
      <c r="S1347" s="31">
        <v>0</v>
      </c>
      <c r="T1347" s="21" cm="1">
        <f t="array" aca="1" ref="T1347" ca="1">+fair_value_gap(OFFSET(S1346,0,0,-1*$I$5,-1*$Z$1),OFFSET(E1346,0,0,-1*$I$5,1),F1347:S1347,0)</f>
        <v>8.4714207915268709</v>
      </c>
      <c r="U1347" s="7" cm="1">
        <f t="array" aca="1" ref="U1347" ca="1">z_score_diff(OFFSET(T1347,0,0,$I$5*-1,1),OFFSET(E1347,0,0,$I$5*-1,1))</f>
        <v>-1.3078598609894909E-2</v>
      </c>
      <c r="V1347" s="7">
        <f t="shared" ca="1" si="1407"/>
        <v>2.2580349027865542E-3</v>
      </c>
      <c r="W1347" s="14">
        <f t="shared" ca="1" si="1402"/>
        <v>-0.26666027730956038</v>
      </c>
      <c r="X1347" s="10">
        <f t="shared" ref="X1347:Y1347" ca="1" si="1468">+X1346</f>
        <v>0</v>
      </c>
      <c r="Y1347" s="10">
        <f t="shared" ca="1" si="1468"/>
        <v>0</v>
      </c>
      <c r="Z1347">
        <f t="shared" ca="1" si="1409"/>
        <v>0</v>
      </c>
      <c r="AA1347">
        <f t="shared" ca="1" si="1410"/>
        <v>1</v>
      </c>
      <c r="AB1347" s="19">
        <f t="shared" ca="1" si="1411"/>
        <v>0</v>
      </c>
      <c r="AC1347" s="19">
        <f t="shared" ca="1" si="1412"/>
        <v>-0.26666027730956038</v>
      </c>
    </row>
    <row r="1348" spans="3:29" x14ac:dyDescent="0.25">
      <c r="C1348" s="4">
        <v>1341</v>
      </c>
      <c r="D1348" s="28">
        <v>43915</v>
      </c>
      <c r="E1348" s="30">
        <v>7.7439999999999998</v>
      </c>
      <c r="F1348" s="30">
        <v>25.174632352941174</v>
      </c>
      <c r="G1348" s="30">
        <v>2.7159926470588234</v>
      </c>
      <c r="H1348" s="30">
        <v>58.409926470588232</v>
      </c>
      <c r="I1348" s="8">
        <v>0</v>
      </c>
      <c r="J1348" s="31">
        <v>0</v>
      </c>
      <c r="K1348" s="31">
        <v>1</v>
      </c>
      <c r="L1348" s="31">
        <v>0</v>
      </c>
      <c r="M1348" s="31">
        <v>0</v>
      </c>
      <c r="N1348" s="31">
        <v>0</v>
      </c>
      <c r="O1348" s="31">
        <v>0</v>
      </c>
      <c r="P1348" s="31">
        <v>0</v>
      </c>
      <c r="Q1348" s="31">
        <v>0</v>
      </c>
      <c r="R1348" s="31">
        <v>0</v>
      </c>
      <c r="S1348" s="31">
        <v>0</v>
      </c>
      <c r="T1348" s="21" cm="1">
        <f t="array" aca="1" ref="T1348" ca="1">+fair_value_gap(OFFSET(S1347,0,0,-1*$I$5,-1*$Z$1),OFFSET(E1347,0,0,-1*$I$5,1),F1348:S1348,0)</f>
        <v>8.2597659130770982</v>
      </c>
      <c r="U1348" s="7" cm="1">
        <f t="array" aca="1" ref="U1348" ca="1">z_score_diff(OFFSET(T1348,0,0,$I$5*-1,1),OFFSET(E1348,0,0,$I$5*-1,1))</f>
        <v>-2.6546144196843979E-2</v>
      </c>
      <c r="V1348" s="7">
        <f t="shared" ca="1" si="1407"/>
        <v>2.3015300110652882E-2</v>
      </c>
      <c r="W1348" s="14">
        <f t="shared" ca="1" si="1402"/>
        <v>-0.29424626945426774</v>
      </c>
      <c r="X1348" s="10">
        <f t="shared" ref="X1348:Y1348" ca="1" si="1469">+X1347</f>
        <v>0</v>
      </c>
      <c r="Y1348" s="10">
        <f t="shared" ca="1" si="1469"/>
        <v>0</v>
      </c>
      <c r="Z1348">
        <f t="shared" ca="1" si="1409"/>
        <v>0</v>
      </c>
      <c r="AA1348">
        <f t="shared" ca="1" si="1410"/>
        <v>1</v>
      </c>
      <c r="AB1348" s="19">
        <f t="shared" ca="1" si="1411"/>
        <v>0</v>
      </c>
      <c r="AC1348" s="19">
        <f t="shared" ca="1" si="1412"/>
        <v>-0.29424626945426774</v>
      </c>
    </row>
    <row r="1349" spans="3:29" x14ac:dyDescent="0.25">
      <c r="C1349" s="4">
        <v>1342</v>
      </c>
      <c r="D1349" s="28">
        <v>43916</v>
      </c>
      <c r="E1349" s="30">
        <v>7.5750000000000002</v>
      </c>
      <c r="F1349" s="30">
        <v>23.884657236126223</v>
      </c>
      <c r="G1349" s="30">
        <v>2.6976786361987668</v>
      </c>
      <c r="H1349" s="30">
        <v>58.260790714544797</v>
      </c>
      <c r="I1349" s="8">
        <v>0</v>
      </c>
      <c r="J1349" s="31">
        <v>0</v>
      </c>
      <c r="K1349" s="31">
        <v>1</v>
      </c>
      <c r="L1349" s="31">
        <v>0</v>
      </c>
      <c r="M1349" s="31">
        <v>0</v>
      </c>
      <c r="N1349" s="31">
        <v>0</v>
      </c>
      <c r="O1349" s="31">
        <v>0</v>
      </c>
      <c r="P1349" s="31">
        <v>0</v>
      </c>
      <c r="Q1349" s="31">
        <v>0</v>
      </c>
      <c r="R1349" s="31">
        <v>0</v>
      </c>
      <c r="S1349" s="31">
        <v>0</v>
      </c>
      <c r="T1349" s="21" cm="1">
        <f t="array" aca="1" ref="T1349" ca="1">+fair_value_gap(OFFSET(S1348,0,0,-1*$I$5,-1*$Z$1),OFFSET(E1348,0,0,-1*$I$5,1),F1349:S1349,0)</f>
        <v>8.1688715479673295</v>
      </c>
      <c r="U1349" s="7" cm="1">
        <f t="array" aca="1" ref="U1349" ca="1">z_score_diff(OFFSET(T1349,0,0,$I$5*-1,1),OFFSET(E1349,0,0,$I$5*-1,1))</f>
        <v>7.9649972872906094E-3</v>
      </c>
      <c r="V1349" s="7">
        <f t="shared" ca="1" si="1407"/>
        <v>4.3853952645625208E-2</v>
      </c>
      <c r="W1349" s="14">
        <f t="shared" ca="1" si="1402"/>
        <v>-0.24297588202182852</v>
      </c>
      <c r="X1349" s="10">
        <f t="shared" ref="X1349:Y1349" ca="1" si="1470">+X1348</f>
        <v>0</v>
      </c>
      <c r="Y1349" s="10">
        <f t="shared" ca="1" si="1470"/>
        <v>0</v>
      </c>
      <c r="Z1349">
        <f t="shared" ca="1" si="1409"/>
        <v>0</v>
      </c>
      <c r="AA1349">
        <f t="shared" ca="1" si="1410"/>
        <v>1</v>
      </c>
      <c r="AB1349" s="19">
        <f t="shared" ca="1" si="1411"/>
        <v>0</v>
      </c>
      <c r="AC1349" s="19">
        <f t="shared" ca="1" si="1412"/>
        <v>-0.24297588202182852</v>
      </c>
    </row>
    <row r="1350" spans="3:29" x14ac:dyDescent="0.25">
      <c r="C1350" s="4">
        <v>1343</v>
      </c>
      <c r="D1350" s="28">
        <v>43917</v>
      </c>
      <c r="E1350" s="30">
        <v>7.218</v>
      </c>
      <c r="F1350" s="30">
        <v>22.378815080789945</v>
      </c>
      <c r="G1350" s="30">
        <v>2.6705565529622977</v>
      </c>
      <c r="H1350" s="30">
        <v>57.899461400359058</v>
      </c>
      <c r="I1350" s="8">
        <v>0</v>
      </c>
      <c r="J1350" s="31">
        <v>0</v>
      </c>
      <c r="K1350" s="31">
        <v>1</v>
      </c>
      <c r="L1350" s="31">
        <v>0</v>
      </c>
      <c r="M1350" s="31">
        <v>0</v>
      </c>
      <c r="N1350" s="31">
        <v>0</v>
      </c>
      <c r="O1350" s="31">
        <v>0</v>
      </c>
      <c r="P1350" s="31">
        <v>0</v>
      </c>
      <c r="Q1350" s="31">
        <v>0</v>
      </c>
      <c r="R1350" s="31">
        <v>0</v>
      </c>
      <c r="S1350" s="31">
        <v>0</v>
      </c>
      <c r="T1350" s="21" cm="1">
        <f t="array" aca="1" ref="T1350" ca="1">+fair_value_gap(OFFSET(S1349,0,0,-1*$I$5,-1*$Z$1),OFFSET(E1349,0,0,-1*$I$5,1),F1350:S1350,0)</f>
        <v>8.0293607516811303</v>
      </c>
      <c r="U1350" s="7" cm="1">
        <f t="array" aca="1" ref="U1350" ca="1">z_score_diff(OFFSET(T1350,0,0,$I$5*-1,1),OFFSET(E1350,0,0,$I$5*-1,1))</f>
        <v>0.10260792084223791</v>
      </c>
      <c r="V1350" s="7">
        <f t="shared" ca="1" si="1407"/>
        <v>7.3786832434448446E-2</v>
      </c>
      <c r="W1350" s="14">
        <f t="shared" ca="1" si="1402"/>
        <v>-0.16061374829572433</v>
      </c>
      <c r="X1350" s="10">
        <f t="shared" ref="X1350:Y1350" ca="1" si="1471">+X1349</f>
        <v>0</v>
      </c>
      <c r="Y1350" s="10">
        <f t="shared" ca="1" si="1471"/>
        <v>0</v>
      </c>
      <c r="Z1350">
        <f t="shared" ca="1" si="1409"/>
        <v>0</v>
      </c>
      <c r="AA1350">
        <f t="shared" ca="1" si="1410"/>
        <v>1</v>
      </c>
      <c r="AB1350" s="19">
        <f t="shared" ca="1" si="1411"/>
        <v>0</v>
      </c>
      <c r="AC1350" s="19">
        <f t="shared" ca="1" si="1412"/>
        <v>-0.16061374829572433</v>
      </c>
    </row>
    <row r="1351" spans="3:29" x14ac:dyDescent="0.25">
      <c r="C1351" s="4">
        <v>1344</v>
      </c>
      <c r="D1351" s="28">
        <v>43920</v>
      </c>
      <c r="E1351" s="30">
        <v>6.8970000000000002</v>
      </c>
      <c r="F1351" s="30">
        <v>20.604743798660149</v>
      </c>
      <c r="G1351" s="30">
        <v>2.6072786529060292</v>
      </c>
      <c r="H1351" s="30">
        <v>65.453557848995104</v>
      </c>
      <c r="I1351" s="8">
        <v>0</v>
      </c>
      <c r="J1351" s="31">
        <v>0</v>
      </c>
      <c r="K1351" s="31">
        <v>1</v>
      </c>
      <c r="L1351" s="31">
        <v>0</v>
      </c>
      <c r="M1351" s="31">
        <v>0</v>
      </c>
      <c r="N1351" s="31">
        <v>0</v>
      </c>
      <c r="O1351" s="31">
        <v>0</v>
      </c>
      <c r="P1351" s="31">
        <v>0</v>
      </c>
      <c r="Q1351" s="31">
        <v>0</v>
      </c>
      <c r="R1351" s="31">
        <v>0</v>
      </c>
      <c r="S1351" s="31">
        <v>0</v>
      </c>
      <c r="T1351" s="21" cm="1">
        <f t="array" aca="1" ref="T1351" ca="1">+fair_value_gap(OFFSET(S1350,0,0,-1*$I$5,-1*$Z$1),OFFSET(E1350,0,0,-1*$I$5,1),F1351:S1351,0)</f>
        <v>8.8910496285146507</v>
      </c>
      <c r="U1351" s="7" cm="1">
        <f t="array" aca="1" ref="U1351" ca="1">z_score_diff(OFFSET(T1351,0,0,$I$5*-1,1),OFFSET(E1351,0,0,$I$5*-1,1))</f>
        <v>0.54394936602102617</v>
      </c>
      <c r="V1351" s="7">
        <f t="shared" ca="1" si="1407"/>
        <v>2.3942959431370526E-2</v>
      </c>
      <c r="W1351" s="14">
        <f t="shared" ref="W1351:W1414" ca="1" si="1472">+LN(OFFSET(E1351,$W$3,0,1,1)/E1351)</f>
        <v>-0.1369964498828169</v>
      </c>
      <c r="X1351" s="10">
        <f t="shared" ref="X1351:Y1351" ca="1" si="1473">+X1350</f>
        <v>0</v>
      </c>
      <c r="Y1351" s="10">
        <f t="shared" ca="1" si="1473"/>
        <v>0</v>
      </c>
      <c r="Z1351">
        <f t="shared" ca="1" si="1409"/>
        <v>0</v>
      </c>
      <c r="AA1351">
        <f t="shared" ca="1" si="1410"/>
        <v>1</v>
      </c>
      <c r="AB1351" s="19">
        <f t="shared" ca="1" si="1411"/>
        <v>0</v>
      </c>
      <c r="AC1351" s="19">
        <f t="shared" ca="1" si="1412"/>
        <v>-0.1369964498828169</v>
      </c>
    </row>
    <row r="1352" spans="3:29" x14ac:dyDescent="0.25">
      <c r="C1352" s="4">
        <v>1345</v>
      </c>
      <c r="D1352" s="28">
        <v>43921</v>
      </c>
      <c r="E1352" s="30">
        <v>6.9020000000000001</v>
      </c>
      <c r="F1352" s="30">
        <v>20.618369752470759</v>
      </c>
      <c r="G1352" s="30">
        <v>2.6067639858554719</v>
      </c>
      <c r="H1352" s="30">
        <v>67.095838244627799</v>
      </c>
      <c r="I1352" s="8">
        <v>0</v>
      </c>
      <c r="J1352" s="31">
        <v>0</v>
      </c>
      <c r="K1352" s="31">
        <v>1</v>
      </c>
      <c r="L1352" s="31">
        <v>0</v>
      </c>
      <c r="M1352" s="31">
        <v>0</v>
      </c>
      <c r="N1352" s="31">
        <v>0</v>
      </c>
      <c r="O1352" s="31">
        <v>0</v>
      </c>
      <c r="P1352" s="31">
        <v>0</v>
      </c>
      <c r="Q1352" s="31">
        <v>0</v>
      </c>
      <c r="R1352" s="31">
        <v>0</v>
      </c>
      <c r="S1352" s="31">
        <v>0</v>
      </c>
      <c r="T1352" s="21" cm="1">
        <f t="array" aca="1" ref="T1352" ca="1">+fair_value_gap(OFFSET(S1351,0,0,-1*$I$5,-1*$Z$1),OFFSET(E1351,0,0,-1*$I$5,1),F1352:S1352,0)</f>
        <v>8.7756739721230659</v>
      </c>
      <c r="U1352" s="7" cm="1">
        <f t="array" aca="1" ref="U1352" ca="1">z_score_diff(OFFSET(T1352,0,0,$I$5*-1,1),OFFSET(E1352,0,0,$I$5*-1,1))</f>
        <v>0.49356910005543364</v>
      </c>
      <c r="V1352" s="7">
        <f t="shared" ca="1" si="1407"/>
        <v>-1.7877162462593521E-3</v>
      </c>
      <c r="W1352" s="14">
        <f t="shared" ca="1" si="1472"/>
        <v>-0.10388055914292901</v>
      </c>
      <c r="X1352" s="10">
        <f t="shared" ref="X1352:Y1352" ca="1" si="1474">+X1351</f>
        <v>0</v>
      </c>
      <c r="Y1352" s="10">
        <f t="shared" ca="1" si="1474"/>
        <v>0</v>
      </c>
      <c r="Z1352">
        <f t="shared" ca="1" si="1409"/>
        <v>1</v>
      </c>
      <c r="AA1352">
        <f t="shared" ca="1" si="1410"/>
        <v>0</v>
      </c>
      <c r="AB1352" s="19">
        <f t="shared" ca="1" si="1411"/>
        <v>-0.10388055914292901</v>
      </c>
      <c r="AC1352" s="19">
        <f t="shared" ca="1" si="1412"/>
        <v>0</v>
      </c>
    </row>
    <row r="1353" spans="3:29" x14ac:dyDescent="0.25">
      <c r="C1353" s="4">
        <v>1346</v>
      </c>
      <c r="D1353" s="28">
        <v>43922</v>
      </c>
      <c r="E1353" s="30">
        <v>6.8239999999999998</v>
      </c>
      <c r="F1353" s="30">
        <v>22.568874293012222</v>
      </c>
      <c r="G1353" s="30">
        <v>2.6181353767560664</v>
      </c>
      <c r="H1353" s="30">
        <v>65.772669220945076</v>
      </c>
      <c r="I1353" s="8">
        <v>0</v>
      </c>
      <c r="J1353" s="31">
        <v>0</v>
      </c>
      <c r="K1353" s="31">
        <v>0</v>
      </c>
      <c r="L1353" s="31">
        <v>1</v>
      </c>
      <c r="M1353" s="31">
        <v>0</v>
      </c>
      <c r="N1353" s="31">
        <v>0</v>
      </c>
      <c r="O1353" s="31">
        <v>0</v>
      </c>
      <c r="P1353" s="31">
        <v>0</v>
      </c>
      <c r="Q1353" s="31">
        <v>0</v>
      </c>
      <c r="R1353" s="31">
        <v>0</v>
      </c>
      <c r="S1353" s="31">
        <v>0</v>
      </c>
      <c r="T1353" s="21" cm="1">
        <f t="array" aca="1" ref="T1353" ca="1">+fair_value_gap(OFFSET(S1352,0,0,-1*$I$5,-1*$Z$1),OFFSET(E1352,0,0,-1*$I$5,1),F1353:S1353,0)</f>
        <v>11.812532132844265</v>
      </c>
      <c r="U1353" s="7" cm="1">
        <f t="array" aca="1" ref="U1353" ca="1">z_score_diff(OFFSET(T1353,0,0,$I$5*-1,1),OFFSET(E1353,0,0,$I$5*-1,1))</f>
        <v>1.6277994415914838</v>
      </c>
      <c r="V1353" s="7">
        <f t="shared" ca="1" si="1407"/>
        <v>3.7105366088623991E-2</v>
      </c>
      <c r="W1353" s="14">
        <f t="shared" ca="1" si="1472"/>
        <v>-0.15520144661707799</v>
      </c>
      <c r="X1353" s="10">
        <f t="shared" ref="X1353:Y1353" ca="1" si="1475">+X1352</f>
        <v>0</v>
      </c>
      <c r="Y1353" s="10">
        <f t="shared" ca="1" si="1475"/>
        <v>0</v>
      </c>
      <c r="Z1353">
        <f t="shared" ca="1" si="1409"/>
        <v>0</v>
      </c>
      <c r="AA1353">
        <f t="shared" ca="1" si="1410"/>
        <v>1</v>
      </c>
      <c r="AB1353" s="19">
        <f t="shared" ca="1" si="1411"/>
        <v>0</v>
      </c>
      <c r="AC1353" s="19">
        <f t="shared" ca="1" si="1412"/>
        <v>-0.15520144661707799</v>
      </c>
    </row>
    <row r="1354" spans="3:29" x14ac:dyDescent="0.25">
      <c r="C1354" s="4">
        <v>1347</v>
      </c>
      <c r="D1354" s="28">
        <v>43923</v>
      </c>
      <c r="E1354" s="30">
        <v>6.9349999999999996</v>
      </c>
      <c r="F1354" s="30">
        <v>27.579218865143702</v>
      </c>
      <c r="G1354" s="30">
        <v>2.6344878408253503</v>
      </c>
      <c r="H1354" s="30">
        <v>62.177597641857041</v>
      </c>
      <c r="I1354" s="8">
        <v>0</v>
      </c>
      <c r="J1354" s="31">
        <v>0</v>
      </c>
      <c r="K1354" s="31">
        <v>0</v>
      </c>
      <c r="L1354" s="31">
        <v>1</v>
      </c>
      <c r="M1354" s="31">
        <v>0</v>
      </c>
      <c r="N1354" s="31">
        <v>0</v>
      </c>
      <c r="O1354" s="31">
        <v>0</v>
      </c>
      <c r="P1354" s="31">
        <v>0</v>
      </c>
      <c r="Q1354" s="31">
        <v>0</v>
      </c>
      <c r="R1354" s="31">
        <v>0</v>
      </c>
      <c r="S1354" s="31">
        <v>0</v>
      </c>
      <c r="T1354" s="21" cm="1">
        <f t="array" aca="1" ref="T1354" ca="1">+fair_value_gap(OFFSET(S1353,0,0,-1*$I$5,-1*$Z$1),OFFSET(E1353,0,0,-1*$I$5,1),F1354:S1354,0)</f>
        <v>9.5092873072068649</v>
      </c>
      <c r="U1354" s="7" cm="1">
        <f t="array" aca="1" ref="U1354" ca="1">z_score_diff(OFFSET(T1354,0,0,$I$5*-1,1),OFFSET(E1354,0,0,$I$5*-1,1))</f>
        <v>0.71852089133797037</v>
      </c>
      <c r="V1354" s="7">
        <f t="shared" ca="1" si="1407"/>
        <v>4.3492045860859162E-2</v>
      </c>
      <c r="W1354" s="14">
        <f t="shared" ca="1" si="1472"/>
        <v>-0.18912184343531979</v>
      </c>
      <c r="X1354" s="10">
        <f t="shared" ref="X1354:Y1354" ca="1" si="1476">+X1353</f>
        <v>0</v>
      </c>
      <c r="Y1354" s="10">
        <f t="shared" ca="1" si="1476"/>
        <v>0</v>
      </c>
      <c r="Z1354">
        <f t="shared" ca="1" si="1409"/>
        <v>0</v>
      </c>
      <c r="AA1354">
        <f t="shared" ca="1" si="1410"/>
        <v>1</v>
      </c>
      <c r="AB1354" s="19">
        <f t="shared" ca="1" si="1411"/>
        <v>0</v>
      </c>
      <c r="AC1354" s="19">
        <f t="shared" ca="1" si="1412"/>
        <v>-0.18912184343531979</v>
      </c>
    </row>
    <row r="1355" spans="3:29" x14ac:dyDescent="0.25">
      <c r="C1355" s="4">
        <v>1348</v>
      </c>
      <c r="D1355" s="28">
        <v>43924</v>
      </c>
      <c r="E1355" s="30">
        <v>6.9219999999999997</v>
      </c>
      <c r="F1355" s="30">
        <v>31.559955588452997</v>
      </c>
      <c r="G1355" s="30">
        <v>2.6323094004441159</v>
      </c>
      <c r="H1355" s="30">
        <v>61.713545521835684</v>
      </c>
      <c r="I1355" s="8">
        <v>0</v>
      </c>
      <c r="J1355" s="31">
        <v>0</v>
      </c>
      <c r="K1355" s="31">
        <v>0</v>
      </c>
      <c r="L1355" s="31">
        <v>1</v>
      </c>
      <c r="M1355" s="31">
        <v>0</v>
      </c>
      <c r="N1355" s="31">
        <v>0</v>
      </c>
      <c r="O1355" s="31">
        <v>0</v>
      </c>
      <c r="P1355" s="31">
        <v>0</v>
      </c>
      <c r="Q1355" s="31">
        <v>0</v>
      </c>
      <c r="R1355" s="31">
        <v>0</v>
      </c>
      <c r="S1355" s="31">
        <v>0</v>
      </c>
      <c r="T1355" s="21" cm="1">
        <f t="array" aca="1" ref="T1355" ca="1">+fair_value_gap(OFFSET(S1354,0,0,-1*$I$5,-1*$Z$1),OFFSET(E1354,0,0,-1*$I$5,1),F1355:S1355,0)</f>
        <v>9.096519328103394</v>
      </c>
      <c r="U1355" s="7" cm="1">
        <f t="array" aca="1" ref="U1355" ca="1">z_score_diff(OFFSET(T1355,0,0,$I$5*-1,1),OFFSET(E1355,0,0,$I$5*-1,1))</f>
        <v>0.5616901266797647</v>
      </c>
      <c r="V1355" s="7">
        <f t="shared" ref="V1355:V1418" ca="1" si="1477">+IF(ISERROR(AVERAGE(OFFSET(U1355,0,0,$V$5*-1,1))),"",AVERAGE(OFFSET(U1355,0,0,$V$5*-1,1)))</f>
        <v>5.6096427585811535E-2</v>
      </c>
      <c r="W1355" s="14">
        <f t="shared" ca="1" si="1472"/>
        <v>-0.19881040882649281</v>
      </c>
      <c r="X1355" s="10">
        <f t="shared" ref="X1355:Y1355" ca="1" si="1478">+X1354</f>
        <v>0</v>
      </c>
      <c r="Y1355" s="10">
        <f t="shared" ca="1" si="1478"/>
        <v>0</v>
      </c>
      <c r="Z1355">
        <f t="shared" ref="Z1355:Z1418" ca="1" si="1479">+IF(V1355="","",IF(V1355&lt;X1355,1,0))</f>
        <v>0</v>
      </c>
      <c r="AA1355">
        <f t="shared" ref="AA1355:AA1418" ca="1" si="1480">+IF(V1355="","",IF(V1355&gt;Y1355,1,0))</f>
        <v>1</v>
      </c>
      <c r="AB1355" s="19">
        <f t="shared" ref="AB1355:AB1418" ca="1" si="1481">+IF(ISERROR(Z1355*W1355),"",Z1355*W1355)</f>
        <v>0</v>
      </c>
      <c r="AC1355" s="19">
        <f t="shared" ref="AC1355:AC1418" ca="1" si="1482">+IF(ISERROR(AA1355*W1355),"",AA1355*W1355)</f>
        <v>-0.19881040882649281</v>
      </c>
    </row>
    <row r="1356" spans="3:29" x14ac:dyDescent="0.25">
      <c r="C1356" s="4">
        <v>1349</v>
      </c>
      <c r="D1356" s="28">
        <v>43927</v>
      </c>
      <c r="E1356" s="30">
        <v>7.2869999999999999</v>
      </c>
      <c r="F1356" s="30">
        <v>30.627374664071912</v>
      </c>
      <c r="G1356" s="30">
        <v>2.6410897970531</v>
      </c>
      <c r="H1356" s="30">
        <v>61.671763506625894</v>
      </c>
      <c r="I1356" s="8">
        <v>0</v>
      </c>
      <c r="J1356" s="31">
        <v>0</v>
      </c>
      <c r="K1356" s="31">
        <v>0</v>
      </c>
      <c r="L1356" s="31">
        <v>1</v>
      </c>
      <c r="M1356" s="31">
        <v>0</v>
      </c>
      <c r="N1356" s="31">
        <v>0</v>
      </c>
      <c r="O1356" s="31">
        <v>0</v>
      </c>
      <c r="P1356" s="31">
        <v>0</v>
      </c>
      <c r="Q1356" s="31">
        <v>0</v>
      </c>
      <c r="R1356" s="31">
        <v>0</v>
      </c>
      <c r="S1356" s="31">
        <v>0</v>
      </c>
      <c r="T1356" s="21" cm="1">
        <f t="array" aca="1" ref="T1356" ca="1">+fair_value_gap(OFFSET(S1355,0,0,-1*$I$5,-1*$Z$1),OFFSET(E1355,0,0,-1*$I$5,1),F1356:S1356,0)</f>
        <v>8.490964514312811</v>
      </c>
      <c r="U1356" s="7" cm="1">
        <f t="array" aca="1" ref="U1356" ca="1">z_score_diff(OFFSET(T1356,0,0,$I$5*-1,1),OFFSET(E1356,0,0,$I$5*-1,1))</f>
        <v>0.19206355471111558</v>
      </c>
      <c r="V1356" s="7">
        <f t="shared" ca="1" si="1477"/>
        <v>8.1985803527692011E-2</v>
      </c>
      <c r="W1356" s="14">
        <f t="shared" ca="1" si="1472"/>
        <v>-0.23463376623361584</v>
      </c>
      <c r="X1356" s="10">
        <f t="shared" ref="X1356:Y1356" ca="1" si="1483">+X1355</f>
        <v>0</v>
      </c>
      <c r="Y1356" s="10">
        <f t="shared" ca="1" si="1483"/>
        <v>0</v>
      </c>
      <c r="Z1356">
        <f t="shared" ca="1" si="1479"/>
        <v>0</v>
      </c>
      <c r="AA1356">
        <f t="shared" ca="1" si="1480"/>
        <v>1</v>
      </c>
      <c r="AB1356" s="19">
        <f t="shared" ca="1" si="1481"/>
        <v>0</v>
      </c>
      <c r="AC1356" s="19">
        <f t="shared" ca="1" si="1482"/>
        <v>-0.23463376623361584</v>
      </c>
    </row>
    <row r="1357" spans="3:29" x14ac:dyDescent="0.25">
      <c r="C1357" s="4">
        <v>1350</v>
      </c>
      <c r="D1357" s="28">
        <v>43928</v>
      </c>
      <c r="E1357" s="30">
        <v>7.2830000000000004</v>
      </c>
      <c r="F1357" s="30">
        <v>29.268068693176602</v>
      </c>
      <c r="G1357" s="30">
        <v>2.5759941225089542</v>
      </c>
      <c r="H1357" s="30">
        <v>60.152447424005878</v>
      </c>
      <c r="I1357" s="8">
        <v>0</v>
      </c>
      <c r="J1357" s="31">
        <v>0</v>
      </c>
      <c r="K1357" s="31">
        <v>0</v>
      </c>
      <c r="L1357" s="31">
        <v>1</v>
      </c>
      <c r="M1357" s="31">
        <v>0</v>
      </c>
      <c r="N1357" s="31">
        <v>0</v>
      </c>
      <c r="O1357" s="31">
        <v>0</v>
      </c>
      <c r="P1357" s="31">
        <v>0</v>
      </c>
      <c r="Q1357" s="31">
        <v>0</v>
      </c>
      <c r="R1357" s="31">
        <v>0</v>
      </c>
      <c r="S1357" s="31">
        <v>0</v>
      </c>
      <c r="T1357" s="21" cm="1">
        <f t="array" aca="1" ref="T1357" ca="1">+fair_value_gap(OFFSET(S1356,0,0,-1*$I$5,-1*$Z$1),OFFSET(E1356,0,0,-1*$I$5,1),F1357:S1357,0)</f>
        <v>7.9487707900437083</v>
      </c>
      <c r="U1357" s="7" cm="1">
        <f t="array" aca="1" ref="U1357" ca="1">z_score_diff(OFFSET(T1357,0,0,$I$5*-1,1),OFFSET(E1357,0,0,$I$5*-1,1))</f>
        <v>-5.373535239471261E-3</v>
      </c>
      <c r="V1357" s="7">
        <f t="shared" ca="1" si="1477"/>
        <v>9.6997403333864349E-2</v>
      </c>
      <c r="W1357" s="14">
        <f t="shared" ca="1" si="1472"/>
        <v>-0.21961415604224463</v>
      </c>
      <c r="X1357" s="10">
        <f t="shared" ref="X1357:Y1357" ca="1" si="1484">+X1356</f>
        <v>0</v>
      </c>
      <c r="Y1357" s="10">
        <f t="shared" ca="1" si="1484"/>
        <v>0</v>
      </c>
      <c r="Z1357">
        <f t="shared" ca="1" si="1479"/>
        <v>0</v>
      </c>
      <c r="AA1357">
        <f t="shared" ca="1" si="1480"/>
        <v>1</v>
      </c>
      <c r="AB1357" s="19">
        <f t="shared" ca="1" si="1481"/>
        <v>0</v>
      </c>
      <c r="AC1357" s="19">
        <f t="shared" ca="1" si="1482"/>
        <v>-0.21961415604224463</v>
      </c>
    </row>
    <row r="1358" spans="3:29" x14ac:dyDescent="0.25">
      <c r="C1358" s="4">
        <v>1351</v>
      </c>
      <c r="D1358" s="28">
        <v>43929</v>
      </c>
      <c r="E1358" s="30">
        <v>7.2590000000000003</v>
      </c>
      <c r="F1358" s="30">
        <v>30.250552689756823</v>
      </c>
      <c r="G1358" s="30">
        <v>2.5884303610906416</v>
      </c>
      <c r="H1358" s="30">
        <v>56.190125276344887</v>
      </c>
      <c r="I1358" s="8">
        <v>0</v>
      </c>
      <c r="J1358" s="31">
        <v>0</v>
      </c>
      <c r="K1358" s="31">
        <v>0</v>
      </c>
      <c r="L1358" s="31">
        <v>1</v>
      </c>
      <c r="M1358" s="31">
        <v>0</v>
      </c>
      <c r="N1358" s="31">
        <v>0</v>
      </c>
      <c r="O1358" s="31">
        <v>0</v>
      </c>
      <c r="P1358" s="31">
        <v>0</v>
      </c>
      <c r="Q1358" s="31">
        <v>0</v>
      </c>
      <c r="R1358" s="31">
        <v>0</v>
      </c>
      <c r="S1358" s="31">
        <v>0</v>
      </c>
      <c r="T1358" s="21" cm="1">
        <f t="array" aca="1" ref="T1358" ca="1">+fair_value_gap(OFFSET(S1357,0,0,-1*$I$5,-1*$Z$1),OFFSET(E1357,0,0,-1*$I$5,1),F1358:S1358,0)</f>
        <v>7.7800571788415525</v>
      </c>
      <c r="U1358" s="7" cm="1">
        <f t="array" aca="1" ref="U1358" ca="1">z_score_diff(OFFSET(T1358,0,0,$I$5*-1,1),OFFSET(E1358,0,0,$I$5*-1,1))</f>
        <v>-5.5698030437463908E-2</v>
      </c>
      <c r="V1358" s="7">
        <f t="shared" ca="1" si="1477"/>
        <v>0.11912315864524917</v>
      </c>
      <c r="W1358" s="14">
        <f t="shared" ca="1" si="1472"/>
        <v>-0.21905356606268464</v>
      </c>
      <c r="X1358" s="10">
        <f t="shared" ref="X1358:Y1358" ca="1" si="1485">+X1357</f>
        <v>0</v>
      </c>
      <c r="Y1358" s="10">
        <f t="shared" ca="1" si="1485"/>
        <v>0</v>
      </c>
      <c r="Z1358">
        <f t="shared" ca="1" si="1479"/>
        <v>0</v>
      </c>
      <c r="AA1358">
        <f t="shared" ca="1" si="1480"/>
        <v>1</v>
      </c>
      <c r="AB1358" s="19">
        <f t="shared" ca="1" si="1481"/>
        <v>0</v>
      </c>
      <c r="AC1358" s="19">
        <f t="shared" ca="1" si="1482"/>
        <v>-0.21905356606268464</v>
      </c>
    </row>
    <row r="1359" spans="3:29" x14ac:dyDescent="0.25">
      <c r="C1359" s="4">
        <v>1352</v>
      </c>
      <c r="D1359" s="28">
        <v>43930</v>
      </c>
      <c r="E1359" s="30">
        <v>7.2789999999999999</v>
      </c>
      <c r="F1359" s="30">
        <v>28.809371282145147</v>
      </c>
      <c r="G1359" s="30">
        <v>2.567035782923035</v>
      </c>
      <c r="H1359" s="30">
        <v>55.001372746407981</v>
      </c>
      <c r="I1359" s="8">
        <v>0</v>
      </c>
      <c r="J1359" s="31">
        <v>0</v>
      </c>
      <c r="K1359" s="31">
        <v>0</v>
      </c>
      <c r="L1359" s="31">
        <v>1</v>
      </c>
      <c r="M1359" s="31">
        <v>0</v>
      </c>
      <c r="N1359" s="31">
        <v>0</v>
      </c>
      <c r="O1359" s="31">
        <v>0</v>
      </c>
      <c r="P1359" s="31">
        <v>0</v>
      </c>
      <c r="Q1359" s="31">
        <v>0</v>
      </c>
      <c r="R1359" s="31">
        <v>0</v>
      </c>
      <c r="S1359" s="31">
        <v>0</v>
      </c>
      <c r="T1359" s="21" cm="1">
        <f t="array" aca="1" ref="T1359" ca="1">+fair_value_gap(OFFSET(S1358,0,0,-1*$I$5,-1*$Z$1),OFFSET(E1358,0,0,-1*$I$5,1),F1359:S1359,0)</f>
        <v>7.4441501775943504</v>
      </c>
      <c r="U1359" s="7" cm="1">
        <f t="array" aca="1" ref="U1359" ca="1">z_score_diff(OFFSET(T1359,0,0,$I$5*-1,1),OFFSET(E1359,0,0,$I$5*-1,1))</f>
        <v>-0.18104330801140622</v>
      </c>
      <c r="V1359" s="7">
        <f t="shared" ca="1" si="1477"/>
        <v>0.13674218678182165</v>
      </c>
      <c r="W1359" s="14">
        <f t="shared" ca="1" si="1472"/>
        <v>-0.24329999858154985</v>
      </c>
      <c r="X1359" s="10">
        <f t="shared" ref="X1359:Y1359" ca="1" si="1486">+X1358</f>
        <v>0</v>
      </c>
      <c r="Y1359" s="10">
        <f t="shared" ca="1" si="1486"/>
        <v>0</v>
      </c>
      <c r="Z1359">
        <f t="shared" ca="1" si="1479"/>
        <v>0</v>
      </c>
      <c r="AA1359">
        <f t="shared" ca="1" si="1480"/>
        <v>1</v>
      </c>
      <c r="AB1359" s="19">
        <f t="shared" ca="1" si="1481"/>
        <v>0</v>
      </c>
      <c r="AC1359" s="19">
        <f t="shared" ca="1" si="1482"/>
        <v>-0.24329999858154985</v>
      </c>
    </row>
    <row r="1360" spans="3:29" x14ac:dyDescent="0.25">
      <c r="C1360" s="4">
        <v>1353</v>
      </c>
      <c r="D1360" s="28">
        <v>43935</v>
      </c>
      <c r="E1360" s="30">
        <v>6.8739999999999997</v>
      </c>
      <c r="F1360" s="30">
        <v>26.960561071135803</v>
      </c>
      <c r="G1360" s="30">
        <v>2.5503233445669</v>
      </c>
      <c r="H1360" s="30">
        <v>53.875580653975767</v>
      </c>
      <c r="I1360" s="8">
        <v>0</v>
      </c>
      <c r="J1360" s="31">
        <v>0</v>
      </c>
      <c r="K1360" s="31">
        <v>0</v>
      </c>
      <c r="L1360" s="31">
        <v>1</v>
      </c>
      <c r="M1360" s="31">
        <v>0</v>
      </c>
      <c r="N1360" s="31">
        <v>0</v>
      </c>
      <c r="O1360" s="31">
        <v>0</v>
      </c>
      <c r="P1360" s="31">
        <v>0</v>
      </c>
      <c r="Q1360" s="31">
        <v>0</v>
      </c>
      <c r="R1360" s="31">
        <v>0</v>
      </c>
      <c r="S1360" s="31">
        <v>0</v>
      </c>
      <c r="T1360" s="21" cm="1">
        <f t="array" aca="1" ref="T1360" ca="1">+fair_value_gap(OFFSET(S1359,0,0,-1*$I$5,-1*$Z$1),OFFSET(E1359,0,0,-1*$I$5,1),F1360:S1360,0)</f>
        <v>7.1331346498151511</v>
      </c>
      <c r="U1360" s="7" cm="1">
        <f t="array" aca="1" ref="U1360" ca="1">z_score_diff(OFFSET(T1360,0,0,$I$5*-1,1),OFFSET(E1360,0,0,$I$5*-1,1))</f>
        <v>-0.13388155430527626</v>
      </c>
      <c r="V1360" s="7">
        <f t="shared" ca="1" si="1477"/>
        <v>0.15165233772639986</v>
      </c>
      <c r="W1360" s="14">
        <f t="shared" ca="1" si="1472"/>
        <v>-0.25758953095883597</v>
      </c>
      <c r="X1360" s="10">
        <f t="shared" ref="X1360:Y1360" ca="1" si="1487">+X1359</f>
        <v>0</v>
      </c>
      <c r="Y1360" s="10">
        <f t="shared" ca="1" si="1487"/>
        <v>0</v>
      </c>
      <c r="Z1360">
        <f t="shared" ca="1" si="1479"/>
        <v>0</v>
      </c>
      <c r="AA1360">
        <f t="shared" ca="1" si="1480"/>
        <v>1</v>
      </c>
      <c r="AB1360" s="19">
        <f t="shared" ca="1" si="1481"/>
        <v>0</v>
      </c>
      <c r="AC1360" s="19">
        <f t="shared" ca="1" si="1482"/>
        <v>-0.25758953095883597</v>
      </c>
    </row>
    <row r="1361" spans="3:29" x14ac:dyDescent="0.25">
      <c r="C1361" s="4">
        <v>1354</v>
      </c>
      <c r="D1361" s="28">
        <v>43936</v>
      </c>
      <c r="E1361" s="30">
        <v>6.649</v>
      </c>
      <c r="F1361" s="30">
        <v>25.387365911799762</v>
      </c>
      <c r="G1361" s="30">
        <v>2.5625744934445769</v>
      </c>
      <c r="H1361" s="30">
        <v>54.093701292747774</v>
      </c>
      <c r="I1361" s="8">
        <v>0</v>
      </c>
      <c r="J1361" s="31">
        <v>0</v>
      </c>
      <c r="K1361" s="31">
        <v>0</v>
      </c>
      <c r="L1361" s="31">
        <v>1</v>
      </c>
      <c r="M1361" s="31">
        <v>0</v>
      </c>
      <c r="N1361" s="31">
        <v>0</v>
      </c>
      <c r="O1361" s="31">
        <v>0</v>
      </c>
      <c r="P1361" s="31">
        <v>0</v>
      </c>
      <c r="Q1361" s="31">
        <v>0</v>
      </c>
      <c r="R1361" s="31">
        <v>0</v>
      </c>
      <c r="S1361" s="31">
        <v>0</v>
      </c>
      <c r="T1361" s="21" cm="1">
        <f t="array" aca="1" ref="T1361" ca="1">+fair_value_gap(OFFSET(S1360,0,0,-1*$I$5,-1*$Z$1),OFFSET(E1360,0,0,-1*$I$5,1),F1361:S1361,0)</f>
        <v>6.9436178787258669</v>
      </c>
      <c r="U1361" s="7" cm="1">
        <f t="array" aca="1" ref="U1361" ca="1">z_score_diff(OFFSET(T1361,0,0,$I$5*-1,1),OFFSET(E1361,0,0,$I$5*-1,1))</f>
        <v>-0.11284672486610114</v>
      </c>
      <c r="V1361" s="7">
        <f t="shared" ca="1" si="1477"/>
        <v>0.15945698224109425</v>
      </c>
      <c r="W1361" s="14">
        <f t="shared" ca="1" si="1472"/>
        <v>-0.26150735994487168</v>
      </c>
      <c r="X1361" s="10">
        <f t="shared" ref="X1361:Y1361" ca="1" si="1488">+X1360</f>
        <v>0</v>
      </c>
      <c r="Y1361" s="10">
        <f t="shared" ca="1" si="1488"/>
        <v>0</v>
      </c>
      <c r="Z1361">
        <f t="shared" ca="1" si="1479"/>
        <v>0</v>
      </c>
      <c r="AA1361">
        <f t="shared" ca="1" si="1480"/>
        <v>1</v>
      </c>
      <c r="AB1361" s="19">
        <f t="shared" ca="1" si="1481"/>
        <v>0</v>
      </c>
      <c r="AC1361" s="19">
        <f t="shared" ca="1" si="1482"/>
        <v>-0.26150735994487168</v>
      </c>
    </row>
    <row r="1362" spans="3:29" x14ac:dyDescent="0.25">
      <c r="C1362" s="4">
        <v>1355</v>
      </c>
      <c r="D1362" s="28">
        <v>43937</v>
      </c>
      <c r="E1362" s="30">
        <v>6.907</v>
      </c>
      <c r="F1362" s="30">
        <v>25.676049838486389</v>
      </c>
      <c r="G1362" s="30">
        <v>2.2796492847254273</v>
      </c>
      <c r="H1362" s="30">
        <v>54.822335025380717</v>
      </c>
      <c r="I1362" s="8">
        <v>0</v>
      </c>
      <c r="J1362" s="31">
        <v>0</v>
      </c>
      <c r="K1362" s="31">
        <v>0</v>
      </c>
      <c r="L1362" s="31">
        <v>1</v>
      </c>
      <c r="M1362" s="31">
        <v>0</v>
      </c>
      <c r="N1362" s="31">
        <v>0</v>
      </c>
      <c r="O1362" s="31">
        <v>0</v>
      </c>
      <c r="P1362" s="31">
        <v>0</v>
      </c>
      <c r="Q1362" s="31">
        <v>0</v>
      </c>
      <c r="R1362" s="31">
        <v>0</v>
      </c>
      <c r="S1362" s="31">
        <v>0</v>
      </c>
      <c r="T1362" s="21" cm="1">
        <f t="array" aca="1" ref="T1362" ca="1">+fair_value_gap(OFFSET(S1361,0,0,-1*$I$5,-1*$Z$1),OFFSET(E1361,0,0,-1*$I$5,1),F1362:S1362,0)</f>
        <v>6.6887667262689199</v>
      </c>
      <c r="U1362" s="7" cm="1">
        <f t="array" aca="1" ref="U1362" ca="1">z_score_diff(OFFSET(T1362,0,0,$I$5*-1,1),OFFSET(E1362,0,0,$I$5*-1,1))</f>
        <v>-0.29304503880270194</v>
      </c>
      <c r="V1362" s="7">
        <f t="shared" ca="1" si="1477"/>
        <v>0.15198701880902385</v>
      </c>
      <c r="W1362" s="14">
        <f t="shared" ca="1" si="1472"/>
        <v>-0.27145424452089711</v>
      </c>
      <c r="X1362" s="10">
        <f t="shared" ref="X1362:Y1362" ca="1" si="1489">+X1361</f>
        <v>0</v>
      </c>
      <c r="Y1362" s="10">
        <f t="shared" ca="1" si="1489"/>
        <v>0</v>
      </c>
      <c r="Z1362">
        <f t="shared" ca="1" si="1479"/>
        <v>0</v>
      </c>
      <c r="AA1362">
        <f t="shared" ca="1" si="1480"/>
        <v>1</v>
      </c>
      <c r="AB1362" s="19">
        <f t="shared" ca="1" si="1481"/>
        <v>0</v>
      </c>
      <c r="AC1362" s="19">
        <f t="shared" ca="1" si="1482"/>
        <v>-0.27145424452089711</v>
      </c>
    </row>
    <row r="1363" spans="3:29" x14ac:dyDescent="0.25">
      <c r="C1363" s="4">
        <v>1356</v>
      </c>
      <c r="D1363" s="28">
        <v>43938</v>
      </c>
      <c r="E1363" s="30">
        <v>6.9939999999999998</v>
      </c>
      <c r="F1363" s="30">
        <v>25.818315557190143</v>
      </c>
      <c r="G1363" s="30">
        <v>2.1561235748436931</v>
      </c>
      <c r="H1363" s="30">
        <v>53.098565649135715</v>
      </c>
      <c r="I1363" s="8">
        <v>0</v>
      </c>
      <c r="J1363" s="31">
        <v>0</v>
      </c>
      <c r="K1363" s="31">
        <v>0</v>
      </c>
      <c r="L1363" s="31">
        <v>1</v>
      </c>
      <c r="M1363" s="31">
        <v>0</v>
      </c>
      <c r="N1363" s="31">
        <v>0</v>
      </c>
      <c r="O1363" s="31">
        <v>0</v>
      </c>
      <c r="P1363" s="31">
        <v>0</v>
      </c>
      <c r="Q1363" s="31">
        <v>0</v>
      </c>
      <c r="R1363" s="31">
        <v>0</v>
      </c>
      <c r="S1363" s="31">
        <v>0</v>
      </c>
      <c r="T1363" s="21" cm="1">
        <f t="array" aca="1" ref="T1363" ca="1">+fair_value_gap(OFFSET(S1362,0,0,-1*$I$5,-1*$Z$1),OFFSET(E1362,0,0,-1*$I$5,1),F1363:S1363,0)</f>
        <v>6.4760055226287854</v>
      </c>
      <c r="U1363" s="7" cm="1">
        <f t="array" aca="1" ref="U1363" ca="1">z_score_diff(OFFSET(T1363,0,0,$I$5*-1,1),OFFSET(E1363,0,0,$I$5*-1,1))</f>
        <v>-0.38985813076303044</v>
      </c>
      <c r="V1363" s="7">
        <f t="shared" ca="1" si="1477"/>
        <v>0.14146791566103814</v>
      </c>
      <c r="W1363" s="14">
        <f t="shared" ca="1" si="1472"/>
        <v>-0.29293845192664741</v>
      </c>
      <c r="X1363" s="10">
        <f t="shared" ref="X1363:Y1363" ca="1" si="1490">+X1362</f>
        <v>0</v>
      </c>
      <c r="Y1363" s="10">
        <f t="shared" ca="1" si="1490"/>
        <v>0</v>
      </c>
      <c r="Z1363">
        <f t="shared" ca="1" si="1479"/>
        <v>0</v>
      </c>
      <c r="AA1363">
        <f t="shared" ca="1" si="1480"/>
        <v>1</v>
      </c>
      <c r="AB1363" s="19">
        <f t="shared" ca="1" si="1481"/>
        <v>0</v>
      </c>
      <c r="AC1363" s="19">
        <f t="shared" ca="1" si="1482"/>
        <v>-0.29293845192664741</v>
      </c>
    </row>
    <row r="1364" spans="3:29" x14ac:dyDescent="0.25">
      <c r="C1364" s="4">
        <v>1357</v>
      </c>
      <c r="D1364" s="28">
        <v>43941</v>
      </c>
      <c r="E1364" s="30">
        <v>6.6180000000000003</v>
      </c>
      <c r="F1364" s="30">
        <v>23.540784385932607</v>
      </c>
      <c r="G1364" s="30">
        <v>2.089854538758976</v>
      </c>
      <c r="H1364" s="30">
        <v>51.87810716258516</v>
      </c>
      <c r="I1364" s="8">
        <v>0</v>
      </c>
      <c r="J1364" s="31">
        <v>0</v>
      </c>
      <c r="K1364" s="31">
        <v>0</v>
      </c>
      <c r="L1364" s="31">
        <v>1</v>
      </c>
      <c r="M1364" s="31">
        <v>0</v>
      </c>
      <c r="N1364" s="31">
        <v>0</v>
      </c>
      <c r="O1364" s="31">
        <v>0</v>
      </c>
      <c r="P1364" s="31">
        <v>0</v>
      </c>
      <c r="Q1364" s="31">
        <v>0</v>
      </c>
      <c r="R1364" s="31">
        <v>0</v>
      </c>
      <c r="S1364" s="31">
        <v>0</v>
      </c>
      <c r="T1364" s="21" cm="1">
        <f t="array" aca="1" ref="T1364" ca="1">+fair_value_gap(OFFSET(S1363,0,0,-1*$I$5,-1*$Z$1),OFFSET(E1363,0,0,-1*$I$5,1),F1364:S1364,0)</f>
        <v>6.1199634890210621</v>
      </c>
      <c r="U1364" s="7" cm="1">
        <f t="array" aca="1" ref="U1364" ca="1">z_score_diff(OFFSET(T1364,0,0,$I$5*-1,1),OFFSET(E1364,0,0,$I$5*-1,1))</f>
        <v>-0.36218679675880283</v>
      </c>
      <c r="V1364" s="7">
        <f t="shared" ca="1" si="1477"/>
        <v>0.1311153042540821</v>
      </c>
      <c r="W1364" s="14">
        <f t="shared" ca="1" si="1472"/>
        <v>-0.29607825753055639</v>
      </c>
      <c r="X1364" s="10">
        <f t="shared" ref="X1364:Y1364" ca="1" si="1491">+X1363</f>
        <v>0</v>
      </c>
      <c r="Y1364" s="10">
        <f t="shared" ca="1" si="1491"/>
        <v>0</v>
      </c>
      <c r="Z1364">
        <f t="shared" ca="1" si="1479"/>
        <v>0</v>
      </c>
      <c r="AA1364">
        <f t="shared" ca="1" si="1480"/>
        <v>1</v>
      </c>
      <c r="AB1364" s="19">
        <f t="shared" ca="1" si="1481"/>
        <v>0</v>
      </c>
      <c r="AC1364" s="19">
        <f t="shared" ca="1" si="1482"/>
        <v>-0.29607825753055639</v>
      </c>
    </row>
    <row r="1365" spans="3:29" x14ac:dyDescent="0.25">
      <c r="C1365" s="4">
        <v>1358</v>
      </c>
      <c r="D1365" s="28">
        <v>43942</v>
      </c>
      <c r="E1365" s="30">
        <v>6.3150000000000004</v>
      </c>
      <c r="F1365" s="30">
        <v>17.805821665438469</v>
      </c>
      <c r="G1365" s="30">
        <v>1.9390198968312455</v>
      </c>
      <c r="H1365" s="30">
        <v>51.768607221812829</v>
      </c>
      <c r="I1365" s="8">
        <v>0</v>
      </c>
      <c r="J1365" s="31">
        <v>0</v>
      </c>
      <c r="K1365" s="31">
        <v>0</v>
      </c>
      <c r="L1365" s="31">
        <v>1</v>
      </c>
      <c r="M1365" s="31">
        <v>0</v>
      </c>
      <c r="N1365" s="31">
        <v>0</v>
      </c>
      <c r="O1365" s="31">
        <v>0</v>
      </c>
      <c r="P1365" s="31">
        <v>0</v>
      </c>
      <c r="Q1365" s="31">
        <v>0</v>
      </c>
      <c r="R1365" s="31">
        <v>0</v>
      </c>
      <c r="S1365" s="31">
        <v>0</v>
      </c>
      <c r="T1365" s="21" cm="1">
        <f t="array" aca="1" ref="T1365" ca="1">+fair_value_gap(OFFSET(S1364,0,0,-1*$I$5,-1*$Z$1),OFFSET(E1364,0,0,-1*$I$5,1),F1365:S1365,0)</f>
        <v>5.4973902231594121</v>
      </c>
      <c r="U1365" s="7" cm="1">
        <f t="array" aca="1" ref="U1365" ca="1">z_score_diff(OFFSET(T1365,0,0,$I$5*-1,1),OFFSET(E1365,0,0,$I$5*-1,1))</f>
        <v>-0.44979466757774222</v>
      </c>
      <c r="V1365" s="7">
        <f t="shared" ca="1" si="1477"/>
        <v>0.11102172994679713</v>
      </c>
      <c r="W1365" s="14">
        <f t="shared" ca="1" si="1472"/>
        <v>-0.31426615339564185</v>
      </c>
      <c r="X1365" s="10">
        <f t="shared" ref="X1365:Y1365" ca="1" si="1492">+X1364</f>
        <v>0</v>
      </c>
      <c r="Y1365" s="10">
        <f t="shared" ca="1" si="1492"/>
        <v>0</v>
      </c>
      <c r="Z1365">
        <f t="shared" ca="1" si="1479"/>
        <v>0</v>
      </c>
      <c r="AA1365">
        <f t="shared" ca="1" si="1480"/>
        <v>1</v>
      </c>
      <c r="AB1365" s="19">
        <f t="shared" ca="1" si="1481"/>
        <v>0</v>
      </c>
      <c r="AC1365" s="19">
        <f t="shared" ca="1" si="1482"/>
        <v>-0.31426615339564185</v>
      </c>
    </row>
    <row r="1366" spans="3:29" x14ac:dyDescent="0.25">
      <c r="C1366" s="4">
        <v>1359</v>
      </c>
      <c r="D1366" s="28">
        <v>43943</v>
      </c>
      <c r="E1366" s="30">
        <v>6.226</v>
      </c>
      <c r="F1366" s="30">
        <v>18.822768434670117</v>
      </c>
      <c r="G1366" s="30">
        <v>1.9173905008316394</v>
      </c>
      <c r="H1366" s="30">
        <v>52.624283866198482</v>
      </c>
      <c r="I1366" s="8">
        <v>0</v>
      </c>
      <c r="J1366" s="31">
        <v>0</v>
      </c>
      <c r="K1366" s="31">
        <v>0</v>
      </c>
      <c r="L1366" s="31">
        <v>1</v>
      </c>
      <c r="M1366" s="31">
        <v>0</v>
      </c>
      <c r="N1366" s="31">
        <v>0</v>
      </c>
      <c r="O1366" s="31">
        <v>0</v>
      </c>
      <c r="P1366" s="31">
        <v>0</v>
      </c>
      <c r="Q1366" s="31">
        <v>0</v>
      </c>
      <c r="R1366" s="31">
        <v>0</v>
      </c>
      <c r="S1366" s="31">
        <v>0</v>
      </c>
      <c r="T1366" s="21" cm="1">
        <f t="array" aca="1" ref="T1366" ca="1">+fair_value_gap(OFFSET(S1365,0,0,-1*$I$5,-1*$Z$1),OFFSET(E1365,0,0,-1*$I$5,1),F1366:S1366,0)</f>
        <v>5.6565393162272528</v>
      </c>
      <c r="U1366" s="7" cm="1">
        <f t="array" aca="1" ref="U1366" ca="1">z_score_diff(OFFSET(T1366,0,0,$I$5*-1,1),OFFSET(E1366,0,0,$I$5*-1,1))</f>
        <v>-0.35031286013529073</v>
      </c>
      <c r="V1366" s="7">
        <f t="shared" ca="1" si="1477"/>
        <v>9.3725000441114842E-2</v>
      </c>
      <c r="W1366" s="14">
        <f t="shared" ca="1" si="1472"/>
        <v>-0.33313697600907571</v>
      </c>
      <c r="X1366" s="10">
        <f t="shared" ref="X1366:Y1366" ca="1" si="1493">+X1365</f>
        <v>0</v>
      </c>
      <c r="Y1366" s="10">
        <f t="shared" ca="1" si="1493"/>
        <v>0</v>
      </c>
      <c r="Z1366">
        <f t="shared" ca="1" si="1479"/>
        <v>0</v>
      </c>
      <c r="AA1366">
        <f t="shared" ca="1" si="1480"/>
        <v>1</v>
      </c>
      <c r="AB1366" s="19">
        <f t="shared" ca="1" si="1481"/>
        <v>0</v>
      </c>
      <c r="AC1366" s="19">
        <f t="shared" ca="1" si="1482"/>
        <v>-0.33313697600907571</v>
      </c>
    </row>
    <row r="1367" spans="3:29" x14ac:dyDescent="0.25">
      <c r="C1367" s="4">
        <v>1360</v>
      </c>
      <c r="D1367" s="28">
        <v>43944</v>
      </c>
      <c r="E1367" s="30">
        <v>6.0570000000000004</v>
      </c>
      <c r="F1367" s="30">
        <v>19.793986636971049</v>
      </c>
      <c r="G1367" s="30">
        <v>1.9023756495916853</v>
      </c>
      <c r="H1367" s="30">
        <v>52.895322939866375</v>
      </c>
      <c r="I1367" s="8">
        <v>0</v>
      </c>
      <c r="J1367" s="31">
        <v>0</v>
      </c>
      <c r="K1367" s="31">
        <v>0</v>
      </c>
      <c r="L1367" s="31">
        <v>1</v>
      </c>
      <c r="M1367" s="31">
        <v>0</v>
      </c>
      <c r="N1367" s="31">
        <v>0</v>
      </c>
      <c r="O1367" s="31">
        <v>0</v>
      </c>
      <c r="P1367" s="31">
        <v>0</v>
      </c>
      <c r="Q1367" s="31">
        <v>0</v>
      </c>
      <c r="R1367" s="31">
        <v>0</v>
      </c>
      <c r="S1367" s="31">
        <v>0</v>
      </c>
      <c r="T1367" s="21" cm="1">
        <f t="array" aca="1" ref="T1367" ca="1">+fair_value_gap(OFFSET(S1366,0,0,-1*$I$5,-1*$Z$1),OFFSET(E1366,0,0,-1*$I$5,1),F1367:S1367,0)</f>
        <v>5.7659576985111567</v>
      </c>
      <c r="U1367" s="7" cm="1">
        <f t="array" aca="1" ref="U1367" ca="1">z_score_diff(OFFSET(T1367,0,0,$I$5*-1,1),OFFSET(E1367,0,0,$I$5*-1,1))</f>
        <v>-0.24253752004037832</v>
      </c>
      <c r="V1367" s="7">
        <f t="shared" ca="1" si="1477"/>
        <v>8.2252054369590683E-2</v>
      </c>
      <c r="W1367" s="14">
        <f t="shared" ca="1" si="1472"/>
        <v>-0.45991763280965531</v>
      </c>
      <c r="X1367" s="10">
        <f t="shared" ref="X1367:Y1367" ca="1" si="1494">+X1366</f>
        <v>0</v>
      </c>
      <c r="Y1367" s="10">
        <f t="shared" ca="1" si="1494"/>
        <v>0</v>
      </c>
      <c r="Z1367">
        <f t="shared" ca="1" si="1479"/>
        <v>0</v>
      </c>
      <c r="AA1367">
        <f t="shared" ca="1" si="1480"/>
        <v>1</v>
      </c>
      <c r="AB1367" s="19">
        <f t="shared" ca="1" si="1481"/>
        <v>0</v>
      </c>
      <c r="AC1367" s="19">
        <f t="shared" ca="1" si="1482"/>
        <v>-0.45991763280965531</v>
      </c>
    </row>
    <row r="1368" spans="3:29" x14ac:dyDescent="0.25">
      <c r="C1368" s="4">
        <v>1361</v>
      </c>
      <c r="D1368" s="28">
        <v>43945</v>
      </c>
      <c r="E1368" s="30">
        <v>5.77</v>
      </c>
      <c r="F1368" s="30">
        <v>19.815157116451015</v>
      </c>
      <c r="G1368" s="30">
        <v>1.8715341959334564</v>
      </c>
      <c r="H1368" s="30">
        <v>52.726432532347495</v>
      </c>
      <c r="I1368" s="8">
        <v>0</v>
      </c>
      <c r="J1368" s="31">
        <v>0</v>
      </c>
      <c r="K1368" s="31">
        <v>0</v>
      </c>
      <c r="L1368" s="31">
        <v>1</v>
      </c>
      <c r="M1368" s="31">
        <v>0</v>
      </c>
      <c r="N1368" s="31">
        <v>0</v>
      </c>
      <c r="O1368" s="31">
        <v>0</v>
      </c>
      <c r="P1368" s="31">
        <v>0</v>
      </c>
      <c r="Q1368" s="31">
        <v>0</v>
      </c>
      <c r="R1368" s="31">
        <v>0</v>
      </c>
      <c r="S1368" s="31">
        <v>0</v>
      </c>
      <c r="T1368" s="21" cm="1">
        <f t="array" aca="1" ref="T1368" ca="1">+fair_value_gap(OFFSET(S1367,0,0,-1*$I$5,-1*$Z$1),OFFSET(E1367,0,0,-1*$I$5,1),F1368:S1368,0)</f>
        <v>5.7461095361753909</v>
      </c>
      <c r="U1368" s="7" cm="1">
        <f t="array" aca="1" ref="U1368" ca="1">z_score_diff(OFFSET(T1368,0,0,$I$5*-1,1),OFFSET(E1368,0,0,$I$5*-1,1))</f>
        <v>-0.13885127854002643</v>
      </c>
      <c r="V1368" s="7">
        <f t="shared" ca="1" si="1477"/>
        <v>7.6636797652431546E-2</v>
      </c>
      <c r="W1368" s="14">
        <f t="shared" ca="1" si="1472"/>
        <v>-0.39452002534639785</v>
      </c>
      <c r="X1368" s="10">
        <f t="shared" ref="X1368:Y1368" ca="1" si="1495">+X1367</f>
        <v>0</v>
      </c>
      <c r="Y1368" s="10">
        <f t="shared" ca="1" si="1495"/>
        <v>0</v>
      </c>
      <c r="Z1368">
        <f t="shared" ca="1" si="1479"/>
        <v>0</v>
      </c>
      <c r="AA1368">
        <f t="shared" ca="1" si="1480"/>
        <v>1</v>
      </c>
      <c r="AB1368" s="19">
        <f t="shared" ca="1" si="1481"/>
        <v>0</v>
      </c>
      <c r="AC1368" s="19">
        <f t="shared" ca="1" si="1482"/>
        <v>-0.39452002534639785</v>
      </c>
    </row>
    <row r="1369" spans="3:29" x14ac:dyDescent="0.25">
      <c r="C1369" s="4">
        <v>1362</v>
      </c>
      <c r="D1369" s="28">
        <v>43948</v>
      </c>
      <c r="E1369" s="30">
        <v>5.9409999999999998</v>
      </c>
      <c r="F1369" s="30">
        <v>18.461396379756188</v>
      </c>
      <c r="G1369" s="30">
        <v>1.8424455116364982</v>
      </c>
      <c r="H1369" s="30">
        <v>45.114517916512746</v>
      </c>
      <c r="I1369" s="8">
        <v>0</v>
      </c>
      <c r="J1369" s="31">
        <v>0</v>
      </c>
      <c r="K1369" s="31">
        <v>0</v>
      </c>
      <c r="L1369" s="31">
        <v>1</v>
      </c>
      <c r="M1369" s="31">
        <v>0</v>
      </c>
      <c r="N1369" s="31">
        <v>0</v>
      </c>
      <c r="O1369" s="31">
        <v>0</v>
      </c>
      <c r="P1369" s="31">
        <v>0</v>
      </c>
      <c r="Q1369" s="31">
        <v>0</v>
      </c>
      <c r="R1369" s="31">
        <v>0</v>
      </c>
      <c r="S1369" s="31">
        <v>0</v>
      </c>
      <c r="T1369" s="21" cm="1">
        <f t="array" aca="1" ref="T1369" ca="1">+fair_value_gap(OFFSET(S1368,0,0,-1*$I$5,-1*$Z$1),OFFSET(E1368,0,0,-1*$I$5,1),F1369:S1369,0)</f>
        <v>4.9168180273994659</v>
      </c>
      <c r="U1369" s="7" cm="1">
        <f t="array" aca="1" ref="U1369" ca="1">z_score_diff(OFFSET(T1369,0,0,$I$5*-1,1),OFFSET(E1369,0,0,$I$5*-1,1))</f>
        <v>-0.45916513274721016</v>
      </c>
      <c r="V1369" s="7">
        <f t="shared" ca="1" si="1477"/>
        <v>5.3280291150706517E-2</v>
      </c>
      <c r="W1369" s="14">
        <f t="shared" ca="1" si="1472"/>
        <v>-0.21451233336141187</v>
      </c>
      <c r="X1369" s="10">
        <f t="shared" ref="X1369:Y1369" ca="1" si="1496">+X1368</f>
        <v>0</v>
      </c>
      <c r="Y1369" s="10">
        <f t="shared" ca="1" si="1496"/>
        <v>0</v>
      </c>
      <c r="Z1369">
        <f t="shared" ca="1" si="1479"/>
        <v>0</v>
      </c>
      <c r="AA1369">
        <f t="shared" ca="1" si="1480"/>
        <v>1</v>
      </c>
      <c r="AB1369" s="19">
        <f t="shared" ca="1" si="1481"/>
        <v>0</v>
      </c>
      <c r="AC1369" s="19">
        <f t="shared" ca="1" si="1482"/>
        <v>-0.21451233336141187</v>
      </c>
    </row>
    <row r="1370" spans="3:29" x14ac:dyDescent="0.25">
      <c r="C1370" s="4">
        <v>1363</v>
      </c>
      <c r="D1370" s="28">
        <v>43949</v>
      </c>
      <c r="E1370" s="30">
        <v>6.1470000000000002</v>
      </c>
      <c r="F1370" s="30">
        <v>18.91292290626733</v>
      </c>
      <c r="G1370" s="30">
        <v>1.8487705675725641</v>
      </c>
      <c r="H1370" s="30">
        <v>45.664633019042334</v>
      </c>
      <c r="I1370" s="8">
        <v>0</v>
      </c>
      <c r="J1370" s="31">
        <v>0</v>
      </c>
      <c r="K1370" s="31">
        <v>0</v>
      </c>
      <c r="L1370" s="31">
        <v>1</v>
      </c>
      <c r="M1370" s="31">
        <v>0</v>
      </c>
      <c r="N1370" s="31">
        <v>0</v>
      </c>
      <c r="O1370" s="31">
        <v>0</v>
      </c>
      <c r="P1370" s="31">
        <v>0</v>
      </c>
      <c r="Q1370" s="31">
        <v>0</v>
      </c>
      <c r="R1370" s="31">
        <v>0</v>
      </c>
      <c r="S1370" s="31">
        <v>0</v>
      </c>
      <c r="T1370" s="21" cm="1">
        <f t="array" aca="1" ref="T1370" ca="1">+fair_value_gap(OFFSET(S1369,0,0,-1*$I$5,-1*$Z$1),OFFSET(E1369,0,0,-1*$I$5,1),F1370:S1370,0)</f>
        <v>5.0626077608265412</v>
      </c>
      <c r="U1370" s="7" cm="1">
        <f t="array" aca="1" ref="U1370" ca="1">z_score_diff(OFFSET(T1370,0,0,$I$5*-1,1),OFFSET(E1370,0,0,$I$5*-1,1))</f>
        <v>-0.4690461945331974</v>
      </c>
      <c r="V1370" s="7">
        <f t="shared" ca="1" si="1477"/>
        <v>2.4697585381934749E-2</v>
      </c>
      <c r="W1370" s="14">
        <f t="shared" ca="1" si="1472"/>
        <v>-0.39938310420010942</v>
      </c>
      <c r="X1370" s="10">
        <f t="shared" ref="X1370:Y1370" ca="1" si="1497">+X1369</f>
        <v>0</v>
      </c>
      <c r="Y1370" s="10">
        <f t="shared" ca="1" si="1497"/>
        <v>0</v>
      </c>
      <c r="Z1370">
        <f t="shared" ca="1" si="1479"/>
        <v>0</v>
      </c>
      <c r="AA1370">
        <f t="shared" ca="1" si="1480"/>
        <v>1</v>
      </c>
      <c r="AB1370" s="19">
        <f t="shared" ca="1" si="1481"/>
        <v>0</v>
      </c>
      <c r="AC1370" s="19">
        <f t="shared" ca="1" si="1482"/>
        <v>-0.39938310420010942</v>
      </c>
    </row>
    <row r="1371" spans="3:29" x14ac:dyDescent="0.25">
      <c r="C1371" s="4">
        <v>1364</v>
      </c>
      <c r="D1371" s="28">
        <v>43950</v>
      </c>
      <c r="E1371" s="30">
        <v>6.0140000000000002</v>
      </c>
      <c r="F1371" s="30">
        <v>20.730249241239768</v>
      </c>
      <c r="G1371" s="30">
        <v>1.8394187436769982</v>
      </c>
      <c r="H1371" s="30">
        <v>46.537294215028055</v>
      </c>
      <c r="I1371" s="8">
        <v>0</v>
      </c>
      <c r="J1371" s="31">
        <v>0</v>
      </c>
      <c r="K1371" s="31">
        <v>0</v>
      </c>
      <c r="L1371" s="31">
        <v>1</v>
      </c>
      <c r="M1371" s="31">
        <v>0</v>
      </c>
      <c r="N1371" s="31">
        <v>0</v>
      </c>
      <c r="O1371" s="31">
        <v>0</v>
      </c>
      <c r="P1371" s="31">
        <v>0</v>
      </c>
      <c r="Q1371" s="31">
        <v>0</v>
      </c>
      <c r="R1371" s="31">
        <v>0</v>
      </c>
      <c r="S1371" s="31">
        <v>0</v>
      </c>
      <c r="T1371" s="21" cm="1">
        <f t="array" aca="1" ref="T1371" ca="1">+fair_value_gap(OFFSET(S1370,0,0,-1*$I$5,-1*$Z$1),OFFSET(E1370,0,0,-1*$I$5,1),F1371:S1371,0)</f>
        <v>5.302736009283243</v>
      </c>
      <c r="U1371" s="7" cm="1">
        <f t="array" aca="1" ref="U1371" ca="1">z_score_diff(OFFSET(T1371,0,0,$I$5*-1,1),OFFSET(E1371,0,0,$I$5*-1,1))</f>
        <v>-0.33202654396995435</v>
      </c>
      <c r="V1371" s="7">
        <f t="shared" ca="1" si="1477"/>
        <v>-1.9101210117614287E-2</v>
      </c>
      <c r="W1371" s="14">
        <f t="shared" ca="1" si="1472"/>
        <v>-0.48710953016617226</v>
      </c>
      <c r="X1371" s="10">
        <f t="shared" ref="X1371:Y1371" ca="1" si="1498">+X1370</f>
        <v>0</v>
      </c>
      <c r="Y1371" s="10">
        <f t="shared" ca="1" si="1498"/>
        <v>0</v>
      </c>
      <c r="Z1371">
        <f t="shared" ca="1" si="1479"/>
        <v>1</v>
      </c>
      <c r="AA1371">
        <f t="shared" ca="1" si="1480"/>
        <v>0</v>
      </c>
      <c r="AB1371" s="19">
        <f t="shared" ca="1" si="1481"/>
        <v>-0.48710953016617226</v>
      </c>
      <c r="AC1371" s="19">
        <f t="shared" ca="1" si="1482"/>
        <v>0</v>
      </c>
    </row>
    <row r="1372" spans="3:29" x14ac:dyDescent="0.25">
      <c r="C1372" s="4">
        <v>1365</v>
      </c>
      <c r="D1372" s="28">
        <v>43951</v>
      </c>
      <c r="E1372" s="30">
        <v>6.2210000000000001</v>
      </c>
      <c r="F1372" s="30">
        <v>23.067092651757189</v>
      </c>
      <c r="G1372" s="30">
        <v>1.8302145139205843</v>
      </c>
      <c r="H1372" s="30">
        <v>48.699224098585127</v>
      </c>
      <c r="I1372" s="8">
        <v>0</v>
      </c>
      <c r="J1372" s="31">
        <v>0</v>
      </c>
      <c r="K1372" s="31">
        <v>0</v>
      </c>
      <c r="L1372" s="31">
        <v>1</v>
      </c>
      <c r="M1372" s="31">
        <v>0</v>
      </c>
      <c r="N1372" s="31">
        <v>0</v>
      </c>
      <c r="O1372" s="31">
        <v>0</v>
      </c>
      <c r="P1372" s="31">
        <v>0</v>
      </c>
      <c r="Q1372" s="31">
        <v>0</v>
      </c>
      <c r="R1372" s="31">
        <v>0</v>
      </c>
      <c r="S1372" s="31">
        <v>0</v>
      </c>
      <c r="T1372" s="21" cm="1">
        <f t="array" aca="1" ref="T1372" ca="1">+fair_value_gap(OFFSET(S1371,0,0,-1*$I$5,-1*$Z$1),OFFSET(E1371,0,0,-1*$I$5,1),F1372:S1372,0)</f>
        <v>5.6744571980006446</v>
      </c>
      <c r="U1372" s="7" cm="1">
        <f t="array" aca="1" ref="U1372" ca="1">z_score_diff(OFFSET(T1372,0,0,$I$5*-1,1),OFFSET(E1372,0,0,$I$5*-1,1))</f>
        <v>-0.27708843191681876</v>
      </c>
      <c r="V1372" s="7">
        <f t="shared" ca="1" si="1477"/>
        <v>-5.7634086716226884E-2</v>
      </c>
      <c r="W1372" s="14">
        <f t="shared" ca="1" si="1472"/>
        <v>-0.57259956893180475</v>
      </c>
      <c r="X1372" s="10">
        <f t="shared" ref="X1372:Y1372" ca="1" si="1499">+X1371</f>
        <v>0</v>
      </c>
      <c r="Y1372" s="10">
        <f t="shared" ca="1" si="1499"/>
        <v>0</v>
      </c>
      <c r="Z1372">
        <f t="shared" ca="1" si="1479"/>
        <v>1</v>
      </c>
      <c r="AA1372">
        <f t="shared" ca="1" si="1480"/>
        <v>0</v>
      </c>
      <c r="AB1372" s="19">
        <f t="shared" ca="1" si="1481"/>
        <v>-0.57259956893180475</v>
      </c>
      <c r="AC1372" s="19">
        <f t="shared" ca="1" si="1482"/>
        <v>0</v>
      </c>
    </row>
    <row r="1373" spans="3:29" x14ac:dyDescent="0.25">
      <c r="C1373" s="4">
        <v>1366</v>
      </c>
      <c r="D1373" s="28">
        <v>43952</v>
      </c>
      <c r="E1373" s="30">
        <v>5.843</v>
      </c>
      <c r="F1373" s="30">
        <v>24.07356824182828</v>
      </c>
      <c r="G1373" s="30">
        <v>1.8209960848584175</v>
      </c>
      <c r="H1373" s="30">
        <v>47.801147227533455</v>
      </c>
      <c r="I1373" s="8">
        <v>0</v>
      </c>
      <c r="J1373" s="31">
        <v>0</v>
      </c>
      <c r="K1373" s="31">
        <v>0</v>
      </c>
      <c r="L1373" s="31">
        <v>0</v>
      </c>
      <c r="M1373" s="31">
        <v>1</v>
      </c>
      <c r="N1373" s="31">
        <v>0</v>
      </c>
      <c r="O1373" s="31">
        <v>0</v>
      </c>
      <c r="P1373" s="31">
        <v>0</v>
      </c>
      <c r="Q1373" s="31">
        <v>0</v>
      </c>
      <c r="R1373" s="31">
        <v>0</v>
      </c>
      <c r="S1373" s="31">
        <v>0</v>
      </c>
      <c r="T1373" s="21" cm="1">
        <f t="array" aca="1" ref="T1373" ca="1">+fair_value_gap(OFFSET(S1372,0,0,-1*$I$5,-1*$Z$1),OFFSET(E1372,0,0,-1*$I$5,1),F1373:S1373,0)</f>
        <v>7.197429315193121</v>
      </c>
      <c r="U1373" s="7" cm="1">
        <f t="array" aca="1" ref="U1373" ca="1">z_score_diff(OFFSET(T1373,0,0,$I$5*-1,1),OFFSET(E1373,0,0,$I$5*-1,1))</f>
        <v>0.33347088979951267</v>
      </c>
      <c r="V1373" s="7">
        <f t="shared" ca="1" si="1477"/>
        <v>-0.12235051430582544</v>
      </c>
      <c r="W1373" s="14">
        <f t="shared" ca="1" si="1472"/>
        <v>-0.28705473774815371</v>
      </c>
      <c r="X1373" s="10">
        <f t="shared" ref="X1373:Y1373" ca="1" si="1500">+X1372</f>
        <v>0</v>
      </c>
      <c r="Y1373" s="10">
        <f t="shared" ca="1" si="1500"/>
        <v>0</v>
      </c>
      <c r="Z1373">
        <f t="shared" ca="1" si="1479"/>
        <v>1</v>
      </c>
      <c r="AA1373">
        <f t="shared" ca="1" si="1480"/>
        <v>0</v>
      </c>
      <c r="AB1373" s="19">
        <f t="shared" ca="1" si="1481"/>
        <v>-0.28705473774815371</v>
      </c>
      <c r="AC1373" s="19">
        <f t="shared" ca="1" si="1482"/>
        <v>0</v>
      </c>
    </row>
    <row r="1374" spans="3:29" x14ac:dyDescent="0.25">
      <c r="C1374" s="4">
        <v>1367</v>
      </c>
      <c r="D1374" s="28">
        <v>43955</v>
      </c>
      <c r="E1374" s="30">
        <v>5.74</v>
      </c>
      <c r="F1374" s="30">
        <v>24.94039977993765</v>
      </c>
      <c r="G1374" s="30">
        <v>1.8338529249954154</v>
      </c>
      <c r="H1374" s="30">
        <v>46.809095910507978</v>
      </c>
      <c r="I1374" s="8">
        <v>0</v>
      </c>
      <c r="J1374" s="31">
        <v>0</v>
      </c>
      <c r="K1374" s="31">
        <v>0</v>
      </c>
      <c r="L1374" s="31">
        <v>0</v>
      </c>
      <c r="M1374" s="31">
        <v>1</v>
      </c>
      <c r="N1374" s="31">
        <v>0</v>
      </c>
      <c r="O1374" s="31">
        <v>0</v>
      </c>
      <c r="P1374" s="31">
        <v>0</v>
      </c>
      <c r="Q1374" s="31">
        <v>0</v>
      </c>
      <c r="R1374" s="31">
        <v>0</v>
      </c>
      <c r="S1374" s="31">
        <v>0</v>
      </c>
      <c r="T1374" s="21" cm="1">
        <f t="array" aca="1" ref="T1374" ca="1">+fair_value_gap(OFFSET(S1373,0,0,-1*$I$5,-1*$Z$1),OFFSET(E1373,0,0,-1*$I$5,1),F1374:S1374,0)</f>
        <v>6.7606141260285693</v>
      </c>
      <c r="U1374" s="7" cm="1">
        <f t="array" aca="1" ref="U1374" ca="1">z_score_diff(OFFSET(T1374,0,0,$I$5*-1,1),OFFSET(E1374,0,0,$I$5*-1,1))</f>
        <v>0.22549471085740058</v>
      </c>
      <c r="V1374" s="7">
        <f t="shared" ca="1" si="1477"/>
        <v>-0.14700182332985393</v>
      </c>
      <c r="W1374" s="14">
        <f t="shared" ca="1" si="1472"/>
        <v>-0.34800186268530359</v>
      </c>
      <c r="X1374" s="10">
        <f t="shared" ref="X1374:Y1374" ca="1" si="1501">+X1373</f>
        <v>0</v>
      </c>
      <c r="Y1374" s="10">
        <f t="shared" ca="1" si="1501"/>
        <v>0</v>
      </c>
      <c r="Z1374">
        <f t="shared" ca="1" si="1479"/>
        <v>1</v>
      </c>
      <c r="AA1374">
        <f t="shared" ca="1" si="1480"/>
        <v>0</v>
      </c>
      <c r="AB1374" s="19">
        <f t="shared" ca="1" si="1481"/>
        <v>-0.34800186268530359</v>
      </c>
      <c r="AC1374" s="19">
        <f t="shared" ca="1" si="1482"/>
        <v>0</v>
      </c>
    </row>
    <row r="1375" spans="3:29" x14ac:dyDescent="0.25">
      <c r="C1375" s="4">
        <v>1368</v>
      </c>
      <c r="D1375" s="28">
        <v>43956</v>
      </c>
      <c r="E1375" s="30">
        <v>5.6740000000000004</v>
      </c>
      <c r="F1375" s="30">
        <v>28.575382911976376</v>
      </c>
      <c r="G1375" s="30">
        <v>1.8638125115334931</v>
      </c>
      <c r="H1375" s="30">
        <v>48.256135818416674</v>
      </c>
      <c r="I1375" s="8">
        <v>0</v>
      </c>
      <c r="J1375" s="31">
        <v>0</v>
      </c>
      <c r="K1375" s="31">
        <v>0</v>
      </c>
      <c r="L1375" s="31">
        <v>0</v>
      </c>
      <c r="M1375" s="31">
        <v>1</v>
      </c>
      <c r="N1375" s="31">
        <v>0</v>
      </c>
      <c r="O1375" s="31">
        <v>0</v>
      </c>
      <c r="P1375" s="31">
        <v>0</v>
      </c>
      <c r="Q1375" s="31">
        <v>0</v>
      </c>
      <c r="R1375" s="31">
        <v>0</v>
      </c>
      <c r="S1375" s="31">
        <v>0</v>
      </c>
      <c r="T1375" s="21" cm="1">
        <f t="array" aca="1" ref="T1375" ca="1">+fair_value_gap(OFFSET(S1374,0,0,-1*$I$5,-1*$Z$1),OFFSET(E1374,0,0,-1*$I$5,1),F1375:S1375,0)</f>
        <v>6.9342273938703247</v>
      </c>
      <c r="U1375" s="7" cm="1">
        <f t="array" aca="1" ref="U1375" ca="1">z_score_diff(OFFSET(T1375,0,0,$I$5*-1,1),OFFSET(E1375,0,0,$I$5*-1,1))</f>
        <v>0.29585631787507793</v>
      </c>
      <c r="V1375" s="7">
        <f t="shared" ca="1" si="1477"/>
        <v>-0.16029351377008827</v>
      </c>
      <c r="W1375" s="14">
        <f t="shared" ca="1" si="1472"/>
        <v>-0.15650334530485585</v>
      </c>
      <c r="X1375" s="10">
        <f t="shared" ref="X1375:Y1375" ca="1" si="1502">+X1374</f>
        <v>0</v>
      </c>
      <c r="Y1375" s="10">
        <f t="shared" ca="1" si="1502"/>
        <v>0</v>
      </c>
      <c r="Z1375">
        <f t="shared" ca="1" si="1479"/>
        <v>1</v>
      </c>
      <c r="AA1375">
        <f t="shared" ca="1" si="1480"/>
        <v>0</v>
      </c>
      <c r="AB1375" s="19">
        <f t="shared" ca="1" si="1481"/>
        <v>-0.15650334530485585</v>
      </c>
      <c r="AC1375" s="19">
        <f t="shared" ca="1" si="1482"/>
        <v>0</v>
      </c>
    </row>
    <row r="1376" spans="3:29" x14ac:dyDescent="0.25">
      <c r="C1376" s="4">
        <v>1369</v>
      </c>
      <c r="D1376" s="28">
        <v>43957</v>
      </c>
      <c r="E1376" s="30">
        <v>5.7629999999999999</v>
      </c>
      <c r="F1376" s="30">
        <v>27.533815082453216</v>
      </c>
      <c r="G1376" s="30">
        <v>1.8714100426162685</v>
      </c>
      <c r="H1376" s="30">
        <v>48.638132295719849</v>
      </c>
      <c r="I1376" s="8">
        <v>0</v>
      </c>
      <c r="J1376" s="31">
        <v>0</v>
      </c>
      <c r="K1376" s="31">
        <v>0</v>
      </c>
      <c r="L1376" s="31">
        <v>0</v>
      </c>
      <c r="M1376" s="31">
        <v>1</v>
      </c>
      <c r="N1376" s="31">
        <v>0</v>
      </c>
      <c r="O1376" s="31">
        <v>0</v>
      </c>
      <c r="P1376" s="31">
        <v>0</v>
      </c>
      <c r="Q1376" s="31">
        <v>0</v>
      </c>
      <c r="R1376" s="31">
        <v>0</v>
      </c>
      <c r="S1376" s="31">
        <v>0</v>
      </c>
      <c r="T1376" s="21" cm="1">
        <f t="array" aca="1" ref="T1376" ca="1">+fair_value_gap(OFFSET(S1375,0,0,-1*$I$5,-1*$Z$1),OFFSET(E1375,0,0,-1*$I$5,1),F1376:S1376,0)</f>
        <v>6.6645383276836032</v>
      </c>
      <c r="U1376" s="7" cm="1">
        <f t="array" aca="1" ref="U1376" ca="1">z_score_diff(OFFSET(T1376,0,0,$I$5*-1,1),OFFSET(E1376,0,0,$I$5*-1,1))</f>
        <v>0.17644806576764838</v>
      </c>
      <c r="V1376" s="7">
        <f t="shared" ca="1" si="1477"/>
        <v>-0.16107428821726161</v>
      </c>
      <c r="W1376" s="14">
        <f t="shared" ca="1" si="1472"/>
        <v>-7.7919334613905197E-2</v>
      </c>
      <c r="X1376" s="10">
        <f t="shared" ref="X1376:Y1376" ca="1" si="1503">+X1375</f>
        <v>0</v>
      </c>
      <c r="Y1376" s="10">
        <f t="shared" ca="1" si="1503"/>
        <v>0</v>
      </c>
      <c r="Z1376">
        <f t="shared" ca="1" si="1479"/>
        <v>1</v>
      </c>
      <c r="AA1376">
        <f t="shared" ca="1" si="1480"/>
        <v>0</v>
      </c>
      <c r="AB1376" s="19">
        <f t="shared" ca="1" si="1481"/>
        <v>-7.7919334613905197E-2</v>
      </c>
      <c r="AC1376" s="19">
        <f t="shared" ca="1" si="1482"/>
        <v>0</v>
      </c>
    </row>
    <row r="1377" spans="3:29" x14ac:dyDescent="0.25">
      <c r="C1377" s="4">
        <v>1370</v>
      </c>
      <c r="D1377" s="28">
        <v>43958</v>
      </c>
      <c r="E1377" s="30">
        <v>5.8470000000000004</v>
      </c>
      <c r="F1377" s="30">
        <v>27.197193500738553</v>
      </c>
      <c r="G1377" s="30">
        <v>1.8694608567208273</v>
      </c>
      <c r="H1377" s="30">
        <v>49.483013293943877</v>
      </c>
      <c r="I1377" s="8">
        <v>0</v>
      </c>
      <c r="J1377" s="31">
        <v>0</v>
      </c>
      <c r="K1377" s="31">
        <v>0</v>
      </c>
      <c r="L1377" s="31">
        <v>0</v>
      </c>
      <c r="M1377" s="31">
        <v>1</v>
      </c>
      <c r="N1377" s="31">
        <v>0</v>
      </c>
      <c r="O1377" s="31">
        <v>0</v>
      </c>
      <c r="P1377" s="31">
        <v>0</v>
      </c>
      <c r="Q1377" s="31">
        <v>0</v>
      </c>
      <c r="R1377" s="31">
        <v>0</v>
      </c>
      <c r="S1377" s="31">
        <v>0</v>
      </c>
      <c r="T1377" s="21" cm="1">
        <f t="array" aca="1" ref="T1377" ca="1">+fair_value_gap(OFFSET(S1376,0,0,-1*$I$5,-1*$Z$1),OFFSET(E1376,0,0,-1*$I$5,1),F1377:S1377,0)</f>
        <v>6.5453207532000235</v>
      </c>
      <c r="U1377" s="7" cm="1">
        <f t="array" aca="1" ref="U1377" ca="1">z_score_diff(OFFSET(T1377,0,0,$I$5*-1,1),OFFSET(E1377,0,0,$I$5*-1,1))</f>
        <v>0.10769903715857887</v>
      </c>
      <c r="V1377" s="7">
        <f t="shared" ca="1" si="1477"/>
        <v>-0.15542065959735912</v>
      </c>
      <c r="W1377" s="14">
        <f t="shared" ca="1" si="1472"/>
        <v>-8.1012335583527592E-2</v>
      </c>
      <c r="X1377" s="10">
        <f t="shared" ref="X1377:Y1377" ca="1" si="1504">+X1376</f>
        <v>0</v>
      </c>
      <c r="Y1377" s="10">
        <f t="shared" ca="1" si="1504"/>
        <v>0</v>
      </c>
      <c r="Z1377">
        <f t="shared" ca="1" si="1479"/>
        <v>1</v>
      </c>
      <c r="AA1377">
        <f t="shared" ca="1" si="1480"/>
        <v>0</v>
      </c>
      <c r="AB1377" s="19">
        <f t="shared" ca="1" si="1481"/>
        <v>-8.1012335583527592E-2</v>
      </c>
      <c r="AC1377" s="19">
        <f t="shared" ca="1" si="1482"/>
        <v>0</v>
      </c>
    </row>
    <row r="1378" spans="3:29" x14ac:dyDescent="0.25">
      <c r="C1378" s="4">
        <v>1371</v>
      </c>
      <c r="D1378" s="28">
        <v>43959</v>
      </c>
      <c r="E1378" s="30">
        <v>5.8310000000000004</v>
      </c>
      <c r="F1378" s="30">
        <v>28.570110701107009</v>
      </c>
      <c r="G1378" s="30">
        <v>1.872693726937269</v>
      </c>
      <c r="H1378" s="30">
        <v>48.939114391143903</v>
      </c>
      <c r="I1378" s="8">
        <v>0</v>
      </c>
      <c r="J1378" s="31">
        <v>0</v>
      </c>
      <c r="K1378" s="31">
        <v>0</v>
      </c>
      <c r="L1378" s="31">
        <v>0</v>
      </c>
      <c r="M1378" s="31">
        <v>1</v>
      </c>
      <c r="N1378" s="31">
        <v>0</v>
      </c>
      <c r="O1378" s="31">
        <v>0</v>
      </c>
      <c r="P1378" s="31">
        <v>0</v>
      </c>
      <c r="Q1378" s="31">
        <v>0</v>
      </c>
      <c r="R1378" s="31">
        <v>0</v>
      </c>
      <c r="S1378" s="31">
        <v>0</v>
      </c>
      <c r="T1378" s="21" cm="1">
        <f t="array" aca="1" ref="T1378" ca="1">+fair_value_gap(OFFSET(S1377,0,0,-1*$I$5,-1*$Z$1),OFFSET(E1377,0,0,-1*$I$5,1),F1378:S1378,0)</f>
        <v>6.5183530859502232</v>
      </c>
      <c r="U1378" s="7" cm="1">
        <f t="array" aca="1" ref="U1378" ca="1">z_score_diff(OFFSET(T1378,0,0,$I$5*-1,1),OFFSET(E1378,0,0,$I$5*-1,1))</f>
        <v>0.10193230225152883</v>
      </c>
      <c r="V1378" s="7">
        <f t="shared" ca="1" si="1477"/>
        <v>-0.14753914296290949</v>
      </c>
      <c r="W1378" s="14">
        <f t="shared" ca="1" si="1472"/>
        <v>-2.1319812625428966E-2</v>
      </c>
      <c r="X1378" s="10">
        <f t="shared" ref="X1378:Y1378" ca="1" si="1505">+X1377</f>
        <v>0</v>
      </c>
      <c r="Y1378" s="10">
        <f t="shared" ca="1" si="1505"/>
        <v>0</v>
      </c>
      <c r="Z1378">
        <f t="shared" ca="1" si="1479"/>
        <v>1</v>
      </c>
      <c r="AA1378">
        <f t="shared" ca="1" si="1480"/>
        <v>0</v>
      </c>
      <c r="AB1378" s="19">
        <f t="shared" ca="1" si="1481"/>
        <v>-2.1319812625428966E-2</v>
      </c>
      <c r="AC1378" s="19">
        <f t="shared" ca="1" si="1482"/>
        <v>0</v>
      </c>
    </row>
    <row r="1379" spans="3:29" x14ac:dyDescent="0.25">
      <c r="C1379" s="4">
        <v>1372</v>
      </c>
      <c r="D1379" s="28">
        <v>43962</v>
      </c>
      <c r="E1379" s="30">
        <v>5.7069999999999999</v>
      </c>
      <c r="F1379" s="30">
        <v>27.419951878585969</v>
      </c>
      <c r="G1379" s="30">
        <v>1.8878400888395337</v>
      </c>
      <c r="H1379" s="30">
        <v>49.23190819914862</v>
      </c>
      <c r="I1379" s="8">
        <v>0</v>
      </c>
      <c r="J1379" s="31">
        <v>0</v>
      </c>
      <c r="K1379" s="31">
        <v>0</v>
      </c>
      <c r="L1379" s="31">
        <v>0</v>
      </c>
      <c r="M1379" s="31">
        <v>1</v>
      </c>
      <c r="N1379" s="31">
        <v>0</v>
      </c>
      <c r="O1379" s="31">
        <v>0</v>
      </c>
      <c r="P1379" s="31">
        <v>0</v>
      </c>
      <c r="Q1379" s="31">
        <v>0</v>
      </c>
      <c r="R1379" s="31">
        <v>0</v>
      </c>
      <c r="S1379" s="31">
        <v>0</v>
      </c>
      <c r="T1379" s="21" cm="1">
        <f t="array" aca="1" ref="T1379" ca="1">+fair_value_gap(OFFSET(S1378,0,0,-1*$I$5,-1*$Z$1),OFFSET(E1378,0,0,-1*$I$5,1),F1379:S1379,0)</f>
        <v>6.368207262238327</v>
      </c>
      <c r="U1379" s="7" cm="1">
        <f t="array" aca="1" ref="U1379" ca="1">z_score_diff(OFFSET(T1379,0,0,$I$5*-1,1),OFFSET(E1379,0,0,$I$5*-1,1))</f>
        <v>9.5029946948660404E-2</v>
      </c>
      <c r="V1379" s="7">
        <f t="shared" ca="1" si="1477"/>
        <v>-0.13373548021490614</v>
      </c>
      <c r="W1379" s="14">
        <f t="shared" ca="1" si="1472"/>
        <v>-8.3655909284408317E-2</v>
      </c>
      <c r="X1379" s="10">
        <f t="shared" ref="X1379:Y1379" ca="1" si="1506">+X1378</f>
        <v>0</v>
      </c>
      <c r="Y1379" s="10">
        <f t="shared" ca="1" si="1506"/>
        <v>0</v>
      </c>
      <c r="Z1379">
        <f t="shared" ca="1" si="1479"/>
        <v>1</v>
      </c>
      <c r="AA1379">
        <f t="shared" ca="1" si="1480"/>
        <v>0</v>
      </c>
      <c r="AB1379" s="19">
        <f t="shared" ca="1" si="1481"/>
        <v>-8.3655909284408317E-2</v>
      </c>
      <c r="AC1379" s="19">
        <f t="shared" ca="1" si="1482"/>
        <v>0</v>
      </c>
    </row>
    <row r="1380" spans="3:29" x14ac:dyDescent="0.25">
      <c r="C1380" s="4">
        <v>1373</v>
      </c>
      <c r="D1380" s="28">
        <v>43963</v>
      </c>
      <c r="E1380" s="30">
        <v>5.3129999999999997</v>
      </c>
      <c r="F1380" s="30">
        <v>27.641526830167805</v>
      </c>
      <c r="G1380" s="30">
        <v>1.9500276599668083</v>
      </c>
      <c r="H1380" s="30">
        <v>48.404941914069703</v>
      </c>
      <c r="I1380" s="8">
        <v>0</v>
      </c>
      <c r="J1380" s="31">
        <v>0</v>
      </c>
      <c r="K1380" s="31">
        <v>0</v>
      </c>
      <c r="L1380" s="31">
        <v>0</v>
      </c>
      <c r="M1380" s="31">
        <v>1</v>
      </c>
      <c r="N1380" s="31">
        <v>0</v>
      </c>
      <c r="O1380" s="31">
        <v>0</v>
      </c>
      <c r="P1380" s="31">
        <v>0</v>
      </c>
      <c r="Q1380" s="31">
        <v>0</v>
      </c>
      <c r="R1380" s="31">
        <v>0</v>
      </c>
      <c r="S1380" s="31">
        <v>0</v>
      </c>
      <c r="T1380" s="21" cm="1">
        <f t="array" aca="1" ref="T1380" ca="1">+fair_value_gap(OFFSET(S1379,0,0,-1*$I$5,-1*$Z$1),OFFSET(E1379,0,0,-1*$I$5,1),F1380:S1380,0)</f>
        <v>6.2984471451587982</v>
      </c>
      <c r="U1380" s="7" cm="1">
        <f t="array" aca="1" ref="U1380" ca="1">z_score_diff(OFFSET(T1380,0,0,$I$5*-1,1),OFFSET(E1380,0,0,$I$5*-1,1))</f>
        <v>0.20027817856043439</v>
      </c>
      <c r="V1380" s="7">
        <f t="shared" ca="1" si="1477"/>
        <v>-0.11702749357162061</v>
      </c>
      <c r="W1380" s="14">
        <f t="shared" ca="1" si="1472"/>
        <v>-0.100291510154529</v>
      </c>
      <c r="X1380" s="10">
        <f t="shared" ref="X1380:Y1380" ca="1" si="1507">+X1379</f>
        <v>0</v>
      </c>
      <c r="Y1380" s="10">
        <f t="shared" ca="1" si="1507"/>
        <v>0</v>
      </c>
      <c r="Z1380">
        <f t="shared" ca="1" si="1479"/>
        <v>1</v>
      </c>
      <c r="AA1380">
        <f t="shared" ca="1" si="1480"/>
        <v>0</v>
      </c>
      <c r="AB1380" s="19">
        <f t="shared" ca="1" si="1481"/>
        <v>-0.100291510154529</v>
      </c>
      <c r="AC1380" s="19">
        <f t="shared" ca="1" si="1482"/>
        <v>0</v>
      </c>
    </row>
    <row r="1381" spans="3:29" x14ac:dyDescent="0.25">
      <c r="C1381" s="4">
        <v>1374</v>
      </c>
      <c r="D1381" s="28">
        <v>43964</v>
      </c>
      <c r="E1381" s="30">
        <v>5.1189999999999998</v>
      </c>
      <c r="F1381" s="30">
        <v>26.987795857988168</v>
      </c>
      <c r="G1381" s="30">
        <v>1.9554363905325447</v>
      </c>
      <c r="H1381" s="30">
        <v>49.093934911242613</v>
      </c>
      <c r="I1381" s="8">
        <v>0</v>
      </c>
      <c r="J1381" s="31">
        <v>0</v>
      </c>
      <c r="K1381" s="31">
        <v>0</v>
      </c>
      <c r="L1381" s="31">
        <v>0</v>
      </c>
      <c r="M1381" s="31">
        <v>1</v>
      </c>
      <c r="N1381" s="31">
        <v>0</v>
      </c>
      <c r="O1381" s="31">
        <v>0</v>
      </c>
      <c r="P1381" s="31">
        <v>0</v>
      </c>
      <c r="Q1381" s="31">
        <v>0</v>
      </c>
      <c r="R1381" s="31">
        <v>0</v>
      </c>
      <c r="S1381" s="31">
        <v>0</v>
      </c>
      <c r="T1381" s="21" cm="1">
        <f t="array" aca="1" ref="T1381" ca="1">+fair_value_gap(OFFSET(S1380,0,0,-1*$I$5,-1*$Z$1),OFFSET(E1380,0,0,-1*$I$5,1),F1381:S1381,0)</f>
        <v>6.1925620091586051</v>
      </c>
      <c r="U1381" s="7" cm="1">
        <f t="array" aca="1" ref="U1381" ca="1">z_score_diff(OFFSET(T1381,0,0,$I$5*-1,1),OFFSET(E1381,0,0,$I$5*-1,1))</f>
        <v>0.22615628929896436</v>
      </c>
      <c r="V1381" s="7">
        <f t="shared" ca="1" si="1477"/>
        <v>-0.10007734286336731</v>
      </c>
      <c r="W1381" s="14">
        <f t="shared" ca="1" si="1472"/>
        <v>-6.3926609676384791E-2</v>
      </c>
      <c r="X1381" s="10">
        <f t="shared" ref="X1381:Y1381" ca="1" si="1508">+X1380</f>
        <v>0</v>
      </c>
      <c r="Y1381" s="10">
        <f t="shared" ca="1" si="1508"/>
        <v>0</v>
      </c>
      <c r="Z1381">
        <f t="shared" ca="1" si="1479"/>
        <v>1</v>
      </c>
      <c r="AA1381">
        <f t="shared" ca="1" si="1480"/>
        <v>0</v>
      </c>
      <c r="AB1381" s="19">
        <f t="shared" ca="1" si="1481"/>
        <v>-6.3926609676384791E-2</v>
      </c>
      <c r="AC1381" s="19">
        <f t="shared" ca="1" si="1482"/>
        <v>0</v>
      </c>
    </row>
    <row r="1382" spans="3:29" x14ac:dyDescent="0.25">
      <c r="C1382" s="4">
        <v>1375</v>
      </c>
      <c r="D1382" s="28">
        <v>43965</v>
      </c>
      <c r="E1382" s="30">
        <v>5.2649999999999997</v>
      </c>
      <c r="F1382" s="30">
        <v>28.813402443539427</v>
      </c>
      <c r="G1382" s="30">
        <v>1.9529803776379118</v>
      </c>
      <c r="H1382" s="30">
        <v>49.009626064420587</v>
      </c>
      <c r="I1382" s="8">
        <v>0</v>
      </c>
      <c r="J1382" s="31">
        <v>0</v>
      </c>
      <c r="K1382" s="31">
        <v>0</v>
      </c>
      <c r="L1382" s="31">
        <v>0</v>
      </c>
      <c r="M1382" s="31">
        <v>1</v>
      </c>
      <c r="N1382" s="31">
        <v>0</v>
      </c>
      <c r="O1382" s="31">
        <v>0</v>
      </c>
      <c r="P1382" s="31">
        <v>0</v>
      </c>
      <c r="Q1382" s="31">
        <v>0</v>
      </c>
      <c r="R1382" s="31">
        <v>0</v>
      </c>
      <c r="S1382" s="31">
        <v>0</v>
      </c>
      <c r="T1382" s="21" cm="1">
        <f t="array" aca="1" ref="T1382" ca="1">+fair_value_gap(OFFSET(S1381,0,0,-1*$I$5,-1*$Z$1),OFFSET(E1381,0,0,-1*$I$5,1),F1382:S1382,0)</f>
        <v>6.2319416737619768</v>
      </c>
      <c r="U1382" s="7" cm="1">
        <f t="array" aca="1" ref="U1382" ca="1">z_score_diff(OFFSET(T1382,0,0,$I$5*-1,1),OFFSET(E1382,0,0,$I$5*-1,1))</f>
        <v>0.18438320786129592</v>
      </c>
      <c r="V1382" s="7">
        <f t="shared" ca="1" si="1477"/>
        <v>-7.6205930530167429E-2</v>
      </c>
      <c r="W1382" s="14">
        <f t="shared" ca="1" si="1472"/>
        <v>-5.4046117768148626E-2</v>
      </c>
      <c r="X1382" s="10">
        <f t="shared" ref="X1382:Y1382" ca="1" si="1509">+X1381</f>
        <v>0</v>
      </c>
      <c r="Y1382" s="10">
        <f t="shared" ca="1" si="1509"/>
        <v>0</v>
      </c>
      <c r="Z1382">
        <f t="shared" ca="1" si="1479"/>
        <v>1</v>
      </c>
      <c r="AA1382">
        <f t="shared" ca="1" si="1480"/>
        <v>0</v>
      </c>
      <c r="AB1382" s="19">
        <f t="shared" ca="1" si="1481"/>
        <v>-5.4046117768148626E-2</v>
      </c>
      <c r="AC1382" s="19">
        <f t="shared" ca="1" si="1482"/>
        <v>0</v>
      </c>
    </row>
    <row r="1383" spans="3:29" x14ac:dyDescent="0.25">
      <c r="C1383" s="4">
        <v>1376</v>
      </c>
      <c r="D1383" s="28">
        <v>43966</v>
      </c>
      <c r="E1383" s="30">
        <v>5.218</v>
      </c>
      <c r="F1383" s="30">
        <v>30.050855293573743</v>
      </c>
      <c r="G1383" s="30">
        <v>1.9463707813222377</v>
      </c>
      <c r="H1383" s="30">
        <v>49.422098936662053</v>
      </c>
      <c r="I1383" s="8">
        <v>0</v>
      </c>
      <c r="J1383" s="31">
        <v>0</v>
      </c>
      <c r="K1383" s="31">
        <v>0</v>
      </c>
      <c r="L1383" s="31">
        <v>0</v>
      </c>
      <c r="M1383" s="31">
        <v>1</v>
      </c>
      <c r="N1383" s="31">
        <v>0</v>
      </c>
      <c r="O1383" s="31">
        <v>0</v>
      </c>
      <c r="P1383" s="31">
        <v>0</v>
      </c>
      <c r="Q1383" s="31">
        <v>0</v>
      </c>
      <c r="R1383" s="31">
        <v>0</v>
      </c>
      <c r="S1383" s="31">
        <v>0</v>
      </c>
      <c r="T1383" s="21" cm="1">
        <f t="array" aca="1" ref="T1383" ca="1">+fair_value_gap(OFFSET(S1382,0,0,-1*$I$5,-1*$Z$1),OFFSET(E1382,0,0,-1*$I$5,1),F1383:S1383,0)</f>
        <v>6.2526901381963444</v>
      </c>
      <c r="U1383" s="7" cm="1">
        <f t="array" aca="1" ref="U1383" ca="1">z_score_diff(OFFSET(T1383,0,0,$I$5*-1,1),OFFSET(E1383,0,0,$I$5*-1,1))</f>
        <v>0.20031871608732854</v>
      </c>
      <c r="V1383" s="7">
        <f t="shared" ca="1" si="1477"/>
        <v>-4.6697088187649526E-2</v>
      </c>
      <c r="W1383" s="14">
        <f t="shared" ca="1" si="1472"/>
        <v>1.0485273833795942E-2</v>
      </c>
      <c r="X1383" s="10">
        <f t="shared" ref="X1383:Y1383" ca="1" si="1510">+X1382</f>
        <v>0</v>
      </c>
      <c r="Y1383" s="10">
        <f t="shared" ca="1" si="1510"/>
        <v>0</v>
      </c>
      <c r="Z1383">
        <f t="shared" ca="1" si="1479"/>
        <v>1</v>
      </c>
      <c r="AA1383">
        <f t="shared" ca="1" si="1480"/>
        <v>0</v>
      </c>
      <c r="AB1383" s="19">
        <f t="shared" ca="1" si="1481"/>
        <v>1.0485273833795942E-2</v>
      </c>
      <c r="AC1383" s="19">
        <f t="shared" ca="1" si="1482"/>
        <v>0</v>
      </c>
    </row>
    <row r="1384" spans="3:29" x14ac:dyDescent="0.25">
      <c r="C1384" s="4">
        <v>1377</v>
      </c>
      <c r="D1384" s="28">
        <v>43969</v>
      </c>
      <c r="E1384" s="30">
        <v>4.9219999999999997</v>
      </c>
      <c r="F1384" s="30">
        <v>31.900659824046926</v>
      </c>
      <c r="G1384" s="30">
        <v>2.0894428152492668</v>
      </c>
      <c r="H1384" s="30">
        <v>48.570381231671554</v>
      </c>
      <c r="I1384" s="8">
        <v>0</v>
      </c>
      <c r="J1384" s="31">
        <v>0</v>
      </c>
      <c r="K1384" s="31">
        <v>0</v>
      </c>
      <c r="L1384" s="31">
        <v>0</v>
      </c>
      <c r="M1384" s="31">
        <v>1</v>
      </c>
      <c r="N1384" s="31">
        <v>0</v>
      </c>
      <c r="O1384" s="31">
        <v>0</v>
      </c>
      <c r="P1384" s="31">
        <v>0</v>
      </c>
      <c r="Q1384" s="31">
        <v>0</v>
      </c>
      <c r="R1384" s="31">
        <v>0</v>
      </c>
      <c r="S1384" s="31">
        <v>0</v>
      </c>
      <c r="T1384" s="21" cm="1">
        <f t="array" aca="1" ref="T1384" ca="1">+fair_value_gap(OFFSET(S1383,0,0,-1*$I$5,-1*$Z$1),OFFSET(E1383,0,0,-1*$I$5,1),F1384:S1384,0)</f>
        <v>6.361532418180369</v>
      </c>
      <c r="U1384" s="7" cm="1">
        <f t="array" aca="1" ref="U1384" ca="1">z_score_diff(OFFSET(T1384,0,0,$I$5*-1,1),OFFSET(E1384,0,0,$I$5*-1,1))</f>
        <v>0.32013678693620884</v>
      </c>
      <c r="V1384" s="7">
        <f t="shared" ca="1" si="1477"/>
        <v>-1.2580909002898922E-2</v>
      </c>
      <c r="W1384" s="14">
        <f t="shared" ca="1" si="1472"/>
        <v>0.11393800796219139</v>
      </c>
      <c r="X1384" s="10">
        <f t="shared" ref="X1384:Y1384" ca="1" si="1511">+X1383</f>
        <v>0</v>
      </c>
      <c r="Y1384" s="10">
        <f t="shared" ca="1" si="1511"/>
        <v>0</v>
      </c>
      <c r="Z1384">
        <f t="shared" ca="1" si="1479"/>
        <v>1</v>
      </c>
      <c r="AA1384">
        <f t="shared" ca="1" si="1480"/>
        <v>0</v>
      </c>
      <c r="AB1384" s="19">
        <f t="shared" ca="1" si="1481"/>
        <v>0.11393800796219139</v>
      </c>
      <c r="AC1384" s="19">
        <f t="shared" ca="1" si="1482"/>
        <v>0</v>
      </c>
    </row>
    <row r="1385" spans="3:29" x14ac:dyDescent="0.25">
      <c r="C1385" s="4">
        <v>1378</v>
      </c>
      <c r="D1385" s="28">
        <v>43970</v>
      </c>
      <c r="E1385" s="30">
        <v>4.6120000000000001</v>
      </c>
      <c r="F1385" s="30">
        <v>31.727863748740955</v>
      </c>
      <c r="G1385" s="30">
        <v>2.0282025455544361</v>
      </c>
      <c r="H1385" s="30">
        <v>48.530354363153556</v>
      </c>
      <c r="I1385" s="8">
        <v>0</v>
      </c>
      <c r="J1385" s="31">
        <v>0</v>
      </c>
      <c r="K1385" s="31">
        <v>0</v>
      </c>
      <c r="L1385" s="31">
        <v>0</v>
      </c>
      <c r="M1385" s="31">
        <v>1</v>
      </c>
      <c r="N1385" s="31">
        <v>0</v>
      </c>
      <c r="O1385" s="31">
        <v>0</v>
      </c>
      <c r="P1385" s="31">
        <v>0</v>
      </c>
      <c r="Q1385" s="31">
        <v>0</v>
      </c>
      <c r="R1385" s="31">
        <v>0</v>
      </c>
      <c r="S1385" s="31">
        <v>0</v>
      </c>
      <c r="T1385" s="21" cm="1">
        <f t="array" aca="1" ref="T1385" ca="1">+fair_value_gap(OFFSET(S1384,0,0,-1*$I$5,-1*$Z$1),OFFSET(E1384,0,0,-1*$I$5,1),F1385:S1385,0)</f>
        <v>6.1686060983529476</v>
      </c>
      <c r="U1385" s="7" cm="1">
        <f t="array" aca="1" ref="U1385" ca="1">z_score_diff(OFFSET(T1385,0,0,$I$5*-1,1),OFFSET(E1385,0,0,$I$5*-1,1))</f>
        <v>0.35288177181898894</v>
      </c>
      <c r="V1385" s="7">
        <f t="shared" ca="1" si="1477"/>
        <v>2.7552912966937636E-2</v>
      </c>
      <c r="W1385" s="14">
        <f t="shared" ca="1" si="1472"/>
        <v>0.13165952034185763</v>
      </c>
      <c r="X1385" s="10">
        <f t="shared" ref="X1385:Y1385" ca="1" si="1512">+X1384</f>
        <v>0</v>
      </c>
      <c r="Y1385" s="10">
        <f t="shared" ca="1" si="1512"/>
        <v>0</v>
      </c>
      <c r="Z1385">
        <f t="shared" ca="1" si="1479"/>
        <v>0</v>
      </c>
      <c r="AA1385">
        <f t="shared" ca="1" si="1480"/>
        <v>1</v>
      </c>
      <c r="AB1385" s="19">
        <f t="shared" ca="1" si="1481"/>
        <v>0</v>
      </c>
      <c r="AC1385" s="19">
        <f t="shared" ca="1" si="1482"/>
        <v>0.13165952034185763</v>
      </c>
    </row>
    <row r="1386" spans="3:29" x14ac:dyDescent="0.25">
      <c r="C1386" s="4">
        <v>1379</v>
      </c>
      <c r="D1386" s="28">
        <v>43971</v>
      </c>
      <c r="E1386" s="30">
        <v>4.4619999999999997</v>
      </c>
      <c r="F1386" s="30">
        <v>32.568096929944431</v>
      </c>
      <c r="G1386" s="30">
        <v>1.999635601712672</v>
      </c>
      <c r="H1386" s="30">
        <v>49.05711943153868</v>
      </c>
      <c r="I1386" s="8">
        <v>0</v>
      </c>
      <c r="J1386" s="31">
        <v>0</v>
      </c>
      <c r="K1386" s="31">
        <v>0</v>
      </c>
      <c r="L1386" s="31">
        <v>0</v>
      </c>
      <c r="M1386" s="31">
        <v>1</v>
      </c>
      <c r="N1386" s="31">
        <v>0</v>
      </c>
      <c r="O1386" s="31">
        <v>0</v>
      </c>
      <c r="P1386" s="31">
        <v>0</v>
      </c>
      <c r="Q1386" s="31">
        <v>0</v>
      </c>
      <c r="R1386" s="31">
        <v>0</v>
      </c>
      <c r="S1386" s="31">
        <v>0</v>
      </c>
      <c r="T1386" s="21" cm="1">
        <f t="array" aca="1" ref="T1386" ca="1">+fair_value_gap(OFFSET(S1385,0,0,-1*$I$5,-1*$Z$1),OFFSET(E1385,0,0,-1*$I$5,1),F1386:S1386,0)</f>
        <v>6.0843751575542653</v>
      </c>
      <c r="U1386" s="7" cm="1">
        <f t="array" aca="1" ref="U1386" ca="1">z_score_diff(OFFSET(T1386,0,0,$I$5*-1,1),OFFSET(E1386,0,0,$I$5*-1,1))</f>
        <v>0.36548195281640306</v>
      </c>
      <c r="V1386" s="7">
        <f t="shared" ca="1" si="1477"/>
        <v>6.3342653614522321E-2</v>
      </c>
      <c r="W1386" s="14">
        <f t="shared" ca="1" si="1472"/>
        <v>0.15479080275271367</v>
      </c>
      <c r="X1386" s="10">
        <f t="shared" ref="X1386:Y1386" ca="1" si="1513">+X1385</f>
        <v>0</v>
      </c>
      <c r="Y1386" s="10">
        <f t="shared" ca="1" si="1513"/>
        <v>0</v>
      </c>
      <c r="Z1386">
        <f t="shared" ca="1" si="1479"/>
        <v>0</v>
      </c>
      <c r="AA1386">
        <f t="shared" ca="1" si="1480"/>
        <v>1</v>
      </c>
      <c r="AB1386" s="19">
        <f t="shared" ca="1" si="1481"/>
        <v>0</v>
      </c>
      <c r="AC1386" s="19">
        <f t="shared" ca="1" si="1482"/>
        <v>0.15479080275271367</v>
      </c>
    </row>
    <row r="1387" spans="3:29" x14ac:dyDescent="0.25">
      <c r="C1387" s="4">
        <v>1380</v>
      </c>
      <c r="D1387" s="28">
        <v>43972</v>
      </c>
      <c r="E1387" s="30">
        <v>3.8239999999999998</v>
      </c>
      <c r="F1387" s="30">
        <v>32.934514567540418</v>
      </c>
      <c r="G1387" s="30">
        <v>1.9134167503881636</v>
      </c>
      <c r="H1387" s="30">
        <v>49.091241209242853</v>
      </c>
      <c r="I1387" s="8">
        <v>0</v>
      </c>
      <c r="J1387" s="31">
        <v>0</v>
      </c>
      <c r="K1387" s="31">
        <v>0</v>
      </c>
      <c r="L1387" s="31">
        <v>0</v>
      </c>
      <c r="M1387" s="31">
        <v>1</v>
      </c>
      <c r="N1387" s="31">
        <v>0</v>
      </c>
      <c r="O1387" s="31">
        <v>0</v>
      </c>
      <c r="P1387" s="31">
        <v>0</v>
      </c>
      <c r="Q1387" s="31">
        <v>0</v>
      </c>
      <c r="R1387" s="31">
        <v>0</v>
      </c>
      <c r="S1387" s="31">
        <v>0</v>
      </c>
      <c r="T1387" s="21" cm="1">
        <f t="array" aca="1" ref="T1387" ca="1">+fair_value_gap(OFFSET(S1386,0,0,-1*$I$5,-1*$Z$1),OFFSET(E1386,0,0,-1*$I$5,1),F1387:S1387,0)</f>
        <v>5.8586015797345325</v>
      </c>
      <c r="U1387" s="7" cm="1">
        <f t="array" aca="1" ref="U1387" ca="1">z_score_diff(OFFSET(T1387,0,0,$I$5*-1,1),OFFSET(E1387,0,0,$I$5*-1,1))</f>
        <v>0.48688042092050798</v>
      </c>
      <c r="V1387" s="7">
        <f t="shared" ca="1" si="1477"/>
        <v>9.9813550662566627E-2</v>
      </c>
      <c r="W1387" s="14">
        <f t="shared" ca="1" si="1472"/>
        <v>0.3545020828929889</v>
      </c>
      <c r="X1387" s="10">
        <f t="shared" ref="X1387:Y1387" ca="1" si="1514">+X1386</f>
        <v>0</v>
      </c>
      <c r="Y1387" s="10">
        <f t="shared" ca="1" si="1514"/>
        <v>0</v>
      </c>
      <c r="Z1387">
        <f t="shared" ca="1" si="1479"/>
        <v>0</v>
      </c>
      <c r="AA1387">
        <f t="shared" ca="1" si="1480"/>
        <v>1</v>
      </c>
      <c r="AB1387" s="19">
        <f t="shared" ca="1" si="1481"/>
        <v>0</v>
      </c>
      <c r="AC1387" s="19">
        <f t="shared" ca="1" si="1482"/>
        <v>0.3545020828929889</v>
      </c>
    </row>
    <row r="1388" spans="3:29" x14ac:dyDescent="0.25">
      <c r="C1388" s="4">
        <v>1381</v>
      </c>
      <c r="D1388" s="28">
        <v>43973</v>
      </c>
      <c r="E1388" s="30">
        <v>3.8889999999999998</v>
      </c>
      <c r="F1388" s="30">
        <v>32.22935779816514</v>
      </c>
      <c r="G1388" s="30">
        <v>1.8394495412844034</v>
      </c>
      <c r="H1388" s="30">
        <v>49.082568807339449</v>
      </c>
      <c r="I1388" s="8">
        <v>0</v>
      </c>
      <c r="J1388" s="31">
        <v>0</v>
      </c>
      <c r="K1388" s="31">
        <v>0</v>
      </c>
      <c r="L1388" s="31">
        <v>0</v>
      </c>
      <c r="M1388" s="31">
        <v>1</v>
      </c>
      <c r="N1388" s="31">
        <v>0</v>
      </c>
      <c r="O1388" s="31">
        <v>0</v>
      </c>
      <c r="P1388" s="31">
        <v>0</v>
      </c>
      <c r="Q1388" s="31">
        <v>0</v>
      </c>
      <c r="R1388" s="31">
        <v>0</v>
      </c>
      <c r="S1388" s="31">
        <v>0</v>
      </c>
      <c r="T1388" s="21" cm="1">
        <f t="array" aca="1" ref="T1388" ca="1">+fair_value_gap(OFFSET(S1387,0,0,-1*$I$5,-1*$Z$1),OFFSET(E1387,0,0,-1*$I$5,1),F1388:S1388,0)</f>
        <v>5.5401436115356235</v>
      </c>
      <c r="U1388" s="7" cm="1">
        <f t="array" aca="1" ref="U1388" ca="1">z_score_diff(OFFSET(T1388,0,0,$I$5*-1,1),OFFSET(E1388,0,0,$I$5*-1,1))</f>
        <v>0.36333893161432007</v>
      </c>
      <c r="V1388" s="7">
        <f t="shared" ca="1" si="1477"/>
        <v>0.12492306117028396</v>
      </c>
      <c r="W1388" s="14">
        <f t="shared" ca="1" si="1472"/>
        <v>0.3672895330167964</v>
      </c>
      <c r="X1388" s="10">
        <f t="shared" ref="X1388:Y1388" ca="1" si="1515">+X1387</f>
        <v>0</v>
      </c>
      <c r="Y1388" s="10">
        <f t="shared" ca="1" si="1515"/>
        <v>0</v>
      </c>
      <c r="Z1388">
        <f t="shared" ca="1" si="1479"/>
        <v>0</v>
      </c>
      <c r="AA1388">
        <f t="shared" ca="1" si="1480"/>
        <v>1</v>
      </c>
      <c r="AB1388" s="19">
        <f t="shared" ca="1" si="1481"/>
        <v>0</v>
      </c>
      <c r="AC1388" s="19">
        <f t="shared" ca="1" si="1482"/>
        <v>0.3672895330167964</v>
      </c>
    </row>
    <row r="1389" spans="3:29" x14ac:dyDescent="0.25">
      <c r="C1389" s="4">
        <v>1382</v>
      </c>
      <c r="D1389" s="28">
        <v>43976</v>
      </c>
      <c r="E1389" s="30">
        <v>4.7939999999999996</v>
      </c>
      <c r="F1389" s="30">
        <v>32.599321038627394</v>
      </c>
      <c r="G1389" s="30">
        <v>1.8396183136067528</v>
      </c>
      <c r="H1389" s="30">
        <v>49.178823745297734</v>
      </c>
      <c r="I1389" s="8">
        <v>0</v>
      </c>
      <c r="J1389" s="31">
        <v>0</v>
      </c>
      <c r="K1389" s="31">
        <v>0</v>
      </c>
      <c r="L1389" s="31">
        <v>0</v>
      </c>
      <c r="M1389" s="31">
        <v>1</v>
      </c>
      <c r="N1389" s="31">
        <v>0</v>
      </c>
      <c r="O1389" s="31">
        <v>0</v>
      </c>
      <c r="P1389" s="31">
        <v>0</v>
      </c>
      <c r="Q1389" s="31">
        <v>0</v>
      </c>
      <c r="R1389" s="31">
        <v>0</v>
      </c>
      <c r="S1389" s="31">
        <v>0</v>
      </c>
      <c r="T1389" s="21" cm="1">
        <f t="array" aca="1" ref="T1389" ca="1">+fair_value_gap(OFFSET(S1388,0,0,-1*$I$5,-1*$Z$1),OFFSET(E1388,0,0,-1*$I$5,1),F1389:S1389,0)</f>
        <v>5.3509864788141392</v>
      </c>
      <c r="U1389" s="7" cm="1">
        <f t="array" aca="1" ref="U1389" ca="1">z_score_diff(OFFSET(T1389,0,0,$I$5*-1,1),OFFSET(E1389,0,0,$I$5*-1,1))</f>
        <v>2.4102068356046891E-2</v>
      </c>
      <c r="V1389" s="7">
        <f t="shared" ca="1" si="1477"/>
        <v>0.1490864212254468</v>
      </c>
      <c r="W1389" s="14">
        <f t="shared" ca="1" si="1472"/>
        <v>0.1364734518433921</v>
      </c>
      <c r="X1389" s="10">
        <f t="shared" ref="X1389:Y1389" ca="1" si="1516">+X1388</f>
        <v>0</v>
      </c>
      <c r="Y1389" s="10">
        <f t="shared" ca="1" si="1516"/>
        <v>0</v>
      </c>
      <c r="Z1389">
        <f t="shared" ca="1" si="1479"/>
        <v>0</v>
      </c>
      <c r="AA1389">
        <f t="shared" ca="1" si="1480"/>
        <v>1</v>
      </c>
      <c r="AB1389" s="19">
        <f t="shared" ca="1" si="1481"/>
        <v>0</v>
      </c>
      <c r="AC1389" s="19">
        <f t="shared" ca="1" si="1482"/>
        <v>0.1364734518433921</v>
      </c>
    </row>
    <row r="1390" spans="3:29" x14ac:dyDescent="0.25">
      <c r="C1390" s="4">
        <v>1383</v>
      </c>
      <c r="D1390" s="28">
        <v>43977</v>
      </c>
      <c r="E1390" s="30">
        <v>4.1230000000000002</v>
      </c>
      <c r="F1390" s="30">
        <v>32.941712204007288</v>
      </c>
      <c r="G1390" s="30">
        <v>1.9125683060109289</v>
      </c>
      <c r="H1390" s="30">
        <v>48.63387978142076</v>
      </c>
      <c r="I1390" s="8">
        <v>0</v>
      </c>
      <c r="J1390" s="31">
        <v>0</v>
      </c>
      <c r="K1390" s="31">
        <v>0</v>
      </c>
      <c r="L1390" s="31">
        <v>0</v>
      </c>
      <c r="M1390" s="31">
        <v>1</v>
      </c>
      <c r="N1390" s="31">
        <v>0</v>
      </c>
      <c r="O1390" s="31">
        <v>0</v>
      </c>
      <c r="P1390" s="31">
        <v>0</v>
      </c>
      <c r="Q1390" s="31">
        <v>0</v>
      </c>
      <c r="R1390" s="31">
        <v>0</v>
      </c>
      <c r="S1390" s="31">
        <v>0</v>
      </c>
      <c r="T1390" s="21" cm="1">
        <f t="array" aca="1" ref="T1390" ca="1">+fair_value_gap(OFFSET(S1389,0,0,-1*$I$5,-1*$Z$1),OFFSET(E1389,0,0,-1*$I$5,1),F1390:S1390,0)</f>
        <v>5.3302565309289935</v>
      </c>
      <c r="U1390" s="7" cm="1">
        <f t="array" aca="1" ref="U1390" ca="1">z_score_diff(OFFSET(T1390,0,0,$I$5*-1,1),OFFSET(E1390,0,0,$I$5*-1,1))</f>
        <v>0.21484970750446486</v>
      </c>
      <c r="V1390" s="7">
        <f t="shared" ca="1" si="1477"/>
        <v>0.18328121632732991</v>
      </c>
      <c r="W1390" s="14">
        <f t="shared" ca="1" si="1472"/>
        <v>0.34626440533864966</v>
      </c>
      <c r="X1390" s="10">
        <f t="shared" ref="X1390:Y1390" ca="1" si="1517">+X1389</f>
        <v>0</v>
      </c>
      <c r="Y1390" s="10">
        <f t="shared" ca="1" si="1517"/>
        <v>0</v>
      </c>
      <c r="Z1390">
        <f t="shared" ca="1" si="1479"/>
        <v>0</v>
      </c>
      <c r="AA1390">
        <f t="shared" ca="1" si="1480"/>
        <v>1</v>
      </c>
      <c r="AB1390" s="19">
        <f t="shared" ca="1" si="1481"/>
        <v>0</v>
      </c>
      <c r="AC1390" s="19">
        <f t="shared" ca="1" si="1482"/>
        <v>0.34626440533864966</v>
      </c>
    </row>
    <row r="1391" spans="3:29" x14ac:dyDescent="0.25">
      <c r="C1391" s="4">
        <v>1384</v>
      </c>
      <c r="D1391" s="28">
        <v>43978</v>
      </c>
      <c r="E1391" s="30">
        <v>3.6949999999999998</v>
      </c>
      <c r="F1391" s="30">
        <v>31.573207307098066</v>
      </c>
      <c r="G1391" s="30">
        <v>1.8176860856130146</v>
      </c>
      <c r="H1391" s="30">
        <v>48.713987094428788</v>
      </c>
      <c r="I1391" s="8">
        <v>0</v>
      </c>
      <c r="J1391" s="31">
        <v>0</v>
      </c>
      <c r="K1391" s="31">
        <v>0</v>
      </c>
      <c r="L1391" s="31">
        <v>0</v>
      </c>
      <c r="M1391" s="31">
        <v>1</v>
      </c>
      <c r="N1391" s="31">
        <v>0</v>
      </c>
      <c r="O1391" s="31">
        <v>0</v>
      </c>
      <c r="P1391" s="31">
        <v>0</v>
      </c>
      <c r="Q1391" s="31">
        <v>0</v>
      </c>
      <c r="R1391" s="31">
        <v>0</v>
      </c>
      <c r="S1391" s="31">
        <v>0</v>
      </c>
      <c r="T1391" s="21" cm="1">
        <f t="array" aca="1" ref="T1391" ca="1">+fair_value_gap(OFFSET(S1390,0,0,-1*$I$5,-1*$Z$1),OFFSET(E1390,0,0,-1*$I$5,1),F1391:S1391,0)</f>
        <v>5.1315155472990917</v>
      </c>
      <c r="U1391" s="7" cm="1">
        <f t="array" aca="1" ref="U1391" ca="1">z_score_diff(OFFSET(T1391,0,0,$I$5*-1,1),OFFSET(E1391,0,0,$I$5*-1,1))</f>
        <v>0.27751096463033909</v>
      </c>
      <c r="V1391" s="7">
        <f t="shared" ca="1" si="1477"/>
        <v>0.21375809175734456</v>
      </c>
      <c r="W1391" s="14">
        <f t="shared" ca="1" si="1472"/>
        <v>0.42697323273150295</v>
      </c>
      <c r="X1391" s="10">
        <f t="shared" ref="X1391:Y1391" ca="1" si="1518">+X1390</f>
        <v>0</v>
      </c>
      <c r="Y1391" s="10">
        <f t="shared" ca="1" si="1518"/>
        <v>0</v>
      </c>
      <c r="Z1391">
        <f t="shared" ca="1" si="1479"/>
        <v>0</v>
      </c>
      <c r="AA1391">
        <f t="shared" ca="1" si="1480"/>
        <v>1</v>
      </c>
      <c r="AB1391" s="19">
        <f t="shared" ca="1" si="1481"/>
        <v>0</v>
      </c>
      <c r="AC1391" s="19">
        <f t="shared" ca="1" si="1482"/>
        <v>0.42697323273150295</v>
      </c>
    </row>
    <row r="1392" spans="3:29" x14ac:dyDescent="0.25">
      <c r="C1392" s="4">
        <v>1385</v>
      </c>
      <c r="D1392" s="28">
        <v>43979</v>
      </c>
      <c r="E1392" s="30">
        <v>3.5089999999999999</v>
      </c>
      <c r="F1392" s="30">
        <v>31.861682918020946</v>
      </c>
      <c r="G1392" s="30">
        <v>1.8237630913687253</v>
      </c>
      <c r="H1392" s="30">
        <v>48.483206933911163</v>
      </c>
      <c r="I1392" s="8">
        <v>0</v>
      </c>
      <c r="J1392" s="31">
        <v>0</v>
      </c>
      <c r="K1392" s="31">
        <v>0</v>
      </c>
      <c r="L1392" s="31">
        <v>0</v>
      </c>
      <c r="M1392" s="31">
        <v>1</v>
      </c>
      <c r="N1392" s="31">
        <v>0</v>
      </c>
      <c r="O1392" s="31">
        <v>0</v>
      </c>
      <c r="P1392" s="31">
        <v>0</v>
      </c>
      <c r="Q1392" s="31">
        <v>0</v>
      </c>
      <c r="R1392" s="31">
        <v>0</v>
      </c>
      <c r="S1392" s="31">
        <v>0</v>
      </c>
      <c r="T1392" s="21" cm="1">
        <f t="array" aca="1" ref="T1392" ca="1">+fair_value_gap(OFFSET(S1391,0,0,-1*$I$5,-1*$Z$1),OFFSET(E1391,0,0,-1*$I$5,1),F1392:S1392,0)</f>
        <v>5.0466125953078258</v>
      </c>
      <c r="U1392" s="7" cm="1">
        <f t="array" aca="1" ref="U1392" ca="1">z_score_diff(OFFSET(T1392,0,0,$I$5*-1,1),OFFSET(E1392,0,0,$I$5*-1,1))</f>
        <v>0.29832631099973028</v>
      </c>
      <c r="V1392" s="7">
        <f t="shared" ca="1" si="1477"/>
        <v>0.24252882890317204</v>
      </c>
      <c r="W1392" s="14">
        <f t="shared" ca="1" si="1472"/>
        <v>0.40403918458123139</v>
      </c>
      <c r="X1392" s="10">
        <f t="shared" ref="X1392:Y1392" ca="1" si="1519">+X1391</f>
        <v>0</v>
      </c>
      <c r="Y1392" s="10">
        <f t="shared" ca="1" si="1519"/>
        <v>0</v>
      </c>
      <c r="Z1392">
        <f t="shared" ca="1" si="1479"/>
        <v>0</v>
      </c>
      <c r="AA1392">
        <f t="shared" ca="1" si="1480"/>
        <v>1</v>
      </c>
      <c r="AB1392" s="19">
        <f t="shared" ca="1" si="1481"/>
        <v>0</v>
      </c>
      <c r="AC1392" s="19">
        <f t="shared" ca="1" si="1482"/>
        <v>0.40403918458123139</v>
      </c>
    </row>
    <row r="1393" spans="3:29" x14ac:dyDescent="0.25">
      <c r="C1393" s="4">
        <v>1386</v>
      </c>
      <c r="D1393" s="28">
        <v>43980</v>
      </c>
      <c r="E1393" s="30">
        <v>4.3849999999999998</v>
      </c>
      <c r="F1393" s="30">
        <v>31.834564786448009</v>
      </c>
      <c r="G1393" s="30">
        <v>1.8606956208325827</v>
      </c>
      <c r="H1393" s="30">
        <v>48.387096774193559</v>
      </c>
      <c r="I1393" s="8">
        <v>0</v>
      </c>
      <c r="J1393" s="31">
        <v>0</v>
      </c>
      <c r="K1393" s="31">
        <v>0</v>
      </c>
      <c r="L1393" s="31">
        <v>0</v>
      </c>
      <c r="M1393" s="31">
        <v>1</v>
      </c>
      <c r="N1393" s="31">
        <v>0</v>
      </c>
      <c r="O1393" s="31">
        <v>0</v>
      </c>
      <c r="P1393" s="31">
        <v>0</v>
      </c>
      <c r="Q1393" s="31">
        <v>0</v>
      </c>
      <c r="R1393" s="31">
        <v>0</v>
      </c>
      <c r="S1393" s="31">
        <v>0</v>
      </c>
      <c r="T1393" s="21" cm="1">
        <f t="array" aca="1" ref="T1393" ca="1">+fair_value_gap(OFFSET(S1392,0,0,-1*$I$5,-1*$Z$1),OFFSET(E1392,0,0,-1*$I$5,1),F1393:S1393,0)</f>
        <v>4.9831310999955409</v>
      </c>
      <c r="U1393" s="7" cm="1">
        <f t="array" aca="1" ref="U1393" ca="1">z_score_diff(OFFSET(T1393,0,0,$I$5*-1,1),OFFSET(E1393,0,0,$I$5*-1,1))</f>
        <v>1.6184738844878588E-2</v>
      </c>
      <c r="V1393" s="7">
        <f t="shared" ca="1" si="1477"/>
        <v>0.22666452135544035</v>
      </c>
      <c r="W1393" s="14">
        <f t="shared" ca="1" si="1472"/>
        <v>0.15203082579248267</v>
      </c>
      <c r="X1393" s="10">
        <f t="shared" ref="X1393:Y1393" ca="1" si="1520">+X1392</f>
        <v>0</v>
      </c>
      <c r="Y1393" s="10">
        <f t="shared" ca="1" si="1520"/>
        <v>0</v>
      </c>
      <c r="Z1393">
        <f t="shared" ca="1" si="1479"/>
        <v>0</v>
      </c>
      <c r="AA1393">
        <f t="shared" ca="1" si="1480"/>
        <v>1</v>
      </c>
      <c r="AB1393" s="19">
        <f t="shared" ca="1" si="1481"/>
        <v>0</v>
      </c>
      <c r="AC1393" s="19">
        <f t="shared" ca="1" si="1482"/>
        <v>0.15203082579248267</v>
      </c>
    </row>
    <row r="1394" spans="3:29" x14ac:dyDescent="0.25">
      <c r="C1394" s="4">
        <v>1387</v>
      </c>
      <c r="D1394" s="28">
        <v>43983</v>
      </c>
      <c r="E1394" s="30">
        <v>4.0529999999999999</v>
      </c>
      <c r="F1394" s="30">
        <v>34.417100772408837</v>
      </c>
      <c r="G1394" s="30">
        <v>1.7962996227770793</v>
      </c>
      <c r="H1394" s="30">
        <v>54.023711155020656</v>
      </c>
      <c r="I1394" s="8">
        <v>0</v>
      </c>
      <c r="J1394" s="31">
        <v>0</v>
      </c>
      <c r="K1394" s="31">
        <v>0</v>
      </c>
      <c r="L1394" s="31">
        <v>0</v>
      </c>
      <c r="M1394" s="31">
        <v>0</v>
      </c>
      <c r="N1394" s="31">
        <v>1</v>
      </c>
      <c r="O1394" s="31">
        <v>0</v>
      </c>
      <c r="P1394" s="31">
        <v>0</v>
      </c>
      <c r="Q1394" s="31">
        <v>0</v>
      </c>
      <c r="R1394" s="31">
        <v>0</v>
      </c>
      <c r="S1394" s="31">
        <v>0</v>
      </c>
      <c r="T1394" s="21" cm="1">
        <f t="array" aca="1" ref="T1394" ca="1">+fair_value_gap(OFFSET(S1393,0,0,-1*$I$5,-1*$Z$1),OFFSET(E1393,0,0,-1*$I$5,1),F1394:S1394,0)</f>
        <v>7.7279909912281122</v>
      </c>
      <c r="U1394" s="7" cm="1">
        <f t="array" aca="1" ref="U1394" ca="1">z_score_diff(OFFSET(T1394,0,0,$I$5*-1,1),OFFSET(E1394,0,0,$I$5*-1,1))</f>
        <v>0.85559559910890548</v>
      </c>
      <c r="V1394" s="7">
        <f t="shared" ca="1" si="1477"/>
        <v>0.25816956576801559</v>
      </c>
      <c r="W1394" s="14">
        <f t="shared" ca="1" si="1472"/>
        <v>0.36510220165522916</v>
      </c>
      <c r="X1394" s="10">
        <f t="shared" ref="X1394:Y1394" ca="1" si="1521">+X1393</f>
        <v>0</v>
      </c>
      <c r="Y1394" s="10">
        <f t="shared" ca="1" si="1521"/>
        <v>0</v>
      </c>
      <c r="Z1394">
        <f t="shared" ca="1" si="1479"/>
        <v>0</v>
      </c>
      <c r="AA1394">
        <f t="shared" ca="1" si="1480"/>
        <v>1</v>
      </c>
      <c r="AB1394" s="19">
        <f t="shared" ca="1" si="1481"/>
        <v>0</v>
      </c>
      <c r="AC1394" s="19">
        <f t="shared" ca="1" si="1482"/>
        <v>0.36510220165522916</v>
      </c>
    </row>
    <row r="1395" spans="3:29" x14ac:dyDescent="0.25">
      <c r="C1395" s="4">
        <v>1388</v>
      </c>
      <c r="D1395" s="28">
        <v>43984</v>
      </c>
      <c r="E1395" s="30">
        <v>4.8520000000000003</v>
      </c>
      <c r="F1395" s="30">
        <v>35.428417942519474</v>
      </c>
      <c r="G1395" s="30">
        <v>1.8846808129644552</v>
      </c>
      <c r="H1395" s="30">
        <v>54.302086131256154</v>
      </c>
      <c r="I1395" s="8">
        <v>0</v>
      </c>
      <c r="J1395" s="31">
        <v>0</v>
      </c>
      <c r="K1395" s="31">
        <v>0</v>
      </c>
      <c r="L1395" s="31">
        <v>0</v>
      </c>
      <c r="M1395" s="31">
        <v>0</v>
      </c>
      <c r="N1395" s="31">
        <v>1</v>
      </c>
      <c r="O1395" s="31">
        <v>0</v>
      </c>
      <c r="P1395" s="31">
        <v>0</v>
      </c>
      <c r="Q1395" s="31">
        <v>0</v>
      </c>
      <c r="R1395" s="31">
        <v>0</v>
      </c>
      <c r="S1395" s="31">
        <v>0</v>
      </c>
      <c r="T1395" s="21" cm="1">
        <f t="array" aca="1" ref="T1395" ca="1">+fair_value_gap(OFFSET(S1394,0,0,-1*$I$5,-1*$Z$1),OFFSET(E1394,0,0,-1*$I$5,1),F1395:S1395,0)</f>
        <v>6.9191096515837414</v>
      </c>
      <c r="U1395" s="7" cm="1">
        <f t="array" aca="1" ref="U1395" ca="1">z_score_diff(OFFSET(T1395,0,0,$I$5*-1,1),OFFSET(E1395,0,0,$I$5*-1,1))</f>
        <v>0.3882100117627334</v>
      </c>
      <c r="V1395" s="7">
        <f t="shared" ca="1" si="1477"/>
        <v>0.26278725046239843</v>
      </c>
      <c r="W1395" s="14">
        <f t="shared" ca="1" si="1472"/>
        <v>0.23917268089830246</v>
      </c>
      <c r="X1395" s="10">
        <f t="shared" ref="X1395:Y1395" ca="1" si="1522">+X1394</f>
        <v>0</v>
      </c>
      <c r="Y1395" s="10">
        <f t="shared" ca="1" si="1522"/>
        <v>0</v>
      </c>
      <c r="Z1395">
        <f t="shared" ca="1" si="1479"/>
        <v>0</v>
      </c>
      <c r="AA1395">
        <f t="shared" ca="1" si="1480"/>
        <v>1</v>
      </c>
      <c r="AB1395" s="19">
        <f t="shared" ca="1" si="1481"/>
        <v>0</v>
      </c>
      <c r="AC1395" s="19">
        <f t="shared" ca="1" si="1482"/>
        <v>0.23917268089830246</v>
      </c>
    </row>
    <row r="1396" spans="3:29" x14ac:dyDescent="0.25">
      <c r="C1396" s="4">
        <v>1389</v>
      </c>
      <c r="D1396" s="28">
        <v>43985</v>
      </c>
      <c r="E1396" s="30">
        <v>5.3310000000000004</v>
      </c>
      <c r="F1396" s="30">
        <v>35.425569800569804</v>
      </c>
      <c r="G1396" s="30">
        <v>1.8696581196581197</v>
      </c>
      <c r="H1396" s="30">
        <v>54.131054131054128</v>
      </c>
      <c r="I1396" s="8">
        <v>0</v>
      </c>
      <c r="J1396" s="31">
        <v>0</v>
      </c>
      <c r="K1396" s="31">
        <v>0</v>
      </c>
      <c r="L1396" s="31">
        <v>0</v>
      </c>
      <c r="M1396" s="31">
        <v>0</v>
      </c>
      <c r="N1396" s="31">
        <v>1</v>
      </c>
      <c r="O1396" s="31">
        <v>0</v>
      </c>
      <c r="P1396" s="31">
        <v>0</v>
      </c>
      <c r="Q1396" s="31">
        <v>0</v>
      </c>
      <c r="R1396" s="31">
        <v>0</v>
      </c>
      <c r="S1396" s="31">
        <v>0</v>
      </c>
      <c r="T1396" s="21" cm="1">
        <f t="array" aca="1" ref="T1396" ca="1">+fair_value_gap(OFFSET(S1395,0,0,-1*$I$5,-1*$Z$1),OFFSET(E1395,0,0,-1*$I$5,1),F1396:S1396,0)</f>
        <v>6.4396860049417279</v>
      </c>
      <c r="U1396" s="7" cm="1">
        <f t="array" aca="1" ref="U1396" ca="1">z_score_diff(OFFSET(T1396,0,0,$I$5*-1,1),OFFSET(E1396,0,0,$I$5*-1,1))</f>
        <v>0.11259688569747839</v>
      </c>
      <c r="V1396" s="7">
        <f t="shared" ca="1" si="1477"/>
        <v>0.25959469145888986</v>
      </c>
      <c r="W1396" s="14">
        <f t="shared" ca="1" si="1472"/>
        <v>9.5122580141454069E-2</v>
      </c>
      <c r="X1396" s="10">
        <f t="shared" ref="X1396:Y1396" ca="1" si="1523">+X1395</f>
        <v>0</v>
      </c>
      <c r="Y1396" s="10">
        <f t="shared" ca="1" si="1523"/>
        <v>0</v>
      </c>
      <c r="Z1396">
        <f t="shared" ca="1" si="1479"/>
        <v>0</v>
      </c>
      <c r="AA1396">
        <f t="shared" ca="1" si="1480"/>
        <v>1</v>
      </c>
      <c r="AB1396" s="19">
        <f t="shared" ca="1" si="1481"/>
        <v>0</v>
      </c>
      <c r="AC1396" s="19">
        <f t="shared" ca="1" si="1482"/>
        <v>9.5122580141454069E-2</v>
      </c>
    </row>
    <row r="1397" spans="3:29" x14ac:dyDescent="0.25">
      <c r="C1397" s="4">
        <v>1390</v>
      </c>
      <c r="D1397" s="28">
        <v>43986</v>
      </c>
      <c r="E1397" s="30">
        <v>5.3920000000000003</v>
      </c>
      <c r="F1397" s="30">
        <v>35.276993648553287</v>
      </c>
      <c r="G1397" s="30">
        <v>1.8260409315455186</v>
      </c>
      <c r="H1397" s="30">
        <v>52.752293577981654</v>
      </c>
      <c r="I1397" s="8">
        <v>0</v>
      </c>
      <c r="J1397" s="31">
        <v>0</v>
      </c>
      <c r="K1397" s="31">
        <v>0</v>
      </c>
      <c r="L1397" s="31">
        <v>0</v>
      </c>
      <c r="M1397" s="31">
        <v>0</v>
      </c>
      <c r="N1397" s="31">
        <v>1</v>
      </c>
      <c r="O1397" s="31">
        <v>0</v>
      </c>
      <c r="P1397" s="31">
        <v>0</v>
      </c>
      <c r="Q1397" s="31">
        <v>0</v>
      </c>
      <c r="R1397" s="31">
        <v>0</v>
      </c>
      <c r="S1397" s="31">
        <v>0</v>
      </c>
      <c r="T1397" s="21" cm="1">
        <f t="array" aca="1" ref="T1397" ca="1">+fair_value_gap(OFFSET(S1396,0,0,-1*$I$5,-1*$Z$1),OFFSET(E1396,0,0,-1*$I$5,1),F1397:S1397,0)</f>
        <v>6.0401622919967206</v>
      </c>
      <c r="U1397" s="7" cm="1">
        <f t="array" aca="1" ref="U1397" ca="1">z_score_diff(OFFSET(T1397,0,0,$I$5*-1,1),OFFSET(E1397,0,0,$I$5*-1,1))</f>
        <v>-1.6093965536993382E-2</v>
      </c>
      <c r="V1397" s="7">
        <f t="shared" ca="1" si="1477"/>
        <v>0.25340504132411124</v>
      </c>
      <c r="W1397" s="14">
        <f t="shared" ca="1" si="1472"/>
        <v>9.746593380545196E-2</v>
      </c>
      <c r="X1397" s="10">
        <f t="shared" ref="X1397:Y1397" ca="1" si="1524">+X1396</f>
        <v>0</v>
      </c>
      <c r="Y1397" s="10">
        <f t="shared" ca="1" si="1524"/>
        <v>0</v>
      </c>
      <c r="Z1397">
        <f t="shared" ca="1" si="1479"/>
        <v>0</v>
      </c>
      <c r="AA1397">
        <f t="shared" ca="1" si="1480"/>
        <v>1</v>
      </c>
      <c r="AB1397" s="19">
        <f t="shared" ca="1" si="1481"/>
        <v>0</v>
      </c>
      <c r="AC1397" s="19">
        <f t="shared" ca="1" si="1482"/>
        <v>9.746593380545196E-2</v>
      </c>
    </row>
    <row r="1398" spans="3:29" x14ac:dyDescent="0.25">
      <c r="C1398" s="4">
        <v>1391</v>
      </c>
      <c r="D1398" s="28">
        <v>43987</v>
      </c>
      <c r="E1398" s="30">
        <v>5.7080000000000002</v>
      </c>
      <c r="F1398" s="30">
        <v>37.486706841545548</v>
      </c>
      <c r="G1398" s="30">
        <v>1.834455866713931</v>
      </c>
      <c r="H1398" s="30">
        <v>53.084012761432113</v>
      </c>
      <c r="I1398" s="8">
        <v>0</v>
      </c>
      <c r="J1398" s="31">
        <v>0</v>
      </c>
      <c r="K1398" s="31">
        <v>0</v>
      </c>
      <c r="L1398" s="31">
        <v>0</v>
      </c>
      <c r="M1398" s="31">
        <v>0</v>
      </c>
      <c r="N1398" s="31">
        <v>1</v>
      </c>
      <c r="O1398" s="31">
        <v>0</v>
      </c>
      <c r="P1398" s="31">
        <v>0</v>
      </c>
      <c r="Q1398" s="31">
        <v>0</v>
      </c>
      <c r="R1398" s="31">
        <v>0</v>
      </c>
      <c r="S1398" s="31">
        <v>0</v>
      </c>
      <c r="T1398" s="21" cm="1">
        <f t="array" aca="1" ref="T1398" ca="1">+fair_value_gap(OFFSET(S1397,0,0,-1*$I$5,-1*$Z$1),OFFSET(E1397,0,0,-1*$I$5,1),F1398:S1398,0)</f>
        <v>6.0639911205902202</v>
      </c>
      <c r="U1398" s="7" cm="1">
        <f t="array" aca="1" ref="U1398" ca="1">z_score_diff(OFFSET(T1398,0,0,$I$5*-1,1),OFFSET(E1398,0,0,$I$5*-1,1))</f>
        <v>-0.10070856501312941</v>
      </c>
      <c r="V1398" s="7">
        <f t="shared" ca="1" si="1477"/>
        <v>0.24327299796087826</v>
      </c>
      <c r="W1398" s="14">
        <f t="shared" ca="1" si="1472"/>
        <v>5.5044134854259755E-2</v>
      </c>
      <c r="X1398" s="10">
        <f t="shared" ref="X1398:Y1398" ca="1" si="1525">+X1397</f>
        <v>0</v>
      </c>
      <c r="Y1398" s="10">
        <f t="shared" ca="1" si="1525"/>
        <v>0</v>
      </c>
      <c r="Z1398">
        <f t="shared" ca="1" si="1479"/>
        <v>0</v>
      </c>
      <c r="AA1398">
        <f t="shared" ca="1" si="1480"/>
        <v>1</v>
      </c>
      <c r="AB1398" s="19">
        <f t="shared" ca="1" si="1481"/>
        <v>0</v>
      </c>
      <c r="AC1398" s="19">
        <f t="shared" ca="1" si="1482"/>
        <v>5.5044134854259755E-2</v>
      </c>
    </row>
    <row r="1399" spans="3:29" x14ac:dyDescent="0.25">
      <c r="C1399" s="4">
        <v>1392</v>
      </c>
      <c r="D1399" s="28">
        <v>43990</v>
      </c>
      <c r="E1399" s="30">
        <v>5.2489999999999997</v>
      </c>
      <c r="F1399" s="30">
        <v>36.1317747077577</v>
      </c>
      <c r="G1399" s="30">
        <v>1.8331562167906481</v>
      </c>
      <c r="H1399" s="30">
        <v>52.692171448813319</v>
      </c>
      <c r="I1399" s="8">
        <v>0</v>
      </c>
      <c r="J1399" s="31">
        <v>0</v>
      </c>
      <c r="K1399" s="31">
        <v>0</v>
      </c>
      <c r="L1399" s="31">
        <v>0</v>
      </c>
      <c r="M1399" s="31">
        <v>0</v>
      </c>
      <c r="N1399" s="31">
        <v>1</v>
      </c>
      <c r="O1399" s="31">
        <v>0</v>
      </c>
      <c r="P1399" s="31">
        <v>0</v>
      </c>
      <c r="Q1399" s="31">
        <v>0</v>
      </c>
      <c r="R1399" s="31">
        <v>0</v>
      </c>
      <c r="S1399" s="31">
        <v>0</v>
      </c>
      <c r="T1399" s="21" cm="1">
        <f t="array" aca="1" ref="T1399" ca="1">+fair_value_gap(OFFSET(S1398,0,0,-1*$I$5,-1*$Z$1),OFFSET(E1398,0,0,-1*$I$5,1),F1399:S1399,0)</f>
        <v>5.8303149722737926</v>
      </c>
      <c r="U1399" s="7" cm="1">
        <f t="array" aca="1" ref="U1399" ca="1">z_score_diff(OFFSET(T1399,0,0,$I$5*-1,1),OFFSET(E1399,0,0,$I$5*-1,1))</f>
        <v>-3.3122623298718734E-2</v>
      </c>
      <c r="V1399" s="7">
        <f t="shared" ca="1" si="1477"/>
        <v>0.23686536944850931</v>
      </c>
      <c r="W1399" s="14">
        <f t="shared" ca="1" si="1472"/>
        <v>0.14959523611418254</v>
      </c>
      <c r="X1399" s="10">
        <f t="shared" ref="X1399:Y1399" ca="1" si="1526">+X1398</f>
        <v>0</v>
      </c>
      <c r="Y1399" s="10">
        <f t="shared" ca="1" si="1526"/>
        <v>0</v>
      </c>
      <c r="Z1399">
        <f t="shared" ca="1" si="1479"/>
        <v>0</v>
      </c>
      <c r="AA1399">
        <f t="shared" ca="1" si="1480"/>
        <v>1</v>
      </c>
      <c r="AB1399" s="19">
        <f t="shared" ca="1" si="1481"/>
        <v>0</v>
      </c>
      <c r="AC1399" s="19">
        <f t="shared" ca="1" si="1482"/>
        <v>0.14959523611418254</v>
      </c>
    </row>
    <row r="1400" spans="3:29" x14ac:dyDescent="0.25">
      <c r="C1400" s="4">
        <v>1393</v>
      </c>
      <c r="D1400" s="28">
        <v>43991</v>
      </c>
      <c r="E1400" s="30">
        <v>4.806</v>
      </c>
      <c r="F1400" s="30">
        <v>36.313932980599652</v>
      </c>
      <c r="G1400" s="30">
        <v>1.8165784832451501</v>
      </c>
      <c r="H1400" s="30">
        <v>51.366843033509703</v>
      </c>
      <c r="I1400" s="8">
        <v>0</v>
      </c>
      <c r="J1400" s="31">
        <v>0</v>
      </c>
      <c r="K1400" s="31">
        <v>0</v>
      </c>
      <c r="L1400" s="31">
        <v>0</v>
      </c>
      <c r="M1400" s="31">
        <v>0</v>
      </c>
      <c r="N1400" s="31">
        <v>1</v>
      </c>
      <c r="O1400" s="31">
        <v>0</v>
      </c>
      <c r="P1400" s="31">
        <v>0</v>
      </c>
      <c r="Q1400" s="31">
        <v>0</v>
      </c>
      <c r="R1400" s="31">
        <v>0</v>
      </c>
      <c r="S1400" s="31">
        <v>0</v>
      </c>
      <c r="T1400" s="21" cm="1">
        <f t="array" aca="1" ref="T1400" ca="1">+fair_value_gap(OFFSET(S1399,0,0,-1*$I$5,-1*$Z$1),OFFSET(E1399,0,0,-1*$I$5,1),F1400:S1400,0)</f>
        <v>5.5926226155953618</v>
      </c>
      <c r="U1400" s="7" cm="1">
        <f t="array" aca="1" ref="U1400" ca="1">z_score_diff(OFFSET(T1400,0,0,$I$5*-1,1),OFFSET(E1400,0,0,$I$5*-1,1))</f>
        <v>2.7721581305925058E-2</v>
      </c>
      <c r="V1400" s="7">
        <f t="shared" ca="1" si="1477"/>
        <v>0.2282375395857838</v>
      </c>
      <c r="W1400" s="14">
        <f t="shared" ca="1" si="1472"/>
        <v>0.24235034048116003</v>
      </c>
      <c r="X1400" s="10">
        <f t="shared" ref="X1400:Y1400" ca="1" si="1527">+X1399</f>
        <v>0</v>
      </c>
      <c r="Y1400" s="10">
        <f t="shared" ca="1" si="1527"/>
        <v>0</v>
      </c>
      <c r="Z1400">
        <f t="shared" ca="1" si="1479"/>
        <v>0</v>
      </c>
      <c r="AA1400">
        <f t="shared" ca="1" si="1480"/>
        <v>1</v>
      </c>
      <c r="AB1400" s="19">
        <f t="shared" ca="1" si="1481"/>
        <v>0</v>
      </c>
      <c r="AC1400" s="19">
        <f t="shared" ca="1" si="1482"/>
        <v>0.24235034048116003</v>
      </c>
    </row>
    <row r="1401" spans="3:29" x14ac:dyDescent="0.25">
      <c r="C1401" s="4">
        <v>1394</v>
      </c>
      <c r="D1401" s="28">
        <v>43992</v>
      </c>
      <c r="E1401" s="30">
        <v>4.8019999999999996</v>
      </c>
      <c r="F1401" s="30">
        <v>36.705075204503473</v>
      </c>
      <c r="G1401" s="30">
        <v>1.820740610431876</v>
      </c>
      <c r="H1401" s="30">
        <v>49.916439440584043</v>
      </c>
      <c r="I1401" s="8">
        <v>0</v>
      </c>
      <c r="J1401" s="31">
        <v>0</v>
      </c>
      <c r="K1401" s="31">
        <v>0</v>
      </c>
      <c r="L1401" s="31">
        <v>0</v>
      </c>
      <c r="M1401" s="31">
        <v>0</v>
      </c>
      <c r="N1401" s="31">
        <v>1</v>
      </c>
      <c r="O1401" s="31">
        <v>0</v>
      </c>
      <c r="P1401" s="31">
        <v>0</v>
      </c>
      <c r="Q1401" s="31">
        <v>0</v>
      </c>
      <c r="R1401" s="31">
        <v>0</v>
      </c>
      <c r="S1401" s="31">
        <v>0</v>
      </c>
      <c r="T1401" s="21" cm="1">
        <f t="array" aca="1" ref="T1401" ca="1">+fair_value_gap(OFFSET(S1400,0,0,-1*$I$5,-1*$Z$1),OFFSET(E1400,0,0,-1*$I$5,1),F1401:S1401,0)</f>
        <v>5.3876212425781089</v>
      </c>
      <c r="U1401" s="7" cm="1">
        <f t="array" aca="1" ref="U1401" ca="1">z_score_diff(OFFSET(T1401,0,0,$I$5*-1,1),OFFSET(E1401,0,0,$I$5*-1,1))</f>
        <v>-2.6054917662751365E-2</v>
      </c>
      <c r="V1401" s="7">
        <f t="shared" ca="1" si="1477"/>
        <v>0.21562697923769808</v>
      </c>
      <c r="W1401" s="14">
        <f t="shared" ca="1" si="1472"/>
        <v>0.21217145748947705</v>
      </c>
      <c r="X1401" s="10">
        <f t="shared" ref="X1401:Y1401" ca="1" si="1528">+X1400</f>
        <v>0</v>
      </c>
      <c r="Y1401" s="10">
        <f t="shared" ca="1" si="1528"/>
        <v>0</v>
      </c>
      <c r="Z1401">
        <f t="shared" ca="1" si="1479"/>
        <v>0</v>
      </c>
      <c r="AA1401">
        <f t="shared" ca="1" si="1480"/>
        <v>1</v>
      </c>
      <c r="AB1401" s="19">
        <f t="shared" ca="1" si="1481"/>
        <v>0</v>
      </c>
      <c r="AC1401" s="19">
        <f t="shared" ca="1" si="1482"/>
        <v>0.21217145748947705</v>
      </c>
    </row>
    <row r="1402" spans="3:29" x14ac:dyDescent="0.25">
      <c r="C1402" s="4">
        <v>1395</v>
      </c>
      <c r="D1402" s="28">
        <v>43993</v>
      </c>
      <c r="E1402" s="30">
        <v>4.9880000000000004</v>
      </c>
      <c r="F1402" s="30">
        <v>34.124103744356908</v>
      </c>
      <c r="G1402" s="30">
        <v>1.8323448703195537</v>
      </c>
      <c r="H1402" s="30">
        <v>50.146056475170404</v>
      </c>
      <c r="I1402" s="8">
        <v>0</v>
      </c>
      <c r="J1402" s="31">
        <v>0</v>
      </c>
      <c r="K1402" s="31">
        <v>0</v>
      </c>
      <c r="L1402" s="31">
        <v>0</v>
      </c>
      <c r="M1402" s="31">
        <v>0</v>
      </c>
      <c r="N1402" s="31">
        <v>1</v>
      </c>
      <c r="O1402" s="31">
        <v>0</v>
      </c>
      <c r="P1402" s="31">
        <v>0</v>
      </c>
      <c r="Q1402" s="31">
        <v>0</v>
      </c>
      <c r="R1402" s="31">
        <v>0</v>
      </c>
      <c r="S1402" s="31">
        <v>0</v>
      </c>
      <c r="T1402" s="21" cm="1">
        <f t="array" aca="1" ref="T1402" ca="1">+fair_value_gap(OFFSET(S1401,0,0,-1*$I$5,-1*$Z$1),OFFSET(E1401,0,0,-1*$I$5,1),F1402:S1402,0)</f>
        <v>5.1313913497782488</v>
      </c>
      <c r="U1402" s="7" cm="1">
        <f t="array" aca="1" ref="U1402" ca="1">z_score_diff(OFFSET(T1402,0,0,$I$5*-1,1),OFFSET(E1402,0,0,$I$5*-1,1))</f>
        <v>-0.14363767724982002</v>
      </c>
      <c r="V1402" s="7">
        <f t="shared" ca="1" si="1477"/>
        <v>0.19922593498214228</v>
      </c>
      <c r="W1402" s="14">
        <f t="shared" ca="1" si="1472"/>
        <v>0.14338147787588243</v>
      </c>
      <c r="X1402" s="10">
        <f t="shared" ref="X1402:Y1402" ca="1" si="1529">+X1401</f>
        <v>0</v>
      </c>
      <c r="Y1402" s="10">
        <f t="shared" ca="1" si="1529"/>
        <v>0</v>
      </c>
      <c r="Z1402">
        <f t="shared" ca="1" si="1479"/>
        <v>0</v>
      </c>
      <c r="AA1402">
        <f t="shared" ca="1" si="1480"/>
        <v>1</v>
      </c>
      <c r="AB1402" s="19">
        <f t="shared" ca="1" si="1481"/>
        <v>0</v>
      </c>
      <c r="AC1402" s="19">
        <f t="shared" ca="1" si="1482"/>
        <v>0.14338147787588243</v>
      </c>
    </row>
    <row r="1403" spans="3:29" x14ac:dyDescent="0.25">
      <c r="C1403" s="4">
        <v>1396</v>
      </c>
      <c r="D1403" s="28">
        <v>43994</v>
      </c>
      <c r="E1403" s="30">
        <v>5.2729999999999997</v>
      </c>
      <c r="F1403" s="30">
        <v>34.414430424737873</v>
      </c>
      <c r="G1403" s="30">
        <v>1.8349031455482496</v>
      </c>
      <c r="H1403" s="30">
        <v>50.737515550026657</v>
      </c>
      <c r="I1403" s="8">
        <v>0</v>
      </c>
      <c r="J1403" s="31">
        <v>0</v>
      </c>
      <c r="K1403" s="31">
        <v>0</v>
      </c>
      <c r="L1403" s="31">
        <v>0</v>
      </c>
      <c r="M1403" s="31">
        <v>0</v>
      </c>
      <c r="N1403" s="31">
        <v>1</v>
      </c>
      <c r="O1403" s="31">
        <v>0</v>
      </c>
      <c r="P1403" s="31">
        <v>0</v>
      </c>
      <c r="Q1403" s="31">
        <v>0</v>
      </c>
      <c r="R1403" s="31">
        <v>0</v>
      </c>
      <c r="S1403" s="31">
        <v>0</v>
      </c>
      <c r="T1403" s="21" cm="1">
        <f t="array" aca="1" ref="T1403" ca="1">+fair_value_gap(OFFSET(S1402,0,0,-1*$I$5,-1*$Z$1),OFFSET(E1402,0,0,-1*$I$5,1),F1403:S1403,0)</f>
        <v>5.1528699896067609</v>
      </c>
      <c r="U1403" s="7" cm="1">
        <f t="array" aca="1" ref="U1403" ca="1">z_score_diff(OFFSET(T1403,0,0,$I$5*-1,1),OFFSET(E1403,0,0,$I$5*-1,1))</f>
        <v>-0.21394604503412862</v>
      </c>
      <c r="V1403" s="7">
        <f t="shared" ca="1" si="1477"/>
        <v>0.17851269692606947</v>
      </c>
      <c r="W1403" s="14">
        <f t="shared" ca="1" si="1472"/>
        <v>3.7592815154231858E-2</v>
      </c>
      <c r="X1403" s="10">
        <f t="shared" ref="X1403:Y1403" ca="1" si="1530">+X1402</f>
        <v>0</v>
      </c>
      <c r="Y1403" s="10">
        <f t="shared" ca="1" si="1530"/>
        <v>0</v>
      </c>
      <c r="Z1403">
        <f t="shared" ca="1" si="1479"/>
        <v>0</v>
      </c>
      <c r="AA1403">
        <f t="shared" ca="1" si="1480"/>
        <v>1</v>
      </c>
      <c r="AB1403" s="19">
        <f t="shared" ca="1" si="1481"/>
        <v>0</v>
      </c>
      <c r="AC1403" s="19">
        <f t="shared" ca="1" si="1482"/>
        <v>3.7592815154231858E-2</v>
      </c>
    </row>
    <row r="1404" spans="3:29" x14ac:dyDescent="0.25">
      <c r="C1404" s="4">
        <v>1397</v>
      </c>
      <c r="D1404" s="28">
        <v>43997</v>
      </c>
      <c r="E1404" s="30">
        <v>5.516</v>
      </c>
      <c r="F1404" s="30">
        <v>35.082140964493902</v>
      </c>
      <c r="G1404" s="30">
        <v>1.8221162338809398</v>
      </c>
      <c r="H1404" s="30">
        <v>50.123653064829533</v>
      </c>
      <c r="I1404" s="8">
        <v>0</v>
      </c>
      <c r="J1404" s="31">
        <v>0</v>
      </c>
      <c r="K1404" s="31">
        <v>0</v>
      </c>
      <c r="L1404" s="31">
        <v>0</v>
      </c>
      <c r="M1404" s="31">
        <v>0</v>
      </c>
      <c r="N1404" s="31">
        <v>1</v>
      </c>
      <c r="O1404" s="31">
        <v>0</v>
      </c>
      <c r="P1404" s="31">
        <v>0</v>
      </c>
      <c r="Q1404" s="31">
        <v>0</v>
      </c>
      <c r="R1404" s="31">
        <v>0</v>
      </c>
      <c r="S1404" s="31">
        <v>0</v>
      </c>
      <c r="T1404" s="21" cm="1">
        <f t="array" aca="1" ref="T1404" ca="1">+fair_value_gap(OFFSET(S1403,0,0,-1*$I$5,-1*$Z$1),OFFSET(E1403,0,0,-1*$I$5,1),F1404:S1404,0)</f>
        <v>5.1033715849615895</v>
      </c>
      <c r="U1404" s="7" cm="1">
        <f t="array" aca="1" ref="U1404" ca="1">z_score_diff(OFFSET(T1404,0,0,$I$5*-1,1),OFFSET(E1404,0,0,$I$5*-1,1))</f>
        <v>-0.28909472251918777</v>
      </c>
      <c r="V1404" s="7">
        <f t="shared" ca="1" si="1477"/>
        <v>0.14805112145329963</v>
      </c>
      <c r="W1404" s="14">
        <f t="shared" ca="1" si="1472"/>
        <v>-7.6453555715442253E-2</v>
      </c>
      <c r="X1404" s="10">
        <f t="shared" ref="X1404:Y1404" ca="1" si="1531">+X1403</f>
        <v>0</v>
      </c>
      <c r="Y1404" s="10">
        <f t="shared" ca="1" si="1531"/>
        <v>0</v>
      </c>
      <c r="Z1404">
        <f t="shared" ca="1" si="1479"/>
        <v>0</v>
      </c>
      <c r="AA1404">
        <f t="shared" ca="1" si="1480"/>
        <v>1</v>
      </c>
      <c r="AB1404" s="19">
        <f t="shared" ca="1" si="1481"/>
        <v>0</v>
      </c>
      <c r="AC1404" s="19">
        <f t="shared" ca="1" si="1482"/>
        <v>-7.6453555715442253E-2</v>
      </c>
    </row>
    <row r="1405" spans="3:29" x14ac:dyDescent="0.25">
      <c r="C1405" s="4">
        <v>1398</v>
      </c>
      <c r="D1405" s="28">
        <v>43998</v>
      </c>
      <c r="E1405" s="30">
        <v>5.2610000000000001</v>
      </c>
      <c r="F1405" s="30">
        <v>36.366864956050783</v>
      </c>
      <c r="G1405" s="30">
        <v>1.9976915564236881</v>
      </c>
      <c r="H1405" s="30">
        <v>50.386220367575241</v>
      </c>
      <c r="I1405" s="8">
        <v>0</v>
      </c>
      <c r="J1405" s="31">
        <v>0</v>
      </c>
      <c r="K1405" s="31">
        <v>0</v>
      </c>
      <c r="L1405" s="31">
        <v>0</v>
      </c>
      <c r="M1405" s="31">
        <v>0</v>
      </c>
      <c r="N1405" s="31">
        <v>1</v>
      </c>
      <c r="O1405" s="31">
        <v>0</v>
      </c>
      <c r="P1405" s="31">
        <v>0</v>
      </c>
      <c r="Q1405" s="31">
        <v>0</v>
      </c>
      <c r="R1405" s="31">
        <v>0</v>
      </c>
      <c r="S1405" s="31">
        <v>0</v>
      </c>
      <c r="T1405" s="21" cm="1">
        <f t="array" aca="1" ref="T1405" ca="1">+fair_value_gap(OFFSET(S1404,0,0,-1*$I$5,-1*$Z$1),OFFSET(E1404,0,0,-1*$I$5,1),F1405:S1405,0)</f>
        <v>5.3565977389458661</v>
      </c>
      <c r="U1405" s="7" cm="1">
        <f t="array" aca="1" ref="U1405" ca="1">z_score_diff(OFFSET(T1405,0,0,$I$5*-1,1),OFFSET(E1405,0,0,$I$5*-1,1))</f>
        <v>-0.14822834593211343</v>
      </c>
      <c r="V1405" s="7">
        <f t="shared" ca="1" si="1477"/>
        <v>0.12299561556574452</v>
      </c>
      <c r="W1405" s="14">
        <f t="shared" ca="1" si="1472"/>
        <v>-3.4026093248146962E-2</v>
      </c>
      <c r="X1405" s="10">
        <f t="shared" ref="X1405:Y1405" ca="1" si="1532">+X1404</f>
        <v>0</v>
      </c>
      <c r="Y1405" s="10">
        <f t="shared" ca="1" si="1532"/>
        <v>0</v>
      </c>
      <c r="Z1405">
        <f t="shared" ca="1" si="1479"/>
        <v>0</v>
      </c>
      <c r="AA1405">
        <f t="shared" ca="1" si="1480"/>
        <v>1</v>
      </c>
      <c r="AB1405" s="19">
        <f t="shared" ca="1" si="1481"/>
        <v>0</v>
      </c>
      <c r="AC1405" s="19">
        <f t="shared" ca="1" si="1482"/>
        <v>-3.4026093248146962E-2</v>
      </c>
    </row>
    <row r="1406" spans="3:29" x14ac:dyDescent="0.25">
      <c r="C1406" s="4">
        <v>1399</v>
      </c>
      <c r="D1406" s="28">
        <v>43999</v>
      </c>
      <c r="E1406" s="30">
        <v>5.2089999999999996</v>
      </c>
      <c r="F1406" s="30">
        <v>36.209196833585338</v>
      </c>
      <c r="G1406" s="30">
        <v>1.9567731032642532</v>
      </c>
      <c r="H1406" s="30">
        <v>49.586409321355504</v>
      </c>
      <c r="I1406" s="8">
        <v>0</v>
      </c>
      <c r="J1406" s="31">
        <v>0</v>
      </c>
      <c r="K1406" s="31">
        <v>0</v>
      </c>
      <c r="L1406" s="31">
        <v>0</v>
      </c>
      <c r="M1406" s="31">
        <v>0</v>
      </c>
      <c r="N1406" s="31">
        <v>1</v>
      </c>
      <c r="O1406" s="31">
        <v>0</v>
      </c>
      <c r="P1406" s="31">
        <v>0</v>
      </c>
      <c r="Q1406" s="31">
        <v>0</v>
      </c>
      <c r="R1406" s="31">
        <v>0</v>
      </c>
      <c r="S1406" s="31">
        <v>0</v>
      </c>
      <c r="T1406" s="21" cm="1">
        <f t="array" aca="1" ref="T1406" ca="1">+fair_value_gap(OFFSET(S1405,0,0,-1*$I$5,-1*$Z$1),OFFSET(E1405,0,0,-1*$I$5,1),F1406:S1406,0)</f>
        <v>5.1977833222860941</v>
      </c>
      <c r="U1406" s="7" cm="1">
        <f t="array" aca="1" ref="U1406" ca="1">z_score_diff(OFFSET(T1406,0,0,$I$5*-1,1),OFFSET(E1406,0,0,$I$5*-1,1))</f>
        <v>-0.17081722751764272</v>
      </c>
      <c r="V1406" s="7">
        <f t="shared" ca="1" si="1477"/>
        <v>9.6180656549042204E-2</v>
      </c>
      <c r="W1406" s="14">
        <f t="shared" ca="1" si="1472"/>
        <v>3.2582683353663349E-3</v>
      </c>
      <c r="X1406" s="10">
        <f t="shared" ref="X1406:Y1406" ca="1" si="1533">+X1405</f>
        <v>0</v>
      </c>
      <c r="Y1406" s="10">
        <f t="shared" ca="1" si="1533"/>
        <v>0</v>
      </c>
      <c r="Z1406">
        <f t="shared" ca="1" si="1479"/>
        <v>0</v>
      </c>
      <c r="AA1406">
        <f t="shared" ca="1" si="1480"/>
        <v>1</v>
      </c>
      <c r="AB1406" s="19">
        <f t="shared" ca="1" si="1481"/>
        <v>0</v>
      </c>
      <c r="AC1406" s="19">
        <f t="shared" ca="1" si="1482"/>
        <v>3.2582683353663349E-3</v>
      </c>
    </row>
    <row r="1407" spans="3:29" x14ac:dyDescent="0.25">
      <c r="C1407" s="4">
        <v>1400</v>
      </c>
      <c r="D1407" s="28">
        <v>44000</v>
      </c>
      <c r="E1407" s="30">
        <v>5.4509999999999996</v>
      </c>
      <c r="F1407" s="30">
        <v>37.055882878057488</v>
      </c>
      <c r="G1407" s="30">
        <v>1.9639350116050704</v>
      </c>
      <c r="H1407" s="30">
        <v>49.857168362792358</v>
      </c>
      <c r="I1407" s="8">
        <v>0</v>
      </c>
      <c r="J1407" s="31">
        <v>0</v>
      </c>
      <c r="K1407" s="31">
        <v>0</v>
      </c>
      <c r="L1407" s="31">
        <v>0</v>
      </c>
      <c r="M1407" s="31">
        <v>0</v>
      </c>
      <c r="N1407" s="31">
        <v>1</v>
      </c>
      <c r="O1407" s="31">
        <v>0</v>
      </c>
      <c r="P1407" s="31">
        <v>0</v>
      </c>
      <c r="Q1407" s="31">
        <v>0</v>
      </c>
      <c r="R1407" s="31">
        <v>0</v>
      </c>
      <c r="S1407" s="31">
        <v>0</v>
      </c>
      <c r="T1407" s="21" cm="1">
        <f t="array" aca="1" ref="T1407" ca="1">+fair_value_gap(OFFSET(S1406,0,0,-1*$I$5,-1*$Z$1),OFFSET(E1406,0,0,-1*$I$5,1),F1407:S1407,0)</f>
        <v>5.2482092495772017</v>
      </c>
      <c r="U1407" s="7" cm="1">
        <f t="array" aca="1" ref="U1407" ca="1">z_score_diff(OFFSET(T1407,0,0,$I$5*-1,1),OFFSET(E1407,0,0,$I$5*-1,1))</f>
        <v>-0.21947111242103201</v>
      </c>
      <c r="V1407" s="7">
        <f t="shared" ca="1" si="1477"/>
        <v>6.086307988196521E-2</v>
      </c>
      <c r="W1407" s="14">
        <f t="shared" ca="1" si="1472"/>
        <v>-7.4827929834370366E-2</v>
      </c>
      <c r="X1407" s="10">
        <f t="shared" ref="X1407:Y1407" ca="1" si="1534">+X1406</f>
        <v>0</v>
      </c>
      <c r="Y1407" s="10">
        <f t="shared" ca="1" si="1534"/>
        <v>0</v>
      </c>
      <c r="Z1407">
        <f t="shared" ca="1" si="1479"/>
        <v>0</v>
      </c>
      <c r="AA1407">
        <f t="shared" ca="1" si="1480"/>
        <v>1</v>
      </c>
      <c r="AB1407" s="19">
        <f t="shared" ca="1" si="1481"/>
        <v>0</v>
      </c>
      <c r="AC1407" s="19">
        <f t="shared" ca="1" si="1482"/>
        <v>-7.4827929834370366E-2</v>
      </c>
    </row>
    <row r="1408" spans="3:29" x14ac:dyDescent="0.25">
      <c r="C1408" s="4">
        <v>1401</v>
      </c>
      <c r="D1408" s="28">
        <v>44001</v>
      </c>
      <c r="E1408" s="30">
        <v>5.6150000000000002</v>
      </c>
      <c r="F1408" s="30">
        <v>37.753914988814316</v>
      </c>
      <c r="G1408" s="30">
        <v>1.9865771812080539</v>
      </c>
      <c r="H1408" s="30">
        <v>50.559284116331099</v>
      </c>
      <c r="I1408" s="8">
        <v>0</v>
      </c>
      <c r="J1408" s="31">
        <v>0</v>
      </c>
      <c r="K1408" s="31">
        <v>0</v>
      </c>
      <c r="L1408" s="31">
        <v>0</v>
      </c>
      <c r="M1408" s="31">
        <v>0</v>
      </c>
      <c r="N1408" s="31">
        <v>1</v>
      </c>
      <c r="O1408" s="31">
        <v>0</v>
      </c>
      <c r="P1408" s="31">
        <v>0</v>
      </c>
      <c r="Q1408" s="31">
        <v>0</v>
      </c>
      <c r="R1408" s="31">
        <v>0</v>
      </c>
      <c r="S1408" s="31">
        <v>0</v>
      </c>
      <c r="T1408" s="21" cm="1">
        <f t="array" aca="1" ref="T1408" ca="1">+fair_value_gap(OFFSET(S1407,0,0,-1*$I$5,-1*$Z$1),OFFSET(E1407,0,0,-1*$I$5,1),F1408:S1408,0)</f>
        <v>5.3527029443899163</v>
      </c>
      <c r="U1408" s="7" cm="1">
        <f t="array" aca="1" ref="U1408" ca="1">z_score_diff(OFFSET(T1408,0,0,$I$5*-1,1),OFFSET(E1408,0,0,$I$5*-1,1))</f>
        <v>-0.23370252758624743</v>
      </c>
      <c r="V1408" s="7">
        <f t="shared" ca="1" si="1477"/>
        <v>3.1011006921936833E-2</v>
      </c>
      <c r="W1408" s="14">
        <f t="shared" ca="1" si="1472"/>
        <v>-9.3459711321411648E-2</v>
      </c>
      <c r="X1408" s="10">
        <f t="shared" ref="X1408:Y1408" ca="1" si="1535">+X1407</f>
        <v>0</v>
      </c>
      <c r="Y1408" s="10">
        <f t="shared" ca="1" si="1535"/>
        <v>0</v>
      </c>
      <c r="Z1408">
        <f t="shared" ca="1" si="1479"/>
        <v>0</v>
      </c>
      <c r="AA1408">
        <f t="shared" ca="1" si="1480"/>
        <v>1</v>
      </c>
      <c r="AB1408" s="19">
        <f t="shared" ca="1" si="1481"/>
        <v>0</v>
      </c>
      <c r="AC1408" s="19">
        <f t="shared" ca="1" si="1482"/>
        <v>-9.3459711321411648E-2</v>
      </c>
    </row>
    <row r="1409" spans="3:29" x14ac:dyDescent="0.25">
      <c r="C1409" s="4">
        <v>1402</v>
      </c>
      <c r="D1409" s="28">
        <v>44004</v>
      </c>
      <c r="E1409" s="30">
        <v>5.4950000000000001</v>
      </c>
      <c r="F1409" s="30">
        <v>38.266121868893229</v>
      </c>
      <c r="G1409" s="30">
        <v>1.9985787884171258</v>
      </c>
      <c r="H1409" s="30">
        <v>49.653579676674369</v>
      </c>
      <c r="I1409" s="8">
        <v>0</v>
      </c>
      <c r="J1409" s="31">
        <v>0</v>
      </c>
      <c r="K1409" s="31">
        <v>0</v>
      </c>
      <c r="L1409" s="31">
        <v>0</v>
      </c>
      <c r="M1409" s="31">
        <v>0</v>
      </c>
      <c r="N1409" s="31">
        <v>1</v>
      </c>
      <c r="O1409" s="31">
        <v>0</v>
      </c>
      <c r="P1409" s="31">
        <v>0</v>
      </c>
      <c r="Q1409" s="31">
        <v>0</v>
      </c>
      <c r="R1409" s="31">
        <v>0</v>
      </c>
      <c r="S1409" s="31">
        <v>0</v>
      </c>
      <c r="T1409" s="21" cm="1">
        <f t="array" aca="1" ref="T1409" ca="1">+fair_value_gap(OFFSET(S1408,0,0,-1*$I$5,-1*$Z$1),OFFSET(E1408,0,0,-1*$I$5,1),F1409:S1409,0)</f>
        <v>5.2113549686250762</v>
      </c>
      <c r="U1409" s="7" cm="1">
        <f t="array" aca="1" ref="U1409" ca="1">z_score_diff(OFFSET(T1409,0,0,$I$5*-1,1),OFFSET(E1409,0,0,$I$5*-1,1))</f>
        <v>-0.23347457366696456</v>
      </c>
      <c r="V1409" s="7">
        <f t="shared" ca="1" si="1477"/>
        <v>1.8132174820786252E-2</v>
      </c>
      <c r="W1409" s="14">
        <f t="shared" ca="1" si="1472"/>
        <v>-0.14949064173944432</v>
      </c>
      <c r="X1409" s="10">
        <f t="shared" ref="X1409:Y1409" ca="1" si="1536">+X1408</f>
        <v>0</v>
      </c>
      <c r="Y1409" s="10">
        <f t="shared" ca="1" si="1536"/>
        <v>0</v>
      </c>
      <c r="Z1409">
        <f t="shared" ca="1" si="1479"/>
        <v>0</v>
      </c>
      <c r="AA1409">
        <f t="shared" ca="1" si="1480"/>
        <v>1</v>
      </c>
      <c r="AB1409" s="19">
        <f t="shared" ca="1" si="1481"/>
        <v>0</v>
      </c>
      <c r="AC1409" s="19">
        <f t="shared" ca="1" si="1482"/>
        <v>-0.14949064173944432</v>
      </c>
    </row>
    <row r="1410" spans="3:29" x14ac:dyDescent="0.25">
      <c r="C1410" s="4">
        <v>1403</v>
      </c>
      <c r="D1410" s="28">
        <v>44005</v>
      </c>
      <c r="E1410" s="30">
        <v>5.8289999999999997</v>
      </c>
      <c r="F1410" s="30">
        <v>37.705643021404562</v>
      </c>
      <c r="G1410" s="30">
        <v>2.0343180612064389</v>
      </c>
      <c r="H1410" s="30">
        <v>49.221652220060143</v>
      </c>
      <c r="I1410" s="8">
        <v>0</v>
      </c>
      <c r="J1410" s="31">
        <v>0</v>
      </c>
      <c r="K1410" s="31">
        <v>0</v>
      </c>
      <c r="L1410" s="31">
        <v>0</v>
      </c>
      <c r="M1410" s="31">
        <v>0</v>
      </c>
      <c r="N1410" s="31">
        <v>1</v>
      </c>
      <c r="O1410" s="31">
        <v>0</v>
      </c>
      <c r="P1410" s="31">
        <v>0</v>
      </c>
      <c r="Q1410" s="31">
        <v>0</v>
      </c>
      <c r="R1410" s="31">
        <v>0</v>
      </c>
      <c r="S1410" s="31">
        <v>0</v>
      </c>
      <c r="T1410" s="21" cm="1">
        <f t="array" aca="1" ref="T1410" ca="1">+fair_value_gap(OFFSET(S1409,0,0,-1*$I$5,-1*$Z$1),OFFSET(E1409,0,0,-1*$I$5,1),F1410:S1410,0)</f>
        <v>5.1905478087879686</v>
      </c>
      <c r="U1410" s="7" cm="1">
        <f t="array" aca="1" ref="U1410" ca="1">z_score_diff(OFFSET(T1410,0,0,$I$5*-1,1),OFFSET(E1410,0,0,$I$5*-1,1))</f>
        <v>-0.32480008199045729</v>
      </c>
      <c r="V1410" s="7">
        <f t="shared" ca="1" si="1477"/>
        <v>-8.8503146539598235E-3</v>
      </c>
      <c r="W1410" s="14">
        <f t="shared" ca="1" si="1472"/>
        <v>-0.19589759825026454</v>
      </c>
      <c r="X1410" s="10">
        <f t="shared" ref="X1410:Y1410" ca="1" si="1537">+X1409</f>
        <v>0</v>
      </c>
      <c r="Y1410" s="10">
        <f t="shared" ca="1" si="1537"/>
        <v>0</v>
      </c>
      <c r="Z1410">
        <f t="shared" ca="1" si="1479"/>
        <v>1</v>
      </c>
      <c r="AA1410">
        <f t="shared" ca="1" si="1480"/>
        <v>0</v>
      </c>
      <c r="AB1410" s="19">
        <f t="shared" ca="1" si="1481"/>
        <v>-0.19589759825026454</v>
      </c>
      <c r="AC1410" s="19">
        <f t="shared" ca="1" si="1482"/>
        <v>0</v>
      </c>
    </row>
    <row r="1411" spans="3:29" x14ac:dyDescent="0.25">
      <c r="C1411" s="4">
        <v>1404</v>
      </c>
      <c r="D1411" s="28">
        <v>44006</v>
      </c>
      <c r="E1411" s="30">
        <v>5.6630000000000003</v>
      </c>
      <c r="F1411" s="30">
        <v>35.831111111111113</v>
      </c>
      <c r="G1411" s="30">
        <v>1.9911111111111113</v>
      </c>
      <c r="H1411" s="30">
        <v>49.333333333333336</v>
      </c>
      <c r="I1411" s="8">
        <v>0</v>
      </c>
      <c r="J1411" s="31">
        <v>0</v>
      </c>
      <c r="K1411" s="31">
        <v>0</v>
      </c>
      <c r="L1411" s="31">
        <v>0</v>
      </c>
      <c r="M1411" s="31">
        <v>0</v>
      </c>
      <c r="N1411" s="31">
        <v>1</v>
      </c>
      <c r="O1411" s="31">
        <v>0</v>
      </c>
      <c r="P1411" s="31">
        <v>0</v>
      </c>
      <c r="Q1411" s="31">
        <v>0</v>
      </c>
      <c r="R1411" s="31">
        <v>0</v>
      </c>
      <c r="S1411" s="31">
        <v>0</v>
      </c>
      <c r="T1411" s="21" cm="1">
        <f t="array" aca="1" ref="T1411" ca="1">+fair_value_gap(OFFSET(S1410,0,0,-1*$I$5,-1*$Z$1),OFFSET(E1410,0,0,-1*$I$5,1),F1411:S1411,0)</f>
        <v>5.1059035477238188</v>
      </c>
      <c r="U1411" s="7" cm="1">
        <f t="array" aca="1" ref="U1411" ca="1">z_score_diff(OFFSET(T1411,0,0,$I$5*-1,1),OFFSET(E1411,0,0,$I$5*-1,1))</f>
        <v>-0.29652476119119275</v>
      </c>
      <c r="V1411" s="7">
        <f t="shared" ca="1" si="1477"/>
        <v>-3.7552100945036415E-2</v>
      </c>
      <c r="W1411" s="14">
        <f t="shared" ca="1" si="1472"/>
        <v>-0.15931438024026315</v>
      </c>
      <c r="X1411" s="10">
        <f t="shared" ref="X1411:Y1411" ca="1" si="1538">+X1410</f>
        <v>0</v>
      </c>
      <c r="Y1411" s="10">
        <f t="shared" ca="1" si="1538"/>
        <v>0</v>
      </c>
      <c r="Z1411">
        <f t="shared" ca="1" si="1479"/>
        <v>1</v>
      </c>
      <c r="AA1411">
        <f t="shared" ca="1" si="1480"/>
        <v>0</v>
      </c>
      <c r="AB1411" s="19">
        <f t="shared" ca="1" si="1481"/>
        <v>-0.15931438024026315</v>
      </c>
      <c r="AC1411" s="19">
        <f t="shared" ca="1" si="1482"/>
        <v>0</v>
      </c>
    </row>
    <row r="1412" spans="3:29" x14ac:dyDescent="0.25">
      <c r="C1412" s="4">
        <v>1405</v>
      </c>
      <c r="D1412" s="28">
        <v>44007</v>
      </c>
      <c r="E1412" s="30">
        <v>5.2560000000000002</v>
      </c>
      <c r="F1412" s="30">
        <v>36.596237853258444</v>
      </c>
      <c r="G1412" s="30">
        <v>1.9791388071676923</v>
      </c>
      <c r="H1412" s="30">
        <v>49.389319782473031</v>
      </c>
      <c r="I1412" s="8">
        <v>0</v>
      </c>
      <c r="J1412" s="31">
        <v>0</v>
      </c>
      <c r="K1412" s="31">
        <v>0</v>
      </c>
      <c r="L1412" s="31">
        <v>0</v>
      </c>
      <c r="M1412" s="31">
        <v>0</v>
      </c>
      <c r="N1412" s="31">
        <v>1</v>
      </c>
      <c r="O1412" s="31">
        <v>0</v>
      </c>
      <c r="P1412" s="31">
        <v>0</v>
      </c>
      <c r="Q1412" s="31">
        <v>0</v>
      </c>
      <c r="R1412" s="31">
        <v>0</v>
      </c>
      <c r="S1412" s="31">
        <v>0</v>
      </c>
      <c r="T1412" s="21" cm="1">
        <f t="array" aca="1" ref="T1412" ca="1">+fair_value_gap(OFFSET(S1411,0,0,-1*$I$5,-1*$Z$1),OFFSET(E1411,0,0,-1*$I$5,1),F1412:S1412,0)</f>
        <v>5.1741686934768616</v>
      </c>
      <c r="U1412" s="7" cm="1">
        <f t="array" aca="1" ref="U1412" ca="1">z_score_diff(OFFSET(T1412,0,0,$I$5*-1,1),OFFSET(E1412,0,0,$I$5*-1,1))</f>
        <v>-0.16682636488551439</v>
      </c>
      <c r="V1412" s="7">
        <f t="shared" ca="1" si="1477"/>
        <v>-6.0809734739298647E-2</v>
      </c>
      <c r="W1412" s="14">
        <f t="shared" ca="1" si="1472"/>
        <v>-5.3137499697157364E-2</v>
      </c>
      <c r="X1412" s="10">
        <f t="shared" ref="X1412:Y1412" ca="1" si="1539">+X1411</f>
        <v>0</v>
      </c>
      <c r="Y1412" s="10">
        <f t="shared" ca="1" si="1539"/>
        <v>0</v>
      </c>
      <c r="Z1412">
        <f t="shared" ca="1" si="1479"/>
        <v>1</v>
      </c>
      <c r="AA1412">
        <f t="shared" ca="1" si="1480"/>
        <v>0</v>
      </c>
      <c r="AB1412" s="19">
        <f t="shared" ca="1" si="1481"/>
        <v>-5.3137499697157364E-2</v>
      </c>
      <c r="AC1412" s="19">
        <f t="shared" ca="1" si="1482"/>
        <v>0</v>
      </c>
    </row>
    <row r="1413" spans="3:29" x14ac:dyDescent="0.25">
      <c r="C1413" s="4">
        <v>1406</v>
      </c>
      <c r="D1413" s="28">
        <v>44008</v>
      </c>
      <c r="E1413" s="30">
        <v>5.1050000000000004</v>
      </c>
      <c r="F1413" s="30">
        <v>36.569492734242672</v>
      </c>
      <c r="G1413" s="30">
        <v>1.961308727823839</v>
      </c>
      <c r="H1413" s="30">
        <v>49.968797361148255</v>
      </c>
      <c r="I1413" s="8">
        <v>0</v>
      </c>
      <c r="J1413" s="31">
        <v>0</v>
      </c>
      <c r="K1413" s="31">
        <v>0</v>
      </c>
      <c r="L1413" s="31">
        <v>0</v>
      </c>
      <c r="M1413" s="31">
        <v>0</v>
      </c>
      <c r="N1413" s="31">
        <v>1</v>
      </c>
      <c r="O1413" s="31">
        <v>0</v>
      </c>
      <c r="P1413" s="31">
        <v>0</v>
      </c>
      <c r="Q1413" s="31">
        <v>0</v>
      </c>
      <c r="R1413" s="31">
        <v>0</v>
      </c>
      <c r="S1413" s="31">
        <v>0</v>
      </c>
      <c r="T1413" s="21" cm="1">
        <f t="array" aca="1" ref="T1413" ca="1">+fair_value_gap(OFFSET(S1412,0,0,-1*$I$5,-1*$Z$1),OFFSET(E1412,0,0,-1*$I$5,1),F1413:S1413,0)</f>
        <v>5.2165317701919962</v>
      </c>
      <c r="U1413" s="7" cm="1">
        <f t="array" aca="1" ref="U1413" ca="1">z_score_diff(OFFSET(T1413,0,0,$I$5*-1,1),OFFSET(E1413,0,0,$I$5*-1,1))</f>
        <v>-0.11478065235267887</v>
      </c>
      <c r="V1413" s="7">
        <f t="shared" ca="1" si="1477"/>
        <v>-6.7358004299176516E-2</v>
      </c>
      <c r="W1413" s="14">
        <f t="shared" ca="1" si="1472"/>
        <v>-1.8584955639041372E-2</v>
      </c>
      <c r="X1413" s="10">
        <f t="shared" ref="X1413:Y1413" ca="1" si="1540">+X1412</f>
        <v>0</v>
      </c>
      <c r="Y1413" s="10">
        <f t="shared" ca="1" si="1540"/>
        <v>0</v>
      </c>
      <c r="Z1413">
        <f t="shared" ca="1" si="1479"/>
        <v>1</v>
      </c>
      <c r="AA1413">
        <f t="shared" ca="1" si="1480"/>
        <v>0</v>
      </c>
      <c r="AB1413" s="19">
        <f t="shared" ca="1" si="1481"/>
        <v>-1.8584955639041372E-2</v>
      </c>
      <c r="AC1413" s="19">
        <f t="shared" ca="1" si="1482"/>
        <v>0</v>
      </c>
    </row>
    <row r="1414" spans="3:29" x14ac:dyDescent="0.25">
      <c r="C1414" s="4">
        <v>1407</v>
      </c>
      <c r="D1414" s="28">
        <v>44011</v>
      </c>
      <c r="E1414" s="30">
        <v>5.8390000000000004</v>
      </c>
      <c r="F1414" s="30">
        <v>37.108540925266901</v>
      </c>
      <c r="G1414" s="30">
        <v>1.9572953736654803</v>
      </c>
      <c r="H1414" s="30">
        <v>49.110320284697508</v>
      </c>
      <c r="I1414" s="8">
        <v>0</v>
      </c>
      <c r="J1414" s="31">
        <v>0</v>
      </c>
      <c r="K1414" s="31">
        <v>0</v>
      </c>
      <c r="L1414" s="31">
        <v>0</v>
      </c>
      <c r="M1414" s="31">
        <v>0</v>
      </c>
      <c r="N1414" s="31">
        <v>1</v>
      </c>
      <c r="O1414" s="31">
        <v>0</v>
      </c>
      <c r="P1414" s="31">
        <v>0</v>
      </c>
      <c r="Q1414" s="31">
        <v>0</v>
      </c>
      <c r="R1414" s="31">
        <v>0</v>
      </c>
      <c r="S1414" s="31">
        <v>0</v>
      </c>
      <c r="T1414" s="21" cm="1">
        <f t="array" aca="1" ref="T1414" ca="1">+fair_value_gap(OFFSET(S1413,0,0,-1*$I$5,-1*$Z$1),OFFSET(E1413,0,0,-1*$I$5,1),F1414:S1414,0)</f>
        <v>5.1550004964118257</v>
      </c>
      <c r="U1414" s="7" cm="1">
        <f t="array" aca="1" ref="U1414" ca="1">z_score_diff(OFFSET(T1414,0,0,$I$5*-1,1),OFFSET(E1414,0,0,$I$5*-1,1))</f>
        <v>-0.3238233476522403</v>
      </c>
      <c r="V1414" s="7">
        <f t="shared" ca="1" si="1477"/>
        <v>-0.12632895163723382</v>
      </c>
      <c r="W1414" s="14">
        <f t="shared" ca="1" si="1472"/>
        <v>-0.19865563889102866</v>
      </c>
      <c r="X1414" s="10">
        <f t="shared" ref="X1414:Y1414" ca="1" si="1541">+X1413</f>
        <v>0</v>
      </c>
      <c r="Y1414" s="10">
        <f t="shared" ca="1" si="1541"/>
        <v>0</v>
      </c>
      <c r="Z1414">
        <f t="shared" ca="1" si="1479"/>
        <v>1</v>
      </c>
      <c r="AA1414">
        <f t="shared" ca="1" si="1480"/>
        <v>0</v>
      </c>
      <c r="AB1414" s="19">
        <f t="shared" ca="1" si="1481"/>
        <v>-0.19865563889102866</v>
      </c>
      <c r="AC1414" s="19">
        <f t="shared" ca="1" si="1482"/>
        <v>0</v>
      </c>
    </row>
    <row r="1415" spans="3:29" x14ac:dyDescent="0.25">
      <c r="C1415" s="4">
        <v>1408</v>
      </c>
      <c r="D1415" s="28">
        <v>44012</v>
      </c>
      <c r="E1415" s="30">
        <v>6.1630000000000003</v>
      </c>
      <c r="F1415" s="30">
        <v>36.639658089217342</v>
      </c>
      <c r="G1415" s="30">
        <v>1.9143442258035792</v>
      </c>
      <c r="H1415" s="30">
        <v>48.704478675095721</v>
      </c>
      <c r="I1415" s="8">
        <v>0</v>
      </c>
      <c r="J1415" s="31">
        <v>0</v>
      </c>
      <c r="K1415" s="31">
        <v>0</v>
      </c>
      <c r="L1415" s="31">
        <v>0</v>
      </c>
      <c r="M1415" s="31">
        <v>0</v>
      </c>
      <c r="N1415" s="31">
        <v>1</v>
      </c>
      <c r="O1415" s="31">
        <v>0</v>
      </c>
      <c r="P1415" s="31">
        <v>0</v>
      </c>
      <c r="Q1415" s="31">
        <v>0</v>
      </c>
      <c r="R1415" s="31">
        <v>0</v>
      </c>
      <c r="S1415" s="31">
        <v>0</v>
      </c>
      <c r="T1415" s="21" cm="1">
        <f t="array" aca="1" ref="T1415" ca="1">+fair_value_gap(OFFSET(S1414,0,0,-1*$I$5,-1*$Z$1),OFFSET(E1414,0,0,-1*$I$5,1),F1415:S1415,0)</f>
        <v>5.0911804617122263</v>
      </c>
      <c r="U1415" s="7" cm="1">
        <f t="array" aca="1" ref="U1415" ca="1">z_score_diff(OFFSET(T1415,0,0,$I$5*-1,1),OFFSET(E1415,0,0,$I$5*-1,1))</f>
        <v>-0.42162344731539925</v>
      </c>
      <c r="V1415" s="7">
        <f t="shared" ca="1" si="1477"/>
        <v>-0.16682062459114042</v>
      </c>
      <c r="W1415" s="14">
        <f t="shared" ref="W1415:W1478" ca="1" si="1542">+LN(OFFSET(E1415,$W$3,0,1,1)/E1415)</f>
        <v>-0.21756123836710733</v>
      </c>
      <c r="X1415" s="10">
        <f t="shared" ref="X1415:Y1415" ca="1" si="1543">+X1414</f>
        <v>0</v>
      </c>
      <c r="Y1415" s="10">
        <f t="shared" ca="1" si="1543"/>
        <v>0</v>
      </c>
      <c r="Z1415">
        <f t="shared" ca="1" si="1479"/>
        <v>1</v>
      </c>
      <c r="AA1415">
        <f t="shared" ca="1" si="1480"/>
        <v>0</v>
      </c>
      <c r="AB1415" s="19">
        <f t="shared" ca="1" si="1481"/>
        <v>-0.21756123836710733</v>
      </c>
      <c r="AC1415" s="19">
        <f t="shared" ca="1" si="1482"/>
        <v>0</v>
      </c>
    </row>
    <row r="1416" spans="3:29" x14ac:dyDescent="0.25">
      <c r="C1416" s="4">
        <v>1409</v>
      </c>
      <c r="D1416" s="28">
        <v>44013</v>
      </c>
      <c r="E1416" s="30">
        <v>5.8630000000000004</v>
      </c>
      <c r="F1416" s="30">
        <v>37.36</v>
      </c>
      <c r="G1416" s="30">
        <v>1.9555555555555557</v>
      </c>
      <c r="H1416" s="30">
        <v>48.266666666666666</v>
      </c>
      <c r="I1416" s="8">
        <v>0</v>
      </c>
      <c r="J1416" s="31">
        <v>0</v>
      </c>
      <c r="K1416" s="31">
        <v>0</v>
      </c>
      <c r="L1416" s="31">
        <v>0</v>
      </c>
      <c r="M1416" s="31">
        <v>0</v>
      </c>
      <c r="N1416" s="31">
        <v>0</v>
      </c>
      <c r="O1416" s="31">
        <v>1</v>
      </c>
      <c r="P1416" s="31">
        <v>0</v>
      </c>
      <c r="Q1416" s="31">
        <v>0</v>
      </c>
      <c r="R1416" s="31">
        <v>0</v>
      </c>
      <c r="S1416" s="31">
        <v>0</v>
      </c>
      <c r="T1416" s="21" cm="1">
        <f t="array" aca="1" ref="T1416" ca="1">+fair_value_gap(OFFSET(S1415,0,0,-1*$I$5,-1*$Z$1),OFFSET(E1415,0,0,-1*$I$5,1),F1416:S1416,0)</f>
        <v>7.2722965904111003</v>
      </c>
      <c r="U1416" s="7" cm="1">
        <f t="array" aca="1" ref="U1416" ca="1">z_score_diff(OFFSET(T1416,0,0,$I$5*-1,1),OFFSET(E1416,0,0,$I$5*-1,1))</f>
        <v>0.19237739144171018</v>
      </c>
      <c r="V1416" s="7">
        <f t="shared" ca="1" si="1477"/>
        <v>-0.16283159930392885</v>
      </c>
      <c r="W1416" s="14">
        <f t="shared" ca="1" si="1542"/>
        <v>-0.12443568006231388</v>
      </c>
      <c r="X1416" s="10">
        <f t="shared" ref="X1416:Y1416" ca="1" si="1544">+X1415</f>
        <v>0</v>
      </c>
      <c r="Y1416" s="10">
        <f t="shared" ca="1" si="1544"/>
        <v>0</v>
      </c>
      <c r="Z1416">
        <f t="shared" ca="1" si="1479"/>
        <v>1</v>
      </c>
      <c r="AA1416">
        <f t="shared" ca="1" si="1480"/>
        <v>0</v>
      </c>
      <c r="AB1416" s="19">
        <f t="shared" ca="1" si="1481"/>
        <v>-0.12443568006231388</v>
      </c>
      <c r="AC1416" s="19">
        <f t="shared" ca="1" si="1482"/>
        <v>0</v>
      </c>
    </row>
    <row r="1417" spans="3:29" x14ac:dyDescent="0.25">
      <c r="C1417" s="4">
        <v>1410</v>
      </c>
      <c r="D1417" s="28">
        <v>44014</v>
      </c>
      <c r="E1417" s="30">
        <v>5.944</v>
      </c>
      <c r="F1417" s="30">
        <v>38.38761345435131</v>
      </c>
      <c r="G1417" s="30">
        <v>1.9576437088449905</v>
      </c>
      <c r="H1417" s="30">
        <v>48.852108916177258</v>
      </c>
      <c r="I1417" s="8">
        <v>0</v>
      </c>
      <c r="J1417" s="31">
        <v>0</v>
      </c>
      <c r="K1417" s="31">
        <v>0</v>
      </c>
      <c r="L1417" s="31">
        <v>0</v>
      </c>
      <c r="M1417" s="31">
        <v>0</v>
      </c>
      <c r="N1417" s="31">
        <v>0</v>
      </c>
      <c r="O1417" s="31">
        <v>1</v>
      </c>
      <c r="P1417" s="31">
        <v>0</v>
      </c>
      <c r="Q1417" s="31">
        <v>0</v>
      </c>
      <c r="R1417" s="31">
        <v>0</v>
      </c>
      <c r="S1417" s="31">
        <v>0</v>
      </c>
      <c r="T1417" s="21" cm="1">
        <f t="array" aca="1" ref="T1417" ca="1">+fair_value_gap(OFFSET(S1416,0,0,-1*$I$5,-1*$Z$1),OFFSET(E1416,0,0,-1*$I$5,1),F1417:S1417,0)</f>
        <v>7.135878191402635</v>
      </c>
      <c r="U1417" s="7" cm="1">
        <f t="array" aca="1" ref="U1417" ca="1">z_score_diff(OFFSET(T1417,0,0,$I$5*-1,1),OFFSET(E1417,0,0,$I$5*-1,1))</f>
        <v>0.13350639328603453</v>
      </c>
      <c r="V1417" s="7">
        <f t="shared" ca="1" si="1477"/>
        <v>-0.15535158136277746</v>
      </c>
      <c r="W1417" s="14">
        <f t="shared" ca="1" si="1542"/>
        <v>-0.12931035796129639</v>
      </c>
      <c r="X1417" s="10">
        <f t="shared" ref="X1417:Y1417" ca="1" si="1545">+X1416</f>
        <v>0</v>
      </c>
      <c r="Y1417" s="10">
        <f t="shared" ca="1" si="1545"/>
        <v>0</v>
      </c>
      <c r="Z1417">
        <f t="shared" ca="1" si="1479"/>
        <v>1</v>
      </c>
      <c r="AA1417">
        <f t="shared" ca="1" si="1480"/>
        <v>0</v>
      </c>
      <c r="AB1417" s="19">
        <f t="shared" ca="1" si="1481"/>
        <v>-0.12931035796129639</v>
      </c>
      <c r="AC1417" s="19">
        <f t="shared" ca="1" si="1482"/>
        <v>0</v>
      </c>
    </row>
    <row r="1418" spans="3:29" x14ac:dyDescent="0.25">
      <c r="C1418" s="4">
        <v>1411</v>
      </c>
      <c r="D1418" s="28">
        <v>44015</v>
      </c>
      <c r="E1418" s="30">
        <v>6.0309999999999997</v>
      </c>
      <c r="F1418" s="30">
        <v>38.051209103840677</v>
      </c>
      <c r="G1418" s="30">
        <v>1.9559032716927456</v>
      </c>
      <c r="H1418" s="30">
        <v>48.986486486486484</v>
      </c>
      <c r="I1418" s="8">
        <v>0</v>
      </c>
      <c r="J1418" s="31">
        <v>0</v>
      </c>
      <c r="K1418" s="31">
        <v>0</v>
      </c>
      <c r="L1418" s="31">
        <v>0</v>
      </c>
      <c r="M1418" s="31">
        <v>0</v>
      </c>
      <c r="N1418" s="31">
        <v>0</v>
      </c>
      <c r="O1418" s="31">
        <v>1</v>
      </c>
      <c r="P1418" s="31">
        <v>0</v>
      </c>
      <c r="Q1418" s="31">
        <v>0</v>
      </c>
      <c r="R1418" s="31">
        <v>0</v>
      </c>
      <c r="S1418" s="31">
        <v>0</v>
      </c>
      <c r="T1418" s="21" cm="1">
        <f t="array" aca="1" ref="T1418" ca="1">+fair_value_gap(OFFSET(S1417,0,0,-1*$I$5,-1*$Z$1),OFFSET(E1417,0,0,-1*$I$5,1),F1418:S1418,0)</f>
        <v>6.8671946819109655</v>
      </c>
      <c r="U1418" s="7" cm="1">
        <f t="array" aca="1" ref="U1418" ca="1">z_score_diff(OFFSET(T1418,0,0,$I$5*-1,1),OFFSET(E1418,0,0,$I$5*-1,1))</f>
        <v>4.1881625039505543E-2</v>
      </c>
      <c r="V1418" s="7">
        <f t="shared" ca="1" si="1477"/>
        <v>-0.14822207186014572</v>
      </c>
      <c r="W1418" s="14">
        <f t="shared" ca="1" si="1542"/>
        <v>-1.3273604072656694E-3</v>
      </c>
      <c r="X1418" s="10">
        <f t="shared" ref="X1418:Y1418" ca="1" si="1546">+X1417</f>
        <v>0</v>
      </c>
      <c r="Y1418" s="10">
        <f t="shared" ca="1" si="1546"/>
        <v>0</v>
      </c>
      <c r="Z1418">
        <f t="shared" ca="1" si="1479"/>
        <v>1</v>
      </c>
      <c r="AA1418">
        <f t="shared" ca="1" si="1480"/>
        <v>0</v>
      </c>
      <c r="AB1418" s="19">
        <f t="shared" ca="1" si="1481"/>
        <v>-1.3273604072656694E-3</v>
      </c>
      <c r="AC1418" s="19">
        <f t="shared" ca="1" si="1482"/>
        <v>0</v>
      </c>
    </row>
    <row r="1419" spans="3:29" x14ac:dyDescent="0.25">
      <c r="C1419" s="4">
        <v>1412</v>
      </c>
      <c r="D1419" s="28">
        <v>44018</v>
      </c>
      <c r="E1419" s="30">
        <v>6.0960000000000001</v>
      </c>
      <c r="F1419" s="30">
        <v>38.114609126282275</v>
      </c>
      <c r="G1419" s="30">
        <v>1.9411036434382736</v>
      </c>
      <c r="H1419" s="30">
        <v>48.859214715245841</v>
      </c>
      <c r="I1419" s="8">
        <v>0</v>
      </c>
      <c r="J1419" s="31">
        <v>0</v>
      </c>
      <c r="K1419" s="31">
        <v>0</v>
      </c>
      <c r="L1419" s="31">
        <v>0</v>
      </c>
      <c r="M1419" s="31">
        <v>0</v>
      </c>
      <c r="N1419" s="31">
        <v>0</v>
      </c>
      <c r="O1419" s="31">
        <v>1</v>
      </c>
      <c r="P1419" s="31">
        <v>0</v>
      </c>
      <c r="Q1419" s="31">
        <v>0</v>
      </c>
      <c r="R1419" s="31">
        <v>0</v>
      </c>
      <c r="S1419" s="31">
        <v>0</v>
      </c>
      <c r="T1419" s="21" cm="1">
        <f t="array" aca="1" ref="T1419" ca="1">+fair_value_gap(OFFSET(S1418,0,0,-1*$I$5,-1*$Z$1),OFFSET(E1418,0,0,-1*$I$5,1),F1419:S1419,0)</f>
        <v>6.6332641319107779</v>
      </c>
      <c r="U1419" s="7" cm="1">
        <f t="array" aca="1" ref="U1419" ca="1">z_score_diff(OFFSET(T1419,0,0,$I$5*-1,1),OFFSET(E1419,0,0,$I$5*-1,1))</f>
        <v>-3.4094246480116386E-2</v>
      </c>
      <c r="V1419" s="7">
        <f t="shared" ref="V1419:V1482" ca="1" si="1547">+IF(ISERROR(AVERAGE(OFFSET(U1419,0,0,$V$5*-1,1))),"",AVERAGE(OFFSET(U1419,0,0,$V$5*-1,1)))</f>
        <v>-0.14827065301921558</v>
      </c>
      <c r="W1419" s="14">
        <f t="shared" ca="1" si="1542"/>
        <v>0.10958386820065845</v>
      </c>
      <c r="X1419" s="10">
        <f t="shared" ref="X1419:Y1419" ca="1" si="1548">+X1418</f>
        <v>0</v>
      </c>
      <c r="Y1419" s="10">
        <f t="shared" ca="1" si="1548"/>
        <v>0</v>
      </c>
      <c r="Z1419">
        <f t="shared" ref="Z1419:Z1482" ca="1" si="1549">+IF(V1419="","",IF(V1419&lt;X1419,1,0))</f>
        <v>1</v>
      </c>
      <c r="AA1419">
        <f t="shared" ref="AA1419:AA1482" ca="1" si="1550">+IF(V1419="","",IF(V1419&gt;Y1419,1,0))</f>
        <v>0</v>
      </c>
      <c r="AB1419" s="19">
        <f t="shared" ref="AB1419:AB1482" ca="1" si="1551">+IF(ISERROR(Z1419*W1419),"",Z1419*W1419)</f>
        <v>0.10958386820065845</v>
      </c>
      <c r="AC1419" s="19">
        <f t="shared" ref="AC1419:AC1482" ca="1" si="1552">+IF(ISERROR(AA1419*W1419),"",AA1419*W1419)</f>
        <v>0</v>
      </c>
    </row>
    <row r="1420" spans="3:29" x14ac:dyDescent="0.25">
      <c r="C1420" s="4">
        <v>1413</v>
      </c>
      <c r="D1420" s="28">
        <v>44019</v>
      </c>
      <c r="E1420" s="30">
        <v>6.1239999999999997</v>
      </c>
      <c r="F1420" s="30">
        <v>38.225377107364686</v>
      </c>
      <c r="G1420" s="30">
        <v>1.947648624667258</v>
      </c>
      <c r="H1420" s="30">
        <v>48.802129547471161</v>
      </c>
      <c r="I1420" s="8">
        <v>0</v>
      </c>
      <c r="J1420" s="31">
        <v>0</v>
      </c>
      <c r="K1420" s="31">
        <v>0</v>
      </c>
      <c r="L1420" s="31">
        <v>0</v>
      </c>
      <c r="M1420" s="31">
        <v>0</v>
      </c>
      <c r="N1420" s="31">
        <v>0</v>
      </c>
      <c r="O1420" s="31">
        <v>1</v>
      </c>
      <c r="P1420" s="31">
        <v>0</v>
      </c>
      <c r="Q1420" s="31">
        <v>0</v>
      </c>
      <c r="R1420" s="31">
        <v>0</v>
      </c>
      <c r="S1420" s="31">
        <v>0</v>
      </c>
      <c r="T1420" s="21" cm="1">
        <f t="array" aca="1" ref="T1420" ca="1">+fair_value_gap(OFFSET(S1419,0,0,-1*$I$5,-1*$Z$1),OFFSET(E1419,0,0,-1*$I$5,1),F1420:S1420,0)</f>
        <v>6.4824487801547654</v>
      </c>
      <c r="U1420" s="7" cm="1">
        <f t="array" aca="1" ref="U1420" ca="1">z_score_diff(OFFSET(T1420,0,0,$I$5*-1,1),OFFSET(E1420,0,0,$I$5*-1,1))</f>
        <v>-7.7916042115276474E-2</v>
      </c>
      <c r="V1420" s="7">
        <f t="shared" ca="1" si="1547"/>
        <v>-0.15355253419027565</v>
      </c>
      <c r="W1420" s="14">
        <f t="shared" ca="1" si="1542"/>
        <v>0.18316487625796365</v>
      </c>
      <c r="X1420" s="10">
        <f t="shared" ref="X1420:Y1420" ca="1" si="1553">+X1419</f>
        <v>0</v>
      </c>
      <c r="Y1420" s="10">
        <f t="shared" ca="1" si="1553"/>
        <v>0</v>
      </c>
      <c r="Z1420">
        <f t="shared" ca="1" si="1549"/>
        <v>1</v>
      </c>
      <c r="AA1420">
        <f t="shared" ca="1" si="1550"/>
        <v>0</v>
      </c>
      <c r="AB1420" s="19">
        <f t="shared" ca="1" si="1551"/>
        <v>0.18316487625796365</v>
      </c>
      <c r="AC1420" s="19">
        <f t="shared" ca="1" si="1552"/>
        <v>0</v>
      </c>
    </row>
    <row r="1421" spans="3:29" x14ac:dyDescent="0.25">
      <c r="C1421" s="4">
        <v>1414</v>
      </c>
      <c r="D1421" s="28">
        <v>44020</v>
      </c>
      <c r="E1421" s="30">
        <v>5.9370000000000003</v>
      </c>
      <c r="F1421" s="30">
        <v>38.211669167622915</v>
      </c>
      <c r="G1421" s="30">
        <v>1.9330920646129401</v>
      </c>
      <c r="H1421" s="30">
        <v>48.283167093300378</v>
      </c>
      <c r="I1421" s="8">
        <v>0</v>
      </c>
      <c r="J1421" s="31">
        <v>0</v>
      </c>
      <c r="K1421" s="31">
        <v>0</v>
      </c>
      <c r="L1421" s="31">
        <v>0</v>
      </c>
      <c r="M1421" s="31">
        <v>0</v>
      </c>
      <c r="N1421" s="31">
        <v>0</v>
      </c>
      <c r="O1421" s="31">
        <v>1</v>
      </c>
      <c r="P1421" s="31">
        <v>0</v>
      </c>
      <c r="Q1421" s="31">
        <v>0</v>
      </c>
      <c r="R1421" s="31">
        <v>0</v>
      </c>
      <c r="S1421" s="31">
        <v>0</v>
      </c>
      <c r="T1421" s="21" cm="1">
        <f t="array" aca="1" ref="T1421" ca="1">+fair_value_gap(OFFSET(S1420,0,0,-1*$I$5,-1*$Z$1),OFFSET(E1420,0,0,-1*$I$5,1),F1421:S1421,0)</f>
        <v>6.3586122655043962</v>
      </c>
      <c r="U1421" s="7" cm="1">
        <f t="array" aca="1" ref="U1421" ca="1">z_score_diff(OFFSET(T1421,0,0,$I$5*-1,1),OFFSET(E1421,0,0,$I$5*-1,1))</f>
        <v>-5.8198100488414672E-2</v>
      </c>
      <c r="V1421" s="7">
        <f t="shared" ca="1" si="1547"/>
        <v>-0.15515969333155888</v>
      </c>
      <c r="W1421" s="14">
        <f t="shared" ca="1" si="1542"/>
        <v>0.20940637268468179</v>
      </c>
      <c r="X1421" s="10">
        <f t="shared" ref="X1421:Y1421" ca="1" si="1554">+X1420</f>
        <v>0</v>
      </c>
      <c r="Y1421" s="10">
        <f t="shared" ca="1" si="1554"/>
        <v>0</v>
      </c>
      <c r="Z1421">
        <f t="shared" ca="1" si="1549"/>
        <v>1</v>
      </c>
      <c r="AA1421">
        <f t="shared" ca="1" si="1550"/>
        <v>0</v>
      </c>
      <c r="AB1421" s="19">
        <f t="shared" ca="1" si="1551"/>
        <v>0.20940637268468179</v>
      </c>
      <c r="AC1421" s="19">
        <f t="shared" ca="1" si="1552"/>
        <v>0</v>
      </c>
    </row>
    <row r="1422" spans="3:29" x14ac:dyDescent="0.25">
      <c r="C1422" s="4">
        <v>1415</v>
      </c>
      <c r="D1422" s="28">
        <v>44021</v>
      </c>
      <c r="E1422" s="30">
        <v>5.7569999999999997</v>
      </c>
      <c r="F1422" s="30">
        <v>37.540998138462903</v>
      </c>
      <c r="G1422" s="30">
        <v>1.9235883343675204</v>
      </c>
      <c r="H1422" s="30">
        <v>47.823774488077298</v>
      </c>
      <c r="I1422" s="8">
        <v>0</v>
      </c>
      <c r="J1422" s="31">
        <v>0</v>
      </c>
      <c r="K1422" s="31">
        <v>0</v>
      </c>
      <c r="L1422" s="31">
        <v>0</v>
      </c>
      <c r="M1422" s="31">
        <v>0</v>
      </c>
      <c r="N1422" s="31">
        <v>0</v>
      </c>
      <c r="O1422" s="31">
        <v>1</v>
      </c>
      <c r="P1422" s="31">
        <v>0</v>
      </c>
      <c r="Q1422" s="31">
        <v>0</v>
      </c>
      <c r="R1422" s="31">
        <v>0</v>
      </c>
      <c r="S1422" s="31">
        <v>0</v>
      </c>
      <c r="T1422" s="21" cm="1">
        <f t="array" aca="1" ref="T1422" ca="1">+fair_value_gap(OFFSET(S1421,0,0,-1*$I$5,-1*$Z$1),OFFSET(E1421,0,0,-1*$I$5,1),F1422:S1422,0)</f>
        <v>6.2106206237744468</v>
      </c>
      <c r="U1422" s="7" cm="1">
        <f t="array" aca="1" ref="U1422" ca="1">z_score_diff(OFFSET(T1422,0,0,$I$5*-1,1),OFFSET(E1422,0,0,$I$5*-1,1))</f>
        <v>-4.632095123308666E-2</v>
      </c>
      <c r="V1422" s="7">
        <f t="shared" ca="1" si="1547"/>
        <v>-0.15029385703072218</v>
      </c>
      <c r="W1422" s="14">
        <f t="shared" ca="1" si="1542"/>
        <v>0.32149676956537193</v>
      </c>
      <c r="X1422" s="10">
        <f t="shared" ref="X1422:Y1422" ca="1" si="1555">+X1421</f>
        <v>0</v>
      </c>
      <c r="Y1422" s="10">
        <f t="shared" ca="1" si="1555"/>
        <v>0</v>
      </c>
      <c r="Z1422">
        <f t="shared" ca="1" si="1549"/>
        <v>1</v>
      </c>
      <c r="AA1422">
        <f t="shared" ca="1" si="1550"/>
        <v>0</v>
      </c>
      <c r="AB1422" s="19">
        <f t="shared" ca="1" si="1551"/>
        <v>0.32149676956537193</v>
      </c>
      <c r="AC1422" s="19">
        <f t="shared" ca="1" si="1552"/>
        <v>0</v>
      </c>
    </row>
    <row r="1423" spans="3:29" x14ac:dyDescent="0.25">
      <c r="C1423" s="4">
        <v>1416</v>
      </c>
      <c r="D1423" s="28">
        <v>44022</v>
      </c>
      <c r="E1423" s="30">
        <v>5.4749999999999996</v>
      </c>
      <c r="F1423" s="30">
        <v>38.272260577093299</v>
      </c>
      <c r="G1423" s="30">
        <v>1.9251194901752522</v>
      </c>
      <c r="H1423" s="30">
        <v>47.796070100902817</v>
      </c>
      <c r="I1423" s="8">
        <v>0</v>
      </c>
      <c r="J1423" s="31">
        <v>0</v>
      </c>
      <c r="K1423" s="31">
        <v>0</v>
      </c>
      <c r="L1423" s="31">
        <v>0</v>
      </c>
      <c r="M1423" s="31">
        <v>0</v>
      </c>
      <c r="N1423" s="31">
        <v>0</v>
      </c>
      <c r="O1423" s="31">
        <v>1</v>
      </c>
      <c r="P1423" s="31">
        <v>0</v>
      </c>
      <c r="Q1423" s="31">
        <v>0</v>
      </c>
      <c r="R1423" s="31">
        <v>0</v>
      </c>
      <c r="S1423" s="31">
        <v>0</v>
      </c>
      <c r="T1423" s="21" cm="1">
        <f t="array" aca="1" ref="T1423" ca="1">+fair_value_gap(OFFSET(S1422,0,0,-1*$I$5,-1*$Z$1),OFFSET(E1422,0,0,-1*$I$5,1),F1423:S1423,0)</f>
        <v>6.1836779920454408</v>
      </c>
      <c r="U1423" s="7" cm="1">
        <f t="array" aca="1" ref="U1423" ca="1">z_score_diff(OFFSET(T1423,0,0,$I$5*-1,1),OFFSET(E1423,0,0,$I$5*-1,1))</f>
        <v>2.076451790767142E-2</v>
      </c>
      <c r="V1423" s="7">
        <f t="shared" ca="1" si="1547"/>
        <v>-0.1385583288836322</v>
      </c>
      <c r="W1423" s="14">
        <f t="shared" ca="1" si="1542"/>
        <v>0.37058685539861802</v>
      </c>
      <c r="X1423" s="10">
        <f t="shared" ref="X1423:Y1423" ca="1" si="1556">+X1422</f>
        <v>0</v>
      </c>
      <c r="Y1423" s="10">
        <f t="shared" ca="1" si="1556"/>
        <v>0</v>
      </c>
      <c r="Z1423">
        <f t="shared" ca="1" si="1549"/>
        <v>1</v>
      </c>
      <c r="AA1423">
        <f t="shared" ca="1" si="1550"/>
        <v>0</v>
      </c>
      <c r="AB1423" s="19">
        <f t="shared" ca="1" si="1551"/>
        <v>0.37058685539861802</v>
      </c>
      <c r="AC1423" s="19">
        <f t="shared" ca="1" si="1552"/>
        <v>0</v>
      </c>
    </row>
    <row r="1424" spans="3:29" x14ac:dyDescent="0.25">
      <c r="C1424" s="4">
        <v>1417</v>
      </c>
      <c r="D1424" s="28">
        <v>44025</v>
      </c>
      <c r="E1424" s="30">
        <v>5.1100000000000003</v>
      </c>
      <c r="F1424" s="30">
        <v>37.671957671957678</v>
      </c>
      <c r="G1424" s="30">
        <v>1.9003527336860671</v>
      </c>
      <c r="H1424" s="30">
        <v>47.795414462081133</v>
      </c>
      <c r="I1424" s="8">
        <v>0</v>
      </c>
      <c r="J1424" s="31">
        <v>0</v>
      </c>
      <c r="K1424" s="31">
        <v>0</v>
      </c>
      <c r="L1424" s="31">
        <v>0</v>
      </c>
      <c r="M1424" s="31">
        <v>0</v>
      </c>
      <c r="N1424" s="31">
        <v>0</v>
      </c>
      <c r="O1424" s="31">
        <v>1</v>
      </c>
      <c r="P1424" s="31">
        <v>0</v>
      </c>
      <c r="Q1424" s="31">
        <v>0</v>
      </c>
      <c r="R1424" s="31">
        <v>0</v>
      </c>
      <c r="S1424" s="31">
        <v>0</v>
      </c>
      <c r="T1424" s="21" cm="1">
        <f t="array" aca="1" ref="T1424" ca="1">+fair_value_gap(OFFSET(S1423,0,0,-1*$I$5,-1*$Z$1),OFFSET(E1423,0,0,-1*$I$5,1),F1424:S1424,0)</f>
        <v>6.0440301848071201</v>
      </c>
      <c r="U1424" s="7" cm="1">
        <f t="array" aca="1" ref="U1424" ca="1">z_score_diff(OFFSET(T1424,0,0,$I$5*-1,1),OFFSET(E1424,0,0,$I$5*-1,1))</f>
        <v>8.1723457397167687E-2</v>
      </c>
      <c r="V1424" s="7">
        <f t="shared" ca="1" si="1547"/>
        <v>-0.12001741988781442</v>
      </c>
      <c r="W1424" s="14">
        <f t="shared" ca="1" si="1542"/>
        <v>0.39550042620616266</v>
      </c>
      <c r="X1424" s="10">
        <f t="shared" ref="X1424:Y1424" ca="1" si="1557">+X1423</f>
        <v>0</v>
      </c>
      <c r="Y1424" s="10">
        <f t="shared" ca="1" si="1557"/>
        <v>0</v>
      </c>
      <c r="Z1424">
        <f t="shared" ca="1" si="1549"/>
        <v>1</v>
      </c>
      <c r="AA1424">
        <f t="shared" ca="1" si="1550"/>
        <v>0</v>
      </c>
      <c r="AB1424" s="19">
        <f t="shared" ca="1" si="1551"/>
        <v>0.39550042620616266</v>
      </c>
      <c r="AC1424" s="19">
        <f t="shared" ca="1" si="1552"/>
        <v>0</v>
      </c>
    </row>
    <row r="1425" spans="3:29" x14ac:dyDescent="0.25">
      <c r="C1425" s="4">
        <v>1418</v>
      </c>
      <c r="D1425" s="28">
        <v>44026</v>
      </c>
      <c r="E1425" s="30">
        <v>5.085</v>
      </c>
      <c r="F1425" s="30">
        <v>37.644787644787648</v>
      </c>
      <c r="G1425" s="30">
        <v>1.8954018954018956</v>
      </c>
      <c r="H1425" s="30">
        <v>47.823797823797825</v>
      </c>
      <c r="I1425" s="8">
        <v>0</v>
      </c>
      <c r="J1425" s="31">
        <v>0</v>
      </c>
      <c r="K1425" s="31">
        <v>0</v>
      </c>
      <c r="L1425" s="31">
        <v>0</v>
      </c>
      <c r="M1425" s="31">
        <v>0</v>
      </c>
      <c r="N1425" s="31">
        <v>0</v>
      </c>
      <c r="O1425" s="31">
        <v>1</v>
      </c>
      <c r="P1425" s="31">
        <v>0</v>
      </c>
      <c r="Q1425" s="31">
        <v>0</v>
      </c>
      <c r="R1425" s="31">
        <v>0</v>
      </c>
      <c r="S1425" s="31">
        <v>0</v>
      </c>
      <c r="T1425" s="21" cm="1">
        <f t="array" aca="1" ref="T1425" ca="1">+fair_value_gap(OFFSET(S1424,0,0,-1*$I$5,-1*$Z$1),OFFSET(E1424,0,0,-1*$I$5,1),F1425:S1425,0)</f>
        <v>5.962777828521947</v>
      </c>
      <c r="U1425" s="7" cm="1">
        <f t="array" aca="1" ref="U1425" ca="1">z_score_diff(OFFSET(T1425,0,0,$I$5*-1,1),OFFSET(E1425,0,0,$I$5*-1,1))</f>
        <v>6.733783824538575E-2</v>
      </c>
      <c r="V1425" s="7">
        <f t="shared" ca="1" si="1547"/>
        <v>-0.10923911067893946</v>
      </c>
      <c r="W1425" s="14">
        <f t="shared" ca="1" si="1542"/>
        <v>0.37734479876303084</v>
      </c>
      <c r="X1425" s="10">
        <f t="shared" ref="X1425:Y1425" ca="1" si="1558">+X1424</f>
        <v>0</v>
      </c>
      <c r="Y1425" s="10">
        <f t="shared" ca="1" si="1558"/>
        <v>0</v>
      </c>
      <c r="Z1425">
        <f t="shared" ca="1" si="1549"/>
        <v>1</v>
      </c>
      <c r="AA1425">
        <f t="shared" ca="1" si="1550"/>
        <v>0</v>
      </c>
      <c r="AB1425" s="19">
        <f t="shared" ca="1" si="1551"/>
        <v>0.37734479876303084</v>
      </c>
      <c r="AC1425" s="19">
        <f t="shared" ca="1" si="1552"/>
        <v>0</v>
      </c>
    </row>
    <row r="1426" spans="3:29" x14ac:dyDescent="0.25">
      <c r="C1426" s="4">
        <v>1419</v>
      </c>
      <c r="D1426" s="28">
        <v>44027</v>
      </c>
      <c r="E1426" s="30">
        <v>5.226</v>
      </c>
      <c r="F1426" s="30">
        <v>38.378615249780893</v>
      </c>
      <c r="G1426" s="30">
        <v>1.8965819456617004</v>
      </c>
      <c r="H1426" s="30">
        <v>48.203330411919367</v>
      </c>
      <c r="I1426" s="8">
        <v>0</v>
      </c>
      <c r="J1426" s="31">
        <v>0</v>
      </c>
      <c r="K1426" s="31">
        <v>0</v>
      </c>
      <c r="L1426" s="31">
        <v>0</v>
      </c>
      <c r="M1426" s="31">
        <v>0</v>
      </c>
      <c r="N1426" s="31">
        <v>0</v>
      </c>
      <c r="O1426" s="31">
        <v>1</v>
      </c>
      <c r="P1426" s="31">
        <v>0</v>
      </c>
      <c r="Q1426" s="31">
        <v>0</v>
      </c>
      <c r="R1426" s="31">
        <v>0</v>
      </c>
      <c r="S1426" s="31">
        <v>0</v>
      </c>
      <c r="T1426" s="21" cm="1">
        <f t="array" aca="1" ref="T1426" ca="1">+fair_value_gap(OFFSET(S1425,0,0,-1*$I$5,-1*$Z$1),OFFSET(E1425,0,0,-1*$I$5,1),F1426:S1426,0)</f>
        <v>5.9405025619541671</v>
      </c>
      <c r="U1426" s="7" cm="1">
        <f t="array" aca="1" ref="U1426" ca="1">z_score_diff(OFFSET(T1426,0,0,$I$5*-1,1),OFFSET(E1426,0,0,$I$5*-1,1))</f>
        <v>2.5168276694368164E-2</v>
      </c>
      <c r="V1426" s="7">
        <f t="shared" ca="1" si="1547"/>
        <v>-9.9439835468338927E-2</v>
      </c>
      <c r="W1426" s="14">
        <f t="shared" ca="1" si="1542"/>
        <v>0.31653838864446576</v>
      </c>
      <c r="X1426" s="10">
        <f t="shared" ref="X1426:Y1426" ca="1" si="1559">+X1425</f>
        <v>0</v>
      </c>
      <c r="Y1426" s="10">
        <f t="shared" ca="1" si="1559"/>
        <v>0</v>
      </c>
      <c r="Z1426">
        <f t="shared" ca="1" si="1549"/>
        <v>1</v>
      </c>
      <c r="AA1426">
        <f t="shared" ca="1" si="1550"/>
        <v>0</v>
      </c>
      <c r="AB1426" s="19">
        <f t="shared" ca="1" si="1551"/>
        <v>0.31653838864446576</v>
      </c>
      <c r="AC1426" s="19">
        <f t="shared" ca="1" si="1552"/>
        <v>0</v>
      </c>
    </row>
    <row r="1427" spans="3:29" x14ac:dyDescent="0.25">
      <c r="C1427" s="4">
        <v>1420</v>
      </c>
      <c r="D1427" s="28">
        <v>44028</v>
      </c>
      <c r="E1427" s="30">
        <v>5.0579999999999998</v>
      </c>
      <c r="F1427" s="30">
        <v>38.10067644733374</v>
      </c>
      <c r="G1427" s="30">
        <v>2.196257577088641</v>
      </c>
      <c r="H1427" s="30">
        <v>48.185891241324782</v>
      </c>
      <c r="I1427" s="8">
        <v>0</v>
      </c>
      <c r="J1427" s="31">
        <v>0</v>
      </c>
      <c r="K1427" s="31">
        <v>0</v>
      </c>
      <c r="L1427" s="31">
        <v>0</v>
      </c>
      <c r="M1427" s="31">
        <v>0</v>
      </c>
      <c r="N1427" s="31">
        <v>0</v>
      </c>
      <c r="O1427" s="31">
        <v>1</v>
      </c>
      <c r="P1427" s="31">
        <v>0</v>
      </c>
      <c r="Q1427" s="31">
        <v>0</v>
      </c>
      <c r="R1427" s="31">
        <v>0</v>
      </c>
      <c r="S1427" s="31">
        <v>0</v>
      </c>
      <c r="T1427" s="21" cm="1">
        <f t="array" aca="1" ref="T1427" ca="1">+fair_value_gap(OFFSET(S1426,0,0,-1*$I$5,-1*$Z$1),OFFSET(E1426,0,0,-1*$I$5,1),F1427:S1427,0)</f>
        <v>6.1378604315793321</v>
      </c>
      <c r="U1427" s="7" cm="1">
        <f t="array" aca="1" ref="U1427" ca="1">z_score_diff(OFFSET(T1427,0,0,$I$5*-1,1),OFFSET(E1427,0,0,$I$5*-1,1))</f>
        <v>0.11437267891202785</v>
      </c>
      <c r="V1427" s="7">
        <f t="shared" ca="1" si="1547"/>
        <v>-8.2747645901685887E-2</v>
      </c>
      <c r="W1427" s="14">
        <f t="shared" ca="1" si="1542"/>
        <v>0.36854568590407555</v>
      </c>
      <c r="X1427" s="10">
        <f t="shared" ref="X1427:Y1427" ca="1" si="1560">+X1426</f>
        <v>0</v>
      </c>
      <c r="Y1427" s="10">
        <f t="shared" ca="1" si="1560"/>
        <v>0</v>
      </c>
      <c r="Z1427">
        <f t="shared" ca="1" si="1549"/>
        <v>1</v>
      </c>
      <c r="AA1427">
        <f t="shared" ca="1" si="1550"/>
        <v>0</v>
      </c>
      <c r="AB1427" s="19">
        <f t="shared" ca="1" si="1551"/>
        <v>0.36854568590407555</v>
      </c>
      <c r="AC1427" s="19">
        <f t="shared" ca="1" si="1552"/>
        <v>0</v>
      </c>
    </row>
    <row r="1428" spans="3:29" x14ac:dyDescent="0.25">
      <c r="C1428" s="4">
        <v>1421</v>
      </c>
      <c r="D1428" s="28">
        <v>44029</v>
      </c>
      <c r="E1428" s="30">
        <v>5.1139999999999999</v>
      </c>
      <c r="F1428" s="30">
        <v>37.755995098897252</v>
      </c>
      <c r="G1428" s="30">
        <v>2.1923682828636442</v>
      </c>
      <c r="H1428" s="30">
        <v>48.135830561876418</v>
      </c>
      <c r="I1428" s="8">
        <v>0</v>
      </c>
      <c r="J1428" s="31">
        <v>0</v>
      </c>
      <c r="K1428" s="31">
        <v>0</v>
      </c>
      <c r="L1428" s="31">
        <v>0</v>
      </c>
      <c r="M1428" s="31">
        <v>0</v>
      </c>
      <c r="N1428" s="31">
        <v>0</v>
      </c>
      <c r="O1428" s="31">
        <v>1</v>
      </c>
      <c r="P1428" s="31">
        <v>0</v>
      </c>
      <c r="Q1428" s="31">
        <v>0</v>
      </c>
      <c r="R1428" s="31">
        <v>0</v>
      </c>
      <c r="S1428" s="31">
        <v>0</v>
      </c>
      <c r="T1428" s="21" cm="1">
        <f t="array" aca="1" ref="T1428" ca="1">+fair_value_gap(OFFSET(S1427,0,0,-1*$I$5,-1*$Z$1),OFFSET(E1427,0,0,-1*$I$5,1),F1428:S1428,0)</f>
        <v>6.0251881710072412</v>
      </c>
      <c r="U1428" s="7" cm="1">
        <f t="array" aca="1" ref="U1428" ca="1">z_score_diff(OFFSET(T1428,0,0,$I$5*-1,1),OFFSET(E1428,0,0,$I$5*-1,1))</f>
        <v>7.2230412705176938E-2</v>
      </c>
      <c r="V1428" s="7">
        <f t="shared" ca="1" si="1547"/>
        <v>-6.7450998887114672E-2</v>
      </c>
      <c r="W1428" s="14">
        <f t="shared" ca="1" si="1542"/>
        <v>0.44983184895589684</v>
      </c>
      <c r="X1428" s="10">
        <f t="shared" ref="X1428:Y1428" ca="1" si="1561">+X1427</f>
        <v>0</v>
      </c>
      <c r="Y1428" s="10">
        <f t="shared" ca="1" si="1561"/>
        <v>0</v>
      </c>
      <c r="Z1428">
        <f t="shared" ca="1" si="1549"/>
        <v>1</v>
      </c>
      <c r="AA1428">
        <f t="shared" ca="1" si="1550"/>
        <v>0</v>
      </c>
      <c r="AB1428" s="19">
        <f t="shared" ca="1" si="1551"/>
        <v>0.44983184895589684</v>
      </c>
      <c r="AC1428" s="19">
        <f t="shared" ca="1" si="1552"/>
        <v>0</v>
      </c>
    </row>
    <row r="1429" spans="3:29" x14ac:dyDescent="0.25">
      <c r="C1429" s="4">
        <v>1422</v>
      </c>
      <c r="D1429" s="28">
        <v>44032</v>
      </c>
      <c r="E1429" s="30">
        <v>4.7320000000000002</v>
      </c>
      <c r="F1429" s="30">
        <v>37.81894442502621</v>
      </c>
      <c r="G1429" s="30">
        <v>2.140859839217057</v>
      </c>
      <c r="H1429" s="30">
        <v>47.797972736805313</v>
      </c>
      <c r="I1429" s="8">
        <v>0</v>
      </c>
      <c r="J1429" s="31">
        <v>0</v>
      </c>
      <c r="K1429" s="31">
        <v>0</v>
      </c>
      <c r="L1429" s="31">
        <v>0</v>
      </c>
      <c r="M1429" s="31">
        <v>0</v>
      </c>
      <c r="N1429" s="31">
        <v>0</v>
      </c>
      <c r="O1429" s="31">
        <v>1</v>
      </c>
      <c r="P1429" s="31">
        <v>0</v>
      </c>
      <c r="Q1429" s="31">
        <v>0</v>
      </c>
      <c r="R1429" s="31">
        <v>0</v>
      </c>
      <c r="S1429" s="31">
        <v>0</v>
      </c>
      <c r="T1429" s="21" cm="1">
        <f t="array" aca="1" ref="T1429" ca="1">+fair_value_gap(OFFSET(S1428,0,0,-1*$I$5,-1*$Z$1),OFFSET(E1428,0,0,-1*$I$5,1),F1429:S1429,0)</f>
        <v>5.876769803976881</v>
      </c>
      <c r="U1429" s="7" cm="1">
        <f t="array" aca="1" ref="U1429" ca="1">z_score_diff(OFFSET(T1429,0,0,$I$5*-1,1),OFFSET(E1429,0,0,$I$5*-1,1))</f>
        <v>0.13327340945239441</v>
      </c>
      <c r="V1429" s="7">
        <f t="shared" ca="1" si="1547"/>
        <v>-4.9113599731146727E-2</v>
      </c>
      <c r="W1429" s="14">
        <f t="shared" ca="1" si="1542"/>
        <v>0.54746644641542064</v>
      </c>
      <c r="X1429" s="10">
        <f t="shared" ref="X1429:Y1429" ca="1" si="1562">+X1428</f>
        <v>0</v>
      </c>
      <c r="Y1429" s="10">
        <f t="shared" ca="1" si="1562"/>
        <v>0</v>
      </c>
      <c r="Z1429">
        <f t="shared" ca="1" si="1549"/>
        <v>1</v>
      </c>
      <c r="AA1429">
        <f t="shared" ca="1" si="1550"/>
        <v>0</v>
      </c>
      <c r="AB1429" s="19">
        <f t="shared" ca="1" si="1551"/>
        <v>0.54746644641542064</v>
      </c>
      <c r="AC1429" s="19">
        <f t="shared" ca="1" si="1552"/>
        <v>0</v>
      </c>
    </row>
    <row r="1430" spans="3:29" x14ac:dyDescent="0.25">
      <c r="C1430" s="4">
        <v>1423</v>
      </c>
      <c r="D1430" s="28">
        <v>44033</v>
      </c>
      <c r="E1430" s="30">
        <v>4.7919999999999998</v>
      </c>
      <c r="F1430" s="30">
        <v>38.452195037306957</v>
      </c>
      <c r="G1430" s="30">
        <v>2.1473191046330036</v>
      </c>
      <c r="H1430" s="30">
        <v>47.414541037653997</v>
      </c>
      <c r="I1430" s="8">
        <v>0</v>
      </c>
      <c r="J1430" s="31">
        <v>0</v>
      </c>
      <c r="K1430" s="31">
        <v>0</v>
      </c>
      <c r="L1430" s="31">
        <v>0</v>
      </c>
      <c r="M1430" s="31">
        <v>0</v>
      </c>
      <c r="N1430" s="31">
        <v>0</v>
      </c>
      <c r="O1430" s="31">
        <v>1</v>
      </c>
      <c r="P1430" s="31">
        <v>0</v>
      </c>
      <c r="Q1430" s="31">
        <v>0</v>
      </c>
      <c r="R1430" s="31">
        <v>0</v>
      </c>
      <c r="S1430" s="31">
        <v>0</v>
      </c>
      <c r="T1430" s="21" cm="1">
        <f t="array" aca="1" ref="T1430" ca="1">+fair_value_gap(OFFSET(S1429,0,0,-1*$I$5,-1*$Z$1),OFFSET(E1429,0,0,-1*$I$5,1),F1430:S1430,0)</f>
        <v>5.7904555068856673</v>
      </c>
      <c r="U1430" s="7" cm="1">
        <f t="array" aca="1" ref="U1430" ca="1">z_score_diff(OFFSET(T1430,0,0,$I$5*-1,1),OFFSET(E1430,0,0,$I$5*-1,1))</f>
        <v>9.5935087177407619E-2</v>
      </c>
      <c r="V1430" s="7">
        <f t="shared" ca="1" si="1547"/>
        <v>-2.8076841272753485E-2</v>
      </c>
      <c r="W1430" s="14">
        <f t="shared" ca="1" si="1542"/>
        <v>0.57886645623094835</v>
      </c>
      <c r="X1430" s="10">
        <f t="shared" ref="X1430:Y1430" ca="1" si="1563">+X1429</f>
        <v>0</v>
      </c>
      <c r="Y1430" s="10">
        <f t="shared" ca="1" si="1563"/>
        <v>0</v>
      </c>
      <c r="Z1430">
        <f t="shared" ca="1" si="1549"/>
        <v>1</v>
      </c>
      <c r="AA1430">
        <f t="shared" ca="1" si="1550"/>
        <v>0</v>
      </c>
      <c r="AB1430" s="19">
        <f t="shared" ca="1" si="1551"/>
        <v>0.57886645623094835</v>
      </c>
      <c r="AC1430" s="19">
        <f t="shared" ca="1" si="1552"/>
        <v>0</v>
      </c>
    </row>
    <row r="1431" spans="3:29" x14ac:dyDescent="0.25">
      <c r="C1431" s="4">
        <v>1424</v>
      </c>
      <c r="D1431" s="28">
        <v>44034</v>
      </c>
      <c r="E1431" s="30">
        <v>4.8289999999999997</v>
      </c>
      <c r="F1431" s="30">
        <v>38.28665283540802</v>
      </c>
      <c r="G1431" s="30">
        <v>2.1611341632088519</v>
      </c>
      <c r="H1431" s="30">
        <v>47.199170124481327</v>
      </c>
      <c r="I1431" s="8">
        <v>0</v>
      </c>
      <c r="J1431" s="31">
        <v>0</v>
      </c>
      <c r="K1431" s="31">
        <v>0</v>
      </c>
      <c r="L1431" s="31">
        <v>0</v>
      </c>
      <c r="M1431" s="31">
        <v>0</v>
      </c>
      <c r="N1431" s="31">
        <v>0</v>
      </c>
      <c r="O1431" s="31">
        <v>1</v>
      </c>
      <c r="P1431" s="31">
        <v>0</v>
      </c>
      <c r="Q1431" s="31">
        <v>0</v>
      </c>
      <c r="R1431" s="31">
        <v>0</v>
      </c>
      <c r="S1431" s="31">
        <v>0</v>
      </c>
      <c r="T1431" s="21" cm="1">
        <f t="array" aca="1" ref="T1431" ca="1">+fair_value_gap(OFFSET(S1430,0,0,-1*$I$5,-1*$Z$1),OFFSET(E1430,0,0,-1*$I$5,1),F1431:S1431,0)</f>
        <v>5.6799808376175349</v>
      </c>
      <c r="U1431" s="7" cm="1">
        <f t="array" aca="1" ref="U1431" ca="1">z_score_diff(OFFSET(T1431,0,0,$I$5*-1,1),OFFSET(E1431,0,0,$I$5*-1,1))</f>
        <v>5.8197057682156661E-2</v>
      </c>
      <c r="V1431" s="7">
        <f t="shared" ca="1" si="1547"/>
        <v>-1.0340750329086013E-2</v>
      </c>
      <c r="W1431" s="14">
        <f t="shared" ca="1" si="1542"/>
        <v>0.54798134888236449</v>
      </c>
      <c r="X1431" s="10">
        <f t="shared" ref="X1431:Y1431" ca="1" si="1564">+X1430</f>
        <v>0</v>
      </c>
      <c r="Y1431" s="10">
        <f t="shared" ca="1" si="1564"/>
        <v>0</v>
      </c>
      <c r="Z1431">
        <f t="shared" ca="1" si="1549"/>
        <v>1</v>
      </c>
      <c r="AA1431">
        <f t="shared" ca="1" si="1550"/>
        <v>0</v>
      </c>
      <c r="AB1431" s="19">
        <f t="shared" ca="1" si="1551"/>
        <v>0.54798134888236449</v>
      </c>
      <c r="AC1431" s="19">
        <f t="shared" ca="1" si="1552"/>
        <v>0</v>
      </c>
    </row>
    <row r="1432" spans="3:29" x14ac:dyDescent="0.25">
      <c r="C1432" s="4">
        <v>1425</v>
      </c>
      <c r="D1432" s="28">
        <v>44035</v>
      </c>
      <c r="E1432" s="30">
        <v>4.984</v>
      </c>
      <c r="F1432" s="30">
        <v>37.355528721752634</v>
      </c>
      <c r="G1432" s="30">
        <v>2.216663791616353</v>
      </c>
      <c r="H1432" s="30">
        <v>47.179575642573745</v>
      </c>
      <c r="I1432" s="8">
        <v>0</v>
      </c>
      <c r="J1432" s="31">
        <v>0</v>
      </c>
      <c r="K1432" s="31">
        <v>0</v>
      </c>
      <c r="L1432" s="31">
        <v>0</v>
      </c>
      <c r="M1432" s="31">
        <v>0</v>
      </c>
      <c r="N1432" s="31">
        <v>0</v>
      </c>
      <c r="O1432" s="31">
        <v>1</v>
      </c>
      <c r="P1432" s="31">
        <v>0</v>
      </c>
      <c r="Q1432" s="31">
        <v>0</v>
      </c>
      <c r="R1432" s="31">
        <v>0</v>
      </c>
      <c r="S1432" s="31">
        <v>0</v>
      </c>
      <c r="T1432" s="21" cm="1">
        <f t="array" aca="1" ref="T1432" ca="1">+fair_value_gap(OFFSET(S1431,0,0,-1*$I$5,-1*$Z$1),OFFSET(E1431,0,0,-1*$I$5,1),F1432:S1432,0)</f>
        <v>5.4937957986038013</v>
      </c>
      <c r="U1432" s="7" cm="1">
        <f t="array" aca="1" ref="U1432" ca="1">z_score_diff(OFFSET(T1432,0,0,$I$5*-1,1),OFFSET(E1432,0,0,$I$5*-1,1))</f>
        <v>-2.4861867754290223E-2</v>
      </c>
      <c r="V1432" s="7">
        <f t="shared" ca="1" si="1547"/>
        <v>-3.2425254725248044E-3</v>
      </c>
      <c r="W1432" s="14">
        <f t="shared" ca="1" si="1542"/>
        <v>0.49178514576761934</v>
      </c>
      <c r="X1432" s="10">
        <f t="shared" ref="X1432:Y1432" ca="1" si="1565">+X1431</f>
        <v>0</v>
      </c>
      <c r="Y1432" s="10">
        <f t="shared" ca="1" si="1565"/>
        <v>0</v>
      </c>
      <c r="Z1432">
        <f t="shared" ca="1" si="1549"/>
        <v>1</v>
      </c>
      <c r="AA1432">
        <f t="shared" ca="1" si="1550"/>
        <v>0</v>
      </c>
      <c r="AB1432" s="19">
        <f t="shared" ca="1" si="1551"/>
        <v>0.49178514576761934</v>
      </c>
      <c r="AC1432" s="19">
        <f t="shared" ca="1" si="1552"/>
        <v>0</v>
      </c>
    </row>
    <row r="1433" spans="3:29" x14ac:dyDescent="0.25">
      <c r="C1433" s="4">
        <v>1426</v>
      </c>
      <c r="D1433" s="28">
        <v>44036</v>
      </c>
      <c r="E1433" s="30">
        <v>5.0110000000000001</v>
      </c>
      <c r="F1433" s="30">
        <v>37.188948000686466</v>
      </c>
      <c r="G1433" s="30">
        <v>2.2267032778445173</v>
      </c>
      <c r="H1433" s="30">
        <v>46.850866655225673</v>
      </c>
      <c r="I1433" s="8">
        <v>0</v>
      </c>
      <c r="J1433" s="31">
        <v>0</v>
      </c>
      <c r="K1433" s="31">
        <v>0</v>
      </c>
      <c r="L1433" s="31">
        <v>0</v>
      </c>
      <c r="M1433" s="31">
        <v>0</v>
      </c>
      <c r="N1433" s="31">
        <v>0</v>
      </c>
      <c r="O1433" s="31">
        <v>1</v>
      </c>
      <c r="P1433" s="31">
        <v>0</v>
      </c>
      <c r="Q1433" s="31">
        <v>0</v>
      </c>
      <c r="R1433" s="31">
        <v>0</v>
      </c>
      <c r="S1433" s="31">
        <v>0</v>
      </c>
      <c r="T1433" s="21" cm="1">
        <f t="array" aca="1" ref="T1433" ca="1">+fair_value_gap(OFFSET(S1432,0,0,-1*$I$5,-1*$Z$1),OFFSET(E1432,0,0,-1*$I$5,1),F1433:S1433,0)</f>
        <v>5.4329672933515809</v>
      </c>
      <c r="U1433" s="7" cm="1">
        <f t="array" aca="1" ref="U1433" ca="1">z_score_diff(OFFSET(T1433,0,0,$I$5*-1,1),OFFSET(E1433,0,0,$I$5*-1,1))</f>
        <v>-4.5541330924369516E-2</v>
      </c>
      <c r="V1433" s="7">
        <f t="shared" ca="1" si="1547"/>
        <v>2.1944059889066335E-4</v>
      </c>
      <c r="W1433" s="14">
        <f t="shared" ca="1" si="1542"/>
        <v>0.41940330647408086</v>
      </c>
      <c r="X1433" s="10">
        <f t="shared" ref="X1433:Y1433" ca="1" si="1566">+X1432</f>
        <v>0</v>
      </c>
      <c r="Y1433" s="10">
        <f t="shared" ca="1" si="1566"/>
        <v>0</v>
      </c>
      <c r="Z1433">
        <f t="shared" ca="1" si="1549"/>
        <v>0</v>
      </c>
      <c r="AA1433">
        <f t="shared" ca="1" si="1550"/>
        <v>1</v>
      </c>
      <c r="AB1433" s="19">
        <f t="shared" ca="1" si="1551"/>
        <v>0</v>
      </c>
      <c r="AC1433" s="19">
        <f t="shared" ca="1" si="1552"/>
        <v>0.41940330647408086</v>
      </c>
    </row>
    <row r="1434" spans="3:29" x14ac:dyDescent="0.25">
      <c r="C1434" s="4">
        <v>1427</v>
      </c>
      <c r="D1434" s="28">
        <v>44039</v>
      </c>
      <c r="E1434" s="30">
        <v>4.7869999999999999</v>
      </c>
      <c r="F1434" s="30">
        <v>36.941536890477401</v>
      </c>
      <c r="G1434" s="30">
        <v>2.284911922389584</v>
      </c>
      <c r="H1434" s="30">
        <v>46.549229852778488</v>
      </c>
      <c r="I1434" s="8">
        <v>0</v>
      </c>
      <c r="J1434" s="31">
        <v>0</v>
      </c>
      <c r="K1434" s="31">
        <v>0</v>
      </c>
      <c r="L1434" s="31">
        <v>0</v>
      </c>
      <c r="M1434" s="31">
        <v>0</v>
      </c>
      <c r="N1434" s="31">
        <v>0</v>
      </c>
      <c r="O1434" s="31">
        <v>1</v>
      </c>
      <c r="P1434" s="31">
        <v>0</v>
      </c>
      <c r="Q1434" s="31">
        <v>0</v>
      </c>
      <c r="R1434" s="31">
        <v>0</v>
      </c>
      <c r="S1434" s="31">
        <v>0</v>
      </c>
      <c r="T1434" s="21" cm="1">
        <f t="array" aca="1" ref="T1434" ca="1">+fair_value_gap(OFFSET(S1433,0,0,-1*$I$5,-1*$Z$1),OFFSET(E1433,0,0,-1*$I$5,1),F1434:S1434,0)</f>
        <v>5.4167305664686634</v>
      </c>
      <c r="U1434" s="7" cm="1">
        <f t="array" aca="1" ref="U1434" ca="1">z_score_diff(OFFSET(T1434,0,0,$I$5*-1,1),OFFSET(E1434,0,0,$I$5*-1,1))</f>
        <v>7.0452890548393654E-3</v>
      </c>
      <c r="V1434" s="7">
        <f t="shared" ca="1" si="1547"/>
        <v>1.6762872434244645E-2</v>
      </c>
      <c r="W1434" s="14">
        <f t="shared" ca="1" si="1542"/>
        <v>0.55767412675754902</v>
      </c>
      <c r="X1434" s="10">
        <f t="shared" ref="X1434:Y1434" ca="1" si="1567">+X1433</f>
        <v>0</v>
      </c>
      <c r="Y1434" s="10">
        <f t="shared" ca="1" si="1567"/>
        <v>0</v>
      </c>
      <c r="Z1434">
        <f t="shared" ca="1" si="1549"/>
        <v>0</v>
      </c>
      <c r="AA1434">
        <f t="shared" ca="1" si="1550"/>
        <v>1</v>
      </c>
      <c r="AB1434" s="19">
        <f t="shared" ca="1" si="1551"/>
        <v>0</v>
      </c>
      <c r="AC1434" s="19">
        <f t="shared" ca="1" si="1552"/>
        <v>0.55767412675754902</v>
      </c>
    </row>
    <row r="1435" spans="3:29" x14ac:dyDescent="0.25">
      <c r="C1435" s="4">
        <v>1428</v>
      </c>
      <c r="D1435" s="28">
        <v>44040</v>
      </c>
      <c r="E1435" s="30">
        <v>4.9580000000000002</v>
      </c>
      <c r="F1435" s="30">
        <v>36.896021854191567</v>
      </c>
      <c r="G1435" s="30">
        <v>2.3049342666894317</v>
      </c>
      <c r="H1435" s="30">
        <v>46.312105173296906</v>
      </c>
      <c r="I1435" s="8">
        <v>0</v>
      </c>
      <c r="J1435" s="31">
        <v>0</v>
      </c>
      <c r="K1435" s="31">
        <v>0</v>
      </c>
      <c r="L1435" s="31">
        <v>0</v>
      </c>
      <c r="M1435" s="31">
        <v>0</v>
      </c>
      <c r="N1435" s="31">
        <v>0</v>
      </c>
      <c r="O1435" s="31">
        <v>1</v>
      </c>
      <c r="P1435" s="31">
        <v>0</v>
      </c>
      <c r="Q1435" s="31">
        <v>0</v>
      </c>
      <c r="R1435" s="31">
        <v>0</v>
      </c>
      <c r="S1435" s="31">
        <v>0</v>
      </c>
      <c r="T1435" s="21" cm="1">
        <f t="array" aca="1" ref="T1435" ca="1">+fair_value_gap(OFFSET(S1434,0,0,-1*$I$5,-1*$Z$1),OFFSET(E1434,0,0,-1*$I$5,1),F1435:S1435,0)</f>
        <v>5.3727456502983824</v>
      </c>
      <c r="U1435" s="7" cm="1">
        <f t="array" aca="1" ref="U1435" ca="1">z_score_diff(OFFSET(T1435,0,0,$I$5*-1,1),OFFSET(E1435,0,0,$I$5*-1,1))</f>
        <v>-4.5706606779307268E-2</v>
      </c>
      <c r="V1435" s="7">
        <f t="shared" ca="1" si="1547"/>
        <v>3.5558714461049246E-2</v>
      </c>
      <c r="W1435" s="14">
        <f t="shared" ca="1" si="1542"/>
        <v>0.58133408678487131</v>
      </c>
      <c r="X1435" s="10">
        <f t="shared" ref="X1435:Y1435" ca="1" si="1568">+X1434</f>
        <v>0</v>
      </c>
      <c r="Y1435" s="10">
        <f t="shared" ca="1" si="1568"/>
        <v>0</v>
      </c>
      <c r="Z1435">
        <f t="shared" ca="1" si="1549"/>
        <v>0</v>
      </c>
      <c r="AA1435">
        <f t="shared" ca="1" si="1550"/>
        <v>1</v>
      </c>
      <c r="AB1435" s="19">
        <f t="shared" ca="1" si="1551"/>
        <v>0</v>
      </c>
      <c r="AC1435" s="19">
        <f t="shared" ca="1" si="1552"/>
        <v>0.58133408678487131</v>
      </c>
    </row>
    <row r="1436" spans="3:29" x14ac:dyDescent="0.25">
      <c r="C1436" s="4">
        <v>1429</v>
      </c>
      <c r="D1436" s="28">
        <v>44041</v>
      </c>
      <c r="E1436" s="30">
        <v>5.1769999999999996</v>
      </c>
      <c r="F1436" s="30">
        <v>37.107718405428329</v>
      </c>
      <c r="G1436" s="30">
        <v>2.2561492790500424</v>
      </c>
      <c r="H1436" s="30">
        <v>45.377438507209497</v>
      </c>
      <c r="I1436" s="8">
        <v>0</v>
      </c>
      <c r="J1436" s="31">
        <v>0</v>
      </c>
      <c r="K1436" s="31">
        <v>0</v>
      </c>
      <c r="L1436" s="31">
        <v>0</v>
      </c>
      <c r="M1436" s="31">
        <v>0</v>
      </c>
      <c r="N1436" s="31">
        <v>0</v>
      </c>
      <c r="O1436" s="31">
        <v>1</v>
      </c>
      <c r="P1436" s="31">
        <v>0</v>
      </c>
      <c r="Q1436" s="31">
        <v>0</v>
      </c>
      <c r="R1436" s="31">
        <v>0</v>
      </c>
      <c r="S1436" s="31">
        <v>0</v>
      </c>
      <c r="T1436" s="21" cm="1">
        <f t="array" aca="1" ref="T1436" ca="1">+fair_value_gap(OFFSET(S1435,0,0,-1*$I$5,-1*$Z$1),OFFSET(E1435,0,0,-1*$I$5,1),F1436:S1436,0)</f>
        <v>5.2282929204427262</v>
      </c>
      <c r="U1436" s="7" cm="1">
        <f t="array" aca="1" ref="U1436" ca="1">z_score_diff(OFFSET(T1436,0,0,$I$5*-1,1),OFFSET(E1436,0,0,$I$5*-1,1))</f>
        <v>-0.13280858096897674</v>
      </c>
      <c r="V1436" s="7">
        <f t="shared" ca="1" si="1547"/>
        <v>1.9299415840514901E-2</v>
      </c>
      <c r="W1436" s="14">
        <f t="shared" ca="1" si="1542"/>
        <v>0.56941884577763391</v>
      </c>
      <c r="X1436" s="10">
        <f t="shared" ref="X1436:Y1436" ca="1" si="1569">+X1435</f>
        <v>0</v>
      </c>
      <c r="Y1436" s="10">
        <f t="shared" ca="1" si="1569"/>
        <v>0</v>
      </c>
      <c r="Z1436">
        <f t="shared" ca="1" si="1549"/>
        <v>0</v>
      </c>
      <c r="AA1436">
        <f t="shared" ca="1" si="1550"/>
        <v>1</v>
      </c>
      <c r="AB1436" s="19">
        <f t="shared" ca="1" si="1551"/>
        <v>0</v>
      </c>
      <c r="AC1436" s="19">
        <f t="shared" ca="1" si="1552"/>
        <v>0.56941884577763391</v>
      </c>
    </row>
    <row r="1437" spans="3:29" x14ac:dyDescent="0.25">
      <c r="C1437" s="4">
        <v>1430</v>
      </c>
      <c r="D1437" s="28">
        <v>44042</v>
      </c>
      <c r="E1437" s="30">
        <v>5.2229999999999999</v>
      </c>
      <c r="F1437" s="30">
        <v>36.248522708087116</v>
      </c>
      <c r="G1437" s="30">
        <v>2.2074962012493669</v>
      </c>
      <c r="H1437" s="30">
        <v>45.331757555292924</v>
      </c>
      <c r="I1437" s="8">
        <v>0</v>
      </c>
      <c r="J1437" s="31">
        <v>0</v>
      </c>
      <c r="K1437" s="31">
        <v>0</v>
      </c>
      <c r="L1437" s="31">
        <v>0</v>
      </c>
      <c r="M1437" s="31">
        <v>0</v>
      </c>
      <c r="N1437" s="31">
        <v>0</v>
      </c>
      <c r="O1437" s="31">
        <v>1</v>
      </c>
      <c r="P1437" s="31">
        <v>0</v>
      </c>
      <c r="Q1437" s="31">
        <v>0</v>
      </c>
      <c r="R1437" s="31">
        <v>0</v>
      </c>
      <c r="S1437" s="31">
        <v>0</v>
      </c>
      <c r="T1437" s="21" cm="1">
        <f t="array" aca="1" ref="T1437" ca="1">+fair_value_gap(OFFSET(S1436,0,0,-1*$I$5,-1*$Z$1),OFFSET(E1436,0,0,-1*$I$5,1),F1437:S1437,0)</f>
        <v>5.1404769609648211</v>
      </c>
      <c r="U1437" s="7" cm="1">
        <f t="array" aca="1" ref="U1437" ca="1">z_score_diff(OFFSET(T1437,0,0,$I$5*-1,1),OFFSET(E1437,0,0,$I$5*-1,1))</f>
        <v>-0.16313389727279182</v>
      </c>
      <c r="V1437" s="7">
        <f t="shared" ca="1" si="1547"/>
        <v>4.4674013125735827E-3</v>
      </c>
      <c r="W1437" s="14">
        <f t="shared" ca="1" si="1542"/>
        <v>0.52982830059390429</v>
      </c>
      <c r="X1437" s="10">
        <f t="shared" ref="X1437:Y1437" ca="1" si="1570">+X1436</f>
        <v>0</v>
      </c>
      <c r="Y1437" s="10">
        <f t="shared" ca="1" si="1570"/>
        <v>0</v>
      </c>
      <c r="Z1437">
        <f t="shared" ca="1" si="1549"/>
        <v>0</v>
      </c>
      <c r="AA1437">
        <f t="shared" ca="1" si="1550"/>
        <v>1</v>
      </c>
      <c r="AB1437" s="19">
        <f t="shared" ca="1" si="1551"/>
        <v>0</v>
      </c>
      <c r="AC1437" s="19">
        <f t="shared" ca="1" si="1552"/>
        <v>0.52982830059390429</v>
      </c>
    </row>
    <row r="1438" spans="3:29" x14ac:dyDescent="0.25">
      <c r="C1438" s="4">
        <v>1431</v>
      </c>
      <c r="D1438" s="28">
        <v>44043</v>
      </c>
      <c r="E1438" s="30">
        <v>6.0229999999999997</v>
      </c>
      <c r="F1438" s="30">
        <v>36.775947001868524</v>
      </c>
      <c r="G1438" s="30">
        <v>2.174282316969594</v>
      </c>
      <c r="H1438" s="30">
        <v>45.693901817564125</v>
      </c>
      <c r="I1438" s="8">
        <v>0</v>
      </c>
      <c r="J1438" s="31">
        <v>0</v>
      </c>
      <c r="K1438" s="31">
        <v>0</v>
      </c>
      <c r="L1438" s="31">
        <v>0</v>
      </c>
      <c r="M1438" s="31">
        <v>0</v>
      </c>
      <c r="N1438" s="31">
        <v>0</v>
      </c>
      <c r="O1438" s="31">
        <v>1</v>
      </c>
      <c r="P1438" s="31">
        <v>0</v>
      </c>
      <c r="Q1438" s="31">
        <v>0</v>
      </c>
      <c r="R1438" s="31">
        <v>0</v>
      </c>
      <c r="S1438" s="31">
        <v>0</v>
      </c>
      <c r="T1438" s="21" cm="1">
        <f t="array" aca="1" ref="T1438" ca="1">+fair_value_gap(OFFSET(S1437,0,0,-1*$I$5,-1*$Z$1),OFFSET(E1437,0,0,-1*$I$5,1),F1438:S1438,0)</f>
        <v>5.1809728085961915</v>
      </c>
      <c r="U1438" s="7" cm="1">
        <f t="array" aca="1" ref="U1438" ca="1">z_score_diff(OFFSET(T1438,0,0,$I$5*-1,1),OFFSET(E1438,0,0,$I$5*-1,1))</f>
        <v>-0.35013975731471214</v>
      </c>
      <c r="V1438" s="7">
        <f t="shared" ca="1" si="1547"/>
        <v>-1.5133667805137302E-2</v>
      </c>
      <c r="W1438" s="14">
        <f t="shared" ca="1" si="1542"/>
        <v>0.61755660949710567</v>
      </c>
      <c r="X1438" s="10">
        <f t="shared" ref="X1438:Y1438" ca="1" si="1571">+X1437</f>
        <v>0</v>
      </c>
      <c r="Y1438" s="10">
        <f t="shared" ca="1" si="1571"/>
        <v>0</v>
      </c>
      <c r="Z1438">
        <f t="shared" ca="1" si="1549"/>
        <v>1</v>
      </c>
      <c r="AA1438">
        <f t="shared" ca="1" si="1550"/>
        <v>0</v>
      </c>
      <c r="AB1438" s="19">
        <f t="shared" ca="1" si="1551"/>
        <v>0.61755660949710567</v>
      </c>
      <c r="AC1438" s="19">
        <f t="shared" ca="1" si="1552"/>
        <v>0</v>
      </c>
    </row>
    <row r="1439" spans="3:29" x14ac:dyDescent="0.25">
      <c r="C1439" s="4">
        <v>1432</v>
      </c>
      <c r="D1439" s="28">
        <v>44046</v>
      </c>
      <c r="E1439" s="30">
        <v>6.8019999999999996</v>
      </c>
      <c r="F1439" s="30">
        <v>37.539324887339511</v>
      </c>
      <c r="G1439" s="30">
        <v>2.2829691352776127</v>
      </c>
      <c r="H1439" s="30">
        <v>47.955105858345384</v>
      </c>
      <c r="I1439" s="8">
        <v>0</v>
      </c>
      <c r="J1439" s="31">
        <v>0</v>
      </c>
      <c r="K1439" s="31">
        <v>0</v>
      </c>
      <c r="L1439" s="31">
        <v>0</v>
      </c>
      <c r="M1439" s="31">
        <v>0</v>
      </c>
      <c r="N1439" s="31">
        <v>0</v>
      </c>
      <c r="O1439" s="31">
        <v>0</v>
      </c>
      <c r="P1439" s="31">
        <v>1</v>
      </c>
      <c r="Q1439" s="31">
        <v>0</v>
      </c>
      <c r="R1439" s="31">
        <v>0</v>
      </c>
      <c r="S1439" s="31">
        <v>0</v>
      </c>
      <c r="T1439" s="21" cm="1">
        <f t="array" aca="1" ref="T1439" ca="1">+fair_value_gap(OFFSET(S1438,0,0,-1*$I$5,-1*$Z$1),OFFSET(E1438,0,0,-1*$I$5,1),F1439:S1439,0)</f>
        <v>8.1410591385649287</v>
      </c>
      <c r="U1439" s="7" cm="1">
        <f t="array" aca="1" ref="U1439" ca="1">z_score_diff(OFFSET(T1439,0,0,$I$5*-1,1),OFFSET(E1439,0,0,$I$5*-1,1))</f>
        <v>0.13265212344103594</v>
      </c>
      <c r="V1439" s="7">
        <f t="shared" ca="1" si="1547"/>
        <v>-6.7963493090796856E-3</v>
      </c>
      <c r="W1439" s="14">
        <f t="shared" ca="1" si="1542"/>
        <v>0.50217318595112648</v>
      </c>
      <c r="X1439" s="10">
        <f t="shared" ref="X1439:Y1439" ca="1" si="1572">+X1438</f>
        <v>0</v>
      </c>
      <c r="Y1439" s="10">
        <f t="shared" ca="1" si="1572"/>
        <v>0</v>
      </c>
      <c r="Z1439">
        <f t="shared" ca="1" si="1549"/>
        <v>1</v>
      </c>
      <c r="AA1439">
        <f t="shared" ca="1" si="1550"/>
        <v>0</v>
      </c>
      <c r="AB1439" s="19">
        <f t="shared" ca="1" si="1551"/>
        <v>0.50217318595112648</v>
      </c>
      <c r="AC1439" s="19">
        <f t="shared" ca="1" si="1552"/>
        <v>0</v>
      </c>
    </row>
    <row r="1440" spans="3:29" x14ac:dyDescent="0.25">
      <c r="C1440" s="4">
        <v>1433</v>
      </c>
      <c r="D1440" s="28">
        <v>44047</v>
      </c>
      <c r="E1440" s="30">
        <v>7.3550000000000004</v>
      </c>
      <c r="F1440" s="30">
        <v>37.652542372881356</v>
      </c>
      <c r="G1440" s="30">
        <v>2.2754237288135597</v>
      </c>
      <c r="H1440" s="30">
        <v>47.5</v>
      </c>
      <c r="I1440" s="8">
        <v>0</v>
      </c>
      <c r="J1440" s="31">
        <v>0</v>
      </c>
      <c r="K1440" s="31">
        <v>0</v>
      </c>
      <c r="L1440" s="31">
        <v>0</v>
      </c>
      <c r="M1440" s="31">
        <v>0</v>
      </c>
      <c r="N1440" s="31">
        <v>0</v>
      </c>
      <c r="O1440" s="31">
        <v>0</v>
      </c>
      <c r="P1440" s="31">
        <v>1</v>
      </c>
      <c r="Q1440" s="31">
        <v>0</v>
      </c>
      <c r="R1440" s="31">
        <v>0</v>
      </c>
      <c r="S1440" s="31">
        <v>0</v>
      </c>
      <c r="T1440" s="21" cm="1">
        <f t="array" aca="1" ref="T1440" ca="1">+fair_value_gap(OFFSET(S1439,0,0,-1*$I$5,-1*$Z$1),OFFSET(E1439,0,0,-1*$I$5,1),F1440:S1440,0)</f>
        <v>7.8592528548162059</v>
      </c>
      <c r="U1440" s="7" cm="1">
        <f t="array" aca="1" ref="U1440" ca="1">z_score_diff(OFFSET(T1440,0,0,$I$5*-1,1),OFFSET(E1440,0,0,$I$5*-1,1))</f>
        <v>-7.0065406633825544E-2</v>
      </c>
      <c r="V1440" s="7">
        <f t="shared" ca="1" si="1547"/>
        <v>-6.4038175350071393E-3</v>
      </c>
      <c r="W1440" s="14">
        <f t="shared" ca="1" si="1542"/>
        <v>0.42915684969139095</v>
      </c>
      <c r="X1440" s="10">
        <f t="shared" ref="X1440:Y1440" ca="1" si="1573">+X1439</f>
        <v>0</v>
      </c>
      <c r="Y1440" s="10">
        <f t="shared" ca="1" si="1573"/>
        <v>0</v>
      </c>
      <c r="Z1440">
        <f t="shared" ca="1" si="1549"/>
        <v>1</v>
      </c>
      <c r="AA1440">
        <f t="shared" ca="1" si="1550"/>
        <v>0</v>
      </c>
      <c r="AB1440" s="19">
        <f t="shared" ca="1" si="1551"/>
        <v>0.42915684969139095</v>
      </c>
      <c r="AC1440" s="19">
        <f t="shared" ca="1" si="1552"/>
        <v>0</v>
      </c>
    </row>
    <row r="1441" spans="3:29" x14ac:dyDescent="0.25">
      <c r="C1441" s="4">
        <v>1434</v>
      </c>
      <c r="D1441" s="28">
        <v>44048</v>
      </c>
      <c r="E1441" s="30">
        <v>7.32</v>
      </c>
      <c r="F1441" s="30">
        <v>38.082792344658969</v>
      </c>
      <c r="G1441" s="30">
        <v>2.3016609054885762</v>
      </c>
      <c r="H1441" s="30">
        <v>46.749852457634269</v>
      </c>
      <c r="I1441" s="8">
        <v>0</v>
      </c>
      <c r="J1441" s="31">
        <v>0</v>
      </c>
      <c r="K1441" s="31">
        <v>0</v>
      </c>
      <c r="L1441" s="31">
        <v>0</v>
      </c>
      <c r="M1441" s="31">
        <v>0</v>
      </c>
      <c r="N1441" s="31">
        <v>0</v>
      </c>
      <c r="O1441" s="31">
        <v>0</v>
      </c>
      <c r="P1441" s="31">
        <v>1</v>
      </c>
      <c r="Q1441" s="31">
        <v>0</v>
      </c>
      <c r="R1441" s="31">
        <v>0</v>
      </c>
      <c r="S1441" s="31">
        <v>0</v>
      </c>
      <c r="T1441" s="21" cm="1">
        <f t="array" aca="1" ref="T1441" ca="1">+fair_value_gap(OFFSET(S1440,0,0,-1*$I$5,-1*$Z$1),OFFSET(E1440,0,0,-1*$I$5,1),F1441:S1441,0)</f>
        <v>7.7083439306029504</v>
      </c>
      <c r="U1441" s="7" cm="1">
        <f t="array" aca="1" ref="U1441" ca="1">z_score_diff(OFFSET(T1441,0,0,$I$5*-1,1),OFFSET(E1441,0,0,$I$5*-1,1))</f>
        <v>-9.5518366219616513E-2</v>
      </c>
      <c r="V1441" s="7">
        <f t="shared" ca="1" si="1547"/>
        <v>-8.2698308215672315E-3</v>
      </c>
      <c r="W1441" s="14">
        <f t="shared" ca="1" si="1542"/>
        <v>0.41723527567831836</v>
      </c>
      <c r="X1441" s="10">
        <f t="shared" ref="X1441:Y1441" ca="1" si="1574">+X1440</f>
        <v>0</v>
      </c>
      <c r="Y1441" s="10">
        <f t="shared" ca="1" si="1574"/>
        <v>0</v>
      </c>
      <c r="Z1441">
        <f t="shared" ca="1" si="1549"/>
        <v>1</v>
      </c>
      <c r="AA1441">
        <f t="shared" ca="1" si="1550"/>
        <v>0</v>
      </c>
      <c r="AB1441" s="19">
        <f t="shared" ca="1" si="1551"/>
        <v>0.41723527567831836</v>
      </c>
      <c r="AC1441" s="19">
        <f t="shared" ca="1" si="1552"/>
        <v>0</v>
      </c>
    </row>
    <row r="1442" spans="3:29" x14ac:dyDescent="0.25">
      <c r="C1442" s="4">
        <v>1435</v>
      </c>
      <c r="D1442" s="28">
        <v>44049</v>
      </c>
      <c r="E1442" s="30">
        <v>7.94</v>
      </c>
      <c r="F1442" s="30">
        <v>37.970526315789478</v>
      </c>
      <c r="G1442" s="30">
        <v>2.3368421052631576</v>
      </c>
      <c r="H1442" s="30">
        <v>45.810526315789474</v>
      </c>
      <c r="I1442" s="8">
        <v>0</v>
      </c>
      <c r="J1442" s="31">
        <v>0</v>
      </c>
      <c r="K1442" s="31">
        <v>0</v>
      </c>
      <c r="L1442" s="31">
        <v>0</v>
      </c>
      <c r="M1442" s="31">
        <v>0</v>
      </c>
      <c r="N1442" s="31">
        <v>0</v>
      </c>
      <c r="O1442" s="31">
        <v>0</v>
      </c>
      <c r="P1442" s="31">
        <v>1</v>
      </c>
      <c r="Q1442" s="31">
        <v>0</v>
      </c>
      <c r="R1442" s="31">
        <v>0</v>
      </c>
      <c r="S1442" s="31">
        <v>0</v>
      </c>
      <c r="T1442" s="21" cm="1">
        <f t="array" aca="1" ref="T1442" ca="1">+fair_value_gap(OFFSET(S1441,0,0,-1*$I$5,-1*$Z$1),OFFSET(E1441,0,0,-1*$I$5,1),F1442:S1442,0)</f>
        <v>7.5743870736625336</v>
      </c>
      <c r="U1442" s="7" cm="1">
        <f t="array" aca="1" ref="U1442" ca="1">z_score_diff(OFFSET(T1442,0,0,$I$5*-1,1),OFFSET(E1442,0,0,$I$5*-1,1))</f>
        <v>-0.27903307173011527</v>
      </c>
      <c r="V1442" s="7">
        <f t="shared" ca="1" si="1547"/>
        <v>-1.9905436846418663E-2</v>
      </c>
      <c r="W1442" s="14">
        <f t="shared" ca="1" si="1542"/>
        <v>0.39049210918244237</v>
      </c>
      <c r="X1442" s="10">
        <f t="shared" ref="X1442:Y1442" ca="1" si="1575">+X1441</f>
        <v>0</v>
      </c>
      <c r="Y1442" s="10">
        <f t="shared" ca="1" si="1575"/>
        <v>0</v>
      </c>
      <c r="Z1442">
        <f t="shared" ca="1" si="1549"/>
        <v>1</v>
      </c>
      <c r="AA1442">
        <f t="shared" ca="1" si="1550"/>
        <v>0</v>
      </c>
      <c r="AB1442" s="19">
        <f t="shared" ca="1" si="1551"/>
        <v>0.39049210918244237</v>
      </c>
      <c r="AC1442" s="19">
        <f t="shared" ca="1" si="1552"/>
        <v>0</v>
      </c>
    </row>
    <row r="1443" spans="3:29" x14ac:dyDescent="0.25">
      <c r="C1443" s="4">
        <v>1436</v>
      </c>
      <c r="D1443" s="28">
        <v>44050</v>
      </c>
      <c r="E1443" s="30">
        <v>7.931</v>
      </c>
      <c r="F1443" s="30">
        <v>37.671814016629895</v>
      </c>
      <c r="G1443" s="30">
        <v>2.3629730188359068</v>
      </c>
      <c r="H1443" s="30">
        <v>46.835228236891226</v>
      </c>
      <c r="I1443" s="8">
        <v>0</v>
      </c>
      <c r="J1443" s="31">
        <v>0</v>
      </c>
      <c r="K1443" s="31">
        <v>0</v>
      </c>
      <c r="L1443" s="31">
        <v>0</v>
      </c>
      <c r="M1443" s="31">
        <v>0</v>
      </c>
      <c r="N1443" s="31">
        <v>0</v>
      </c>
      <c r="O1443" s="31">
        <v>0</v>
      </c>
      <c r="P1443" s="31">
        <v>1</v>
      </c>
      <c r="Q1443" s="31">
        <v>0</v>
      </c>
      <c r="R1443" s="31">
        <v>0</v>
      </c>
      <c r="S1443" s="31">
        <v>0</v>
      </c>
      <c r="T1443" s="21" cm="1">
        <f t="array" aca="1" ref="T1443" ca="1">+fair_value_gap(OFFSET(S1442,0,0,-1*$I$5,-1*$Z$1),OFFSET(E1442,0,0,-1*$I$5,1),F1443:S1443,0)</f>
        <v>7.6621185653506538</v>
      </c>
      <c r="U1443" s="7" cm="1">
        <f t="array" aca="1" ref="U1443" ca="1">z_score_diff(OFFSET(T1443,0,0,$I$5*-1,1),OFFSET(E1443,0,0,$I$5*-1,1))</f>
        <v>-0.25499244555180556</v>
      </c>
      <c r="V1443" s="7">
        <f t="shared" ca="1" si="1547"/>
        <v>-3.3693285019392512E-2</v>
      </c>
      <c r="W1443" s="14">
        <f t="shared" ca="1" si="1542"/>
        <v>0.38727006451693508</v>
      </c>
      <c r="X1443" s="10">
        <f t="shared" ref="X1443:Y1443" ca="1" si="1576">+X1442</f>
        <v>0</v>
      </c>
      <c r="Y1443" s="10">
        <f t="shared" ca="1" si="1576"/>
        <v>0</v>
      </c>
      <c r="Z1443">
        <f t="shared" ca="1" si="1549"/>
        <v>1</v>
      </c>
      <c r="AA1443">
        <f t="shared" ca="1" si="1550"/>
        <v>0</v>
      </c>
      <c r="AB1443" s="19">
        <f t="shared" ca="1" si="1551"/>
        <v>0.38727006451693508</v>
      </c>
      <c r="AC1443" s="19">
        <f t="shared" ca="1" si="1552"/>
        <v>0</v>
      </c>
    </row>
    <row r="1444" spans="3:29" x14ac:dyDescent="0.25">
      <c r="C1444" s="4">
        <v>1437</v>
      </c>
      <c r="D1444" s="28">
        <v>44053</v>
      </c>
      <c r="E1444" s="30">
        <v>7.5890000000000004</v>
      </c>
      <c r="F1444" s="30">
        <v>38.335037491479213</v>
      </c>
      <c r="G1444" s="30">
        <v>2.4199045671438308</v>
      </c>
      <c r="H1444" s="30">
        <v>46.353101567825497</v>
      </c>
      <c r="I1444" s="8">
        <v>0</v>
      </c>
      <c r="J1444" s="31">
        <v>0</v>
      </c>
      <c r="K1444" s="31">
        <v>0</v>
      </c>
      <c r="L1444" s="31">
        <v>0</v>
      </c>
      <c r="M1444" s="31">
        <v>0</v>
      </c>
      <c r="N1444" s="31">
        <v>0</v>
      </c>
      <c r="O1444" s="31">
        <v>0</v>
      </c>
      <c r="P1444" s="31">
        <v>1</v>
      </c>
      <c r="Q1444" s="31">
        <v>0</v>
      </c>
      <c r="R1444" s="31">
        <v>0</v>
      </c>
      <c r="S1444" s="31">
        <v>0</v>
      </c>
      <c r="T1444" s="21" cm="1">
        <f t="array" aca="1" ref="T1444" ca="1">+fair_value_gap(OFFSET(S1443,0,0,-1*$I$5,-1*$Z$1),OFFSET(E1443,0,0,-1*$I$5,1),F1444:S1444,0)</f>
        <v>7.7239099156038993</v>
      </c>
      <c r="U1444" s="7" cm="1">
        <f t="array" aca="1" ref="U1444" ca="1">z_score_diff(OFFSET(T1444,0,0,$I$5*-1,1),OFFSET(E1444,0,0,$I$5*-1,1))</f>
        <v>-0.15460912451113473</v>
      </c>
      <c r="V1444" s="7">
        <f t="shared" ca="1" si="1547"/>
        <v>-4.5509914114807634E-2</v>
      </c>
      <c r="W1444" s="14">
        <f t="shared" ca="1" si="1542"/>
        <v>0.3920670168616795</v>
      </c>
      <c r="X1444" s="10">
        <f t="shared" ref="X1444:Y1444" ca="1" si="1577">+X1443</f>
        <v>0</v>
      </c>
      <c r="Y1444" s="10">
        <f t="shared" ca="1" si="1577"/>
        <v>0</v>
      </c>
      <c r="Z1444">
        <f t="shared" ca="1" si="1549"/>
        <v>1</v>
      </c>
      <c r="AA1444">
        <f t="shared" ca="1" si="1550"/>
        <v>0</v>
      </c>
      <c r="AB1444" s="19">
        <f t="shared" ca="1" si="1551"/>
        <v>0.3920670168616795</v>
      </c>
      <c r="AC1444" s="19">
        <f t="shared" ca="1" si="1552"/>
        <v>0</v>
      </c>
    </row>
    <row r="1445" spans="3:29" x14ac:dyDescent="0.25">
      <c r="C1445" s="4">
        <v>1438</v>
      </c>
      <c r="D1445" s="28">
        <v>44054</v>
      </c>
      <c r="E1445" s="30">
        <v>7.4160000000000004</v>
      </c>
      <c r="F1445" s="30">
        <v>37.907828605503028</v>
      </c>
      <c r="G1445" s="30">
        <v>2.4491012863105888</v>
      </c>
      <c r="H1445" s="30">
        <v>46.256069511883467</v>
      </c>
      <c r="I1445" s="8">
        <v>0</v>
      </c>
      <c r="J1445" s="31">
        <v>0</v>
      </c>
      <c r="K1445" s="31">
        <v>0</v>
      </c>
      <c r="L1445" s="31">
        <v>0</v>
      </c>
      <c r="M1445" s="31">
        <v>0</v>
      </c>
      <c r="N1445" s="31">
        <v>0</v>
      </c>
      <c r="O1445" s="31">
        <v>0</v>
      </c>
      <c r="P1445" s="31">
        <v>1</v>
      </c>
      <c r="Q1445" s="31">
        <v>0</v>
      </c>
      <c r="R1445" s="31">
        <v>0</v>
      </c>
      <c r="S1445" s="31">
        <v>0</v>
      </c>
      <c r="T1445" s="21" cm="1">
        <f t="array" aca="1" ref="T1445" ca="1">+fair_value_gap(OFFSET(S1444,0,0,-1*$I$5,-1*$Z$1),OFFSET(E1444,0,0,-1*$I$5,1),F1445:S1445,0)</f>
        <v>7.7120049040143632</v>
      </c>
      <c r="U1445" s="7" cm="1">
        <f t="array" aca="1" ref="U1445" ca="1">z_score_diff(OFFSET(T1445,0,0,$I$5*-1,1),OFFSET(E1445,0,0,$I$5*-1,1))</f>
        <v>-0.11375775136014632</v>
      </c>
      <c r="V1445" s="7">
        <f t="shared" ca="1" si="1547"/>
        <v>-5.4564693595084236E-2</v>
      </c>
      <c r="W1445" s="14">
        <f t="shared" ca="1" si="1542"/>
        <v>0.37609147390714526</v>
      </c>
      <c r="X1445" s="10">
        <f t="shared" ref="X1445:Y1445" ca="1" si="1578">+X1444</f>
        <v>0</v>
      </c>
      <c r="Y1445" s="10">
        <f t="shared" ca="1" si="1578"/>
        <v>0</v>
      </c>
      <c r="Z1445">
        <f t="shared" ca="1" si="1549"/>
        <v>1</v>
      </c>
      <c r="AA1445">
        <f t="shared" ca="1" si="1550"/>
        <v>0</v>
      </c>
      <c r="AB1445" s="19">
        <f t="shared" ca="1" si="1551"/>
        <v>0.37609147390714526</v>
      </c>
      <c r="AC1445" s="19">
        <f t="shared" ca="1" si="1552"/>
        <v>0</v>
      </c>
    </row>
    <row r="1446" spans="3:29" x14ac:dyDescent="0.25">
      <c r="C1446" s="4">
        <v>1439</v>
      </c>
      <c r="D1446" s="28">
        <v>44055</v>
      </c>
      <c r="E1446" s="30">
        <v>7.1719999999999997</v>
      </c>
      <c r="F1446" s="30">
        <v>38.558818536750977</v>
      </c>
      <c r="G1446" s="30">
        <v>2.4444067221184858</v>
      </c>
      <c r="H1446" s="30">
        <v>46.087251739942289</v>
      </c>
      <c r="I1446" s="8">
        <v>0</v>
      </c>
      <c r="J1446" s="31">
        <v>0</v>
      </c>
      <c r="K1446" s="31">
        <v>0</v>
      </c>
      <c r="L1446" s="31">
        <v>0</v>
      </c>
      <c r="M1446" s="31">
        <v>0</v>
      </c>
      <c r="N1446" s="31">
        <v>0</v>
      </c>
      <c r="O1446" s="31">
        <v>0</v>
      </c>
      <c r="P1446" s="31">
        <v>1</v>
      </c>
      <c r="Q1446" s="31">
        <v>0</v>
      </c>
      <c r="R1446" s="31">
        <v>0</v>
      </c>
      <c r="S1446" s="31">
        <v>0</v>
      </c>
      <c r="T1446" s="21" cm="1">
        <f t="array" aca="1" ref="T1446" ca="1">+fair_value_gap(OFFSET(S1445,0,0,-1*$I$5,-1*$Z$1),OFFSET(E1445,0,0,-1*$I$5,1),F1446:S1446,0)</f>
        <v>7.6866949303303187</v>
      </c>
      <c r="U1446" s="7" cm="1">
        <f t="array" aca="1" ref="U1446" ca="1">z_score_diff(OFFSET(T1446,0,0,$I$5*-1,1),OFFSET(E1446,0,0,$I$5*-1,1))</f>
        <v>-5.89288523654935E-2</v>
      </c>
      <c r="V1446" s="7">
        <f t="shared" ca="1" si="1547"/>
        <v>-5.876955004807731E-2</v>
      </c>
      <c r="W1446" s="14">
        <f t="shared" ca="1" si="1542"/>
        <v>0.40323171801175067</v>
      </c>
      <c r="X1446" s="10">
        <f t="shared" ref="X1446:Y1446" ca="1" si="1579">+X1445</f>
        <v>0</v>
      </c>
      <c r="Y1446" s="10">
        <f t="shared" ca="1" si="1579"/>
        <v>0</v>
      </c>
      <c r="Z1446">
        <f t="shared" ca="1" si="1549"/>
        <v>1</v>
      </c>
      <c r="AA1446">
        <f t="shared" ca="1" si="1550"/>
        <v>0</v>
      </c>
      <c r="AB1446" s="19">
        <f t="shared" ca="1" si="1551"/>
        <v>0.40323171801175067</v>
      </c>
      <c r="AC1446" s="19">
        <f t="shared" ca="1" si="1552"/>
        <v>0</v>
      </c>
    </row>
    <row r="1447" spans="3:29" x14ac:dyDescent="0.25">
      <c r="C1447" s="4">
        <v>1440</v>
      </c>
      <c r="D1447" s="28">
        <v>44056</v>
      </c>
      <c r="E1447" s="30">
        <v>7.3120000000000003</v>
      </c>
      <c r="F1447" s="30">
        <v>38.062986793091774</v>
      </c>
      <c r="G1447" s="30">
        <v>2.4424314256688113</v>
      </c>
      <c r="H1447" s="30">
        <v>45.970199796816793</v>
      </c>
      <c r="I1447" s="8">
        <v>0</v>
      </c>
      <c r="J1447" s="31">
        <v>0</v>
      </c>
      <c r="K1447" s="31">
        <v>0</v>
      </c>
      <c r="L1447" s="31">
        <v>0</v>
      </c>
      <c r="M1447" s="31">
        <v>0</v>
      </c>
      <c r="N1447" s="31">
        <v>0</v>
      </c>
      <c r="O1447" s="31">
        <v>0</v>
      </c>
      <c r="P1447" s="31">
        <v>1</v>
      </c>
      <c r="Q1447" s="31">
        <v>0</v>
      </c>
      <c r="R1447" s="31">
        <v>0</v>
      </c>
      <c r="S1447" s="31">
        <v>0</v>
      </c>
      <c r="T1447" s="21" cm="1">
        <f t="array" aca="1" ref="T1447" ca="1">+fair_value_gap(OFFSET(S1446,0,0,-1*$I$5,-1*$Z$1),OFFSET(E1446,0,0,-1*$I$5,1),F1447:S1447,0)</f>
        <v>7.5791587768638138</v>
      </c>
      <c r="U1447" s="7" cm="1">
        <f t="array" aca="1" ref="U1447" ca="1">z_score_diff(OFFSET(T1447,0,0,$I$5*-1,1),OFFSET(E1447,0,0,$I$5*-1,1))</f>
        <v>-0.1175943772690311</v>
      </c>
      <c r="V1447" s="7">
        <f t="shared" ca="1" si="1547"/>
        <v>-7.0367902857130266E-2</v>
      </c>
      <c r="W1447" s="14">
        <f t="shared" ca="1" si="1542"/>
        <v>0.3633810727157859</v>
      </c>
      <c r="X1447" s="10">
        <f t="shared" ref="X1447:Y1447" ca="1" si="1580">+X1446</f>
        <v>0</v>
      </c>
      <c r="Y1447" s="10">
        <f t="shared" ca="1" si="1580"/>
        <v>0</v>
      </c>
      <c r="Z1447">
        <f t="shared" ca="1" si="1549"/>
        <v>1</v>
      </c>
      <c r="AA1447">
        <f t="shared" ca="1" si="1550"/>
        <v>0</v>
      </c>
      <c r="AB1447" s="19">
        <f t="shared" ca="1" si="1551"/>
        <v>0.3633810727157859</v>
      </c>
      <c r="AC1447" s="19">
        <f t="shared" ca="1" si="1552"/>
        <v>0</v>
      </c>
    </row>
    <row r="1448" spans="3:29" x14ac:dyDescent="0.25">
      <c r="C1448" s="4">
        <v>1441</v>
      </c>
      <c r="D1448" s="28">
        <v>44057</v>
      </c>
      <c r="E1448" s="30">
        <v>8.0190000000000001</v>
      </c>
      <c r="F1448" s="30">
        <v>37.834642344396585</v>
      </c>
      <c r="G1448" s="30">
        <v>2.4474284266531545</v>
      </c>
      <c r="H1448" s="30">
        <v>46.78658897052614</v>
      </c>
      <c r="I1448" s="8">
        <v>0</v>
      </c>
      <c r="J1448" s="31">
        <v>0</v>
      </c>
      <c r="K1448" s="31">
        <v>0</v>
      </c>
      <c r="L1448" s="31">
        <v>0</v>
      </c>
      <c r="M1448" s="31">
        <v>0</v>
      </c>
      <c r="N1448" s="31">
        <v>0</v>
      </c>
      <c r="O1448" s="31">
        <v>0</v>
      </c>
      <c r="P1448" s="31">
        <v>1</v>
      </c>
      <c r="Q1448" s="31">
        <v>0</v>
      </c>
      <c r="R1448" s="31">
        <v>0</v>
      </c>
      <c r="S1448" s="31">
        <v>0</v>
      </c>
      <c r="T1448" s="21" cm="1">
        <f t="array" aca="1" ref="T1448" ca="1">+fair_value_gap(OFFSET(S1447,0,0,-1*$I$5,-1*$Z$1),OFFSET(E1447,0,0,-1*$I$5,1),F1448:S1448,0)</f>
        <v>7.6076408029348563</v>
      </c>
      <c r="U1448" s="7" cm="1">
        <f t="array" aca="1" ref="U1448" ca="1">z_score_diff(OFFSET(T1448,0,0,$I$5*-1,1),OFFSET(E1448,0,0,$I$5*-1,1))</f>
        <v>-0.28482977128256998</v>
      </c>
      <c r="V1448" s="7">
        <f t="shared" ca="1" si="1547"/>
        <v>-8.8220912056517636E-2</v>
      </c>
      <c r="W1448" s="14">
        <f t="shared" ca="1" si="1542"/>
        <v>0.26927577622876897</v>
      </c>
      <c r="X1448" s="10">
        <f t="shared" ref="X1448:Y1448" ca="1" si="1581">+X1447</f>
        <v>0</v>
      </c>
      <c r="Y1448" s="10">
        <f t="shared" ca="1" si="1581"/>
        <v>0</v>
      </c>
      <c r="Z1448">
        <f t="shared" ca="1" si="1549"/>
        <v>1</v>
      </c>
      <c r="AA1448">
        <f t="shared" ca="1" si="1550"/>
        <v>0</v>
      </c>
      <c r="AB1448" s="19">
        <f t="shared" ca="1" si="1551"/>
        <v>0.26927577622876897</v>
      </c>
      <c r="AC1448" s="19">
        <f t="shared" ca="1" si="1552"/>
        <v>0</v>
      </c>
    </row>
    <row r="1449" spans="3:29" x14ac:dyDescent="0.25">
      <c r="C1449" s="4">
        <v>1442</v>
      </c>
      <c r="D1449" s="28">
        <v>44060</v>
      </c>
      <c r="E1449" s="30">
        <v>8.1809999999999992</v>
      </c>
      <c r="F1449" s="30">
        <v>38.225629791894846</v>
      </c>
      <c r="G1449" s="30">
        <v>3.5175667705788185</v>
      </c>
      <c r="H1449" s="30">
        <v>47.055354284269946</v>
      </c>
      <c r="I1449" s="8">
        <v>0</v>
      </c>
      <c r="J1449" s="31">
        <v>0</v>
      </c>
      <c r="K1449" s="31">
        <v>0</v>
      </c>
      <c r="L1449" s="31">
        <v>0</v>
      </c>
      <c r="M1449" s="31">
        <v>0</v>
      </c>
      <c r="N1449" s="31">
        <v>0</v>
      </c>
      <c r="O1449" s="31">
        <v>0</v>
      </c>
      <c r="P1449" s="31">
        <v>1</v>
      </c>
      <c r="Q1449" s="31">
        <v>0</v>
      </c>
      <c r="R1449" s="31">
        <v>0</v>
      </c>
      <c r="S1449" s="31">
        <v>0</v>
      </c>
      <c r="T1449" s="21" cm="1">
        <f t="array" aca="1" ref="T1449" ca="1">+fair_value_gap(OFFSET(S1448,0,0,-1*$I$5,-1*$Z$1),OFFSET(E1448,0,0,-1*$I$5,1),F1449:S1449,0)</f>
        <v>8.6350746884349103</v>
      </c>
      <c r="U1449" s="7" cm="1">
        <f t="array" aca="1" ref="U1449" ca="1">z_score_diff(OFFSET(T1449,0,0,$I$5*-1,1),OFFSET(E1449,0,0,$I$5*-1,1))</f>
        <v>-9.1298983849082249E-2</v>
      </c>
      <c r="V1449" s="7">
        <f t="shared" ca="1" si="1547"/>
        <v>-9.9449531721591461E-2</v>
      </c>
      <c r="W1449" s="14">
        <f t="shared" ca="1" si="1542"/>
        <v>0.26908334064457207</v>
      </c>
      <c r="X1449" s="10">
        <f t="shared" ref="X1449:Y1449" ca="1" si="1582">+X1448</f>
        <v>0</v>
      </c>
      <c r="Y1449" s="10">
        <f t="shared" ca="1" si="1582"/>
        <v>0</v>
      </c>
      <c r="Z1449">
        <f t="shared" ca="1" si="1549"/>
        <v>1</v>
      </c>
      <c r="AA1449">
        <f t="shared" ca="1" si="1550"/>
        <v>0</v>
      </c>
      <c r="AB1449" s="19">
        <f t="shared" ca="1" si="1551"/>
        <v>0.26908334064457207</v>
      </c>
      <c r="AC1449" s="19">
        <f t="shared" ca="1" si="1552"/>
        <v>0</v>
      </c>
    </row>
    <row r="1450" spans="3:29" x14ac:dyDescent="0.25">
      <c r="C1450" s="4">
        <v>1443</v>
      </c>
      <c r="D1450" s="28">
        <v>44061</v>
      </c>
      <c r="E1450" s="30">
        <v>8.5489999999999995</v>
      </c>
      <c r="F1450" s="30">
        <v>38.108810461899573</v>
      </c>
      <c r="G1450" s="30">
        <v>3.5375974515885651</v>
      </c>
      <c r="H1450" s="30">
        <v>46.818677173275212</v>
      </c>
      <c r="I1450" s="8">
        <v>0</v>
      </c>
      <c r="J1450" s="31">
        <v>0</v>
      </c>
      <c r="K1450" s="31">
        <v>0</v>
      </c>
      <c r="L1450" s="31">
        <v>0</v>
      </c>
      <c r="M1450" s="31">
        <v>0</v>
      </c>
      <c r="N1450" s="31">
        <v>0</v>
      </c>
      <c r="O1450" s="31">
        <v>0</v>
      </c>
      <c r="P1450" s="31">
        <v>1</v>
      </c>
      <c r="Q1450" s="31">
        <v>0</v>
      </c>
      <c r="R1450" s="31">
        <v>0</v>
      </c>
      <c r="S1450" s="31">
        <v>0</v>
      </c>
      <c r="T1450" s="21" cm="1">
        <f t="array" aca="1" ref="T1450" ca="1">+fair_value_gap(OFFSET(S1449,0,0,-1*$I$5,-1*$Z$1),OFFSET(E1449,0,0,-1*$I$5,1),F1450:S1450,0)</f>
        <v>8.6015150570391974</v>
      </c>
      <c r="U1450" s="7" cm="1">
        <f t="array" aca="1" ref="U1450" ca="1">z_score_diff(OFFSET(T1450,0,0,$I$5*-1,1),OFFSET(E1450,0,0,$I$5*-1,1))</f>
        <v>-0.18896739138220592</v>
      </c>
      <c r="V1450" s="7">
        <f t="shared" ca="1" si="1547"/>
        <v>-0.11369465564957212</v>
      </c>
      <c r="W1450" s="14">
        <f t="shared" ca="1" si="1542"/>
        <v>0.24258143236305998</v>
      </c>
      <c r="X1450" s="10">
        <f t="shared" ref="X1450:Y1450" ca="1" si="1583">+X1449</f>
        <v>0</v>
      </c>
      <c r="Y1450" s="10">
        <f t="shared" ca="1" si="1583"/>
        <v>0</v>
      </c>
      <c r="Z1450">
        <f t="shared" ca="1" si="1549"/>
        <v>1</v>
      </c>
      <c r="AA1450">
        <f t="shared" ca="1" si="1550"/>
        <v>0</v>
      </c>
      <c r="AB1450" s="19">
        <f t="shared" ca="1" si="1551"/>
        <v>0.24258143236305998</v>
      </c>
      <c r="AC1450" s="19">
        <f t="shared" ca="1" si="1552"/>
        <v>0</v>
      </c>
    </row>
    <row r="1451" spans="3:29" x14ac:dyDescent="0.25">
      <c r="C1451" s="4">
        <v>1444</v>
      </c>
      <c r="D1451" s="28">
        <v>44062</v>
      </c>
      <c r="E1451" s="30">
        <v>8.3529999999999998</v>
      </c>
      <c r="F1451" s="30">
        <v>38.332206826630618</v>
      </c>
      <c r="G1451" s="30">
        <v>3.4555593105778977</v>
      </c>
      <c r="H1451" s="30">
        <v>47.059817505914161</v>
      </c>
      <c r="I1451" s="8">
        <v>0</v>
      </c>
      <c r="J1451" s="31">
        <v>0</v>
      </c>
      <c r="K1451" s="31">
        <v>0</v>
      </c>
      <c r="L1451" s="31">
        <v>0</v>
      </c>
      <c r="M1451" s="31">
        <v>0</v>
      </c>
      <c r="N1451" s="31">
        <v>0</v>
      </c>
      <c r="O1451" s="31">
        <v>0</v>
      </c>
      <c r="P1451" s="31">
        <v>1</v>
      </c>
      <c r="Q1451" s="31">
        <v>0</v>
      </c>
      <c r="R1451" s="31">
        <v>0</v>
      </c>
      <c r="S1451" s="31">
        <v>0</v>
      </c>
      <c r="T1451" s="21" cm="1">
        <f t="array" aca="1" ref="T1451" ca="1">+fair_value_gap(OFFSET(S1450,0,0,-1*$I$5,-1*$Z$1),OFFSET(E1450,0,0,-1*$I$5,1),F1451:S1451,0)</f>
        <v>8.5952603103303602</v>
      </c>
      <c r="U1451" s="7" cm="1">
        <f t="array" aca="1" ref="U1451" ca="1">z_score_diff(OFFSET(T1451,0,0,$I$5*-1,1),OFFSET(E1451,0,0,$I$5*-1,1))</f>
        <v>-0.14109261609365648</v>
      </c>
      <c r="V1451" s="7">
        <f t="shared" ca="1" si="1547"/>
        <v>-0.12365913933836278</v>
      </c>
      <c r="W1451" s="14">
        <f t="shared" ca="1" si="1542"/>
        <v>0.3037736229465629</v>
      </c>
      <c r="X1451" s="10">
        <f t="shared" ref="X1451:Y1451" ca="1" si="1584">+X1450</f>
        <v>0</v>
      </c>
      <c r="Y1451" s="10">
        <f t="shared" ca="1" si="1584"/>
        <v>0</v>
      </c>
      <c r="Z1451">
        <f t="shared" ca="1" si="1549"/>
        <v>1</v>
      </c>
      <c r="AA1451">
        <f t="shared" ca="1" si="1550"/>
        <v>0</v>
      </c>
      <c r="AB1451" s="19">
        <f t="shared" ca="1" si="1551"/>
        <v>0.3037736229465629</v>
      </c>
      <c r="AC1451" s="19">
        <f t="shared" ca="1" si="1552"/>
        <v>0</v>
      </c>
    </row>
    <row r="1452" spans="3:29" x14ac:dyDescent="0.25">
      <c r="C1452" s="4">
        <v>1445</v>
      </c>
      <c r="D1452" s="28">
        <v>44063</v>
      </c>
      <c r="E1452" s="30">
        <v>8.15</v>
      </c>
      <c r="F1452" s="30">
        <v>37.861539758832954</v>
      </c>
      <c r="G1452" s="30">
        <v>3.309722573572814</v>
      </c>
      <c r="H1452" s="30">
        <v>46.926385024032378</v>
      </c>
      <c r="I1452" s="8">
        <v>0</v>
      </c>
      <c r="J1452" s="31">
        <v>0</v>
      </c>
      <c r="K1452" s="31">
        <v>0</v>
      </c>
      <c r="L1452" s="31">
        <v>0</v>
      </c>
      <c r="M1452" s="31">
        <v>0</v>
      </c>
      <c r="N1452" s="31">
        <v>0</v>
      </c>
      <c r="O1452" s="31">
        <v>0</v>
      </c>
      <c r="P1452" s="31">
        <v>1</v>
      </c>
      <c r="Q1452" s="31">
        <v>0</v>
      </c>
      <c r="R1452" s="31">
        <v>0</v>
      </c>
      <c r="S1452" s="31">
        <v>0</v>
      </c>
      <c r="T1452" s="21" cm="1">
        <f t="array" aca="1" ref="T1452" ca="1">+fair_value_gap(OFFSET(S1451,0,0,-1*$I$5,-1*$Z$1),OFFSET(E1451,0,0,-1*$I$5,1),F1452:S1452,0)</f>
        <v>8.4391836464892194</v>
      </c>
      <c r="U1452" s="7" cm="1">
        <f t="array" aca="1" ref="U1452" ca="1">z_score_diff(OFFSET(T1452,0,0,$I$5*-1,1),OFFSET(E1452,0,0,$I$5*-1,1))</f>
        <v>-0.1259582627729452</v>
      </c>
      <c r="V1452" s="7">
        <f t="shared" ca="1" si="1547"/>
        <v>-0.12871395908929553</v>
      </c>
      <c r="W1452" s="14">
        <f t="shared" ca="1" si="1542"/>
        <v>0.31081728558393351</v>
      </c>
      <c r="X1452" s="10">
        <f t="shared" ref="X1452:Y1452" ca="1" si="1585">+X1451</f>
        <v>0</v>
      </c>
      <c r="Y1452" s="10">
        <f t="shared" ca="1" si="1585"/>
        <v>0</v>
      </c>
      <c r="Z1452">
        <f t="shared" ca="1" si="1549"/>
        <v>1</v>
      </c>
      <c r="AA1452">
        <f t="shared" ca="1" si="1550"/>
        <v>0</v>
      </c>
      <c r="AB1452" s="19">
        <f t="shared" ca="1" si="1551"/>
        <v>0.31081728558393351</v>
      </c>
      <c r="AC1452" s="19">
        <f t="shared" ca="1" si="1552"/>
        <v>0</v>
      </c>
    </row>
    <row r="1453" spans="3:29" x14ac:dyDescent="0.25">
      <c r="C1453" s="4">
        <v>1446</v>
      </c>
      <c r="D1453" s="28">
        <v>44064</v>
      </c>
      <c r="E1453" s="30">
        <v>7.6219999999999999</v>
      </c>
      <c r="F1453" s="30">
        <v>37.600678253497243</v>
      </c>
      <c r="G1453" s="30">
        <v>3.1411615091140312</v>
      </c>
      <c r="H1453" s="30">
        <v>47.011445527766007</v>
      </c>
      <c r="I1453" s="8">
        <v>0</v>
      </c>
      <c r="J1453" s="31">
        <v>0</v>
      </c>
      <c r="K1453" s="31">
        <v>0</v>
      </c>
      <c r="L1453" s="31">
        <v>0</v>
      </c>
      <c r="M1453" s="31">
        <v>0</v>
      </c>
      <c r="N1453" s="31">
        <v>0</v>
      </c>
      <c r="O1453" s="31">
        <v>0</v>
      </c>
      <c r="P1453" s="31">
        <v>1</v>
      </c>
      <c r="Q1453" s="31">
        <v>0</v>
      </c>
      <c r="R1453" s="31">
        <v>0</v>
      </c>
      <c r="S1453" s="31">
        <v>0</v>
      </c>
      <c r="T1453" s="21" cm="1">
        <f t="array" aca="1" ref="T1453" ca="1">+fair_value_gap(OFFSET(S1452,0,0,-1*$I$5,-1*$Z$1),OFFSET(E1452,0,0,-1*$I$5,1),F1453:S1453,0)</f>
        <v>8.266017544472259</v>
      </c>
      <c r="U1453" s="7" cm="1">
        <f t="array" aca="1" ref="U1453" ca="1">z_score_diff(OFFSET(T1453,0,0,$I$5*-1,1),OFFSET(E1453,0,0,$I$5*-1,1))</f>
        <v>-3.6044838405974833E-2</v>
      </c>
      <c r="V1453" s="7">
        <f t="shared" ca="1" si="1547"/>
        <v>-0.12823913446337581</v>
      </c>
      <c r="W1453" s="14">
        <f t="shared" ca="1" si="1542"/>
        <v>0.4091319534949403</v>
      </c>
      <c r="X1453" s="10">
        <f t="shared" ref="X1453:Y1453" ca="1" si="1586">+X1452</f>
        <v>0</v>
      </c>
      <c r="Y1453" s="10">
        <f t="shared" ca="1" si="1586"/>
        <v>0</v>
      </c>
      <c r="Z1453">
        <f t="shared" ca="1" si="1549"/>
        <v>1</v>
      </c>
      <c r="AA1453">
        <f t="shared" ca="1" si="1550"/>
        <v>0</v>
      </c>
      <c r="AB1453" s="19">
        <f t="shared" ca="1" si="1551"/>
        <v>0.4091319534949403</v>
      </c>
      <c r="AC1453" s="19">
        <f t="shared" ca="1" si="1552"/>
        <v>0</v>
      </c>
    </row>
    <row r="1454" spans="3:29" x14ac:dyDescent="0.25">
      <c r="C1454" s="4">
        <v>1447</v>
      </c>
      <c r="D1454" s="28">
        <v>44067</v>
      </c>
      <c r="E1454" s="30">
        <v>8.3610000000000007</v>
      </c>
      <c r="F1454" s="30">
        <v>38.287944345465341</v>
      </c>
      <c r="G1454" s="30">
        <v>3.3129719182149824</v>
      </c>
      <c r="H1454" s="30">
        <v>47.000933231526254</v>
      </c>
      <c r="I1454" s="8">
        <v>0</v>
      </c>
      <c r="J1454" s="31">
        <v>0</v>
      </c>
      <c r="K1454" s="31">
        <v>0</v>
      </c>
      <c r="L1454" s="31">
        <v>0</v>
      </c>
      <c r="M1454" s="31">
        <v>0</v>
      </c>
      <c r="N1454" s="31">
        <v>0</v>
      </c>
      <c r="O1454" s="31">
        <v>0</v>
      </c>
      <c r="P1454" s="31">
        <v>1</v>
      </c>
      <c r="Q1454" s="31">
        <v>0</v>
      </c>
      <c r="R1454" s="31">
        <v>0</v>
      </c>
      <c r="S1454" s="31">
        <v>0</v>
      </c>
      <c r="T1454" s="21" cm="1">
        <f t="array" aca="1" ref="T1454" ca="1">+fair_value_gap(OFFSET(S1453,0,0,-1*$I$5,-1*$Z$1),OFFSET(E1453,0,0,-1*$I$5,1),F1454:S1454,0)</f>
        <v>8.2557371838832214</v>
      </c>
      <c r="U1454" s="7" cm="1">
        <f t="array" aca="1" ref="U1454" ca="1">z_score_diff(OFFSET(T1454,0,0,$I$5*-1,1),OFFSET(E1454,0,0,$I$5*-1,1))</f>
        <v>-0.21886013397667092</v>
      </c>
      <c r="V1454" s="7">
        <f t="shared" ca="1" si="1547"/>
        <v>-0.13953440561495134</v>
      </c>
      <c r="W1454" s="14">
        <f t="shared" ca="1" si="1542"/>
        <v>0.31850809460368218</v>
      </c>
      <c r="X1454" s="10">
        <f t="shared" ref="X1454:Y1454" ca="1" si="1587">+X1453</f>
        <v>0</v>
      </c>
      <c r="Y1454" s="10">
        <f t="shared" ca="1" si="1587"/>
        <v>0</v>
      </c>
      <c r="Z1454">
        <f t="shared" ca="1" si="1549"/>
        <v>1</v>
      </c>
      <c r="AA1454">
        <f t="shared" ca="1" si="1550"/>
        <v>0</v>
      </c>
      <c r="AB1454" s="19">
        <f t="shared" ca="1" si="1551"/>
        <v>0.31850809460368218</v>
      </c>
      <c r="AC1454" s="19">
        <f t="shared" ca="1" si="1552"/>
        <v>0</v>
      </c>
    </row>
    <row r="1455" spans="3:29" x14ac:dyDescent="0.25">
      <c r="C1455" s="4">
        <v>1448</v>
      </c>
      <c r="D1455" s="28">
        <v>44068</v>
      </c>
      <c r="E1455" s="30">
        <v>8.8670000000000009</v>
      </c>
      <c r="F1455" s="30">
        <v>38.756021296374541</v>
      </c>
      <c r="G1455" s="30">
        <v>3.4015042677258518</v>
      </c>
      <c r="H1455" s="30">
        <v>46.480182540353248</v>
      </c>
      <c r="I1455" s="8">
        <v>0</v>
      </c>
      <c r="J1455" s="31">
        <v>0</v>
      </c>
      <c r="K1455" s="31">
        <v>0</v>
      </c>
      <c r="L1455" s="31">
        <v>0</v>
      </c>
      <c r="M1455" s="31">
        <v>0</v>
      </c>
      <c r="N1455" s="31">
        <v>0</v>
      </c>
      <c r="O1455" s="31">
        <v>0</v>
      </c>
      <c r="P1455" s="31">
        <v>1</v>
      </c>
      <c r="Q1455" s="31">
        <v>0</v>
      </c>
      <c r="R1455" s="31">
        <v>0</v>
      </c>
      <c r="S1455" s="31">
        <v>0</v>
      </c>
      <c r="T1455" s="21" cm="1">
        <f t="array" aca="1" ref="T1455" ca="1">+fair_value_gap(OFFSET(S1454,0,0,-1*$I$5,-1*$Z$1),OFFSET(E1454,0,0,-1*$I$5,1),F1455:S1455,0)</f>
        <v>8.3066825465419463</v>
      </c>
      <c r="U1455" s="7" cm="1">
        <f t="array" aca="1" ref="U1455" ca="1">z_score_diff(OFFSET(T1455,0,0,$I$5*-1,1),OFFSET(E1455,0,0,$I$5*-1,1))</f>
        <v>-0.33021473229006959</v>
      </c>
      <c r="V1455" s="7">
        <f t="shared" ca="1" si="1547"/>
        <v>-0.15375981189048943</v>
      </c>
      <c r="W1455" s="14">
        <f t="shared" ca="1" si="1542"/>
        <v>0.27759414331995319</v>
      </c>
      <c r="X1455" s="10">
        <f t="shared" ref="X1455:Y1455" ca="1" si="1588">+X1454</f>
        <v>0</v>
      </c>
      <c r="Y1455" s="10">
        <f t="shared" ca="1" si="1588"/>
        <v>0</v>
      </c>
      <c r="Z1455">
        <f t="shared" ca="1" si="1549"/>
        <v>1</v>
      </c>
      <c r="AA1455">
        <f t="shared" ca="1" si="1550"/>
        <v>0</v>
      </c>
      <c r="AB1455" s="19">
        <f t="shared" ca="1" si="1551"/>
        <v>0.27759414331995319</v>
      </c>
      <c r="AC1455" s="19">
        <f t="shared" ca="1" si="1552"/>
        <v>0</v>
      </c>
    </row>
    <row r="1456" spans="3:29" x14ac:dyDescent="0.25">
      <c r="C1456" s="4">
        <v>1449</v>
      </c>
      <c r="D1456" s="28">
        <v>44069</v>
      </c>
      <c r="E1456" s="30">
        <v>9.1489999999999991</v>
      </c>
      <c r="F1456" s="30">
        <v>38.583143122833711</v>
      </c>
      <c r="G1456" s="30">
        <v>3.4702848930594303</v>
      </c>
      <c r="H1456" s="30">
        <v>46.495899907008194</v>
      </c>
      <c r="I1456" s="8">
        <v>0</v>
      </c>
      <c r="J1456" s="31">
        <v>0</v>
      </c>
      <c r="K1456" s="31">
        <v>0</v>
      </c>
      <c r="L1456" s="31">
        <v>0</v>
      </c>
      <c r="M1456" s="31">
        <v>0</v>
      </c>
      <c r="N1456" s="31">
        <v>0</v>
      </c>
      <c r="O1456" s="31">
        <v>0</v>
      </c>
      <c r="P1456" s="31">
        <v>1</v>
      </c>
      <c r="Q1456" s="31">
        <v>0</v>
      </c>
      <c r="R1456" s="31">
        <v>0</v>
      </c>
      <c r="S1456" s="31">
        <v>0</v>
      </c>
      <c r="T1456" s="21" cm="1">
        <f t="array" aca="1" ref="T1456" ca="1">+fair_value_gap(OFFSET(S1455,0,0,-1*$I$5,-1*$Z$1),OFFSET(E1455,0,0,-1*$I$5,1),F1456:S1456,0)</f>
        <v>8.3925632366926628</v>
      </c>
      <c r="U1456" s="7" cm="1">
        <f t="array" aca="1" ref="U1456" ca="1">z_score_diff(OFFSET(T1456,0,0,$I$5*-1,1),OFFSET(E1456,0,0,$I$5*-1,1))</f>
        <v>-0.37837078464183738</v>
      </c>
      <c r="V1456" s="7">
        <f t="shared" ca="1" si="1547"/>
        <v>-0.16603792207413245</v>
      </c>
      <c r="W1456" s="14">
        <f t="shared" ca="1" si="1542"/>
        <v>0.27284414727325368</v>
      </c>
      <c r="X1456" s="10">
        <f t="shared" ref="X1456:Y1456" ca="1" si="1589">+X1455</f>
        <v>0</v>
      </c>
      <c r="Y1456" s="10">
        <f t="shared" ca="1" si="1589"/>
        <v>0</v>
      </c>
      <c r="Z1456">
        <f t="shared" ca="1" si="1549"/>
        <v>1</v>
      </c>
      <c r="AA1456">
        <f t="shared" ca="1" si="1550"/>
        <v>0</v>
      </c>
      <c r="AB1456" s="19">
        <f t="shared" ca="1" si="1551"/>
        <v>0.27284414727325368</v>
      </c>
      <c r="AC1456" s="19">
        <f t="shared" ca="1" si="1552"/>
        <v>0</v>
      </c>
    </row>
    <row r="1457" spans="3:29" x14ac:dyDescent="0.25">
      <c r="C1457" s="4">
        <v>1450</v>
      </c>
      <c r="D1457" s="28">
        <v>44070</v>
      </c>
      <c r="E1457" s="30">
        <v>8.8719999999999999</v>
      </c>
      <c r="F1457" s="30">
        <v>38.143981050672537</v>
      </c>
      <c r="G1457" s="30">
        <v>3.3626596734624825</v>
      </c>
      <c r="H1457" s="30">
        <v>46.654259368919718</v>
      </c>
      <c r="I1457" s="8">
        <v>0</v>
      </c>
      <c r="J1457" s="31">
        <v>0</v>
      </c>
      <c r="K1457" s="31">
        <v>0</v>
      </c>
      <c r="L1457" s="31">
        <v>0</v>
      </c>
      <c r="M1457" s="31">
        <v>0</v>
      </c>
      <c r="N1457" s="31">
        <v>0</v>
      </c>
      <c r="O1457" s="31">
        <v>0</v>
      </c>
      <c r="P1457" s="31">
        <v>1</v>
      </c>
      <c r="Q1457" s="31">
        <v>0</v>
      </c>
      <c r="R1457" s="31">
        <v>0</v>
      </c>
      <c r="S1457" s="31">
        <v>0</v>
      </c>
      <c r="T1457" s="21" cm="1">
        <f t="array" aca="1" ref="T1457" ca="1">+fair_value_gap(OFFSET(S1456,0,0,-1*$I$5,-1*$Z$1),OFFSET(E1456,0,0,-1*$I$5,1),F1457:S1457,0)</f>
        <v>8.3398717760950589</v>
      </c>
      <c r="U1457" s="7" cm="1">
        <f t="array" aca="1" ref="U1457" ca="1">z_score_diff(OFFSET(T1457,0,0,$I$5*-1,1),OFFSET(E1457,0,0,$I$5*-1,1))</f>
        <v>-0.32004428584815225</v>
      </c>
      <c r="V1457" s="7">
        <f t="shared" ca="1" si="1547"/>
        <v>-0.17388344150290047</v>
      </c>
      <c r="W1457" s="14">
        <f t="shared" ca="1" si="1542"/>
        <v>0.27103159544050381</v>
      </c>
      <c r="X1457" s="10">
        <f t="shared" ref="X1457:Y1457" ca="1" si="1590">+X1456</f>
        <v>0</v>
      </c>
      <c r="Y1457" s="10">
        <f t="shared" ca="1" si="1590"/>
        <v>0</v>
      </c>
      <c r="Z1457">
        <f t="shared" ca="1" si="1549"/>
        <v>1</v>
      </c>
      <c r="AA1457">
        <f t="shared" ca="1" si="1550"/>
        <v>0</v>
      </c>
      <c r="AB1457" s="19">
        <f t="shared" ca="1" si="1551"/>
        <v>0.27103159544050381</v>
      </c>
      <c r="AC1457" s="19">
        <f t="shared" ca="1" si="1552"/>
        <v>0</v>
      </c>
    </row>
    <row r="1458" spans="3:29" x14ac:dyDescent="0.25">
      <c r="C1458" s="4">
        <v>1451</v>
      </c>
      <c r="D1458" s="28">
        <v>44071</v>
      </c>
      <c r="E1458" s="30">
        <v>11.169</v>
      </c>
      <c r="F1458" s="30">
        <v>37.847601445013865</v>
      </c>
      <c r="G1458" s="30">
        <v>3.549525329748803</v>
      </c>
      <c r="H1458" s="30">
        <v>46.290851045954803</v>
      </c>
      <c r="I1458" s="8">
        <v>0</v>
      </c>
      <c r="J1458" s="31">
        <v>0</v>
      </c>
      <c r="K1458" s="31">
        <v>0</v>
      </c>
      <c r="L1458" s="31">
        <v>0</v>
      </c>
      <c r="M1458" s="31">
        <v>0</v>
      </c>
      <c r="N1458" s="31">
        <v>0</v>
      </c>
      <c r="O1458" s="31">
        <v>0</v>
      </c>
      <c r="P1458" s="31">
        <v>1</v>
      </c>
      <c r="Q1458" s="31">
        <v>0</v>
      </c>
      <c r="R1458" s="31">
        <v>0</v>
      </c>
      <c r="S1458" s="31">
        <v>0</v>
      </c>
      <c r="T1458" s="21" cm="1">
        <f t="array" aca="1" ref="T1458" ca="1">+fair_value_gap(OFFSET(S1457,0,0,-1*$I$5,-1*$Z$1),OFFSET(E1457,0,0,-1*$I$5,1),F1458:S1458,0)</f>
        <v>8.4771942443159585</v>
      </c>
      <c r="U1458" s="7" cm="1">
        <f t="array" aca="1" ref="U1458" ca="1">z_score_diff(OFFSET(T1458,0,0,$I$5*-1,1),OFFSET(E1458,0,0,$I$5*-1,1))</f>
        <v>-0.8562151084620786</v>
      </c>
      <c r="V1458" s="7">
        <f t="shared" ca="1" si="1547"/>
        <v>-0.19918720906026882</v>
      </c>
      <c r="W1458" s="14">
        <f t="shared" ca="1" si="1542"/>
        <v>4.3536544772756404E-2</v>
      </c>
      <c r="X1458" s="10">
        <f t="shared" ref="X1458:Y1458" ca="1" si="1591">+X1457</f>
        <v>0</v>
      </c>
      <c r="Y1458" s="10">
        <f t="shared" ca="1" si="1591"/>
        <v>0</v>
      </c>
      <c r="Z1458">
        <f t="shared" ca="1" si="1549"/>
        <v>1</v>
      </c>
      <c r="AA1458">
        <f t="shared" ca="1" si="1550"/>
        <v>0</v>
      </c>
      <c r="AB1458" s="19">
        <f t="shared" ca="1" si="1551"/>
        <v>4.3536544772756404E-2</v>
      </c>
      <c r="AC1458" s="19">
        <f t="shared" ca="1" si="1552"/>
        <v>0</v>
      </c>
    </row>
    <row r="1459" spans="3:29" x14ac:dyDescent="0.25">
      <c r="C1459" s="4">
        <v>1452</v>
      </c>
      <c r="D1459" s="28">
        <v>44074</v>
      </c>
      <c r="E1459" s="30">
        <v>11.239000000000001</v>
      </c>
      <c r="F1459" s="30">
        <v>37.935656836461128</v>
      </c>
      <c r="G1459" s="30">
        <v>3.5397117962466487</v>
      </c>
      <c r="H1459" s="30">
        <v>49.55596514745308</v>
      </c>
      <c r="I1459" s="8">
        <v>0</v>
      </c>
      <c r="J1459" s="31">
        <v>0</v>
      </c>
      <c r="K1459" s="31">
        <v>0</v>
      </c>
      <c r="L1459" s="31">
        <v>0</v>
      </c>
      <c r="M1459" s="31">
        <v>0</v>
      </c>
      <c r="N1459" s="31">
        <v>0</v>
      </c>
      <c r="O1459" s="31">
        <v>0</v>
      </c>
      <c r="P1459" s="31">
        <v>1</v>
      </c>
      <c r="Q1459" s="31">
        <v>0</v>
      </c>
      <c r="R1459" s="31">
        <v>0</v>
      </c>
      <c r="S1459" s="31">
        <v>0</v>
      </c>
      <c r="T1459" s="21" cm="1">
        <f t="array" aca="1" ref="T1459" ca="1">+fair_value_gap(OFFSET(S1458,0,0,-1*$I$5,-1*$Z$1),OFFSET(E1458,0,0,-1*$I$5,1),F1459:S1459,0)</f>
        <v>8.9540223348072434</v>
      </c>
      <c r="U1459" s="7" cm="1">
        <f t="array" aca="1" ref="U1459" ca="1">z_score_diff(OFFSET(T1459,0,0,$I$5*-1,1),OFFSET(E1459,0,0,$I$5*-1,1))</f>
        <v>-0.76250277982320513</v>
      </c>
      <c r="V1459" s="7">
        <f t="shared" ca="1" si="1547"/>
        <v>-0.24394495422348089</v>
      </c>
      <c r="W1459" s="14">
        <f t="shared" ca="1" si="1542"/>
        <v>9.4428120746290214E-2</v>
      </c>
      <c r="X1459" s="10">
        <f t="shared" ref="X1459:Y1459" ca="1" si="1592">+X1458</f>
        <v>0</v>
      </c>
      <c r="Y1459" s="10">
        <f t="shared" ca="1" si="1592"/>
        <v>0</v>
      </c>
      <c r="Z1459">
        <f t="shared" ca="1" si="1549"/>
        <v>1</v>
      </c>
      <c r="AA1459">
        <f t="shared" ca="1" si="1550"/>
        <v>0</v>
      </c>
      <c r="AB1459" s="19">
        <f t="shared" ca="1" si="1551"/>
        <v>9.4428120746290214E-2</v>
      </c>
      <c r="AC1459" s="19">
        <f t="shared" ca="1" si="1552"/>
        <v>0</v>
      </c>
    </row>
    <row r="1460" spans="3:29" x14ac:dyDescent="0.25">
      <c r="C1460" s="4">
        <v>1453</v>
      </c>
      <c r="D1460" s="28">
        <v>44075</v>
      </c>
      <c r="E1460" s="30">
        <v>11.297000000000001</v>
      </c>
      <c r="F1460" s="30">
        <v>38.270361041141896</v>
      </c>
      <c r="G1460" s="30">
        <v>3.6104114189756502</v>
      </c>
      <c r="H1460" s="30">
        <v>49.202350965575143</v>
      </c>
      <c r="I1460" s="8">
        <v>0</v>
      </c>
      <c r="J1460" s="31">
        <v>0</v>
      </c>
      <c r="K1460" s="31">
        <v>0</v>
      </c>
      <c r="L1460" s="31">
        <v>0</v>
      </c>
      <c r="M1460" s="31">
        <v>0</v>
      </c>
      <c r="N1460" s="31">
        <v>0</v>
      </c>
      <c r="O1460" s="31">
        <v>0</v>
      </c>
      <c r="P1460" s="31">
        <v>0</v>
      </c>
      <c r="Q1460" s="31">
        <v>1</v>
      </c>
      <c r="R1460" s="31">
        <v>0</v>
      </c>
      <c r="S1460" s="31">
        <v>0</v>
      </c>
      <c r="T1460" s="21" cm="1">
        <f t="array" aca="1" ref="T1460" ca="1">+fair_value_gap(OFFSET(S1459,0,0,-1*$I$5,-1*$Z$1),OFFSET(E1459,0,0,-1*$I$5,1),F1460:S1460,0)</f>
        <v>10.685312016871624</v>
      </c>
      <c r="U1460" s="7" cm="1">
        <f t="array" aca="1" ref="U1460" ca="1">z_score_diff(OFFSET(T1460,0,0,$I$5*-1,1),OFFSET(E1460,0,0,$I$5*-1,1))</f>
        <v>-0.38421593987307351</v>
      </c>
      <c r="V1460" s="7">
        <f t="shared" ca="1" si="1547"/>
        <v>-0.25965248088544324</v>
      </c>
      <c r="W1460" s="14">
        <f t="shared" ca="1" si="1542"/>
        <v>8.3434718974204652E-2</v>
      </c>
      <c r="X1460" s="10">
        <f t="shared" ref="X1460:Y1460" ca="1" si="1593">+X1459</f>
        <v>0</v>
      </c>
      <c r="Y1460" s="10">
        <f t="shared" ca="1" si="1593"/>
        <v>0</v>
      </c>
      <c r="Z1460">
        <f t="shared" ca="1" si="1549"/>
        <v>1</v>
      </c>
      <c r="AA1460">
        <f t="shared" ca="1" si="1550"/>
        <v>0</v>
      </c>
      <c r="AB1460" s="19">
        <f t="shared" ca="1" si="1551"/>
        <v>8.3434718974204652E-2</v>
      </c>
      <c r="AC1460" s="19">
        <f t="shared" ca="1" si="1552"/>
        <v>0</v>
      </c>
    </row>
    <row r="1461" spans="3:29" x14ac:dyDescent="0.25">
      <c r="C1461" s="4">
        <v>1454</v>
      </c>
      <c r="D1461" s="28">
        <v>44076</v>
      </c>
      <c r="E1461" s="30">
        <v>11.11</v>
      </c>
      <c r="F1461" s="30">
        <v>37.484181219944318</v>
      </c>
      <c r="G1461" s="30">
        <v>3.5644984392137009</v>
      </c>
      <c r="H1461" s="30">
        <v>48.595292331055433</v>
      </c>
      <c r="I1461" s="8">
        <v>0</v>
      </c>
      <c r="J1461" s="31">
        <v>0</v>
      </c>
      <c r="K1461" s="31">
        <v>0</v>
      </c>
      <c r="L1461" s="31">
        <v>0</v>
      </c>
      <c r="M1461" s="31">
        <v>0</v>
      </c>
      <c r="N1461" s="31">
        <v>0</v>
      </c>
      <c r="O1461" s="31">
        <v>0</v>
      </c>
      <c r="P1461" s="31">
        <v>0</v>
      </c>
      <c r="Q1461" s="31">
        <v>1</v>
      </c>
      <c r="R1461" s="31">
        <v>0</v>
      </c>
      <c r="S1461" s="31">
        <v>0</v>
      </c>
      <c r="T1461" s="21" cm="1">
        <f t="array" aca="1" ref="T1461" ca="1">+fair_value_gap(OFFSET(S1460,0,0,-1*$I$5,-1*$Z$1),OFFSET(E1460,0,0,-1*$I$5,1),F1461:S1461,0)</f>
        <v>10.47888987393465</v>
      </c>
      <c r="U1461" s="7" cm="1">
        <f t="array" aca="1" ref="U1461" ca="1">z_score_diff(OFFSET(T1461,0,0,$I$5*-1,1),OFFSET(E1461,0,0,$I$5*-1,1))</f>
        <v>-0.38599041102032783</v>
      </c>
      <c r="V1461" s="7">
        <f t="shared" ca="1" si="1547"/>
        <v>-0.27417608312547881</v>
      </c>
      <c r="W1461" s="14">
        <f t="shared" ca="1" si="1542"/>
        <v>0.17886524559151082</v>
      </c>
      <c r="X1461" s="10">
        <f t="shared" ref="X1461:Y1461" ca="1" si="1594">+X1460</f>
        <v>0</v>
      </c>
      <c r="Y1461" s="10">
        <f t="shared" ca="1" si="1594"/>
        <v>0</v>
      </c>
      <c r="Z1461">
        <f t="shared" ca="1" si="1549"/>
        <v>1</v>
      </c>
      <c r="AA1461">
        <f t="shared" ca="1" si="1550"/>
        <v>0</v>
      </c>
      <c r="AB1461" s="19">
        <f t="shared" ca="1" si="1551"/>
        <v>0.17886524559151082</v>
      </c>
      <c r="AC1461" s="19">
        <f t="shared" ca="1" si="1552"/>
        <v>0</v>
      </c>
    </row>
    <row r="1462" spans="3:29" x14ac:dyDescent="0.25">
      <c r="C1462" s="4">
        <v>1455</v>
      </c>
      <c r="D1462" s="28">
        <v>44077</v>
      </c>
      <c r="E1462" s="30">
        <v>11.733000000000001</v>
      </c>
      <c r="F1462" s="30">
        <v>37.193012068528986</v>
      </c>
      <c r="G1462" s="30">
        <v>3.6627563507468981</v>
      </c>
      <c r="H1462" s="30">
        <v>48.442906574394463</v>
      </c>
      <c r="I1462" s="8">
        <v>0</v>
      </c>
      <c r="J1462" s="31">
        <v>0</v>
      </c>
      <c r="K1462" s="31">
        <v>0</v>
      </c>
      <c r="L1462" s="31">
        <v>0</v>
      </c>
      <c r="M1462" s="31">
        <v>0</v>
      </c>
      <c r="N1462" s="31">
        <v>0</v>
      </c>
      <c r="O1462" s="31">
        <v>0</v>
      </c>
      <c r="P1462" s="31">
        <v>0</v>
      </c>
      <c r="Q1462" s="31">
        <v>1</v>
      </c>
      <c r="R1462" s="31">
        <v>0</v>
      </c>
      <c r="S1462" s="31">
        <v>0</v>
      </c>
      <c r="T1462" s="21" cm="1">
        <f t="array" aca="1" ref="T1462" ca="1">+fair_value_gap(OFFSET(S1461,0,0,-1*$I$5,-1*$Z$1),OFFSET(E1461,0,0,-1*$I$5,1),F1462:S1462,0)</f>
        <v>10.474100464053983</v>
      </c>
      <c r="U1462" s="7" cm="1">
        <f t="array" aca="1" ref="U1462" ca="1">z_score_diff(OFFSET(T1462,0,0,$I$5*-1,1),OFFSET(E1462,0,0,$I$5*-1,1))</f>
        <v>-0.54381724146893284</v>
      </c>
      <c r="V1462" s="7">
        <f t="shared" ca="1" si="1547"/>
        <v>-0.28741529161241969</v>
      </c>
      <c r="W1462" s="14">
        <f t="shared" ca="1" si="1542"/>
        <v>0.11637101428884189</v>
      </c>
      <c r="X1462" s="10">
        <f t="shared" ref="X1462:Y1462" ca="1" si="1595">+X1461</f>
        <v>0</v>
      </c>
      <c r="Y1462" s="10">
        <f t="shared" ca="1" si="1595"/>
        <v>0</v>
      </c>
      <c r="Z1462">
        <f t="shared" ca="1" si="1549"/>
        <v>1</v>
      </c>
      <c r="AA1462">
        <f t="shared" ca="1" si="1550"/>
        <v>0</v>
      </c>
      <c r="AB1462" s="19">
        <f t="shared" ca="1" si="1551"/>
        <v>0.11637101428884189</v>
      </c>
      <c r="AC1462" s="19">
        <f t="shared" ca="1" si="1552"/>
        <v>0</v>
      </c>
    </row>
    <row r="1463" spans="3:29" x14ac:dyDescent="0.25">
      <c r="C1463" s="4">
        <v>1456</v>
      </c>
      <c r="D1463" s="28">
        <v>44078</v>
      </c>
      <c r="E1463" s="30">
        <v>11.682</v>
      </c>
      <c r="F1463" s="30">
        <v>36.036492650785604</v>
      </c>
      <c r="G1463" s="30">
        <v>3.569015036323703</v>
      </c>
      <c r="H1463" s="30">
        <v>48.023314749113027</v>
      </c>
      <c r="I1463" s="8">
        <v>0</v>
      </c>
      <c r="J1463" s="31">
        <v>0</v>
      </c>
      <c r="K1463" s="31">
        <v>0</v>
      </c>
      <c r="L1463" s="31">
        <v>0</v>
      </c>
      <c r="M1463" s="31">
        <v>0</v>
      </c>
      <c r="N1463" s="31">
        <v>0</v>
      </c>
      <c r="O1463" s="31">
        <v>0</v>
      </c>
      <c r="P1463" s="31">
        <v>0</v>
      </c>
      <c r="Q1463" s="31">
        <v>1</v>
      </c>
      <c r="R1463" s="31">
        <v>0</v>
      </c>
      <c r="S1463" s="31">
        <v>0</v>
      </c>
      <c r="T1463" s="21" cm="1">
        <f t="array" aca="1" ref="T1463" ca="1">+fair_value_gap(OFFSET(S1462,0,0,-1*$I$5,-1*$Z$1),OFFSET(E1462,0,0,-1*$I$5,1),F1463:S1463,0)</f>
        <v>10.271407983575482</v>
      </c>
      <c r="U1463" s="7" cm="1">
        <f t="array" aca="1" ref="U1463" ca="1">z_score_diff(OFFSET(T1463,0,0,$I$5*-1,1),OFFSET(E1463,0,0,$I$5*-1,1))</f>
        <v>-0.57862028544979049</v>
      </c>
      <c r="V1463" s="7">
        <f t="shared" ca="1" si="1547"/>
        <v>-0.30359668360731895</v>
      </c>
      <c r="W1463" s="14">
        <f t="shared" ca="1" si="1542"/>
        <v>0.10889816450609213</v>
      </c>
      <c r="X1463" s="10">
        <f t="shared" ref="X1463:Y1463" ca="1" si="1596">+X1462</f>
        <v>0</v>
      </c>
      <c r="Y1463" s="10">
        <f t="shared" ca="1" si="1596"/>
        <v>0</v>
      </c>
      <c r="Z1463">
        <f t="shared" ca="1" si="1549"/>
        <v>1</v>
      </c>
      <c r="AA1463">
        <f t="shared" ca="1" si="1550"/>
        <v>0</v>
      </c>
      <c r="AB1463" s="19">
        <f t="shared" ca="1" si="1551"/>
        <v>0.10889816450609213</v>
      </c>
      <c r="AC1463" s="19">
        <f t="shared" ca="1" si="1552"/>
        <v>0</v>
      </c>
    </row>
    <row r="1464" spans="3:29" x14ac:dyDescent="0.25">
      <c r="C1464" s="4">
        <v>1457</v>
      </c>
      <c r="D1464" s="28">
        <v>44081</v>
      </c>
      <c r="E1464" s="30">
        <v>11.231999999999999</v>
      </c>
      <c r="F1464" s="30">
        <v>35.550478124735548</v>
      </c>
      <c r="G1464" s="30">
        <v>3.5753575357535752</v>
      </c>
      <c r="H1464" s="30">
        <v>47.389354320047389</v>
      </c>
      <c r="I1464" s="8">
        <v>0</v>
      </c>
      <c r="J1464" s="31">
        <v>0</v>
      </c>
      <c r="K1464" s="31">
        <v>0</v>
      </c>
      <c r="L1464" s="31">
        <v>0</v>
      </c>
      <c r="M1464" s="31">
        <v>0</v>
      </c>
      <c r="N1464" s="31">
        <v>0</v>
      </c>
      <c r="O1464" s="31">
        <v>0</v>
      </c>
      <c r="P1464" s="31">
        <v>0</v>
      </c>
      <c r="Q1464" s="31">
        <v>1</v>
      </c>
      <c r="R1464" s="31">
        <v>0</v>
      </c>
      <c r="S1464" s="31">
        <v>0</v>
      </c>
      <c r="T1464" s="21" cm="1">
        <f t="array" aca="1" ref="T1464" ca="1">+fair_value_gap(OFFSET(S1463,0,0,-1*$I$5,-1*$Z$1),OFFSET(E1463,0,0,-1*$I$5,1),F1464:S1464,0)</f>
        <v>10.168402049423831</v>
      </c>
      <c r="U1464" s="7" cm="1">
        <f t="array" aca="1" ref="U1464" ca="1">z_score_diff(OFFSET(T1464,0,0,$I$5*-1,1),OFFSET(E1464,0,0,$I$5*-1,1))</f>
        <v>-0.48936226811813843</v>
      </c>
      <c r="V1464" s="7">
        <f t="shared" ca="1" si="1547"/>
        <v>-0.32033434078766915</v>
      </c>
      <c r="W1464" s="14">
        <f t="shared" ca="1" si="1542"/>
        <v>0.17790476583536552</v>
      </c>
      <c r="X1464" s="10">
        <f t="shared" ref="X1464:Y1464" ca="1" si="1597">+X1463</f>
        <v>0</v>
      </c>
      <c r="Y1464" s="10">
        <f t="shared" ca="1" si="1597"/>
        <v>0</v>
      </c>
      <c r="Z1464">
        <f t="shared" ca="1" si="1549"/>
        <v>1</v>
      </c>
      <c r="AA1464">
        <f t="shared" ca="1" si="1550"/>
        <v>0</v>
      </c>
      <c r="AB1464" s="19">
        <f t="shared" ca="1" si="1551"/>
        <v>0.17790476583536552</v>
      </c>
      <c r="AC1464" s="19">
        <f t="shared" ca="1" si="1552"/>
        <v>0</v>
      </c>
    </row>
    <row r="1465" spans="3:29" x14ac:dyDescent="0.25">
      <c r="C1465" s="4">
        <v>1458</v>
      </c>
      <c r="D1465" s="28">
        <v>44082</v>
      </c>
      <c r="E1465" s="30">
        <v>10.802</v>
      </c>
      <c r="F1465" s="30">
        <v>33.771967060022078</v>
      </c>
      <c r="G1465" s="30">
        <v>3.6675439341200446</v>
      </c>
      <c r="H1465" s="30">
        <v>47.584684608201037</v>
      </c>
      <c r="I1465" s="8">
        <v>0</v>
      </c>
      <c r="J1465" s="31">
        <v>0</v>
      </c>
      <c r="K1465" s="31">
        <v>0</v>
      </c>
      <c r="L1465" s="31">
        <v>0</v>
      </c>
      <c r="M1465" s="31">
        <v>0</v>
      </c>
      <c r="N1465" s="31">
        <v>0</v>
      </c>
      <c r="O1465" s="31">
        <v>0</v>
      </c>
      <c r="P1465" s="31">
        <v>0</v>
      </c>
      <c r="Q1465" s="31">
        <v>1</v>
      </c>
      <c r="R1465" s="31">
        <v>0</v>
      </c>
      <c r="S1465" s="31">
        <v>0</v>
      </c>
      <c r="T1465" s="21" cm="1">
        <f t="array" aca="1" ref="T1465" ca="1">+fair_value_gap(OFFSET(S1464,0,0,-1*$I$5,-1*$Z$1),OFFSET(E1464,0,0,-1*$I$5,1),F1465:S1465,0)</f>
        <v>10.350469309789426</v>
      </c>
      <c r="U1465" s="7" cm="1">
        <f t="array" aca="1" ref="U1465" ca="1">z_score_diff(OFFSET(T1465,0,0,$I$5*-1,1),OFFSET(E1465,0,0,$I$5*-1,1))</f>
        <v>-0.33763337364577922</v>
      </c>
      <c r="V1465" s="7">
        <f t="shared" ca="1" si="1547"/>
        <v>-0.33152812190195075</v>
      </c>
      <c r="W1465" s="14">
        <f t="shared" ca="1" si="1542"/>
        <v>0.20855891039090607</v>
      </c>
      <c r="X1465" s="10">
        <f t="shared" ref="X1465:Y1465" ca="1" si="1598">+X1464</f>
        <v>0</v>
      </c>
      <c r="Y1465" s="10">
        <f t="shared" ca="1" si="1598"/>
        <v>0</v>
      </c>
      <c r="Z1465">
        <f t="shared" ca="1" si="1549"/>
        <v>1</v>
      </c>
      <c r="AA1465">
        <f t="shared" ca="1" si="1550"/>
        <v>0</v>
      </c>
      <c r="AB1465" s="19">
        <f t="shared" ca="1" si="1551"/>
        <v>0.20855891039090607</v>
      </c>
      <c r="AC1465" s="19">
        <f t="shared" ca="1" si="1552"/>
        <v>0</v>
      </c>
    </row>
    <row r="1466" spans="3:29" x14ac:dyDescent="0.25">
      <c r="C1466" s="4">
        <v>1459</v>
      </c>
      <c r="D1466" s="28">
        <v>44083</v>
      </c>
      <c r="E1466" s="30">
        <v>10.734</v>
      </c>
      <c r="F1466" s="30">
        <v>34.561938654465344</v>
      </c>
      <c r="G1466" s="30">
        <v>3.6010845619386549</v>
      </c>
      <c r="H1466" s="30">
        <v>47.661413319776315</v>
      </c>
      <c r="I1466" s="8">
        <v>0</v>
      </c>
      <c r="J1466" s="31">
        <v>0</v>
      </c>
      <c r="K1466" s="31">
        <v>0</v>
      </c>
      <c r="L1466" s="31">
        <v>0</v>
      </c>
      <c r="M1466" s="31">
        <v>0</v>
      </c>
      <c r="N1466" s="31">
        <v>0</v>
      </c>
      <c r="O1466" s="31">
        <v>0</v>
      </c>
      <c r="P1466" s="31">
        <v>0</v>
      </c>
      <c r="Q1466" s="31">
        <v>1</v>
      </c>
      <c r="R1466" s="31">
        <v>0</v>
      </c>
      <c r="S1466" s="31">
        <v>0</v>
      </c>
      <c r="T1466" s="21" cm="1">
        <f t="array" aca="1" ref="T1466" ca="1">+fair_value_gap(OFFSET(S1465,0,0,-1*$I$5,-1*$Z$1),OFFSET(E1465,0,0,-1*$I$5,1),F1466:S1466,0)</f>
        <v>10.348924088935672</v>
      </c>
      <c r="U1466" s="7" cm="1">
        <f t="array" aca="1" ref="U1466" ca="1">z_score_diff(OFFSET(T1466,0,0,$I$5*-1,1),OFFSET(E1466,0,0,$I$5*-1,1))</f>
        <v>-0.31861722465454412</v>
      </c>
      <c r="V1466" s="7">
        <f t="shared" ca="1" si="1547"/>
        <v>-0.34451254051640334</v>
      </c>
      <c r="W1466" s="14">
        <f t="shared" ca="1" si="1542"/>
        <v>0.24463627769912619</v>
      </c>
      <c r="X1466" s="10">
        <f t="shared" ref="X1466:Y1466" ca="1" si="1599">+X1465</f>
        <v>0</v>
      </c>
      <c r="Y1466" s="10">
        <f t="shared" ca="1" si="1599"/>
        <v>0</v>
      </c>
      <c r="Z1466">
        <f t="shared" ca="1" si="1549"/>
        <v>1</v>
      </c>
      <c r="AA1466">
        <f t="shared" ca="1" si="1550"/>
        <v>0</v>
      </c>
      <c r="AB1466" s="19">
        <f t="shared" ca="1" si="1551"/>
        <v>0.24463627769912619</v>
      </c>
      <c r="AC1466" s="19">
        <f t="shared" ca="1" si="1552"/>
        <v>0</v>
      </c>
    </row>
    <row r="1467" spans="3:29" x14ac:dyDescent="0.25">
      <c r="C1467" s="4">
        <v>1460</v>
      </c>
      <c r="D1467" s="28">
        <v>44084</v>
      </c>
      <c r="E1467" s="30">
        <v>10.516</v>
      </c>
      <c r="F1467" s="30">
        <v>33.911792093456363</v>
      </c>
      <c r="G1467" s="30">
        <v>3.6485228138491488</v>
      </c>
      <c r="H1467" s="30">
        <v>48.082620841445859</v>
      </c>
      <c r="I1467" s="8">
        <v>0</v>
      </c>
      <c r="J1467" s="31">
        <v>0</v>
      </c>
      <c r="K1467" s="31">
        <v>0</v>
      </c>
      <c r="L1467" s="31">
        <v>0</v>
      </c>
      <c r="M1467" s="31">
        <v>0</v>
      </c>
      <c r="N1467" s="31">
        <v>0</v>
      </c>
      <c r="O1467" s="31">
        <v>0</v>
      </c>
      <c r="P1467" s="31">
        <v>0</v>
      </c>
      <c r="Q1467" s="31">
        <v>1</v>
      </c>
      <c r="R1467" s="31">
        <v>0</v>
      </c>
      <c r="S1467" s="31">
        <v>0</v>
      </c>
      <c r="T1467" s="21" cm="1">
        <f t="array" aca="1" ref="T1467" ca="1">+fair_value_gap(OFFSET(S1466,0,0,-1*$I$5,-1*$Z$1),OFFSET(E1466,0,0,-1*$I$5,1),F1467:S1467,0)</f>
        <v>10.511470492695263</v>
      </c>
      <c r="U1467" s="7" cm="1">
        <f t="array" aca="1" ref="U1467" ca="1">z_score_diff(OFFSET(T1467,0,0,$I$5*-1,1),OFFSET(E1467,0,0,$I$5*-1,1))</f>
        <v>-0.22444997521909443</v>
      </c>
      <c r="V1467" s="7">
        <f t="shared" ca="1" si="1547"/>
        <v>-0.34985532041390649</v>
      </c>
      <c r="W1467" s="14">
        <f t="shared" ca="1" si="1542"/>
        <v>0.27899093326901137</v>
      </c>
      <c r="X1467" s="10">
        <f t="shared" ref="X1467:Y1467" ca="1" si="1600">+X1466</f>
        <v>0</v>
      </c>
      <c r="Y1467" s="10">
        <f t="shared" ca="1" si="1600"/>
        <v>0</v>
      </c>
      <c r="Z1467">
        <f t="shared" ca="1" si="1549"/>
        <v>1</v>
      </c>
      <c r="AA1467">
        <f t="shared" ca="1" si="1550"/>
        <v>0</v>
      </c>
      <c r="AB1467" s="19">
        <f t="shared" ca="1" si="1551"/>
        <v>0.27899093326901137</v>
      </c>
      <c r="AC1467" s="19">
        <f t="shared" ca="1" si="1552"/>
        <v>0</v>
      </c>
    </row>
    <row r="1468" spans="3:29" x14ac:dyDescent="0.25">
      <c r="C1468" s="4">
        <v>1461</v>
      </c>
      <c r="D1468" s="28">
        <v>44085</v>
      </c>
      <c r="E1468" s="30">
        <v>10.497</v>
      </c>
      <c r="F1468" s="30">
        <v>33.626002532714217</v>
      </c>
      <c r="G1468" s="30">
        <v>3.6386661038412824</v>
      </c>
      <c r="H1468" s="30">
        <v>48.079358379062896</v>
      </c>
      <c r="I1468" s="8">
        <v>0</v>
      </c>
      <c r="J1468" s="31">
        <v>0</v>
      </c>
      <c r="K1468" s="31">
        <v>0</v>
      </c>
      <c r="L1468" s="31">
        <v>0</v>
      </c>
      <c r="M1468" s="31">
        <v>0</v>
      </c>
      <c r="N1468" s="31">
        <v>0</v>
      </c>
      <c r="O1468" s="31">
        <v>0</v>
      </c>
      <c r="P1468" s="31">
        <v>0</v>
      </c>
      <c r="Q1468" s="31">
        <v>1</v>
      </c>
      <c r="R1468" s="31">
        <v>0</v>
      </c>
      <c r="S1468" s="31">
        <v>0</v>
      </c>
      <c r="T1468" s="21" cm="1">
        <f t="array" aca="1" ref="T1468" ca="1">+fair_value_gap(OFFSET(S1467,0,0,-1*$I$5,-1*$Z$1),OFFSET(E1467,0,0,-1*$I$5,1),F1468:S1468,0)</f>
        <v>10.537119236297318</v>
      </c>
      <c r="U1468" s="7" cm="1">
        <f t="array" aca="1" ref="U1468" ca="1">z_score_diff(OFFSET(T1468,0,0,$I$5*-1,1),OFFSET(E1468,0,0,$I$5*-1,1))</f>
        <v>-0.21276430417389935</v>
      </c>
      <c r="V1468" s="7">
        <f t="shared" ca="1" si="1547"/>
        <v>-0.34625204705847301</v>
      </c>
      <c r="W1468" s="14">
        <f t="shared" ca="1" si="1542"/>
        <v>0.27016748007891006</v>
      </c>
      <c r="X1468" s="10">
        <f t="shared" ref="X1468:Y1468" ca="1" si="1601">+X1467</f>
        <v>0</v>
      </c>
      <c r="Y1468" s="10">
        <f t="shared" ca="1" si="1601"/>
        <v>0</v>
      </c>
      <c r="Z1468">
        <f t="shared" ca="1" si="1549"/>
        <v>1</v>
      </c>
      <c r="AA1468">
        <f t="shared" ca="1" si="1550"/>
        <v>0</v>
      </c>
      <c r="AB1468" s="19">
        <f t="shared" ca="1" si="1551"/>
        <v>0.27016748007891006</v>
      </c>
      <c r="AC1468" s="19">
        <f t="shared" ca="1" si="1552"/>
        <v>0</v>
      </c>
    </row>
    <row r="1469" spans="3:29" x14ac:dyDescent="0.25">
      <c r="C1469" s="4">
        <v>1462</v>
      </c>
      <c r="D1469" s="28">
        <v>44088</v>
      </c>
      <c r="E1469" s="30">
        <v>10.707000000000001</v>
      </c>
      <c r="F1469" s="30">
        <v>33.375463431075154</v>
      </c>
      <c r="G1469" s="30">
        <v>3.6316144253454663</v>
      </c>
      <c r="H1469" s="30">
        <v>47.775530839231543</v>
      </c>
      <c r="I1469" s="8">
        <v>0</v>
      </c>
      <c r="J1469" s="31">
        <v>0</v>
      </c>
      <c r="K1469" s="31">
        <v>0</v>
      </c>
      <c r="L1469" s="31">
        <v>0</v>
      </c>
      <c r="M1469" s="31">
        <v>0</v>
      </c>
      <c r="N1469" s="31">
        <v>0</v>
      </c>
      <c r="O1469" s="31">
        <v>0</v>
      </c>
      <c r="P1469" s="31">
        <v>0</v>
      </c>
      <c r="Q1469" s="31">
        <v>1</v>
      </c>
      <c r="R1469" s="31">
        <v>0</v>
      </c>
      <c r="S1469" s="31">
        <v>0</v>
      </c>
      <c r="T1469" s="21" cm="1">
        <f t="array" aca="1" ref="T1469" ca="1">+fair_value_gap(OFFSET(S1468,0,0,-1*$I$5,-1*$Z$1),OFFSET(E1468,0,0,-1*$I$5,1),F1469:S1469,0)</f>
        <v>10.527533355865675</v>
      </c>
      <c r="U1469" s="7" cm="1">
        <f t="array" aca="1" ref="U1469" ca="1">z_score_diff(OFFSET(T1469,0,0,$I$5*-1,1),OFFSET(E1469,0,0,$I$5*-1,1))</f>
        <v>-0.26720158303389874</v>
      </c>
      <c r="V1469" s="7">
        <f t="shared" ca="1" si="1547"/>
        <v>-0.35504717701771382</v>
      </c>
      <c r="W1469" s="14">
        <f t="shared" ca="1" si="1542"/>
        <v>0.25652069790048615</v>
      </c>
      <c r="X1469" s="10">
        <f t="shared" ref="X1469:Y1469" ca="1" si="1602">+X1468</f>
        <v>0</v>
      </c>
      <c r="Y1469" s="10">
        <f t="shared" ca="1" si="1602"/>
        <v>0</v>
      </c>
      <c r="Z1469">
        <f t="shared" ca="1" si="1549"/>
        <v>1</v>
      </c>
      <c r="AA1469">
        <f t="shared" ca="1" si="1550"/>
        <v>0</v>
      </c>
      <c r="AB1469" s="19">
        <f t="shared" ca="1" si="1551"/>
        <v>0.25652069790048615</v>
      </c>
      <c r="AC1469" s="19">
        <f t="shared" ca="1" si="1552"/>
        <v>0</v>
      </c>
    </row>
    <row r="1470" spans="3:29" x14ac:dyDescent="0.25">
      <c r="C1470" s="4">
        <v>1463</v>
      </c>
      <c r="D1470" s="28">
        <v>44089</v>
      </c>
      <c r="E1470" s="30">
        <v>10.896000000000001</v>
      </c>
      <c r="F1470" s="30">
        <v>34.216969185310255</v>
      </c>
      <c r="G1470" s="30">
        <v>3.6369776276910084</v>
      </c>
      <c r="H1470" s="30">
        <v>47.783875052764877</v>
      </c>
      <c r="I1470" s="8">
        <v>0</v>
      </c>
      <c r="J1470" s="31">
        <v>0</v>
      </c>
      <c r="K1470" s="31">
        <v>0</v>
      </c>
      <c r="L1470" s="31">
        <v>0</v>
      </c>
      <c r="M1470" s="31">
        <v>0</v>
      </c>
      <c r="N1470" s="31">
        <v>0</v>
      </c>
      <c r="O1470" s="31">
        <v>0</v>
      </c>
      <c r="P1470" s="31">
        <v>0</v>
      </c>
      <c r="Q1470" s="31">
        <v>1</v>
      </c>
      <c r="R1470" s="31">
        <v>0</v>
      </c>
      <c r="S1470" s="31">
        <v>0</v>
      </c>
      <c r="T1470" s="21" cm="1">
        <f t="array" aca="1" ref="T1470" ca="1">+fair_value_gap(OFFSET(S1469,0,0,-1*$I$5,-1*$Z$1),OFFSET(E1469,0,0,-1*$I$5,1),F1470:S1470,0)</f>
        <v>10.616019793366704</v>
      </c>
      <c r="U1470" s="7" cm="1">
        <f t="array" aca="1" ref="U1470" ca="1">z_score_diff(OFFSET(T1470,0,0,$I$5*-1,1),OFFSET(E1470,0,0,$I$5*-1,1))</f>
        <v>-0.29366836150637154</v>
      </c>
      <c r="V1470" s="7">
        <f t="shared" ca="1" si="1547"/>
        <v>-0.36028222552392208</v>
      </c>
      <c r="W1470" s="14">
        <f t="shared" ca="1" si="1542"/>
        <v>0.22137988242671292</v>
      </c>
      <c r="X1470" s="10">
        <f t="shared" ref="X1470:Y1470" ca="1" si="1603">+X1469</f>
        <v>0</v>
      </c>
      <c r="Y1470" s="10">
        <f t="shared" ca="1" si="1603"/>
        <v>0</v>
      </c>
      <c r="Z1470">
        <f t="shared" ca="1" si="1549"/>
        <v>1</v>
      </c>
      <c r="AA1470">
        <f t="shared" ca="1" si="1550"/>
        <v>0</v>
      </c>
      <c r="AB1470" s="19">
        <f t="shared" ca="1" si="1551"/>
        <v>0.22137988242671292</v>
      </c>
      <c r="AC1470" s="19">
        <f t="shared" ca="1" si="1552"/>
        <v>0</v>
      </c>
    </row>
    <row r="1471" spans="3:29" x14ac:dyDescent="0.25">
      <c r="C1471" s="4">
        <v>1464</v>
      </c>
      <c r="D1471" s="28">
        <v>44090</v>
      </c>
      <c r="E1471" s="30">
        <v>11.318</v>
      </c>
      <c r="F1471" s="30">
        <v>35.737260876925681</v>
      </c>
      <c r="G1471" s="30">
        <v>4.1433891992551208</v>
      </c>
      <c r="H1471" s="30">
        <v>47.866937531741996</v>
      </c>
      <c r="I1471" s="8">
        <v>0</v>
      </c>
      <c r="J1471" s="31">
        <v>0</v>
      </c>
      <c r="K1471" s="31">
        <v>0</v>
      </c>
      <c r="L1471" s="31">
        <v>0</v>
      </c>
      <c r="M1471" s="31">
        <v>0</v>
      </c>
      <c r="N1471" s="31">
        <v>0</v>
      </c>
      <c r="O1471" s="31">
        <v>0</v>
      </c>
      <c r="P1471" s="31">
        <v>0</v>
      </c>
      <c r="Q1471" s="31">
        <v>1</v>
      </c>
      <c r="R1471" s="31">
        <v>0</v>
      </c>
      <c r="S1471" s="31">
        <v>0</v>
      </c>
      <c r="T1471" s="21" cm="1">
        <f t="array" aca="1" ref="T1471" ca="1">+fair_value_gap(OFFSET(S1470,0,0,-1*$I$5,-1*$Z$1),OFFSET(E1470,0,0,-1*$I$5,1),F1471:S1471,0)</f>
        <v>11.339537520776593</v>
      </c>
      <c r="U1471" s="7" cm="1">
        <f t="array" aca="1" ref="U1471" ca="1">z_score_diff(OFFSET(T1471,0,0,$I$5*-1,1),OFFSET(E1471,0,0,$I$5*-1,1))</f>
        <v>-0.23180402494622723</v>
      </c>
      <c r="V1471" s="7">
        <f t="shared" ca="1" si="1547"/>
        <v>-0.36481779596655062</v>
      </c>
      <c r="W1471" s="14">
        <f t="shared" ca="1" si="1542"/>
        <v>0.20347804131785396</v>
      </c>
      <c r="X1471" s="10">
        <f t="shared" ref="X1471:Y1471" ca="1" si="1604">+X1470</f>
        <v>0</v>
      </c>
      <c r="Y1471" s="10">
        <f t="shared" ca="1" si="1604"/>
        <v>0</v>
      </c>
      <c r="Z1471">
        <f t="shared" ca="1" si="1549"/>
        <v>1</v>
      </c>
      <c r="AA1471">
        <f t="shared" ca="1" si="1550"/>
        <v>0</v>
      </c>
      <c r="AB1471" s="19">
        <f t="shared" ca="1" si="1551"/>
        <v>0.20347804131785396</v>
      </c>
      <c r="AC1471" s="19">
        <f t="shared" ca="1" si="1552"/>
        <v>0</v>
      </c>
    </row>
    <row r="1472" spans="3:29" x14ac:dyDescent="0.25">
      <c r="C1472" s="4">
        <v>1465</v>
      </c>
      <c r="D1472" s="28">
        <v>44091</v>
      </c>
      <c r="E1472" s="30">
        <v>11.121</v>
      </c>
      <c r="F1472" s="30">
        <v>36.549337384991979</v>
      </c>
      <c r="G1472" s="30">
        <v>4.089642947581666</v>
      </c>
      <c r="H1472" s="30">
        <v>47.860217776652313</v>
      </c>
      <c r="I1472" s="8">
        <v>0</v>
      </c>
      <c r="J1472" s="31">
        <v>0</v>
      </c>
      <c r="K1472" s="31">
        <v>0</v>
      </c>
      <c r="L1472" s="31">
        <v>0</v>
      </c>
      <c r="M1472" s="31">
        <v>0</v>
      </c>
      <c r="N1472" s="31">
        <v>0</v>
      </c>
      <c r="O1472" s="31">
        <v>0</v>
      </c>
      <c r="P1472" s="31">
        <v>0</v>
      </c>
      <c r="Q1472" s="31">
        <v>1</v>
      </c>
      <c r="R1472" s="31">
        <v>0</v>
      </c>
      <c r="S1472" s="31">
        <v>0</v>
      </c>
      <c r="T1472" s="21" cm="1">
        <f t="array" aca="1" ref="T1472" ca="1">+fair_value_gap(OFFSET(S1471,0,0,-1*$I$5,-1*$Z$1),OFFSET(E1471,0,0,-1*$I$5,1),F1472:S1472,0)</f>
        <v>11.408342253115453</v>
      </c>
      <c r="U1472" s="7" cm="1">
        <f t="array" aca="1" ref="U1472" ca="1">z_score_diff(OFFSET(T1472,0,0,$I$5*-1,1),OFFSET(E1472,0,0,$I$5*-1,1))</f>
        <v>-0.16499135016615643</v>
      </c>
      <c r="V1472" s="7">
        <f t="shared" ca="1" si="1547"/>
        <v>-0.36676945033621122</v>
      </c>
      <c r="W1472" s="14">
        <f t="shared" ca="1" si="1542"/>
        <v>0.2471494659621527</v>
      </c>
      <c r="X1472" s="10">
        <f t="shared" ref="X1472:Y1472" ca="1" si="1605">+X1471</f>
        <v>0</v>
      </c>
      <c r="Y1472" s="10">
        <f t="shared" ca="1" si="1605"/>
        <v>0</v>
      </c>
      <c r="Z1472">
        <f t="shared" ca="1" si="1549"/>
        <v>1</v>
      </c>
      <c r="AA1472">
        <f t="shared" ca="1" si="1550"/>
        <v>0</v>
      </c>
      <c r="AB1472" s="19">
        <f t="shared" ca="1" si="1551"/>
        <v>0.2471494659621527</v>
      </c>
      <c r="AC1472" s="19">
        <f t="shared" ca="1" si="1552"/>
        <v>0</v>
      </c>
    </row>
    <row r="1473" spans="3:29" x14ac:dyDescent="0.25">
      <c r="C1473" s="4">
        <v>1466</v>
      </c>
      <c r="D1473" s="28">
        <v>44092</v>
      </c>
      <c r="E1473" s="30">
        <v>11.475</v>
      </c>
      <c r="F1473" s="30">
        <v>36.453493283771223</v>
      </c>
      <c r="G1473" s="30">
        <v>4.093097913322632</v>
      </c>
      <c r="H1473" s="30">
        <v>47.985131367745204</v>
      </c>
      <c r="I1473" s="8">
        <v>0</v>
      </c>
      <c r="J1473" s="31">
        <v>0</v>
      </c>
      <c r="K1473" s="31">
        <v>0</v>
      </c>
      <c r="L1473" s="31">
        <v>0</v>
      </c>
      <c r="M1473" s="31">
        <v>0</v>
      </c>
      <c r="N1473" s="31">
        <v>0</v>
      </c>
      <c r="O1473" s="31">
        <v>0</v>
      </c>
      <c r="P1473" s="31">
        <v>0</v>
      </c>
      <c r="Q1473" s="31">
        <v>1</v>
      </c>
      <c r="R1473" s="31">
        <v>0</v>
      </c>
      <c r="S1473" s="31">
        <v>0</v>
      </c>
      <c r="T1473" s="21" cm="1">
        <f t="array" aca="1" ref="T1473" ca="1">+fair_value_gap(OFFSET(S1472,0,0,-1*$I$5,-1*$Z$1),OFFSET(E1472,0,0,-1*$I$5,1),F1473:S1473,0)</f>
        <v>11.539896418236292</v>
      </c>
      <c r="U1473" s="7" cm="1">
        <f t="array" aca="1" ref="U1473" ca="1">z_score_diff(OFFSET(T1473,0,0,$I$5*-1,1),OFFSET(E1473,0,0,$I$5*-1,1))</f>
        <v>-0.22328195567637116</v>
      </c>
      <c r="V1473" s="7">
        <f t="shared" ca="1" si="1547"/>
        <v>-0.37613130619973101</v>
      </c>
      <c r="W1473" s="14">
        <f t="shared" ca="1" si="1542"/>
        <v>0.23390892558444795</v>
      </c>
      <c r="X1473" s="10">
        <f t="shared" ref="X1473:Y1473" ca="1" si="1606">+X1472</f>
        <v>0</v>
      </c>
      <c r="Y1473" s="10">
        <f t="shared" ca="1" si="1606"/>
        <v>0</v>
      </c>
      <c r="Z1473">
        <f t="shared" ca="1" si="1549"/>
        <v>1</v>
      </c>
      <c r="AA1473">
        <f t="shared" ca="1" si="1550"/>
        <v>0</v>
      </c>
      <c r="AB1473" s="19">
        <f t="shared" ca="1" si="1551"/>
        <v>0.23390892558444795</v>
      </c>
      <c r="AC1473" s="19">
        <f t="shared" ca="1" si="1552"/>
        <v>0</v>
      </c>
    </row>
    <row r="1474" spans="3:29" x14ac:dyDescent="0.25">
      <c r="C1474" s="4">
        <v>1467</v>
      </c>
      <c r="D1474" s="28">
        <v>44095</v>
      </c>
      <c r="E1474" s="30">
        <v>11.497</v>
      </c>
      <c r="F1474" s="30">
        <v>35.211147931005179</v>
      </c>
      <c r="G1474" s="30">
        <v>4.0615175460956747</v>
      </c>
      <c r="H1474" s="30">
        <v>48.21989973659614</v>
      </c>
      <c r="I1474" s="8">
        <v>0</v>
      </c>
      <c r="J1474" s="31">
        <v>0</v>
      </c>
      <c r="K1474" s="31">
        <v>0</v>
      </c>
      <c r="L1474" s="31">
        <v>0</v>
      </c>
      <c r="M1474" s="31">
        <v>0</v>
      </c>
      <c r="N1474" s="31">
        <v>0</v>
      </c>
      <c r="O1474" s="31">
        <v>0</v>
      </c>
      <c r="P1474" s="31">
        <v>0</v>
      </c>
      <c r="Q1474" s="31">
        <v>1</v>
      </c>
      <c r="R1474" s="31">
        <v>0</v>
      </c>
      <c r="S1474" s="31">
        <v>0</v>
      </c>
      <c r="T1474" s="21" cm="1">
        <f t="array" aca="1" ref="T1474" ca="1">+fair_value_gap(OFFSET(S1473,0,0,-1*$I$5,-1*$Z$1),OFFSET(E1473,0,0,-1*$I$5,1),F1474:S1474,0)</f>
        <v>11.619229177861873</v>
      </c>
      <c r="U1474" s="7" cm="1">
        <f t="array" aca="1" ref="U1474" ca="1">z_score_diff(OFFSET(T1474,0,0,$I$5*-1,1),OFFSET(E1474,0,0,$I$5*-1,1))</f>
        <v>-0.21526526608362817</v>
      </c>
      <c r="V1474" s="7">
        <f t="shared" ca="1" si="1547"/>
        <v>-0.37595156280507885</v>
      </c>
      <c r="W1474" s="14">
        <f t="shared" ca="1" si="1542"/>
        <v>0.24698510273280416</v>
      </c>
      <c r="X1474" s="10">
        <f t="shared" ref="X1474:Y1474" ca="1" si="1607">+X1473</f>
        <v>0</v>
      </c>
      <c r="Y1474" s="10">
        <f t="shared" ca="1" si="1607"/>
        <v>0</v>
      </c>
      <c r="Z1474">
        <f t="shared" ca="1" si="1549"/>
        <v>1</v>
      </c>
      <c r="AA1474">
        <f t="shared" ca="1" si="1550"/>
        <v>0</v>
      </c>
      <c r="AB1474" s="19">
        <f t="shared" ca="1" si="1551"/>
        <v>0.24698510273280416</v>
      </c>
      <c r="AC1474" s="19">
        <f t="shared" ca="1" si="1552"/>
        <v>0</v>
      </c>
    </row>
    <row r="1475" spans="3:29" x14ac:dyDescent="0.25">
      <c r="C1475" s="4">
        <v>1468</v>
      </c>
      <c r="D1475" s="28">
        <v>44096</v>
      </c>
      <c r="E1475" s="30">
        <v>11.704000000000001</v>
      </c>
      <c r="F1475" s="30">
        <v>35.639842815650091</v>
      </c>
      <c r="G1475" s="30">
        <v>4.1303604988894582</v>
      </c>
      <c r="H1475" s="30">
        <v>48.607551682897657</v>
      </c>
      <c r="I1475" s="8">
        <v>0</v>
      </c>
      <c r="J1475" s="31">
        <v>0</v>
      </c>
      <c r="K1475" s="31">
        <v>0</v>
      </c>
      <c r="L1475" s="31">
        <v>0</v>
      </c>
      <c r="M1475" s="31">
        <v>0</v>
      </c>
      <c r="N1475" s="31">
        <v>0</v>
      </c>
      <c r="O1475" s="31">
        <v>0</v>
      </c>
      <c r="P1475" s="31">
        <v>0</v>
      </c>
      <c r="Q1475" s="31">
        <v>1</v>
      </c>
      <c r="R1475" s="31">
        <v>0</v>
      </c>
      <c r="S1475" s="31">
        <v>0</v>
      </c>
      <c r="T1475" s="21" cm="1">
        <f t="array" aca="1" ref="T1475" ca="1">+fair_value_gap(OFFSET(S1474,0,0,-1*$I$5,-1*$Z$1),OFFSET(E1474,0,0,-1*$I$5,1),F1475:S1475,0)</f>
        <v>11.641201052200163</v>
      </c>
      <c r="U1475" s="7" cm="1">
        <f t="array" aca="1" ref="U1475" ca="1">z_score_diff(OFFSET(T1475,0,0,$I$5*-1,1),OFFSET(E1475,0,0,$I$5*-1,1))</f>
        <v>-0.26591322914481436</v>
      </c>
      <c r="V1475" s="7">
        <f t="shared" ca="1" si="1547"/>
        <v>-0.37273648764781614</v>
      </c>
      <c r="W1475" s="14">
        <f t="shared" ca="1" si="1542"/>
        <v>0.24109492244742231</v>
      </c>
      <c r="X1475" s="10">
        <f t="shared" ref="X1475:Y1475" ca="1" si="1608">+X1474</f>
        <v>0</v>
      </c>
      <c r="Y1475" s="10">
        <f t="shared" ca="1" si="1608"/>
        <v>0</v>
      </c>
      <c r="Z1475">
        <f t="shared" ca="1" si="1549"/>
        <v>1</v>
      </c>
      <c r="AA1475">
        <f t="shared" ca="1" si="1550"/>
        <v>0</v>
      </c>
      <c r="AB1475" s="19">
        <f t="shared" ca="1" si="1551"/>
        <v>0.24109492244742231</v>
      </c>
      <c r="AC1475" s="19">
        <f t="shared" ca="1" si="1552"/>
        <v>0</v>
      </c>
    </row>
    <row r="1476" spans="3:29" x14ac:dyDescent="0.25">
      <c r="C1476" s="4">
        <v>1469</v>
      </c>
      <c r="D1476" s="28">
        <v>44097</v>
      </c>
      <c r="E1476" s="30">
        <v>12.019</v>
      </c>
      <c r="F1476" s="30">
        <v>35.826400205849566</v>
      </c>
      <c r="G1476" s="30">
        <v>4.2456471395488471</v>
      </c>
      <c r="H1476" s="30">
        <v>49.017926065700316</v>
      </c>
      <c r="I1476" s="8">
        <v>0</v>
      </c>
      <c r="J1476" s="31">
        <v>0</v>
      </c>
      <c r="K1476" s="31">
        <v>0</v>
      </c>
      <c r="L1476" s="31">
        <v>0</v>
      </c>
      <c r="M1476" s="31">
        <v>0</v>
      </c>
      <c r="N1476" s="31">
        <v>0</v>
      </c>
      <c r="O1476" s="31">
        <v>0</v>
      </c>
      <c r="P1476" s="31">
        <v>0</v>
      </c>
      <c r="Q1476" s="31">
        <v>1</v>
      </c>
      <c r="R1476" s="31">
        <v>0</v>
      </c>
      <c r="S1476" s="31">
        <v>0</v>
      </c>
      <c r="T1476" s="21" cm="1">
        <f t="array" aca="1" ref="T1476" ca="1">+fair_value_gap(OFFSET(S1475,0,0,-1*$I$5,-1*$Z$1),OFFSET(E1475,0,0,-1*$I$5,1),F1476:S1476,0)</f>
        <v>11.835903263092248</v>
      </c>
      <c r="U1476" s="7" cm="1">
        <f t="array" aca="1" ref="U1476" ca="1">z_score_diff(OFFSET(T1476,0,0,$I$5*-1,1),OFFSET(E1476,0,0,$I$5*-1,1))</f>
        <v>-0.30308544990174463</v>
      </c>
      <c r="V1476" s="7">
        <f t="shared" ca="1" si="1547"/>
        <v>-0.3689722209108115</v>
      </c>
      <c r="W1476" s="14">
        <f t="shared" ca="1" si="1542"/>
        <v>0.21265526066056201</v>
      </c>
      <c r="X1476" s="10">
        <f t="shared" ref="X1476:Y1476" ca="1" si="1609">+X1475</f>
        <v>0</v>
      </c>
      <c r="Y1476" s="10">
        <f t="shared" ca="1" si="1609"/>
        <v>0</v>
      </c>
      <c r="Z1476">
        <f t="shared" ca="1" si="1549"/>
        <v>1</v>
      </c>
      <c r="AA1476">
        <f t="shared" ca="1" si="1550"/>
        <v>0</v>
      </c>
      <c r="AB1476" s="19">
        <f t="shared" ca="1" si="1551"/>
        <v>0.21265526066056201</v>
      </c>
      <c r="AC1476" s="19">
        <f t="shared" ca="1" si="1552"/>
        <v>0</v>
      </c>
    </row>
    <row r="1477" spans="3:29" x14ac:dyDescent="0.25">
      <c r="C1477" s="4">
        <v>1470</v>
      </c>
      <c r="D1477" s="28">
        <v>44098</v>
      </c>
      <c r="E1477" s="30">
        <v>11.634</v>
      </c>
      <c r="F1477" s="30">
        <v>35.932145305003424</v>
      </c>
      <c r="G1477" s="30">
        <v>4.2409184372858126</v>
      </c>
      <c r="H1477" s="30">
        <v>49.006168608636052</v>
      </c>
      <c r="I1477" s="8">
        <v>0</v>
      </c>
      <c r="J1477" s="31">
        <v>0</v>
      </c>
      <c r="K1477" s="31">
        <v>0</v>
      </c>
      <c r="L1477" s="31">
        <v>0</v>
      </c>
      <c r="M1477" s="31">
        <v>0</v>
      </c>
      <c r="N1477" s="31">
        <v>0</v>
      </c>
      <c r="O1477" s="31">
        <v>0</v>
      </c>
      <c r="P1477" s="31">
        <v>0</v>
      </c>
      <c r="Q1477" s="31">
        <v>1</v>
      </c>
      <c r="R1477" s="31">
        <v>0</v>
      </c>
      <c r="S1477" s="31">
        <v>0</v>
      </c>
      <c r="T1477" s="21" cm="1">
        <f t="array" aca="1" ref="T1477" ca="1">+fair_value_gap(OFFSET(S1476,0,0,-1*$I$5,-1*$Z$1),OFFSET(E1476,0,0,-1*$I$5,1),F1477:S1477,0)</f>
        <v>11.850856264478766</v>
      </c>
      <c r="U1477" s="7" cm="1">
        <f t="array" aca="1" ref="U1477" ca="1">z_score_diff(OFFSET(T1477,0,0,$I$5*-1,1),OFFSET(E1477,0,0,$I$5*-1,1))</f>
        <v>-0.20225291109450233</v>
      </c>
      <c r="V1477" s="7">
        <f t="shared" ca="1" si="1547"/>
        <v>-0.36308265217312902</v>
      </c>
      <c r="W1477" s="14">
        <f t="shared" ca="1" si="1542"/>
        <v>0.27110656864249527</v>
      </c>
      <c r="X1477" s="10">
        <f t="shared" ref="X1477:Y1477" ca="1" si="1610">+X1476</f>
        <v>0</v>
      </c>
      <c r="Y1477" s="10">
        <f t="shared" ca="1" si="1610"/>
        <v>0</v>
      </c>
      <c r="Z1477">
        <f t="shared" ca="1" si="1549"/>
        <v>1</v>
      </c>
      <c r="AA1477">
        <f t="shared" ca="1" si="1550"/>
        <v>0</v>
      </c>
      <c r="AB1477" s="19">
        <f t="shared" ca="1" si="1551"/>
        <v>0.27110656864249527</v>
      </c>
      <c r="AC1477" s="19">
        <f t="shared" ca="1" si="1552"/>
        <v>0</v>
      </c>
    </row>
    <row r="1478" spans="3:29" x14ac:dyDescent="0.25">
      <c r="C1478" s="4">
        <v>1471</v>
      </c>
      <c r="D1478" s="28">
        <v>44099</v>
      </c>
      <c r="E1478" s="30">
        <v>11.666</v>
      </c>
      <c r="F1478" s="30">
        <v>36.044711951848669</v>
      </c>
      <c r="G1478" s="30">
        <v>4.2777300085984518</v>
      </c>
      <c r="H1478" s="30">
        <v>49.14015477214101</v>
      </c>
      <c r="I1478" s="8">
        <v>0</v>
      </c>
      <c r="J1478" s="31">
        <v>0</v>
      </c>
      <c r="K1478" s="31">
        <v>0</v>
      </c>
      <c r="L1478" s="31">
        <v>0</v>
      </c>
      <c r="M1478" s="31">
        <v>0</v>
      </c>
      <c r="N1478" s="31">
        <v>0</v>
      </c>
      <c r="O1478" s="31">
        <v>0</v>
      </c>
      <c r="P1478" s="31">
        <v>0</v>
      </c>
      <c r="Q1478" s="31">
        <v>1</v>
      </c>
      <c r="R1478" s="31">
        <v>0</v>
      </c>
      <c r="S1478" s="31">
        <v>0</v>
      </c>
      <c r="T1478" s="21" cm="1">
        <f t="array" aca="1" ref="T1478" ca="1">+fair_value_gap(OFFSET(S1477,0,0,-1*$I$5,-1*$Z$1),OFFSET(E1477,0,0,-1*$I$5,1),F1478:S1478,0)</f>
        <v>11.904181076111783</v>
      </c>
      <c r="U1478" s="7" cm="1">
        <f t="array" aca="1" ref="U1478" ca="1">z_score_diff(OFFSET(T1478,0,0,$I$5*-1,1),OFFSET(E1478,0,0,$I$5*-1,1))</f>
        <v>-0.1988822150733548</v>
      </c>
      <c r="V1478" s="7">
        <f t="shared" ca="1" si="1547"/>
        <v>-0.33021600750369279</v>
      </c>
      <c r="W1478" s="14">
        <f t="shared" ca="1" si="1542"/>
        <v>0.27833802100057847</v>
      </c>
      <c r="X1478" s="10">
        <f t="shared" ref="X1478:Y1478" ca="1" si="1611">+X1477</f>
        <v>0</v>
      </c>
      <c r="Y1478" s="10">
        <f t="shared" ca="1" si="1611"/>
        <v>0</v>
      </c>
      <c r="Z1478">
        <f t="shared" ca="1" si="1549"/>
        <v>1</v>
      </c>
      <c r="AA1478">
        <f t="shared" ca="1" si="1550"/>
        <v>0</v>
      </c>
      <c r="AB1478" s="19">
        <f t="shared" ca="1" si="1551"/>
        <v>0.27833802100057847</v>
      </c>
      <c r="AC1478" s="19">
        <f t="shared" ca="1" si="1552"/>
        <v>0</v>
      </c>
    </row>
    <row r="1479" spans="3:29" x14ac:dyDescent="0.25">
      <c r="C1479" s="4">
        <v>1472</v>
      </c>
      <c r="D1479" s="28">
        <v>44102</v>
      </c>
      <c r="E1479" s="30">
        <v>12.352</v>
      </c>
      <c r="F1479" s="30">
        <v>36.376886145404661</v>
      </c>
      <c r="G1479" s="30">
        <v>4.3509945130315497</v>
      </c>
      <c r="H1479" s="30">
        <v>54.140946502057609</v>
      </c>
      <c r="I1479" s="8">
        <v>0</v>
      </c>
      <c r="J1479" s="31">
        <v>0</v>
      </c>
      <c r="K1479" s="31">
        <v>0</v>
      </c>
      <c r="L1479" s="31">
        <v>0</v>
      </c>
      <c r="M1479" s="31">
        <v>0</v>
      </c>
      <c r="N1479" s="31">
        <v>0</v>
      </c>
      <c r="O1479" s="31">
        <v>0</v>
      </c>
      <c r="P1479" s="31">
        <v>0</v>
      </c>
      <c r="Q1479" s="31">
        <v>1</v>
      </c>
      <c r="R1479" s="31">
        <v>0</v>
      </c>
      <c r="S1479" s="31">
        <v>0</v>
      </c>
      <c r="T1479" s="21" cm="1">
        <f t="array" aca="1" ref="T1479" ca="1">+fair_value_gap(OFFSET(S1478,0,0,-1*$I$5,-1*$Z$1),OFFSET(E1478,0,0,-1*$I$5,1),F1479:S1479,0)</f>
        <v>12.350197517547825</v>
      </c>
      <c r="U1479" s="7" cm="1">
        <f t="array" aca="1" ref="U1479" ca="1">z_score_diff(OFFSET(T1479,0,0,$I$5*-1,1),OFFSET(E1479,0,0,$I$5*-1,1))</f>
        <v>-0.27207984667917223</v>
      </c>
      <c r="V1479" s="7">
        <f t="shared" ca="1" si="1547"/>
        <v>-0.30569486084649111</v>
      </c>
      <c r="W1479" s="14">
        <f t="shared" ref="W1479:W1542" ca="1" si="1612">+LN(OFFSET(E1479,$W$3,0,1,1)/E1479)</f>
        <v>0.18525873302068135</v>
      </c>
      <c r="X1479" s="10">
        <f t="shared" ref="X1479:Y1479" ca="1" si="1613">+X1478</f>
        <v>0</v>
      </c>
      <c r="Y1479" s="10">
        <f t="shared" ca="1" si="1613"/>
        <v>0</v>
      </c>
      <c r="Z1479">
        <f t="shared" ca="1" si="1549"/>
        <v>1</v>
      </c>
      <c r="AA1479">
        <f t="shared" ca="1" si="1550"/>
        <v>0</v>
      </c>
      <c r="AB1479" s="19">
        <f t="shared" ca="1" si="1551"/>
        <v>0.18525873302068135</v>
      </c>
      <c r="AC1479" s="19">
        <f t="shared" ca="1" si="1552"/>
        <v>0</v>
      </c>
    </row>
    <row r="1480" spans="3:29" x14ac:dyDescent="0.25">
      <c r="C1480" s="4">
        <v>1473</v>
      </c>
      <c r="D1480" s="28">
        <v>44103</v>
      </c>
      <c r="E1480" s="30">
        <v>12.28</v>
      </c>
      <c r="F1480" s="30">
        <v>34.942939873956739</v>
      </c>
      <c r="G1480" s="30">
        <v>4.3433827286663265</v>
      </c>
      <c r="H1480" s="30">
        <v>53.653551354113446</v>
      </c>
      <c r="I1480" s="8">
        <v>0</v>
      </c>
      <c r="J1480" s="31">
        <v>0</v>
      </c>
      <c r="K1480" s="31">
        <v>0</v>
      </c>
      <c r="L1480" s="31">
        <v>0</v>
      </c>
      <c r="M1480" s="31">
        <v>0</v>
      </c>
      <c r="N1480" s="31">
        <v>0</v>
      </c>
      <c r="O1480" s="31">
        <v>0</v>
      </c>
      <c r="P1480" s="31">
        <v>0</v>
      </c>
      <c r="Q1480" s="31">
        <v>1</v>
      </c>
      <c r="R1480" s="31">
        <v>0</v>
      </c>
      <c r="S1480" s="31">
        <v>0</v>
      </c>
      <c r="T1480" s="21" cm="1">
        <f t="array" aca="1" ref="T1480" ca="1">+fair_value_gap(OFFSET(S1479,0,0,-1*$I$5,-1*$Z$1),OFFSET(E1479,0,0,-1*$I$5,1),F1480:S1480,0)</f>
        <v>12.244340179132752</v>
      </c>
      <c r="U1480" s="7" cm="1">
        <f t="array" aca="1" ref="U1480" ca="1">z_score_diff(OFFSET(T1480,0,0,$I$5*-1,1),OFFSET(E1480,0,0,$I$5*-1,1))</f>
        <v>-0.27825135996284905</v>
      </c>
      <c r="V1480" s="7">
        <f t="shared" ca="1" si="1547"/>
        <v>-0.30039663185097987</v>
      </c>
      <c r="W1480" s="14">
        <f t="shared" ca="1" si="1612"/>
        <v>0.18279647114868633</v>
      </c>
      <c r="X1480" s="10">
        <f t="shared" ref="X1480:Y1480" ca="1" si="1614">+X1479</f>
        <v>0</v>
      </c>
      <c r="Y1480" s="10">
        <f t="shared" ca="1" si="1614"/>
        <v>0</v>
      </c>
      <c r="Z1480">
        <f t="shared" ca="1" si="1549"/>
        <v>1</v>
      </c>
      <c r="AA1480">
        <f t="shared" ca="1" si="1550"/>
        <v>0</v>
      </c>
      <c r="AB1480" s="19">
        <f t="shared" ca="1" si="1551"/>
        <v>0.18279647114868633</v>
      </c>
      <c r="AC1480" s="19">
        <f t="shared" ca="1" si="1552"/>
        <v>0</v>
      </c>
    </row>
    <row r="1481" spans="3:29" x14ac:dyDescent="0.25">
      <c r="C1481" s="4">
        <v>1474</v>
      </c>
      <c r="D1481" s="28">
        <v>44104</v>
      </c>
      <c r="E1481" s="30">
        <v>13.286</v>
      </c>
      <c r="F1481" s="30">
        <v>34.946236559139791</v>
      </c>
      <c r="G1481" s="30">
        <v>4.3096091483188257</v>
      </c>
      <c r="H1481" s="30">
        <v>53.123399897593451</v>
      </c>
      <c r="I1481" s="8">
        <v>0</v>
      </c>
      <c r="J1481" s="31">
        <v>0</v>
      </c>
      <c r="K1481" s="31">
        <v>0</v>
      </c>
      <c r="L1481" s="31">
        <v>0</v>
      </c>
      <c r="M1481" s="31">
        <v>0</v>
      </c>
      <c r="N1481" s="31">
        <v>0</v>
      </c>
      <c r="O1481" s="31">
        <v>0</v>
      </c>
      <c r="P1481" s="31">
        <v>0</v>
      </c>
      <c r="Q1481" s="31">
        <v>1</v>
      </c>
      <c r="R1481" s="31">
        <v>0</v>
      </c>
      <c r="S1481" s="31">
        <v>0</v>
      </c>
      <c r="T1481" s="21" cm="1">
        <f t="array" aca="1" ref="T1481" ca="1">+fair_value_gap(OFFSET(S1480,0,0,-1*$I$5,-1*$Z$1),OFFSET(E1480,0,0,-1*$I$5,1),F1481:S1481,0)</f>
        <v>12.166769892629375</v>
      </c>
      <c r="U1481" s="7" cm="1">
        <f t="array" aca="1" ref="U1481" ca="1">z_score_diff(OFFSET(T1481,0,0,$I$5*-1,1),OFFSET(E1481,0,0,$I$5*-1,1))</f>
        <v>-0.55987265318512258</v>
      </c>
      <c r="V1481" s="7">
        <f t="shared" ca="1" si="1547"/>
        <v>-0.30909074395921959</v>
      </c>
      <c r="W1481" s="14">
        <f t="shared" ca="1" si="1612"/>
        <v>8.6540846316465067E-2</v>
      </c>
      <c r="X1481" s="10">
        <f t="shared" ref="X1481:Y1481" ca="1" si="1615">+X1480</f>
        <v>0</v>
      </c>
      <c r="Y1481" s="10">
        <f t="shared" ca="1" si="1615"/>
        <v>0</v>
      </c>
      <c r="Z1481">
        <f t="shared" ca="1" si="1549"/>
        <v>1</v>
      </c>
      <c r="AA1481">
        <f t="shared" ca="1" si="1550"/>
        <v>0</v>
      </c>
      <c r="AB1481" s="19">
        <f t="shared" ca="1" si="1551"/>
        <v>8.6540846316465067E-2</v>
      </c>
      <c r="AC1481" s="19">
        <f t="shared" ca="1" si="1552"/>
        <v>0</v>
      </c>
    </row>
    <row r="1482" spans="3:29" x14ac:dyDescent="0.25">
      <c r="C1482" s="4">
        <v>1475</v>
      </c>
      <c r="D1482" s="28">
        <v>44105</v>
      </c>
      <c r="E1482" s="30">
        <v>13.180999999999999</v>
      </c>
      <c r="F1482" s="30">
        <v>34.842938622627052</v>
      </c>
      <c r="G1482" s="30">
        <v>4.286200732101813</v>
      </c>
      <c r="H1482" s="30">
        <v>52.694304928918015</v>
      </c>
      <c r="I1482" s="8">
        <v>0</v>
      </c>
      <c r="J1482" s="31">
        <v>0</v>
      </c>
      <c r="K1482" s="31">
        <v>0</v>
      </c>
      <c r="L1482" s="31">
        <v>0</v>
      </c>
      <c r="M1482" s="31">
        <v>0</v>
      </c>
      <c r="N1482" s="31">
        <v>0</v>
      </c>
      <c r="O1482" s="31">
        <v>0</v>
      </c>
      <c r="P1482" s="31">
        <v>0</v>
      </c>
      <c r="Q1482" s="31">
        <v>0</v>
      </c>
      <c r="R1482" s="31">
        <v>1</v>
      </c>
      <c r="S1482" s="31">
        <v>0</v>
      </c>
      <c r="T1482" s="21" cm="1">
        <f t="array" aca="1" ref="T1482" ca="1">+fair_value_gap(OFFSET(S1481,0,0,-1*$I$5,-1*$Z$1),OFFSET(E1481,0,0,-1*$I$5,1),F1482:S1482,0)</f>
        <v>12.116777170311064</v>
      </c>
      <c r="U1482" s="7" cm="1">
        <f t="array" aca="1" ref="U1482" ca="1">z_score_diff(OFFSET(T1482,0,0,$I$5*-1,1),OFFSET(E1482,0,0,$I$5*-1,1))</f>
        <v>-0.54479430969636355</v>
      </c>
      <c r="V1482" s="7">
        <f t="shared" ca="1" si="1547"/>
        <v>-0.30913959737059116</v>
      </c>
      <c r="W1482" s="14">
        <f t="shared" ca="1" si="1612"/>
        <v>7.5591692122021534E-2</v>
      </c>
      <c r="X1482" s="10">
        <f t="shared" ref="X1482:Y1482" ca="1" si="1616">+X1481</f>
        <v>0</v>
      </c>
      <c r="Y1482" s="10">
        <f t="shared" ca="1" si="1616"/>
        <v>0</v>
      </c>
      <c r="Z1482">
        <f t="shared" ca="1" si="1549"/>
        <v>1</v>
      </c>
      <c r="AA1482">
        <f t="shared" ca="1" si="1550"/>
        <v>0</v>
      </c>
      <c r="AB1482" s="19">
        <f t="shared" ca="1" si="1551"/>
        <v>7.5591692122021534E-2</v>
      </c>
      <c r="AC1482" s="19">
        <f t="shared" ca="1" si="1552"/>
        <v>0</v>
      </c>
    </row>
    <row r="1483" spans="3:29" x14ac:dyDescent="0.25">
      <c r="C1483" s="4">
        <v>1476</v>
      </c>
      <c r="D1483" s="28">
        <v>44106</v>
      </c>
      <c r="E1483" s="30">
        <v>13.026</v>
      </c>
      <c r="F1483" s="30">
        <v>33.526850507982587</v>
      </c>
      <c r="G1483" s="30">
        <v>4.2901050115256556</v>
      </c>
      <c r="H1483" s="30">
        <v>52.420387603517455</v>
      </c>
      <c r="I1483" s="8">
        <v>0</v>
      </c>
      <c r="J1483" s="31">
        <v>0</v>
      </c>
      <c r="K1483" s="31">
        <v>0</v>
      </c>
      <c r="L1483" s="31">
        <v>0</v>
      </c>
      <c r="M1483" s="31">
        <v>0</v>
      </c>
      <c r="N1483" s="31">
        <v>0</v>
      </c>
      <c r="O1483" s="31">
        <v>0</v>
      </c>
      <c r="P1483" s="31">
        <v>0</v>
      </c>
      <c r="Q1483" s="31">
        <v>0</v>
      </c>
      <c r="R1483" s="31">
        <v>1</v>
      </c>
      <c r="S1483" s="31">
        <v>0</v>
      </c>
      <c r="T1483" s="21" cm="1">
        <f t="array" aca="1" ref="T1483" ca="1">+fair_value_gap(OFFSET(S1482,0,0,-1*$I$5,-1*$Z$1),OFFSET(E1482,0,0,-1*$I$5,1),F1483:S1483,0)</f>
        <v>12.120694459430659</v>
      </c>
      <c r="U1483" s="7" cm="1">
        <f t="array" aca="1" ref="U1483" ca="1">z_score_diff(OFFSET(T1483,0,0,$I$5*-1,1),OFFSET(E1483,0,0,$I$5*-1,1))</f>
        <v>-0.50476750548430194</v>
      </c>
      <c r="V1483" s="7">
        <f t="shared" ref="V1483:V1546" ca="1" si="1617">+IF(ISERROR(AVERAGE(OFFSET(U1483,0,0,$V$5*-1,1))),"",AVERAGE(OFFSET(U1483,0,0,$V$5*-1,1)))</f>
        <v>-0.30544695837231661</v>
      </c>
      <c r="W1483" s="14">
        <f t="shared" ca="1" si="1612"/>
        <v>7.6457647484468941E-2</v>
      </c>
      <c r="X1483" s="10">
        <f t="shared" ref="X1483:Y1483" ca="1" si="1618">+X1482</f>
        <v>0</v>
      </c>
      <c r="Y1483" s="10">
        <f t="shared" ca="1" si="1618"/>
        <v>0</v>
      </c>
      <c r="Z1483">
        <f t="shared" ref="Z1483:Z1546" ca="1" si="1619">+IF(V1483="","",IF(V1483&lt;X1483,1,0))</f>
        <v>1</v>
      </c>
      <c r="AA1483">
        <f t="shared" ref="AA1483:AA1546" ca="1" si="1620">+IF(V1483="","",IF(V1483&gt;Y1483,1,0))</f>
        <v>0</v>
      </c>
      <c r="AB1483" s="19">
        <f t="shared" ref="AB1483:AB1546" ca="1" si="1621">+IF(ISERROR(Z1483*W1483),"",Z1483*W1483)</f>
        <v>7.6457647484468941E-2</v>
      </c>
      <c r="AC1483" s="19">
        <f t="shared" ref="AC1483:AC1546" ca="1" si="1622">+IF(ISERROR(AA1483*W1483),"",AA1483*W1483)</f>
        <v>0</v>
      </c>
    </row>
    <row r="1484" spans="3:29" x14ac:dyDescent="0.25">
      <c r="C1484" s="4">
        <v>1477</v>
      </c>
      <c r="D1484" s="28">
        <v>44109</v>
      </c>
      <c r="E1484" s="30">
        <v>13.419</v>
      </c>
      <c r="F1484" s="30">
        <v>35.047958577370345</v>
      </c>
      <c r="G1484" s="30">
        <v>4.2865631100925219</v>
      </c>
      <c r="H1484" s="30">
        <v>52.117816823699179</v>
      </c>
      <c r="I1484" s="8">
        <v>0</v>
      </c>
      <c r="J1484" s="31">
        <v>0</v>
      </c>
      <c r="K1484" s="31">
        <v>0</v>
      </c>
      <c r="L1484" s="31">
        <v>0</v>
      </c>
      <c r="M1484" s="31">
        <v>0</v>
      </c>
      <c r="N1484" s="31">
        <v>0</v>
      </c>
      <c r="O1484" s="31">
        <v>0</v>
      </c>
      <c r="P1484" s="31">
        <v>0</v>
      </c>
      <c r="Q1484" s="31">
        <v>0</v>
      </c>
      <c r="R1484" s="31">
        <v>1</v>
      </c>
      <c r="S1484" s="31">
        <v>0</v>
      </c>
      <c r="T1484" s="21" cm="1">
        <f t="array" aca="1" ref="T1484" ca="1">+fair_value_gap(OFFSET(S1483,0,0,-1*$I$5,-1*$Z$1),OFFSET(E1483,0,0,-1*$I$5,1),F1484:S1484,0)</f>
        <v>12.178587755843779</v>
      </c>
      <c r="U1484" s="7" cm="1">
        <f t="array" aca="1" ref="U1484" ca="1">z_score_diff(OFFSET(T1484,0,0,$I$5*-1,1),OFFSET(E1484,0,0,$I$5*-1,1))</f>
        <v>-0.59621636121561661</v>
      </c>
      <c r="V1484" s="7">
        <f t="shared" ca="1" si="1617"/>
        <v>-0.31078966302719058</v>
      </c>
      <c r="W1484" s="14">
        <f t="shared" ca="1" si="1612"/>
        <v>1.7507372373318647E-2</v>
      </c>
      <c r="X1484" s="10">
        <f t="shared" ref="X1484:Y1484" ca="1" si="1623">+X1483</f>
        <v>0</v>
      </c>
      <c r="Y1484" s="10">
        <f t="shared" ca="1" si="1623"/>
        <v>0</v>
      </c>
      <c r="Z1484">
        <f t="shared" ca="1" si="1619"/>
        <v>1</v>
      </c>
      <c r="AA1484">
        <f t="shared" ca="1" si="1620"/>
        <v>0</v>
      </c>
      <c r="AB1484" s="19">
        <f t="shared" ca="1" si="1621"/>
        <v>1.7507372373318647E-2</v>
      </c>
      <c r="AC1484" s="19">
        <f t="shared" ca="1" si="1622"/>
        <v>0</v>
      </c>
    </row>
    <row r="1485" spans="3:29" x14ac:dyDescent="0.25">
      <c r="C1485" s="4">
        <v>1478</v>
      </c>
      <c r="D1485" s="28">
        <v>44110</v>
      </c>
      <c r="E1485" s="30">
        <v>13.307</v>
      </c>
      <c r="F1485" s="30">
        <v>36.347366626896196</v>
      </c>
      <c r="G1485" s="30">
        <v>4.3037327424578145</v>
      </c>
      <c r="H1485" s="30">
        <v>51.815237770581213</v>
      </c>
      <c r="I1485" s="8">
        <v>0</v>
      </c>
      <c r="J1485" s="31">
        <v>0</v>
      </c>
      <c r="K1485" s="31">
        <v>0</v>
      </c>
      <c r="L1485" s="31">
        <v>0</v>
      </c>
      <c r="M1485" s="31">
        <v>0</v>
      </c>
      <c r="N1485" s="31">
        <v>0</v>
      </c>
      <c r="O1485" s="31">
        <v>0</v>
      </c>
      <c r="P1485" s="31">
        <v>0</v>
      </c>
      <c r="Q1485" s="31">
        <v>0</v>
      </c>
      <c r="R1485" s="31">
        <v>1</v>
      </c>
      <c r="S1485" s="31">
        <v>0</v>
      </c>
      <c r="T1485" s="21" cm="1">
        <f t="array" aca="1" ref="T1485" ca="1">+fair_value_gap(OFFSET(S1484,0,0,-1*$I$5,-1*$Z$1),OFFSET(E1484,0,0,-1*$I$5,1),F1485:S1485,0)</f>
        <v>12.265752386301404</v>
      </c>
      <c r="U1485" s="7" cm="1">
        <f t="array" aca="1" ref="U1485" ca="1">z_score_diff(OFFSET(T1485,0,0,$I$5*-1,1),OFFSET(E1485,0,0,$I$5*-1,1))</f>
        <v>-0.54675982286783675</v>
      </c>
      <c r="V1485" s="7">
        <f t="shared" ca="1" si="1617"/>
        <v>-0.32124598548829347</v>
      </c>
      <c r="W1485" s="14">
        <f t="shared" ca="1" si="1612"/>
        <v>2.6547606818425818E-2</v>
      </c>
      <c r="X1485" s="10">
        <f t="shared" ref="X1485:Y1485" ca="1" si="1624">+X1484</f>
        <v>0</v>
      </c>
      <c r="Y1485" s="10">
        <f t="shared" ca="1" si="1624"/>
        <v>0</v>
      </c>
      <c r="Z1485">
        <f t="shared" ca="1" si="1619"/>
        <v>1</v>
      </c>
      <c r="AA1485">
        <f t="shared" ca="1" si="1620"/>
        <v>0</v>
      </c>
      <c r="AB1485" s="19">
        <f t="shared" ca="1" si="1621"/>
        <v>2.6547606818425818E-2</v>
      </c>
      <c r="AC1485" s="19">
        <f t="shared" ca="1" si="1622"/>
        <v>0</v>
      </c>
    </row>
    <row r="1486" spans="3:29" x14ac:dyDescent="0.25">
      <c r="C1486" s="4">
        <v>1479</v>
      </c>
      <c r="D1486" s="28">
        <v>44111</v>
      </c>
      <c r="E1486" s="30">
        <v>13.709</v>
      </c>
      <c r="F1486" s="30">
        <v>35.705782312925173</v>
      </c>
      <c r="G1486" s="30">
        <v>4.3239795918367347</v>
      </c>
      <c r="H1486" s="30">
        <v>51.573129251700685</v>
      </c>
      <c r="I1486" s="8">
        <v>0</v>
      </c>
      <c r="J1486" s="31">
        <v>0</v>
      </c>
      <c r="K1486" s="31">
        <v>0</v>
      </c>
      <c r="L1486" s="31">
        <v>0</v>
      </c>
      <c r="M1486" s="31">
        <v>0</v>
      </c>
      <c r="N1486" s="31">
        <v>0</v>
      </c>
      <c r="O1486" s="31">
        <v>0</v>
      </c>
      <c r="P1486" s="31">
        <v>0</v>
      </c>
      <c r="Q1486" s="31">
        <v>0</v>
      </c>
      <c r="R1486" s="31">
        <v>1</v>
      </c>
      <c r="S1486" s="31">
        <v>0</v>
      </c>
      <c r="T1486" s="21" cm="1">
        <f t="array" aca="1" ref="T1486" ca="1">+fair_value_gap(OFFSET(S1485,0,0,-1*$I$5,-1*$Z$1),OFFSET(E1485,0,0,-1*$I$5,1),F1486:S1486,0)</f>
        <v>12.268750954780824</v>
      </c>
      <c r="U1486" s="7" cm="1">
        <f t="array" aca="1" ref="U1486" ca="1">z_score_diff(OFFSET(T1486,0,0,$I$5*-1,1),OFFSET(E1486,0,0,$I$5*-1,1))</f>
        <v>-0.65368275028144973</v>
      </c>
      <c r="V1486" s="7">
        <f t="shared" ca="1" si="1617"/>
        <v>-0.33799926176963879</v>
      </c>
      <c r="W1486" s="14">
        <f t="shared" ca="1" si="1612"/>
        <v>1.2612518598902054E-2</v>
      </c>
      <c r="X1486" s="10">
        <f t="shared" ref="X1486:Y1486" ca="1" si="1625">+X1485</f>
        <v>0</v>
      </c>
      <c r="Y1486" s="10">
        <f t="shared" ca="1" si="1625"/>
        <v>0</v>
      </c>
      <c r="Z1486">
        <f t="shared" ca="1" si="1619"/>
        <v>1</v>
      </c>
      <c r="AA1486">
        <f t="shared" ca="1" si="1620"/>
        <v>0</v>
      </c>
      <c r="AB1486" s="19">
        <f t="shared" ca="1" si="1621"/>
        <v>1.2612518598902054E-2</v>
      </c>
      <c r="AC1486" s="19">
        <f t="shared" ca="1" si="1622"/>
        <v>0</v>
      </c>
    </row>
    <row r="1487" spans="3:29" x14ac:dyDescent="0.25">
      <c r="C1487" s="4">
        <v>1480</v>
      </c>
      <c r="D1487" s="28">
        <v>44112</v>
      </c>
      <c r="E1487" s="30">
        <v>13.9</v>
      </c>
      <c r="F1487" s="30">
        <v>36.860010205817318</v>
      </c>
      <c r="G1487" s="30">
        <v>4.3417247831263825</v>
      </c>
      <c r="H1487" s="30">
        <v>51.624425922775984</v>
      </c>
      <c r="I1487" s="8">
        <v>0</v>
      </c>
      <c r="J1487" s="31">
        <v>0</v>
      </c>
      <c r="K1487" s="31">
        <v>0</v>
      </c>
      <c r="L1487" s="31">
        <v>0</v>
      </c>
      <c r="M1487" s="31">
        <v>0</v>
      </c>
      <c r="N1487" s="31">
        <v>0</v>
      </c>
      <c r="O1487" s="31">
        <v>0</v>
      </c>
      <c r="P1487" s="31">
        <v>0</v>
      </c>
      <c r="Q1487" s="31">
        <v>0</v>
      </c>
      <c r="R1487" s="31">
        <v>1</v>
      </c>
      <c r="S1487" s="31">
        <v>0</v>
      </c>
      <c r="T1487" s="21" cm="1">
        <f t="array" aca="1" ref="T1487" ca="1">+fair_value_gap(OFFSET(S1486,0,0,-1*$I$5,-1*$Z$1),OFFSET(E1486,0,0,-1*$I$5,1),F1487:S1487,0)</f>
        <v>12.451971214120039</v>
      </c>
      <c r="U1487" s="7" cm="1">
        <f t="array" aca="1" ref="U1487" ca="1">z_score_diff(OFFSET(T1487,0,0,$I$5*-1,1),OFFSET(E1487,0,0,$I$5*-1,1))</f>
        <v>-0.66021333503432478</v>
      </c>
      <c r="V1487" s="7">
        <f t="shared" ca="1" si="1617"/>
        <v>-0.35978742976040029</v>
      </c>
      <c r="W1487" s="14">
        <f t="shared" ca="1" si="1612"/>
        <v>3.9220713153281329E-2</v>
      </c>
      <c r="X1487" s="10">
        <f t="shared" ref="X1487:Y1487" ca="1" si="1626">+X1486</f>
        <v>0</v>
      </c>
      <c r="Y1487" s="10">
        <f t="shared" ca="1" si="1626"/>
        <v>0</v>
      </c>
      <c r="Z1487">
        <f t="shared" ca="1" si="1619"/>
        <v>1</v>
      </c>
      <c r="AA1487">
        <f t="shared" ca="1" si="1620"/>
        <v>0</v>
      </c>
      <c r="AB1487" s="19">
        <f t="shared" ca="1" si="1621"/>
        <v>3.9220713153281329E-2</v>
      </c>
      <c r="AC1487" s="19">
        <f t="shared" ca="1" si="1622"/>
        <v>0</v>
      </c>
    </row>
    <row r="1488" spans="3:29" x14ac:dyDescent="0.25">
      <c r="C1488" s="4">
        <v>1481</v>
      </c>
      <c r="D1488" s="28">
        <v>44113</v>
      </c>
      <c r="E1488" s="30">
        <v>13.753</v>
      </c>
      <c r="F1488" s="30">
        <v>36.239851150202981</v>
      </c>
      <c r="G1488" s="30">
        <v>4.3428619756427604</v>
      </c>
      <c r="H1488" s="30">
        <v>51.124830852503386</v>
      </c>
      <c r="I1488" s="8">
        <v>0</v>
      </c>
      <c r="J1488" s="31">
        <v>0</v>
      </c>
      <c r="K1488" s="31">
        <v>0</v>
      </c>
      <c r="L1488" s="31">
        <v>0</v>
      </c>
      <c r="M1488" s="31">
        <v>0</v>
      </c>
      <c r="N1488" s="31">
        <v>0</v>
      </c>
      <c r="O1488" s="31">
        <v>0</v>
      </c>
      <c r="P1488" s="31">
        <v>0</v>
      </c>
      <c r="Q1488" s="31">
        <v>0</v>
      </c>
      <c r="R1488" s="31">
        <v>1</v>
      </c>
      <c r="S1488" s="31">
        <v>0</v>
      </c>
      <c r="T1488" s="21" cm="1">
        <f t="array" aca="1" ref="T1488" ca="1">+fair_value_gap(OFFSET(S1487,0,0,-1*$I$5,-1*$Z$1),OFFSET(E1487,0,0,-1*$I$5,1),F1488:S1488,0)</f>
        <v>12.521606679946983</v>
      </c>
      <c r="U1488" s="7" cm="1">
        <f t="array" aca="1" ref="U1488" ca="1">z_score_diff(OFFSET(T1488,0,0,$I$5*-1,1),OFFSET(E1488,0,0,$I$5*-1,1))</f>
        <v>-0.60372500073416568</v>
      </c>
      <c r="V1488" s="7">
        <f t="shared" ca="1" si="1617"/>
        <v>-0.37933546458841355</v>
      </c>
      <c r="W1488" s="14">
        <f t="shared" ca="1" si="1612"/>
        <v>1.0775732545723478E-2</v>
      </c>
      <c r="X1488" s="10">
        <f t="shared" ref="X1488:Y1488" ca="1" si="1627">+X1487</f>
        <v>0</v>
      </c>
      <c r="Y1488" s="10">
        <f t="shared" ca="1" si="1627"/>
        <v>0</v>
      </c>
      <c r="Z1488">
        <f t="shared" ca="1" si="1619"/>
        <v>1</v>
      </c>
      <c r="AA1488">
        <f t="shared" ca="1" si="1620"/>
        <v>0</v>
      </c>
      <c r="AB1488" s="19">
        <f t="shared" ca="1" si="1621"/>
        <v>1.0775732545723478E-2</v>
      </c>
      <c r="AC1488" s="19">
        <f t="shared" ca="1" si="1622"/>
        <v>0</v>
      </c>
    </row>
    <row r="1489" spans="3:29" x14ac:dyDescent="0.25">
      <c r="C1489" s="4">
        <v>1482</v>
      </c>
      <c r="D1489" s="28">
        <v>44116</v>
      </c>
      <c r="E1489" s="30">
        <v>13.837999999999999</v>
      </c>
      <c r="F1489" s="30">
        <v>35.317023618047912</v>
      </c>
      <c r="G1489" s="30">
        <v>4.3469059510708536</v>
      </c>
      <c r="H1489" s="30">
        <v>50.28358587996275</v>
      </c>
      <c r="I1489" s="8">
        <v>0</v>
      </c>
      <c r="J1489" s="31">
        <v>0</v>
      </c>
      <c r="K1489" s="31">
        <v>0</v>
      </c>
      <c r="L1489" s="31">
        <v>0</v>
      </c>
      <c r="M1489" s="31">
        <v>0</v>
      </c>
      <c r="N1489" s="31">
        <v>0</v>
      </c>
      <c r="O1489" s="31">
        <v>0</v>
      </c>
      <c r="P1489" s="31">
        <v>0</v>
      </c>
      <c r="Q1489" s="31">
        <v>0</v>
      </c>
      <c r="R1489" s="31">
        <v>1</v>
      </c>
      <c r="S1489" s="31">
        <v>0</v>
      </c>
      <c r="T1489" s="21" cm="1">
        <f t="array" aca="1" ref="T1489" ca="1">+fair_value_gap(OFFSET(S1488,0,0,-1*$I$5,-1*$Z$1),OFFSET(E1488,0,0,-1*$I$5,1),F1489:S1489,0)</f>
        <v>12.535904385851385</v>
      </c>
      <c r="U1489" s="7" cm="1">
        <f t="array" aca="1" ref="U1489" ca="1">z_score_diff(OFFSET(T1489,0,0,$I$5*-1,1),OFFSET(E1489,0,0,$I$5*-1,1))</f>
        <v>-0.62190786447019408</v>
      </c>
      <c r="V1489" s="7">
        <f t="shared" ca="1" si="1617"/>
        <v>-0.39707077866022844</v>
      </c>
      <c r="W1489" s="14">
        <f t="shared" ca="1" si="1612"/>
        <v>1.1555685237940024E-3</v>
      </c>
      <c r="X1489" s="10">
        <f t="shared" ref="X1489:Y1489" ca="1" si="1628">+X1488</f>
        <v>0</v>
      </c>
      <c r="Y1489" s="10">
        <f t="shared" ca="1" si="1628"/>
        <v>0</v>
      </c>
      <c r="Z1489">
        <f t="shared" ca="1" si="1619"/>
        <v>1</v>
      </c>
      <c r="AA1489">
        <f t="shared" ca="1" si="1620"/>
        <v>0</v>
      </c>
      <c r="AB1489" s="19">
        <f t="shared" ca="1" si="1621"/>
        <v>1.1555685237940024E-3</v>
      </c>
      <c r="AC1489" s="19">
        <f t="shared" ca="1" si="1622"/>
        <v>0</v>
      </c>
    </row>
    <row r="1490" spans="3:29" x14ac:dyDescent="0.25">
      <c r="C1490" s="4">
        <v>1483</v>
      </c>
      <c r="D1490" s="28">
        <v>44117</v>
      </c>
      <c r="E1490" s="30">
        <v>13.596</v>
      </c>
      <c r="F1490" s="30">
        <v>36.146117166212534</v>
      </c>
      <c r="G1490" s="30">
        <v>4.3809604904632149</v>
      </c>
      <c r="H1490" s="30">
        <v>50.493869209809255</v>
      </c>
      <c r="I1490" s="8">
        <v>0</v>
      </c>
      <c r="J1490" s="31">
        <v>0</v>
      </c>
      <c r="K1490" s="31">
        <v>0</v>
      </c>
      <c r="L1490" s="31">
        <v>0</v>
      </c>
      <c r="M1490" s="31">
        <v>0</v>
      </c>
      <c r="N1490" s="31">
        <v>0</v>
      </c>
      <c r="O1490" s="31">
        <v>0</v>
      </c>
      <c r="P1490" s="31">
        <v>0</v>
      </c>
      <c r="Q1490" s="31">
        <v>0</v>
      </c>
      <c r="R1490" s="31">
        <v>1</v>
      </c>
      <c r="S1490" s="31">
        <v>0</v>
      </c>
      <c r="T1490" s="21" cm="1">
        <f t="array" aca="1" ref="T1490" ca="1">+fair_value_gap(OFFSET(S1489,0,0,-1*$I$5,-1*$Z$1),OFFSET(E1489,0,0,-1*$I$5,1),F1490:S1490,0)</f>
        <v>12.735858485629523</v>
      </c>
      <c r="U1490" s="7" cm="1">
        <f t="array" aca="1" ref="U1490" ca="1">z_score_diff(OFFSET(T1490,0,0,$I$5*-1,1),OFFSET(E1490,0,0,$I$5*-1,1))</f>
        <v>-0.50632318885776861</v>
      </c>
      <c r="V1490" s="7">
        <f t="shared" ca="1" si="1617"/>
        <v>-0.40770352002779831</v>
      </c>
      <c r="W1490" s="14">
        <f t="shared" ca="1" si="1612"/>
        <v>3.1778577979976165E-2</v>
      </c>
      <c r="X1490" s="10">
        <f t="shared" ref="X1490:Y1490" ca="1" si="1629">+X1489</f>
        <v>0</v>
      </c>
      <c r="Y1490" s="10">
        <f t="shared" ca="1" si="1629"/>
        <v>0</v>
      </c>
      <c r="Z1490">
        <f t="shared" ca="1" si="1619"/>
        <v>1</v>
      </c>
      <c r="AA1490">
        <f t="shared" ca="1" si="1620"/>
        <v>0</v>
      </c>
      <c r="AB1490" s="19">
        <f t="shared" ca="1" si="1621"/>
        <v>3.1778577979976165E-2</v>
      </c>
      <c r="AC1490" s="19">
        <f t="shared" ca="1" si="1622"/>
        <v>0</v>
      </c>
    </row>
    <row r="1491" spans="3:29" x14ac:dyDescent="0.25">
      <c r="C1491" s="4">
        <v>1484</v>
      </c>
      <c r="D1491" s="28">
        <v>44118</v>
      </c>
      <c r="E1491" s="30">
        <v>13.872</v>
      </c>
      <c r="F1491" s="30">
        <v>36.880640217946535</v>
      </c>
      <c r="G1491" s="30">
        <v>4.380214541120381</v>
      </c>
      <c r="H1491" s="30">
        <v>50.485271581815077</v>
      </c>
      <c r="I1491" s="8">
        <v>0</v>
      </c>
      <c r="J1491" s="31">
        <v>0</v>
      </c>
      <c r="K1491" s="31">
        <v>0</v>
      </c>
      <c r="L1491" s="31">
        <v>0</v>
      </c>
      <c r="M1491" s="31">
        <v>0</v>
      </c>
      <c r="N1491" s="31">
        <v>0</v>
      </c>
      <c r="O1491" s="31">
        <v>0</v>
      </c>
      <c r="P1491" s="31">
        <v>0</v>
      </c>
      <c r="Q1491" s="31">
        <v>0</v>
      </c>
      <c r="R1491" s="31">
        <v>1</v>
      </c>
      <c r="S1491" s="31">
        <v>0</v>
      </c>
      <c r="T1491" s="21" cm="1">
        <f t="array" aca="1" ref="T1491" ca="1">+fair_value_gap(OFFSET(S1490,0,0,-1*$I$5,-1*$Z$1),OFFSET(E1490,0,0,-1*$I$5,1),F1491:S1491,0)</f>
        <v>12.834692108744186</v>
      </c>
      <c r="U1491" s="7" cm="1">
        <f t="array" aca="1" ref="U1491" ca="1">z_score_diff(OFFSET(T1491,0,0,$I$5*-1,1),OFFSET(E1491,0,0,$I$5*-1,1))</f>
        <v>-0.55550661258653633</v>
      </c>
      <c r="V1491" s="7">
        <f t="shared" ca="1" si="1617"/>
        <v>-0.42388864940981363</v>
      </c>
      <c r="W1491" s="14">
        <f t="shared" ca="1" si="1612"/>
        <v>1.6018649155637756E-2</v>
      </c>
      <c r="X1491" s="10">
        <f t="shared" ref="X1491:Y1491" ca="1" si="1630">+X1490</f>
        <v>0</v>
      </c>
      <c r="Y1491" s="10">
        <f t="shared" ca="1" si="1630"/>
        <v>0</v>
      </c>
      <c r="Z1491">
        <f t="shared" ca="1" si="1619"/>
        <v>1</v>
      </c>
      <c r="AA1491">
        <f t="shared" ca="1" si="1620"/>
        <v>0</v>
      </c>
      <c r="AB1491" s="19">
        <f t="shared" ca="1" si="1621"/>
        <v>1.6018649155637756E-2</v>
      </c>
      <c r="AC1491" s="19">
        <f t="shared" ca="1" si="1622"/>
        <v>0</v>
      </c>
    </row>
    <row r="1492" spans="3:29" x14ac:dyDescent="0.25">
      <c r="C1492" s="4">
        <v>1485</v>
      </c>
      <c r="D1492" s="28">
        <v>44119</v>
      </c>
      <c r="E1492" s="30">
        <v>14.239000000000001</v>
      </c>
      <c r="F1492" s="30">
        <v>36.86998120621903</v>
      </c>
      <c r="G1492" s="30">
        <v>4.3960362207414994</v>
      </c>
      <c r="H1492" s="30">
        <v>50.52964291816162</v>
      </c>
      <c r="I1492" s="8">
        <v>0</v>
      </c>
      <c r="J1492" s="31">
        <v>0</v>
      </c>
      <c r="K1492" s="31">
        <v>0</v>
      </c>
      <c r="L1492" s="31">
        <v>0</v>
      </c>
      <c r="M1492" s="31">
        <v>0</v>
      </c>
      <c r="N1492" s="31">
        <v>0</v>
      </c>
      <c r="O1492" s="31">
        <v>0</v>
      </c>
      <c r="P1492" s="31">
        <v>0</v>
      </c>
      <c r="Q1492" s="31">
        <v>0</v>
      </c>
      <c r="R1492" s="31">
        <v>1</v>
      </c>
      <c r="S1492" s="31">
        <v>0</v>
      </c>
      <c r="T1492" s="21" cm="1">
        <f t="array" aca="1" ref="T1492" ca="1">+fair_value_gap(OFFSET(S1491,0,0,-1*$I$5,-1*$Z$1),OFFSET(E1491,0,0,-1*$I$5,1),F1492:S1492,0)</f>
        <v>12.966320243578178</v>
      </c>
      <c r="U1492" s="7" cm="1">
        <f t="array" aca="1" ref="U1492" ca="1">z_score_diff(OFFSET(T1492,0,0,$I$5*-1,1),OFFSET(E1492,0,0,$I$5*-1,1))</f>
        <v>-0.62162180508468079</v>
      </c>
      <c r="V1492" s="7">
        <f t="shared" ca="1" si="1617"/>
        <v>-0.44672017215573989</v>
      </c>
      <c r="W1492" s="14">
        <f t="shared" ca="1" si="1612"/>
        <v>-1.6855923163069456E-2</v>
      </c>
      <c r="X1492" s="10">
        <f t="shared" ref="X1492:Y1492" ca="1" si="1631">+X1491</f>
        <v>0</v>
      </c>
      <c r="Y1492" s="10">
        <f t="shared" ca="1" si="1631"/>
        <v>0</v>
      </c>
      <c r="Z1492">
        <f t="shared" ca="1" si="1619"/>
        <v>1</v>
      </c>
      <c r="AA1492">
        <f t="shared" ca="1" si="1620"/>
        <v>0</v>
      </c>
      <c r="AB1492" s="19">
        <f t="shared" ca="1" si="1621"/>
        <v>-1.6855923163069456E-2</v>
      </c>
      <c r="AC1492" s="19">
        <f t="shared" ca="1" si="1622"/>
        <v>0</v>
      </c>
    </row>
    <row r="1493" spans="3:29" x14ac:dyDescent="0.25">
      <c r="C1493" s="4">
        <v>1486</v>
      </c>
      <c r="D1493" s="28">
        <v>44120</v>
      </c>
      <c r="E1493" s="30">
        <v>14.499000000000001</v>
      </c>
      <c r="F1493" s="30">
        <v>36.635944700460833</v>
      </c>
      <c r="G1493" s="30">
        <v>5.3891449052739384</v>
      </c>
      <c r="H1493" s="30">
        <v>50.648574842123232</v>
      </c>
      <c r="I1493" s="8">
        <v>0</v>
      </c>
      <c r="J1493" s="31">
        <v>0</v>
      </c>
      <c r="K1493" s="31">
        <v>0</v>
      </c>
      <c r="L1493" s="31">
        <v>0</v>
      </c>
      <c r="M1493" s="31">
        <v>0</v>
      </c>
      <c r="N1493" s="31">
        <v>0</v>
      </c>
      <c r="O1493" s="31">
        <v>0</v>
      </c>
      <c r="P1493" s="31">
        <v>0</v>
      </c>
      <c r="Q1493" s="31">
        <v>0</v>
      </c>
      <c r="R1493" s="31">
        <v>1</v>
      </c>
      <c r="S1493" s="31">
        <v>0</v>
      </c>
      <c r="T1493" s="21" cm="1">
        <f t="array" aca="1" ref="T1493" ca="1">+fair_value_gap(OFFSET(S1492,0,0,-1*$I$5,-1*$Z$1),OFFSET(E1492,0,0,-1*$I$5,1),F1493:S1493,0)</f>
        <v>14.431993988549628</v>
      </c>
      <c r="U1493" s="7" cm="1">
        <f t="array" aca="1" ref="U1493" ca="1">z_score_diff(OFFSET(T1493,0,0,$I$5*-1,1),OFFSET(E1493,0,0,$I$5*-1,1))</f>
        <v>-0.32525209736387262</v>
      </c>
      <c r="V1493" s="7">
        <f t="shared" ca="1" si="1617"/>
        <v>-0.45181867924011498</v>
      </c>
      <c r="W1493" s="14">
        <f t="shared" ca="1" si="1612"/>
        <v>-1.8095002732199147E-2</v>
      </c>
      <c r="X1493" s="10">
        <f t="shared" ref="X1493:Y1493" ca="1" si="1632">+X1492</f>
        <v>0</v>
      </c>
      <c r="Y1493" s="10">
        <f t="shared" ca="1" si="1632"/>
        <v>0</v>
      </c>
      <c r="Z1493">
        <f t="shared" ca="1" si="1619"/>
        <v>1</v>
      </c>
      <c r="AA1493">
        <f t="shared" ca="1" si="1620"/>
        <v>0</v>
      </c>
      <c r="AB1493" s="19">
        <f t="shared" ca="1" si="1621"/>
        <v>-1.8095002732199147E-2</v>
      </c>
      <c r="AC1493" s="19">
        <f t="shared" ca="1" si="1622"/>
        <v>0</v>
      </c>
    </row>
    <row r="1494" spans="3:29" x14ac:dyDescent="0.25">
      <c r="C1494" s="4">
        <v>1487</v>
      </c>
      <c r="D1494" s="28">
        <v>44123</v>
      </c>
      <c r="E1494" s="30">
        <v>14.718</v>
      </c>
      <c r="F1494" s="30">
        <v>36.223015468298485</v>
      </c>
      <c r="G1494" s="30">
        <v>5.5328913819479855</v>
      </c>
      <c r="H1494" s="30">
        <v>50.356960734319223</v>
      </c>
      <c r="I1494" s="8">
        <v>0</v>
      </c>
      <c r="J1494" s="31">
        <v>0</v>
      </c>
      <c r="K1494" s="31">
        <v>0</v>
      </c>
      <c r="L1494" s="31">
        <v>0</v>
      </c>
      <c r="M1494" s="31">
        <v>0</v>
      </c>
      <c r="N1494" s="31">
        <v>0</v>
      </c>
      <c r="O1494" s="31">
        <v>0</v>
      </c>
      <c r="P1494" s="31">
        <v>0</v>
      </c>
      <c r="Q1494" s="31">
        <v>0</v>
      </c>
      <c r="R1494" s="31">
        <v>1</v>
      </c>
      <c r="S1494" s="31">
        <v>0</v>
      </c>
      <c r="T1494" s="21" cm="1">
        <f t="array" aca="1" ref="T1494" ca="1">+fair_value_gap(OFFSET(S1493,0,0,-1*$I$5,-1*$Z$1),OFFSET(E1493,0,0,-1*$I$5,1),F1494:S1494,0)</f>
        <v>14.669494293603158</v>
      </c>
      <c r="U1494" s="7" cm="1">
        <f t="array" aca="1" ref="U1494" ca="1">z_score_diff(OFFSET(T1494,0,0,$I$5*-1,1),OFFSET(E1494,0,0,$I$5*-1,1))</f>
        <v>-0.321712358050535</v>
      </c>
      <c r="V1494" s="7">
        <f t="shared" ca="1" si="1617"/>
        <v>-0.45714103383846033</v>
      </c>
      <c r="W1494" s="14">
        <f t="shared" ca="1" si="1612"/>
        <v>-1.5336463817317555E-2</v>
      </c>
      <c r="X1494" s="10">
        <f t="shared" ref="X1494:Y1494" ca="1" si="1633">+X1493</f>
        <v>0</v>
      </c>
      <c r="Y1494" s="10">
        <f t="shared" ca="1" si="1633"/>
        <v>0</v>
      </c>
      <c r="Z1494">
        <f t="shared" ca="1" si="1619"/>
        <v>1</v>
      </c>
      <c r="AA1494">
        <f t="shared" ca="1" si="1620"/>
        <v>0</v>
      </c>
      <c r="AB1494" s="19">
        <f t="shared" ca="1" si="1621"/>
        <v>-1.5336463817317555E-2</v>
      </c>
      <c r="AC1494" s="19">
        <f t="shared" ca="1" si="1622"/>
        <v>0</v>
      </c>
    </row>
    <row r="1495" spans="3:29" x14ac:dyDescent="0.25">
      <c r="C1495" s="4">
        <v>1488</v>
      </c>
      <c r="D1495" s="28">
        <v>44124</v>
      </c>
      <c r="E1495" s="30">
        <v>14.895</v>
      </c>
      <c r="F1495" s="30">
        <v>36.511293460790121</v>
      </c>
      <c r="G1495" s="30">
        <v>5.5409863801708825</v>
      </c>
      <c r="H1495" s="30">
        <v>49.953472633448946</v>
      </c>
      <c r="I1495" s="8">
        <v>0</v>
      </c>
      <c r="J1495" s="31">
        <v>0</v>
      </c>
      <c r="K1495" s="31">
        <v>0</v>
      </c>
      <c r="L1495" s="31">
        <v>0</v>
      </c>
      <c r="M1495" s="31">
        <v>0</v>
      </c>
      <c r="N1495" s="31">
        <v>0</v>
      </c>
      <c r="O1495" s="31">
        <v>0</v>
      </c>
      <c r="P1495" s="31">
        <v>0</v>
      </c>
      <c r="Q1495" s="31">
        <v>0</v>
      </c>
      <c r="R1495" s="31">
        <v>1</v>
      </c>
      <c r="S1495" s="31">
        <v>0</v>
      </c>
      <c r="T1495" s="21" cm="1">
        <f t="array" aca="1" ref="T1495" ca="1">+fair_value_gap(OFFSET(S1494,0,0,-1*$I$5,-1*$Z$1),OFFSET(E1494,0,0,-1*$I$5,1),F1495:S1495,0)</f>
        <v>14.773300801550807</v>
      </c>
      <c r="U1495" s="7" cm="1">
        <f t="array" aca="1" ref="U1495" ca="1">z_score_diff(OFFSET(T1495,0,0,$I$5*-1,1),OFFSET(E1495,0,0,$I$5*-1,1))</f>
        <v>-0.33815752851382852</v>
      </c>
      <c r="V1495" s="7">
        <f t="shared" ca="1" si="1617"/>
        <v>-0.46075324880691104</v>
      </c>
      <c r="W1495" s="14">
        <f t="shared" ca="1" si="1612"/>
        <v>-6.4256587067999235E-2</v>
      </c>
      <c r="X1495" s="10">
        <f t="shared" ref="X1495:Y1495" ca="1" si="1634">+X1494</f>
        <v>0</v>
      </c>
      <c r="Y1495" s="10">
        <f t="shared" ca="1" si="1634"/>
        <v>0</v>
      </c>
      <c r="Z1495">
        <f t="shared" ca="1" si="1619"/>
        <v>1</v>
      </c>
      <c r="AA1495">
        <f t="shared" ca="1" si="1620"/>
        <v>0</v>
      </c>
      <c r="AB1495" s="19">
        <f t="shared" ca="1" si="1621"/>
        <v>-6.4256587067999235E-2</v>
      </c>
      <c r="AC1495" s="19">
        <f t="shared" ca="1" si="1622"/>
        <v>0</v>
      </c>
    </row>
    <row r="1496" spans="3:29" x14ac:dyDescent="0.25">
      <c r="C1496" s="4">
        <v>1489</v>
      </c>
      <c r="D1496" s="28">
        <v>44125</v>
      </c>
      <c r="E1496" s="30">
        <v>14.867000000000001</v>
      </c>
      <c r="F1496" s="30">
        <v>35.182530983896804</v>
      </c>
      <c r="G1496" s="30">
        <v>5.6698423404434699</v>
      </c>
      <c r="H1496" s="30">
        <v>49.616389849085245</v>
      </c>
      <c r="I1496" s="8">
        <v>0</v>
      </c>
      <c r="J1496" s="31">
        <v>0</v>
      </c>
      <c r="K1496" s="31">
        <v>0</v>
      </c>
      <c r="L1496" s="31">
        <v>0</v>
      </c>
      <c r="M1496" s="31">
        <v>0</v>
      </c>
      <c r="N1496" s="31">
        <v>0</v>
      </c>
      <c r="O1496" s="31">
        <v>0</v>
      </c>
      <c r="P1496" s="31">
        <v>0</v>
      </c>
      <c r="Q1496" s="31">
        <v>0</v>
      </c>
      <c r="R1496" s="31">
        <v>1</v>
      </c>
      <c r="S1496" s="31">
        <v>0</v>
      </c>
      <c r="T1496" s="21" cm="1">
        <f t="array" aca="1" ref="T1496" ca="1">+fair_value_gap(OFFSET(S1495,0,0,-1*$I$5,-1*$Z$1),OFFSET(E1495,0,0,-1*$I$5,1),F1496:S1496,0)</f>
        <v>15.059285760888431</v>
      </c>
      <c r="U1496" s="7" cm="1">
        <f t="array" aca="1" ref="U1496" ca="1">z_score_diff(OFFSET(T1496,0,0,$I$5*-1,1),OFFSET(E1496,0,0,$I$5*-1,1))</f>
        <v>-0.25423675597536244</v>
      </c>
      <c r="V1496" s="7">
        <f t="shared" ca="1" si="1617"/>
        <v>-0.45831081411059194</v>
      </c>
      <c r="W1496" s="14">
        <f t="shared" ca="1" si="1612"/>
        <v>-8.3062891292407501E-2</v>
      </c>
      <c r="X1496" s="10">
        <f t="shared" ref="X1496:Y1496" ca="1" si="1635">+X1495</f>
        <v>0</v>
      </c>
      <c r="Y1496" s="10">
        <f t="shared" ca="1" si="1635"/>
        <v>0</v>
      </c>
      <c r="Z1496">
        <f t="shared" ca="1" si="1619"/>
        <v>1</v>
      </c>
      <c r="AA1496">
        <f t="shared" ca="1" si="1620"/>
        <v>0</v>
      </c>
      <c r="AB1496" s="19">
        <f t="shared" ca="1" si="1621"/>
        <v>-8.3062891292407501E-2</v>
      </c>
      <c r="AC1496" s="19">
        <f t="shared" ca="1" si="1622"/>
        <v>0</v>
      </c>
    </row>
    <row r="1497" spans="3:29" x14ac:dyDescent="0.25">
      <c r="C1497" s="4">
        <v>1490</v>
      </c>
      <c r="D1497" s="28">
        <v>44126</v>
      </c>
      <c r="E1497" s="30">
        <v>15.257</v>
      </c>
      <c r="F1497" s="30">
        <v>35.934326337169942</v>
      </c>
      <c r="G1497" s="30">
        <v>5.8183818551117126</v>
      </c>
      <c r="H1497" s="30">
        <v>50.143872714962761</v>
      </c>
      <c r="I1497" s="8">
        <v>0</v>
      </c>
      <c r="J1497" s="31">
        <v>0</v>
      </c>
      <c r="K1497" s="31">
        <v>0</v>
      </c>
      <c r="L1497" s="31">
        <v>0</v>
      </c>
      <c r="M1497" s="31">
        <v>0</v>
      </c>
      <c r="N1497" s="31">
        <v>0</v>
      </c>
      <c r="O1497" s="31">
        <v>0</v>
      </c>
      <c r="P1497" s="31">
        <v>0</v>
      </c>
      <c r="Q1497" s="31">
        <v>0</v>
      </c>
      <c r="R1497" s="31">
        <v>1</v>
      </c>
      <c r="S1497" s="31">
        <v>0</v>
      </c>
      <c r="T1497" s="21" cm="1">
        <f t="array" aca="1" ref="T1497" ca="1">+fair_value_gap(OFFSET(S1496,0,0,-1*$I$5,-1*$Z$1),OFFSET(E1496,0,0,-1*$I$5,1),F1497:S1497,0)</f>
        <v>15.459552171902883</v>
      </c>
      <c r="U1497" s="7" cm="1">
        <f t="array" aca="1" ref="U1497" ca="1">z_score_diff(OFFSET(T1497,0,0,$I$5*-1,1),OFFSET(E1497,0,0,$I$5*-1,1))</f>
        <v>-0.26313250461474347</v>
      </c>
      <c r="V1497" s="7">
        <f t="shared" ca="1" si="1617"/>
        <v>-0.46135479378660393</v>
      </c>
      <c r="W1497" s="14">
        <f t="shared" ca="1" si="1612"/>
        <v>-0.15839817931639477</v>
      </c>
      <c r="X1497" s="10">
        <f t="shared" ref="X1497:Y1497" ca="1" si="1636">+X1496</f>
        <v>0</v>
      </c>
      <c r="Y1497" s="10">
        <f t="shared" ca="1" si="1636"/>
        <v>0</v>
      </c>
      <c r="Z1497">
        <f t="shared" ca="1" si="1619"/>
        <v>1</v>
      </c>
      <c r="AA1497">
        <f t="shared" ca="1" si="1620"/>
        <v>0</v>
      </c>
      <c r="AB1497" s="19">
        <f t="shared" ca="1" si="1621"/>
        <v>-0.15839817931639477</v>
      </c>
      <c r="AC1497" s="19">
        <f t="shared" ca="1" si="1622"/>
        <v>0</v>
      </c>
    </row>
    <row r="1498" spans="3:29" x14ac:dyDescent="0.25">
      <c r="C1498" s="4">
        <v>1491</v>
      </c>
      <c r="D1498" s="28">
        <v>44127</v>
      </c>
      <c r="E1498" s="30">
        <v>15.41</v>
      </c>
      <c r="F1498" s="30">
        <v>35.22219411417489</v>
      </c>
      <c r="G1498" s="30">
        <v>6.1135002951344974</v>
      </c>
      <c r="H1498" s="30">
        <v>50.004216207100093</v>
      </c>
      <c r="I1498" s="8">
        <v>0</v>
      </c>
      <c r="J1498" s="31">
        <v>0</v>
      </c>
      <c r="K1498" s="31">
        <v>0</v>
      </c>
      <c r="L1498" s="31">
        <v>0</v>
      </c>
      <c r="M1498" s="31">
        <v>0</v>
      </c>
      <c r="N1498" s="31">
        <v>0</v>
      </c>
      <c r="O1498" s="31">
        <v>0</v>
      </c>
      <c r="P1498" s="31">
        <v>0</v>
      </c>
      <c r="Q1498" s="31">
        <v>0</v>
      </c>
      <c r="R1498" s="31">
        <v>1</v>
      </c>
      <c r="S1498" s="31">
        <v>0</v>
      </c>
      <c r="T1498" s="21" cm="1">
        <f t="array" aca="1" ref="T1498" ca="1">+fair_value_gap(OFFSET(S1497,0,0,-1*$I$5,-1*$Z$1),OFFSET(E1497,0,0,-1*$I$5,1),F1498:S1498,0)</f>
        <v>15.834228238654866</v>
      </c>
      <c r="U1498" s="7" cm="1">
        <f t="array" aca="1" ref="U1498" ca="1">z_score_diff(OFFSET(T1498,0,0,$I$5*-1,1),OFFSET(E1498,0,0,$I$5*-1,1))</f>
        <v>-0.20660320154012779</v>
      </c>
      <c r="V1498" s="7">
        <f t="shared" ca="1" si="1617"/>
        <v>-0.46174084310994273</v>
      </c>
      <c r="W1498" s="14">
        <f t="shared" ca="1" si="1612"/>
        <v>-0.178254562443596</v>
      </c>
      <c r="X1498" s="10">
        <f t="shared" ref="X1498:Y1498" ca="1" si="1637">+X1497</f>
        <v>0</v>
      </c>
      <c r="Y1498" s="10">
        <f t="shared" ca="1" si="1637"/>
        <v>0</v>
      </c>
      <c r="Z1498">
        <f t="shared" ca="1" si="1619"/>
        <v>1</v>
      </c>
      <c r="AA1498">
        <f t="shared" ca="1" si="1620"/>
        <v>0</v>
      </c>
      <c r="AB1498" s="19">
        <f t="shared" ca="1" si="1621"/>
        <v>-0.178254562443596</v>
      </c>
      <c r="AC1498" s="19">
        <f t="shared" ca="1" si="1622"/>
        <v>0</v>
      </c>
    </row>
    <row r="1499" spans="3:29" x14ac:dyDescent="0.25">
      <c r="C1499" s="4">
        <v>1492</v>
      </c>
      <c r="D1499" s="28">
        <v>44130</v>
      </c>
      <c r="E1499" s="30">
        <v>14.866</v>
      </c>
      <c r="F1499" s="30">
        <v>34.264905149051486</v>
      </c>
      <c r="G1499" s="30">
        <v>6.0975609756097562</v>
      </c>
      <c r="H1499" s="30">
        <v>50.135501355013552</v>
      </c>
      <c r="I1499" s="8">
        <v>0</v>
      </c>
      <c r="J1499" s="31">
        <v>0</v>
      </c>
      <c r="K1499" s="31">
        <v>0</v>
      </c>
      <c r="L1499" s="31">
        <v>0</v>
      </c>
      <c r="M1499" s="31">
        <v>0</v>
      </c>
      <c r="N1499" s="31">
        <v>0</v>
      </c>
      <c r="O1499" s="31">
        <v>0</v>
      </c>
      <c r="P1499" s="31">
        <v>0</v>
      </c>
      <c r="Q1499" s="31">
        <v>0</v>
      </c>
      <c r="R1499" s="31">
        <v>1</v>
      </c>
      <c r="S1499" s="31">
        <v>0</v>
      </c>
      <c r="T1499" s="21" cm="1">
        <f t="array" aca="1" ref="T1499" ca="1">+fair_value_gap(OFFSET(S1498,0,0,-1*$I$5,-1*$Z$1),OFFSET(E1498,0,0,-1*$I$5,1),F1499:S1499,0)</f>
        <v>15.71941026903044</v>
      </c>
      <c r="U1499" s="7" cm="1">
        <f t="array" aca="1" ref="U1499" ca="1">z_score_diff(OFFSET(T1499,0,0,$I$5*-1,1),OFFSET(E1499,0,0,$I$5*-1,1))</f>
        <v>-8.6097165559596123E-2</v>
      </c>
      <c r="V1499" s="7">
        <f t="shared" ca="1" si="1617"/>
        <v>-0.45244170905396386</v>
      </c>
      <c r="W1499" s="14">
        <f t="shared" ca="1" si="1612"/>
        <v>-9.3650049099452529E-2</v>
      </c>
      <c r="X1499" s="10">
        <f t="shared" ref="X1499:Y1499" ca="1" si="1638">+X1498</f>
        <v>0</v>
      </c>
      <c r="Y1499" s="10">
        <f t="shared" ca="1" si="1638"/>
        <v>0</v>
      </c>
      <c r="Z1499">
        <f t="shared" ca="1" si="1619"/>
        <v>1</v>
      </c>
      <c r="AA1499">
        <f t="shared" ca="1" si="1620"/>
        <v>0</v>
      </c>
      <c r="AB1499" s="19">
        <f t="shared" ca="1" si="1621"/>
        <v>-9.3650049099452529E-2</v>
      </c>
      <c r="AC1499" s="19">
        <f t="shared" ca="1" si="1622"/>
        <v>0</v>
      </c>
    </row>
    <row r="1500" spans="3:29" x14ac:dyDescent="0.25">
      <c r="C1500" s="4">
        <v>1493</v>
      </c>
      <c r="D1500" s="28">
        <v>44131</v>
      </c>
      <c r="E1500" s="30">
        <v>14.743</v>
      </c>
      <c r="F1500" s="30">
        <v>34.930055108096653</v>
      </c>
      <c r="G1500" s="30">
        <v>5.9347181008902075</v>
      </c>
      <c r="H1500" s="30">
        <v>50.445103857566764</v>
      </c>
      <c r="I1500" s="8">
        <v>0</v>
      </c>
      <c r="J1500" s="31">
        <v>0</v>
      </c>
      <c r="K1500" s="31">
        <v>0</v>
      </c>
      <c r="L1500" s="31">
        <v>0</v>
      </c>
      <c r="M1500" s="31">
        <v>0</v>
      </c>
      <c r="N1500" s="31">
        <v>0</v>
      </c>
      <c r="O1500" s="31">
        <v>0</v>
      </c>
      <c r="P1500" s="31">
        <v>0</v>
      </c>
      <c r="Q1500" s="31">
        <v>0</v>
      </c>
      <c r="R1500" s="31">
        <v>1</v>
      </c>
      <c r="S1500" s="31">
        <v>0</v>
      </c>
      <c r="T1500" s="21" cm="1">
        <f t="array" aca="1" ref="T1500" ca="1">+fair_value_gap(OFFSET(S1499,0,0,-1*$I$5,-1*$Z$1),OFFSET(E1499,0,0,-1*$I$5,1),F1500:S1500,0)</f>
        <v>15.454067349756674</v>
      </c>
      <c r="U1500" s="7" cm="1">
        <f t="array" aca="1" ref="U1500" ca="1">z_score_diff(OFFSET(T1500,0,0,$I$5*-1,1),OFFSET(E1500,0,0,$I$5*-1,1))</f>
        <v>-0.12029085545054885</v>
      </c>
      <c r="V1500" s="7">
        <f t="shared" ca="1" si="1617"/>
        <v>-0.44454368382834886</v>
      </c>
      <c r="W1500" s="14">
        <f t="shared" ca="1" si="1612"/>
        <v>-5.8735679189388566E-2</v>
      </c>
      <c r="X1500" s="10">
        <f t="shared" ref="X1500:Y1500" ca="1" si="1639">+X1499</f>
        <v>0</v>
      </c>
      <c r="Y1500" s="10">
        <f t="shared" ca="1" si="1639"/>
        <v>0</v>
      </c>
      <c r="Z1500">
        <f t="shared" ca="1" si="1619"/>
        <v>1</v>
      </c>
      <c r="AA1500">
        <f t="shared" ca="1" si="1620"/>
        <v>0</v>
      </c>
      <c r="AB1500" s="19">
        <f t="shared" ca="1" si="1621"/>
        <v>-5.8735679189388566E-2</v>
      </c>
      <c r="AC1500" s="19">
        <f t="shared" ca="1" si="1622"/>
        <v>0</v>
      </c>
    </row>
    <row r="1501" spans="3:29" x14ac:dyDescent="0.25">
      <c r="C1501" s="4">
        <v>1494</v>
      </c>
      <c r="D1501" s="28">
        <v>44132</v>
      </c>
      <c r="E1501" s="30">
        <v>14.487</v>
      </c>
      <c r="F1501" s="30">
        <v>33.310626702997268</v>
      </c>
      <c r="G1501" s="30">
        <v>5.917915531335149</v>
      </c>
      <c r="H1501" s="30">
        <v>50.621594005449587</v>
      </c>
      <c r="I1501" s="8">
        <v>0</v>
      </c>
      <c r="J1501" s="31">
        <v>0</v>
      </c>
      <c r="K1501" s="31">
        <v>0</v>
      </c>
      <c r="L1501" s="31">
        <v>0</v>
      </c>
      <c r="M1501" s="31">
        <v>0</v>
      </c>
      <c r="N1501" s="31">
        <v>0</v>
      </c>
      <c r="O1501" s="31">
        <v>0</v>
      </c>
      <c r="P1501" s="31">
        <v>0</v>
      </c>
      <c r="Q1501" s="31">
        <v>0</v>
      </c>
      <c r="R1501" s="31">
        <v>1</v>
      </c>
      <c r="S1501" s="31">
        <v>0</v>
      </c>
      <c r="T1501" s="21" cm="1">
        <f t="array" aca="1" ref="T1501" ca="1">+fair_value_gap(OFFSET(S1500,0,0,-1*$I$5,-1*$Z$1),OFFSET(E1500,0,0,-1*$I$5,1),F1501:S1501,0)</f>
        <v>15.298069531781969</v>
      </c>
      <c r="U1501" s="7" cm="1">
        <f t="array" aca="1" ref="U1501" ca="1">z_score_diff(OFFSET(T1501,0,0,$I$5*-1,1),OFFSET(E1501,0,0,$I$5*-1,1))</f>
        <v>-8.8842949102892366E-2</v>
      </c>
      <c r="V1501" s="7">
        <f t="shared" ca="1" si="1617"/>
        <v>-0.42099219862423737</v>
      </c>
      <c r="W1501" s="14">
        <f t="shared" ca="1" si="1612"/>
        <v>-3.9063343055759758E-2</v>
      </c>
      <c r="X1501" s="10">
        <f t="shared" ref="X1501:Y1501" ca="1" si="1640">+X1500</f>
        <v>0</v>
      </c>
      <c r="Y1501" s="10">
        <f t="shared" ca="1" si="1640"/>
        <v>0</v>
      </c>
      <c r="Z1501">
        <f t="shared" ca="1" si="1619"/>
        <v>1</v>
      </c>
      <c r="AA1501">
        <f t="shared" ca="1" si="1620"/>
        <v>0</v>
      </c>
      <c r="AB1501" s="19">
        <f t="shared" ca="1" si="1621"/>
        <v>-3.9063343055759758E-2</v>
      </c>
      <c r="AC1501" s="19">
        <f t="shared" ca="1" si="1622"/>
        <v>0</v>
      </c>
    </row>
    <row r="1502" spans="3:29" x14ac:dyDescent="0.25">
      <c r="C1502" s="4">
        <v>1495</v>
      </c>
      <c r="D1502" s="28">
        <v>44133</v>
      </c>
      <c r="E1502" s="30">
        <v>14.215999999999999</v>
      </c>
      <c r="F1502" s="30">
        <v>32.251156415967102</v>
      </c>
      <c r="G1502" s="30">
        <v>5.9319856090457428</v>
      </c>
      <c r="H1502" s="30">
        <v>50.882302552681168</v>
      </c>
      <c r="I1502" s="8">
        <v>0</v>
      </c>
      <c r="J1502" s="31">
        <v>0</v>
      </c>
      <c r="K1502" s="31">
        <v>0</v>
      </c>
      <c r="L1502" s="31">
        <v>0</v>
      </c>
      <c r="M1502" s="31">
        <v>0</v>
      </c>
      <c r="N1502" s="31">
        <v>0</v>
      </c>
      <c r="O1502" s="31">
        <v>0</v>
      </c>
      <c r="P1502" s="31">
        <v>0</v>
      </c>
      <c r="Q1502" s="31">
        <v>0</v>
      </c>
      <c r="R1502" s="31">
        <v>1</v>
      </c>
      <c r="S1502" s="31">
        <v>0</v>
      </c>
      <c r="T1502" s="21" cm="1">
        <f t="array" aca="1" ref="T1502" ca="1">+fair_value_gap(OFFSET(S1501,0,0,-1*$I$5,-1*$Z$1),OFFSET(E1501,0,0,-1*$I$5,1),F1502:S1502,0)</f>
        <v>15.212847049486559</v>
      </c>
      <c r="U1502" s="7" cm="1">
        <f t="array" aca="1" ref="U1502" ca="1">z_score_diff(OFFSET(T1502,0,0,$I$5*-1,1),OFFSET(E1502,0,0,$I$5*-1,1))</f>
        <v>-3.6040088373765267E-2</v>
      </c>
      <c r="V1502" s="7">
        <f t="shared" ca="1" si="1617"/>
        <v>-0.3955544875581074</v>
      </c>
      <c r="W1502" s="14">
        <f t="shared" ca="1" si="1612"/>
        <v>-2.1472563350900632E-2</v>
      </c>
      <c r="X1502" s="10">
        <f t="shared" ref="X1502:Y1502" ca="1" si="1641">+X1501</f>
        <v>0</v>
      </c>
      <c r="Y1502" s="10">
        <f t="shared" ca="1" si="1641"/>
        <v>0</v>
      </c>
      <c r="Z1502">
        <f t="shared" ca="1" si="1619"/>
        <v>1</v>
      </c>
      <c r="AA1502">
        <f t="shared" ca="1" si="1620"/>
        <v>0</v>
      </c>
      <c r="AB1502" s="19">
        <f t="shared" ca="1" si="1621"/>
        <v>-2.1472563350900632E-2</v>
      </c>
      <c r="AC1502" s="19">
        <f t="shared" ca="1" si="1622"/>
        <v>0</v>
      </c>
    </row>
    <row r="1503" spans="3:29" x14ac:dyDescent="0.25">
      <c r="C1503" s="4">
        <v>1496</v>
      </c>
      <c r="D1503" s="28">
        <v>44134</v>
      </c>
      <c r="E1503" s="30">
        <v>14.061</v>
      </c>
      <c r="F1503" s="30">
        <v>32.162788700953037</v>
      </c>
      <c r="G1503" s="30">
        <v>6.0273031681978182</v>
      </c>
      <c r="H1503" s="30">
        <v>51.043187086803471</v>
      </c>
      <c r="I1503" s="8">
        <v>0</v>
      </c>
      <c r="J1503" s="31">
        <v>0</v>
      </c>
      <c r="K1503" s="31">
        <v>0</v>
      </c>
      <c r="L1503" s="31">
        <v>0</v>
      </c>
      <c r="M1503" s="31">
        <v>0</v>
      </c>
      <c r="N1503" s="31">
        <v>0</v>
      </c>
      <c r="O1503" s="31">
        <v>0</v>
      </c>
      <c r="P1503" s="31">
        <v>0</v>
      </c>
      <c r="Q1503" s="31">
        <v>0</v>
      </c>
      <c r="R1503" s="31">
        <v>1</v>
      </c>
      <c r="S1503" s="31">
        <v>0</v>
      </c>
      <c r="T1503" s="21" cm="1">
        <f t="array" aca="1" ref="T1503" ca="1">+fair_value_gap(OFFSET(S1502,0,0,-1*$I$5,-1*$Z$1),OFFSET(E1502,0,0,-1*$I$5,1),F1503:S1503,0)</f>
        <v>15.255695112347126</v>
      </c>
      <c r="U1503" s="7" cm="1">
        <f t="array" aca="1" ref="U1503" ca="1">z_score_diff(OFFSET(T1503,0,0,$I$5*-1,1),OFFSET(E1503,0,0,$I$5*-1,1))</f>
        <v>1.7065817573149955E-2</v>
      </c>
      <c r="V1503" s="7">
        <f t="shared" ca="1" si="1617"/>
        <v>-0.36946282140523479</v>
      </c>
      <c r="W1503" s="14">
        <f t="shared" ca="1" si="1612"/>
        <v>2.9708623612634835E-2</v>
      </c>
      <c r="X1503" s="10">
        <f t="shared" ref="X1503:Y1503" ca="1" si="1642">+X1502</f>
        <v>0</v>
      </c>
      <c r="Y1503" s="10">
        <f t="shared" ca="1" si="1642"/>
        <v>0</v>
      </c>
      <c r="Z1503">
        <f t="shared" ca="1" si="1619"/>
        <v>1</v>
      </c>
      <c r="AA1503">
        <f t="shared" ca="1" si="1620"/>
        <v>0</v>
      </c>
      <c r="AB1503" s="19">
        <f t="shared" ca="1" si="1621"/>
        <v>2.9708623612634835E-2</v>
      </c>
      <c r="AC1503" s="19">
        <f t="shared" ca="1" si="1622"/>
        <v>0</v>
      </c>
    </row>
    <row r="1504" spans="3:29" x14ac:dyDescent="0.25">
      <c r="C1504" s="4">
        <v>1497</v>
      </c>
      <c r="D1504" s="28">
        <v>44137</v>
      </c>
      <c r="E1504" s="30">
        <v>13.656000000000001</v>
      </c>
      <c r="F1504" s="30">
        <v>33.479381443298969</v>
      </c>
      <c r="G1504" s="30">
        <v>5.9407216494845363</v>
      </c>
      <c r="H1504" s="30">
        <v>52.319587628865982</v>
      </c>
      <c r="I1504" s="8">
        <v>0</v>
      </c>
      <c r="J1504" s="31">
        <v>0</v>
      </c>
      <c r="K1504" s="31">
        <v>0</v>
      </c>
      <c r="L1504" s="31">
        <v>0</v>
      </c>
      <c r="M1504" s="31">
        <v>0</v>
      </c>
      <c r="N1504" s="31">
        <v>0</v>
      </c>
      <c r="O1504" s="31">
        <v>0</v>
      </c>
      <c r="P1504" s="31">
        <v>0</v>
      </c>
      <c r="Q1504" s="31">
        <v>0</v>
      </c>
      <c r="R1504" s="31">
        <v>0</v>
      </c>
      <c r="S1504" s="31">
        <v>1</v>
      </c>
      <c r="T1504" s="21" cm="1">
        <f t="array" aca="1" ref="T1504" ca="1">+fair_value_gap(OFFSET(S1503,0,0,-1*$I$5,-1*$Z$1),OFFSET(E1503,0,0,-1*$I$5,1),F1504:S1504,0)</f>
        <v>14.154386633110095</v>
      </c>
      <c r="U1504" s="7" cm="1">
        <f t="array" aca="1" ref="U1504" ca="1">z_score_diff(OFFSET(T1504,0,0,$I$5*-1,1),OFFSET(E1504,0,0,$I$5*-1,1))</f>
        <v>-0.15195206913884562</v>
      </c>
      <c r="V1504" s="7">
        <f t="shared" ca="1" si="1617"/>
        <v>-0.34724960680139627</v>
      </c>
      <c r="W1504" s="14">
        <f t="shared" ca="1" si="1612"/>
        <v>0.10302915339483608</v>
      </c>
      <c r="X1504" s="10">
        <f t="shared" ref="X1504:Y1504" ca="1" si="1643">+X1503</f>
        <v>0</v>
      </c>
      <c r="Y1504" s="10">
        <f t="shared" ca="1" si="1643"/>
        <v>0</v>
      </c>
      <c r="Z1504">
        <f t="shared" ca="1" si="1619"/>
        <v>1</v>
      </c>
      <c r="AA1504">
        <f t="shared" ca="1" si="1620"/>
        <v>0</v>
      </c>
      <c r="AB1504" s="19">
        <f t="shared" ca="1" si="1621"/>
        <v>0.10302915339483608</v>
      </c>
      <c r="AC1504" s="19">
        <f t="shared" ca="1" si="1622"/>
        <v>0</v>
      </c>
    </row>
    <row r="1505" spans="3:29" x14ac:dyDescent="0.25">
      <c r="C1505" s="4">
        <v>1498</v>
      </c>
      <c r="D1505" s="28">
        <v>44138</v>
      </c>
      <c r="E1505" s="30">
        <v>13.664999999999999</v>
      </c>
      <c r="F1505" s="30">
        <v>33.90829135001281</v>
      </c>
      <c r="G1505" s="30">
        <v>5.8065067030996493</v>
      </c>
      <c r="H1505" s="30">
        <v>52.30125523012552</v>
      </c>
      <c r="I1505" s="8">
        <v>0</v>
      </c>
      <c r="J1505" s="31">
        <v>0</v>
      </c>
      <c r="K1505" s="31">
        <v>0</v>
      </c>
      <c r="L1505" s="31">
        <v>0</v>
      </c>
      <c r="M1505" s="31">
        <v>0</v>
      </c>
      <c r="N1505" s="31">
        <v>0</v>
      </c>
      <c r="O1505" s="31">
        <v>0</v>
      </c>
      <c r="P1505" s="31">
        <v>0</v>
      </c>
      <c r="Q1505" s="31">
        <v>0</v>
      </c>
      <c r="R1505" s="31">
        <v>0</v>
      </c>
      <c r="S1505" s="31">
        <v>1</v>
      </c>
      <c r="T1505" s="21" cm="1">
        <f t="array" aca="1" ref="T1505" ca="1">+fair_value_gap(OFFSET(S1504,0,0,-1*$I$5,-1*$Z$1),OFFSET(E1504,0,0,-1*$I$5,1),F1505:S1505,0)</f>
        <v>13.915044012405239</v>
      </c>
      <c r="U1505" s="7" cm="1">
        <f t="array" aca="1" ref="U1505" ca="1">z_score_diff(OFFSET(T1505,0,0,$I$5*-1,1),OFFSET(E1505,0,0,$I$5*-1,1))</f>
        <v>-0.21416516521409767</v>
      </c>
      <c r="V1505" s="7">
        <f t="shared" ca="1" si="1617"/>
        <v>-0.33061987391870928</v>
      </c>
      <c r="W1505" s="14">
        <f t="shared" ca="1" si="1612"/>
        <v>8.7328438563204214E-2</v>
      </c>
      <c r="X1505" s="10">
        <f t="shared" ref="X1505:Y1505" ca="1" si="1644">+X1504</f>
        <v>0</v>
      </c>
      <c r="Y1505" s="10">
        <f t="shared" ca="1" si="1644"/>
        <v>0</v>
      </c>
      <c r="Z1505">
        <f t="shared" ca="1" si="1619"/>
        <v>1</v>
      </c>
      <c r="AA1505">
        <f t="shared" ca="1" si="1620"/>
        <v>0</v>
      </c>
      <c r="AB1505" s="19">
        <f t="shared" ca="1" si="1621"/>
        <v>8.7328438563204214E-2</v>
      </c>
      <c r="AC1505" s="19">
        <f t="shared" ca="1" si="1622"/>
        <v>0</v>
      </c>
    </row>
    <row r="1506" spans="3:29" x14ac:dyDescent="0.25">
      <c r="C1506" s="4">
        <v>1499</v>
      </c>
      <c r="D1506" s="28">
        <v>44139</v>
      </c>
      <c r="E1506" s="30">
        <v>13.882999999999999</v>
      </c>
      <c r="F1506" s="30">
        <v>35.1731786384576</v>
      </c>
      <c r="G1506" s="30">
        <v>5.8479781607234269</v>
      </c>
      <c r="H1506" s="30">
        <v>52.550759256099646</v>
      </c>
      <c r="I1506" s="8">
        <v>0</v>
      </c>
      <c r="J1506" s="31">
        <v>0</v>
      </c>
      <c r="K1506" s="31">
        <v>0</v>
      </c>
      <c r="L1506" s="31">
        <v>0</v>
      </c>
      <c r="M1506" s="31">
        <v>0</v>
      </c>
      <c r="N1506" s="31">
        <v>0</v>
      </c>
      <c r="O1506" s="31">
        <v>0</v>
      </c>
      <c r="P1506" s="31">
        <v>0</v>
      </c>
      <c r="Q1506" s="31">
        <v>0</v>
      </c>
      <c r="R1506" s="31">
        <v>0</v>
      </c>
      <c r="S1506" s="31">
        <v>1</v>
      </c>
      <c r="T1506" s="21" cm="1">
        <f t="array" aca="1" ref="T1506" ca="1">+fair_value_gap(OFFSET(S1505,0,0,-1*$I$5,-1*$Z$1),OFFSET(E1505,0,0,-1*$I$5,1),F1506:S1506,0)</f>
        <v>14.014054910414295</v>
      </c>
      <c r="U1506" s="7" cm="1">
        <f t="array" aca="1" ref="U1506" ca="1">z_score_diff(OFFSET(T1506,0,0,$I$5*-1,1),OFFSET(E1506,0,0,$I$5*-1,1))</f>
        <v>-0.24745133361598626</v>
      </c>
      <c r="V1506" s="7">
        <f t="shared" ca="1" si="1617"/>
        <v>-0.31030830308543611</v>
      </c>
      <c r="W1506" s="14">
        <f t="shared" ca="1" si="1612"/>
        <v>7.103165707736947E-2</v>
      </c>
      <c r="X1506" s="10">
        <f t="shared" ref="X1506:Y1506" ca="1" si="1645">+X1505</f>
        <v>0</v>
      </c>
      <c r="Y1506" s="10">
        <f t="shared" ca="1" si="1645"/>
        <v>0</v>
      </c>
      <c r="Z1506">
        <f t="shared" ca="1" si="1619"/>
        <v>1</v>
      </c>
      <c r="AA1506">
        <f t="shared" ca="1" si="1620"/>
        <v>0</v>
      </c>
      <c r="AB1506" s="19">
        <f t="shared" ca="1" si="1621"/>
        <v>7.103165707736947E-2</v>
      </c>
      <c r="AC1506" s="19">
        <f t="shared" ca="1" si="1622"/>
        <v>0</v>
      </c>
    </row>
    <row r="1507" spans="3:29" x14ac:dyDescent="0.25">
      <c r="C1507" s="4">
        <v>1500</v>
      </c>
      <c r="D1507" s="28">
        <v>44140</v>
      </c>
      <c r="E1507" s="30">
        <v>14.456</v>
      </c>
      <c r="F1507" s="30">
        <v>34.624820235174688</v>
      </c>
      <c r="G1507" s="30">
        <v>5.799001776499451</v>
      </c>
      <c r="H1507" s="30">
        <v>52.533626596734628</v>
      </c>
      <c r="I1507" s="8">
        <v>0</v>
      </c>
      <c r="J1507" s="31">
        <v>0</v>
      </c>
      <c r="K1507" s="31">
        <v>0</v>
      </c>
      <c r="L1507" s="31">
        <v>0</v>
      </c>
      <c r="M1507" s="31">
        <v>0</v>
      </c>
      <c r="N1507" s="31">
        <v>0</v>
      </c>
      <c r="O1507" s="31">
        <v>0</v>
      </c>
      <c r="P1507" s="31">
        <v>0</v>
      </c>
      <c r="Q1507" s="31">
        <v>0</v>
      </c>
      <c r="R1507" s="31">
        <v>0</v>
      </c>
      <c r="S1507" s="31">
        <v>1</v>
      </c>
      <c r="T1507" s="21" cm="1">
        <f t="array" aca="1" ref="T1507" ca="1">+fair_value_gap(OFFSET(S1506,0,0,-1*$I$5,-1*$Z$1),OFFSET(E1506,0,0,-1*$I$5,1),F1507:S1507,0)</f>
        <v>13.919798728281805</v>
      </c>
      <c r="U1507" s="7" cm="1">
        <f t="array" aca="1" ref="U1507" ca="1">z_score_diff(OFFSET(T1507,0,0,$I$5*-1,1),OFFSET(E1507,0,0,$I$5*-1,1))</f>
        <v>-0.42989946732777629</v>
      </c>
      <c r="V1507" s="7">
        <f t="shared" ca="1" si="1617"/>
        <v>-0.29879260970010862</v>
      </c>
      <c r="W1507" s="14">
        <f t="shared" ca="1" si="1612"/>
        <v>-2.1889751251564539E-2</v>
      </c>
      <c r="X1507" s="10">
        <f t="shared" ref="X1507:Y1507" ca="1" si="1646">+X1506</f>
        <v>0</v>
      </c>
      <c r="Y1507" s="10">
        <f t="shared" ca="1" si="1646"/>
        <v>0</v>
      </c>
      <c r="Z1507">
        <f t="shared" ca="1" si="1619"/>
        <v>1</v>
      </c>
      <c r="AA1507">
        <f t="shared" ca="1" si="1620"/>
        <v>0</v>
      </c>
      <c r="AB1507" s="19">
        <f t="shared" ca="1" si="1621"/>
        <v>-2.1889751251564539E-2</v>
      </c>
      <c r="AC1507" s="19">
        <f t="shared" ca="1" si="1622"/>
        <v>0</v>
      </c>
    </row>
    <row r="1508" spans="3:29" x14ac:dyDescent="0.25">
      <c r="C1508" s="4">
        <v>1501</v>
      </c>
      <c r="D1508" s="28">
        <v>44141</v>
      </c>
      <c r="E1508" s="30">
        <v>13.901999999999999</v>
      </c>
      <c r="F1508" s="30">
        <v>33.229447439353102</v>
      </c>
      <c r="G1508" s="30">
        <v>5.8162061994609164</v>
      </c>
      <c r="H1508" s="30">
        <v>52.981805929919133</v>
      </c>
      <c r="I1508" s="8">
        <v>0</v>
      </c>
      <c r="J1508" s="31">
        <v>0</v>
      </c>
      <c r="K1508" s="31">
        <v>0</v>
      </c>
      <c r="L1508" s="31">
        <v>0</v>
      </c>
      <c r="M1508" s="31">
        <v>0</v>
      </c>
      <c r="N1508" s="31">
        <v>0</v>
      </c>
      <c r="O1508" s="31">
        <v>0</v>
      </c>
      <c r="P1508" s="31">
        <v>0</v>
      </c>
      <c r="Q1508" s="31">
        <v>0</v>
      </c>
      <c r="R1508" s="31">
        <v>0</v>
      </c>
      <c r="S1508" s="31">
        <v>1</v>
      </c>
      <c r="T1508" s="21" cm="1">
        <f t="array" aca="1" ref="T1508" ca="1">+fair_value_gap(OFFSET(S1507,0,0,-1*$I$5,-1*$Z$1),OFFSET(E1507,0,0,-1*$I$5,1),F1508:S1508,0)</f>
        <v>13.957676331387558</v>
      </c>
      <c r="U1508" s="7" cm="1">
        <f t="array" aca="1" ref="U1508" ca="1">z_score_diff(OFFSET(T1508,0,0,$I$5*-1,1),OFFSET(E1508,0,0,$I$5*-1,1))</f>
        <v>-0.26312212062474916</v>
      </c>
      <c r="V1508" s="7">
        <f t="shared" ca="1" si="1617"/>
        <v>-0.28176246569463781</v>
      </c>
      <c r="W1508" s="14">
        <f t="shared" ca="1" si="1612"/>
        <v>5.1929690894826089E-2</v>
      </c>
      <c r="X1508" s="10">
        <f t="shared" ref="X1508:Y1508" ca="1" si="1647">+X1507</f>
        <v>0</v>
      </c>
      <c r="Y1508" s="10">
        <f t="shared" ca="1" si="1647"/>
        <v>0</v>
      </c>
      <c r="Z1508">
        <f t="shared" ca="1" si="1619"/>
        <v>1</v>
      </c>
      <c r="AA1508">
        <f t="shared" ca="1" si="1620"/>
        <v>0</v>
      </c>
      <c r="AB1508" s="19">
        <f t="shared" ca="1" si="1621"/>
        <v>5.1929690894826089E-2</v>
      </c>
      <c r="AC1508" s="19">
        <f t="shared" ca="1" si="1622"/>
        <v>0</v>
      </c>
    </row>
    <row r="1509" spans="3:29" x14ac:dyDescent="0.25">
      <c r="C1509" s="4">
        <v>1502</v>
      </c>
      <c r="D1509" s="28">
        <v>44144</v>
      </c>
      <c r="E1509" s="30">
        <v>13.853999999999999</v>
      </c>
      <c r="F1509" s="30">
        <v>35.892660628121561</v>
      </c>
      <c r="G1509" s="30">
        <v>5.8452552272919664</v>
      </c>
      <c r="H1509" s="30">
        <v>54.219927198848723</v>
      </c>
      <c r="I1509" s="8">
        <v>0</v>
      </c>
      <c r="J1509" s="31">
        <v>0</v>
      </c>
      <c r="K1509" s="31">
        <v>0</v>
      </c>
      <c r="L1509" s="31">
        <v>0</v>
      </c>
      <c r="M1509" s="31">
        <v>0</v>
      </c>
      <c r="N1509" s="31">
        <v>0</v>
      </c>
      <c r="O1509" s="31">
        <v>0</v>
      </c>
      <c r="P1509" s="31">
        <v>0</v>
      </c>
      <c r="Q1509" s="31">
        <v>0</v>
      </c>
      <c r="R1509" s="31">
        <v>0</v>
      </c>
      <c r="S1509" s="31">
        <v>1</v>
      </c>
      <c r="T1509" s="21" cm="1">
        <f t="array" aca="1" ref="T1509" ca="1">+fair_value_gap(OFFSET(S1508,0,0,-1*$I$5,-1*$Z$1),OFFSET(E1508,0,0,-1*$I$5,1),F1509:S1509,0)</f>
        <v>14.217493076101949</v>
      </c>
      <c r="U1509" s="7" cm="1">
        <f t="array" aca="1" ref="U1509" ca="1">z_score_diff(OFFSET(T1509,0,0,$I$5*-1,1),OFFSET(E1509,0,0,$I$5*-1,1))</f>
        <v>-0.1778616783867506</v>
      </c>
      <c r="V1509" s="7">
        <f t="shared" ca="1" si="1617"/>
        <v>-0.25956015639046565</v>
      </c>
      <c r="W1509" s="14">
        <f t="shared" ca="1" si="1612"/>
        <v>3.5663628545143523E-2</v>
      </c>
      <c r="X1509" s="10">
        <f t="shared" ref="X1509:Y1509" ca="1" si="1648">+X1508</f>
        <v>0</v>
      </c>
      <c r="Y1509" s="10">
        <f t="shared" ca="1" si="1648"/>
        <v>0</v>
      </c>
      <c r="Z1509">
        <f t="shared" ca="1" si="1619"/>
        <v>1</v>
      </c>
      <c r="AA1509">
        <f t="shared" ca="1" si="1620"/>
        <v>0</v>
      </c>
      <c r="AB1509" s="19">
        <f t="shared" ca="1" si="1621"/>
        <v>3.5663628545143523E-2</v>
      </c>
      <c r="AC1509" s="19">
        <f t="shared" ca="1" si="1622"/>
        <v>0</v>
      </c>
    </row>
    <row r="1510" spans="3:29" x14ac:dyDescent="0.25">
      <c r="C1510" s="4">
        <v>1503</v>
      </c>
      <c r="D1510" s="28">
        <v>44145</v>
      </c>
      <c r="E1510" s="30">
        <v>14.035</v>
      </c>
      <c r="F1510" s="30">
        <v>36.913831047909262</v>
      </c>
      <c r="G1510" s="30">
        <v>5.844760453699001</v>
      </c>
      <c r="H1510" s="30">
        <v>55.231081767394613</v>
      </c>
      <c r="I1510" s="8">
        <v>0</v>
      </c>
      <c r="J1510" s="31">
        <v>0</v>
      </c>
      <c r="K1510" s="31">
        <v>0</v>
      </c>
      <c r="L1510" s="31">
        <v>0</v>
      </c>
      <c r="M1510" s="31">
        <v>0</v>
      </c>
      <c r="N1510" s="31">
        <v>0</v>
      </c>
      <c r="O1510" s="31">
        <v>0</v>
      </c>
      <c r="P1510" s="31">
        <v>0</v>
      </c>
      <c r="Q1510" s="31">
        <v>0</v>
      </c>
      <c r="R1510" s="31">
        <v>0</v>
      </c>
      <c r="S1510" s="31">
        <v>1</v>
      </c>
      <c r="T1510" s="21" cm="1">
        <f t="array" aca="1" ref="T1510" ca="1">+fair_value_gap(OFFSET(S1509,0,0,-1*$I$5,-1*$Z$1),OFFSET(E1509,0,0,-1*$I$5,1),F1510:S1510,0)</f>
        <v>14.332013200309216</v>
      </c>
      <c r="U1510" s="7" cm="1">
        <f t="array" aca="1" ref="U1510" ca="1">z_score_diff(OFFSET(T1510,0,0,$I$5*-1,1),OFFSET(E1510,0,0,$I$5*-1,1))</f>
        <v>-0.19498577027352759</v>
      </c>
      <c r="V1510" s="7">
        <f t="shared" ca="1" si="1617"/>
        <v>-0.2439932854612536</v>
      </c>
      <c r="W1510" s="14">
        <f t="shared" ca="1" si="1612"/>
        <v>2.8932570733398427E-2</v>
      </c>
      <c r="X1510" s="10">
        <f t="shared" ref="X1510:Y1510" ca="1" si="1649">+X1509</f>
        <v>0</v>
      </c>
      <c r="Y1510" s="10">
        <f t="shared" ca="1" si="1649"/>
        <v>0</v>
      </c>
      <c r="Z1510">
        <f t="shared" ca="1" si="1619"/>
        <v>1</v>
      </c>
      <c r="AA1510">
        <f t="shared" ca="1" si="1620"/>
        <v>0</v>
      </c>
      <c r="AB1510" s="19">
        <f t="shared" ca="1" si="1621"/>
        <v>2.8932570733398427E-2</v>
      </c>
      <c r="AC1510" s="19">
        <f t="shared" ca="1" si="1622"/>
        <v>0</v>
      </c>
    </row>
    <row r="1511" spans="3:29" x14ac:dyDescent="0.25">
      <c r="C1511" s="4">
        <v>1504</v>
      </c>
      <c r="D1511" s="28">
        <v>44146</v>
      </c>
      <c r="E1511" s="30">
        <v>14.096</v>
      </c>
      <c r="F1511" s="30">
        <v>37.191135263649485</v>
      </c>
      <c r="G1511" s="30">
        <v>5.8631230364269342</v>
      </c>
      <c r="H1511" s="30">
        <v>56.168803600237759</v>
      </c>
      <c r="I1511" s="8">
        <v>0</v>
      </c>
      <c r="J1511" s="31">
        <v>0</v>
      </c>
      <c r="K1511" s="31">
        <v>0</v>
      </c>
      <c r="L1511" s="31">
        <v>0</v>
      </c>
      <c r="M1511" s="31">
        <v>0</v>
      </c>
      <c r="N1511" s="31">
        <v>0</v>
      </c>
      <c r="O1511" s="31">
        <v>0</v>
      </c>
      <c r="P1511" s="31">
        <v>0</v>
      </c>
      <c r="Q1511" s="31">
        <v>0</v>
      </c>
      <c r="R1511" s="31">
        <v>0</v>
      </c>
      <c r="S1511" s="31">
        <v>1</v>
      </c>
      <c r="T1511" s="21" cm="1">
        <f t="array" aca="1" ref="T1511" ca="1">+fair_value_gap(OFFSET(S1510,0,0,-1*$I$5,-1*$Z$1),OFFSET(E1510,0,0,-1*$I$5,1),F1511:S1511,0)</f>
        <v>14.424076319740145</v>
      </c>
      <c r="U1511" s="7" cm="1">
        <f t="array" aca="1" ref="U1511" ca="1">z_score_diff(OFFSET(T1511,0,0,$I$5*-1,1),OFFSET(E1511,0,0,$I$5*-1,1))</f>
        <v>-0.18493472982700609</v>
      </c>
      <c r="V1511" s="7">
        <f t="shared" ca="1" si="1617"/>
        <v>-0.22546469132327709</v>
      </c>
      <c r="W1511" s="14">
        <f t="shared" ca="1" si="1612"/>
        <v>4.4198806531393665E-2</v>
      </c>
      <c r="X1511" s="10">
        <f t="shared" ref="X1511:Y1511" ca="1" si="1650">+X1510</f>
        <v>0</v>
      </c>
      <c r="Y1511" s="10">
        <f t="shared" ca="1" si="1650"/>
        <v>0</v>
      </c>
      <c r="Z1511">
        <f t="shared" ca="1" si="1619"/>
        <v>1</v>
      </c>
      <c r="AA1511">
        <f t="shared" ca="1" si="1620"/>
        <v>0</v>
      </c>
      <c r="AB1511" s="19">
        <f t="shared" ca="1" si="1621"/>
        <v>4.4198806531393665E-2</v>
      </c>
      <c r="AC1511" s="19">
        <f t="shared" ca="1" si="1622"/>
        <v>0</v>
      </c>
    </row>
    <row r="1512" spans="3:29" x14ac:dyDescent="0.25">
      <c r="C1512" s="4">
        <v>1505</v>
      </c>
      <c r="D1512" s="28">
        <v>44147</v>
      </c>
      <c r="E1512" s="30">
        <v>14.000999999999999</v>
      </c>
      <c r="F1512" s="30">
        <v>36.877329718739418</v>
      </c>
      <c r="G1512" s="30">
        <v>5.8454761097932915</v>
      </c>
      <c r="H1512" s="30">
        <v>56.590986106404614</v>
      </c>
      <c r="I1512" s="8">
        <v>0</v>
      </c>
      <c r="J1512" s="31">
        <v>0</v>
      </c>
      <c r="K1512" s="31">
        <v>0</v>
      </c>
      <c r="L1512" s="31">
        <v>0</v>
      </c>
      <c r="M1512" s="31">
        <v>0</v>
      </c>
      <c r="N1512" s="31">
        <v>0</v>
      </c>
      <c r="O1512" s="31">
        <v>0</v>
      </c>
      <c r="P1512" s="31">
        <v>0</v>
      </c>
      <c r="Q1512" s="31">
        <v>0</v>
      </c>
      <c r="R1512" s="31">
        <v>0</v>
      </c>
      <c r="S1512" s="31">
        <v>1</v>
      </c>
      <c r="T1512" s="21" cm="1">
        <f t="array" aca="1" ref="T1512" ca="1">+fair_value_gap(OFFSET(S1511,0,0,-1*$I$5,-1*$Z$1),OFFSET(E1511,0,0,-1*$I$5,1),F1512:S1512,0)</f>
        <v>14.39908469166105</v>
      </c>
      <c r="U1512" s="7" cm="1">
        <f t="array" aca="1" ref="U1512" ca="1">z_score_diff(OFFSET(T1512,0,0,$I$5*-1,1),OFFSET(E1512,0,0,$I$5*-1,1))</f>
        <v>-0.16207279435939648</v>
      </c>
      <c r="V1512" s="7">
        <f t="shared" ca="1" si="1617"/>
        <v>-0.20248724078701291</v>
      </c>
      <c r="W1512" s="14">
        <f t="shared" ca="1" si="1612"/>
        <v>0.10422423716880883</v>
      </c>
      <c r="X1512" s="10">
        <f t="shared" ref="X1512:Y1512" ca="1" si="1651">+X1511</f>
        <v>0</v>
      </c>
      <c r="Y1512" s="10">
        <f t="shared" ca="1" si="1651"/>
        <v>0</v>
      </c>
      <c r="Z1512">
        <f t="shared" ca="1" si="1619"/>
        <v>1</v>
      </c>
      <c r="AA1512">
        <f t="shared" ca="1" si="1620"/>
        <v>0</v>
      </c>
      <c r="AB1512" s="19">
        <f t="shared" ca="1" si="1621"/>
        <v>0.10422423716880883</v>
      </c>
      <c r="AC1512" s="19">
        <f t="shared" ca="1" si="1622"/>
        <v>0</v>
      </c>
    </row>
    <row r="1513" spans="3:29" x14ac:dyDescent="0.25">
      <c r="C1513" s="4">
        <v>1506</v>
      </c>
      <c r="D1513" s="28">
        <v>44148</v>
      </c>
      <c r="E1513" s="30">
        <v>14.239000000000001</v>
      </c>
      <c r="F1513" s="30">
        <v>36.156186612576064</v>
      </c>
      <c r="G1513" s="30">
        <v>5.8307978363759299</v>
      </c>
      <c r="H1513" s="30">
        <v>56.879648411088567</v>
      </c>
      <c r="I1513" s="8">
        <v>0</v>
      </c>
      <c r="J1513" s="31">
        <v>0</v>
      </c>
      <c r="K1513" s="31">
        <v>0</v>
      </c>
      <c r="L1513" s="31">
        <v>0</v>
      </c>
      <c r="M1513" s="31">
        <v>0</v>
      </c>
      <c r="N1513" s="31">
        <v>0</v>
      </c>
      <c r="O1513" s="31">
        <v>0</v>
      </c>
      <c r="P1513" s="31">
        <v>0</v>
      </c>
      <c r="Q1513" s="31">
        <v>0</v>
      </c>
      <c r="R1513" s="31">
        <v>0</v>
      </c>
      <c r="S1513" s="31">
        <v>1</v>
      </c>
      <c r="T1513" s="21" cm="1">
        <f t="array" aca="1" ref="T1513" ca="1">+fair_value_gap(OFFSET(S1512,0,0,-1*$I$5,-1*$Z$1),OFFSET(E1512,0,0,-1*$I$5,1),F1513:S1513,0)</f>
        <v>14.34186707496338</v>
      </c>
      <c r="U1513" s="7" cm="1">
        <f t="array" aca="1" ref="U1513" ca="1">z_score_diff(OFFSET(T1513,0,0,$I$5*-1,1),OFFSET(E1513,0,0,$I$5*-1,1))</f>
        <v>-0.24379786027355488</v>
      </c>
      <c r="V1513" s="7">
        <f t="shared" ca="1" si="1617"/>
        <v>-0.19841452893249703</v>
      </c>
      <c r="W1513" s="14">
        <f t="shared" ca="1" si="1612"/>
        <v>0.11403825461819179</v>
      </c>
      <c r="X1513" s="10">
        <f t="shared" ref="X1513:Y1513" ca="1" si="1652">+X1512</f>
        <v>0</v>
      </c>
      <c r="Y1513" s="10">
        <f t="shared" ca="1" si="1652"/>
        <v>0</v>
      </c>
      <c r="Z1513">
        <f t="shared" ca="1" si="1619"/>
        <v>1</v>
      </c>
      <c r="AA1513">
        <f t="shared" ca="1" si="1620"/>
        <v>0</v>
      </c>
      <c r="AB1513" s="19">
        <f t="shared" ca="1" si="1621"/>
        <v>0.11403825461819179</v>
      </c>
      <c r="AC1513" s="19">
        <f t="shared" ca="1" si="1622"/>
        <v>0</v>
      </c>
    </row>
    <row r="1514" spans="3:29" x14ac:dyDescent="0.25">
      <c r="C1514" s="4">
        <v>1507</v>
      </c>
      <c r="D1514" s="28">
        <v>44151</v>
      </c>
      <c r="E1514" s="30">
        <v>14.494</v>
      </c>
      <c r="F1514" s="30">
        <v>36.969543575466126</v>
      </c>
      <c r="G1514" s="30">
        <v>5.6947608200455582</v>
      </c>
      <c r="H1514" s="30">
        <v>56.610140892601024</v>
      </c>
      <c r="I1514" s="8">
        <v>0</v>
      </c>
      <c r="J1514" s="31">
        <v>0</v>
      </c>
      <c r="K1514" s="31">
        <v>0</v>
      </c>
      <c r="L1514" s="31">
        <v>0</v>
      </c>
      <c r="M1514" s="31">
        <v>0</v>
      </c>
      <c r="N1514" s="31">
        <v>0</v>
      </c>
      <c r="O1514" s="31">
        <v>0</v>
      </c>
      <c r="P1514" s="31">
        <v>0</v>
      </c>
      <c r="Q1514" s="31">
        <v>0</v>
      </c>
      <c r="R1514" s="31">
        <v>0</v>
      </c>
      <c r="S1514" s="31">
        <v>1</v>
      </c>
      <c r="T1514" s="21" cm="1">
        <f t="array" aca="1" ref="T1514" ca="1">+fair_value_gap(OFFSET(S1513,0,0,-1*$I$5,-1*$Z$1),OFFSET(E1513,0,0,-1*$I$5,1),F1514:S1514,0)</f>
        <v>14.201136152746065</v>
      </c>
      <c r="U1514" s="7" cm="1">
        <f t="array" aca="1" ref="U1514" ca="1">z_score_diff(OFFSET(T1514,0,0,$I$5*-1,1),OFFSET(E1514,0,0,$I$5*-1,1))</f>
        <v>-0.35357064617088585</v>
      </c>
      <c r="V1514" s="7">
        <f t="shared" ca="1" si="1617"/>
        <v>-0.20000744333851453</v>
      </c>
      <c r="W1514" s="14">
        <f t="shared" ca="1" si="1612"/>
        <v>0.13608952253752638</v>
      </c>
      <c r="X1514" s="10">
        <f t="shared" ref="X1514:Y1514" ca="1" si="1653">+X1513</f>
        <v>0</v>
      </c>
      <c r="Y1514" s="10">
        <f t="shared" ca="1" si="1653"/>
        <v>0</v>
      </c>
      <c r="Z1514">
        <f t="shared" ca="1" si="1619"/>
        <v>1</v>
      </c>
      <c r="AA1514">
        <f t="shared" ca="1" si="1620"/>
        <v>0</v>
      </c>
      <c r="AB1514" s="19">
        <f t="shared" ca="1" si="1621"/>
        <v>0.13608952253752638</v>
      </c>
      <c r="AC1514" s="19">
        <f t="shared" ca="1" si="1622"/>
        <v>0</v>
      </c>
    </row>
    <row r="1515" spans="3:29" x14ac:dyDescent="0.25">
      <c r="C1515" s="4">
        <v>1508</v>
      </c>
      <c r="D1515" s="28">
        <v>44152</v>
      </c>
      <c r="E1515" s="30">
        <v>13.968</v>
      </c>
      <c r="F1515" s="30">
        <v>36.885591434111795</v>
      </c>
      <c r="G1515" s="30">
        <v>5.5349464631987191</v>
      </c>
      <c r="H1515" s="30">
        <v>56.403338672961816</v>
      </c>
      <c r="I1515" s="8">
        <v>0</v>
      </c>
      <c r="J1515" s="31">
        <v>0</v>
      </c>
      <c r="K1515" s="31">
        <v>0</v>
      </c>
      <c r="L1515" s="31">
        <v>0</v>
      </c>
      <c r="M1515" s="31">
        <v>0</v>
      </c>
      <c r="N1515" s="31">
        <v>0</v>
      </c>
      <c r="O1515" s="31">
        <v>0</v>
      </c>
      <c r="P1515" s="31">
        <v>0</v>
      </c>
      <c r="Q1515" s="31">
        <v>0</v>
      </c>
      <c r="R1515" s="31">
        <v>0</v>
      </c>
      <c r="S1515" s="31">
        <v>1</v>
      </c>
      <c r="T1515" s="21" cm="1">
        <f t="array" aca="1" ref="T1515" ca="1">+fair_value_gap(OFFSET(S1514,0,0,-1*$I$5,-1*$Z$1),OFFSET(E1514,0,0,-1*$I$5,1),F1515:S1515,0)</f>
        <v>13.999262905492818</v>
      </c>
      <c r="U1515" s="7" cm="1">
        <f t="array" aca="1" ref="U1515" ca="1">z_score_diff(OFFSET(T1515,0,0,$I$5*-1,1),OFFSET(E1515,0,0,$I$5*-1,1))</f>
        <v>-0.25587356740490574</v>
      </c>
      <c r="V1515" s="7">
        <f t="shared" ca="1" si="1617"/>
        <v>-0.1958932452830684</v>
      </c>
      <c r="W1515" s="14">
        <f t="shared" ca="1" si="1612"/>
        <v>0.20959281780247593</v>
      </c>
      <c r="X1515" s="10">
        <f t="shared" ref="X1515:Y1515" ca="1" si="1654">+X1514</f>
        <v>0</v>
      </c>
      <c r="Y1515" s="10">
        <f t="shared" ca="1" si="1654"/>
        <v>0</v>
      </c>
      <c r="Z1515">
        <f t="shared" ca="1" si="1619"/>
        <v>1</v>
      </c>
      <c r="AA1515">
        <f t="shared" ca="1" si="1620"/>
        <v>0</v>
      </c>
      <c r="AB1515" s="19">
        <f t="shared" ca="1" si="1621"/>
        <v>0.20959281780247593</v>
      </c>
      <c r="AC1515" s="19">
        <f t="shared" ca="1" si="1622"/>
        <v>0</v>
      </c>
    </row>
    <row r="1516" spans="3:29" x14ac:dyDescent="0.25">
      <c r="C1516" s="4">
        <v>1509</v>
      </c>
      <c r="D1516" s="28">
        <v>44153</v>
      </c>
      <c r="E1516" s="30">
        <v>13.682</v>
      </c>
      <c r="F1516" s="30">
        <v>37.411407357408031</v>
      </c>
      <c r="G1516" s="30">
        <v>5.4252446844414441</v>
      </c>
      <c r="H1516" s="30">
        <v>56.572730340870734</v>
      </c>
      <c r="I1516" s="8">
        <v>0</v>
      </c>
      <c r="J1516" s="31">
        <v>0</v>
      </c>
      <c r="K1516" s="31">
        <v>0</v>
      </c>
      <c r="L1516" s="31">
        <v>0</v>
      </c>
      <c r="M1516" s="31">
        <v>0</v>
      </c>
      <c r="N1516" s="31">
        <v>0</v>
      </c>
      <c r="O1516" s="31">
        <v>0</v>
      </c>
      <c r="P1516" s="31">
        <v>0</v>
      </c>
      <c r="Q1516" s="31">
        <v>0</v>
      </c>
      <c r="R1516" s="31">
        <v>0</v>
      </c>
      <c r="S1516" s="31">
        <v>1</v>
      </c>
      <c r="T1516" s="21" cm="1">
        <f t="array" aca="1" ref="T1516" ca="1">+fair_value_gap(OFFSET(S1515,0,0,-1*$I$5,-1*$Z$1),OFFSET(E1515,0,0,-1*$I$5,1),F1516:S1516,0)</f>
        <v>13.90985259588134</v>
      </c>
      <c r="U1516" s="7" cm="1">
        <f t="array" aca="1" ref="U1516" ca="1">z_score_diff(OFFSET(T1516,0,0,$I$5*-1,1),OFFSET(E1516,0,0,$I$5*-1,1))</f>
        <v>-0.19768654541253183</v>
      </c>
      <c r="V1516" s="7">
        <f t="shared" ca="1" si="1617"/>
        <v>-0.19306573475492686</v>
      </c>
      <c r="W1516" s="14">
        <f t="shared" ca="1" si="1612"/>
        <v>0.18004102628368807</v>
      </c>
      <c r="X1516" s="10">
        <f t="shared" ref="X1516:Y1516" ca="1" si="1655">+X1515</f>
        <v>0</v>
      </c>
      <c r="Y1516" s="10">
        <f t="shared" ca="1" si="1655"/>
        <v>0</v>
      </c>
      <c r="Z1516">
        <f t="shared" ca="1" si="1619"/>
        <v>1</v>
      </c>
      <c r="AA1516">
        <f t="shared" ca="1" si="1620"/>
        <v>0</v>
      </c>
      <c r="AB1516" s="19">
        <f t="shared" ca="1" si="1621"/>
        <v>0.18004102628368807</v>
      </c>
      <c r="AC1516" s="19">
        <f t="shared" ca="1" si="1622"/>
        <v>0</v>
      </c>
    </row>
    <row r="1517" spans="3:29" x14ac:dyDescent="0.25">
      <c r="C1517" s="4">
        <v>1510</v>
      </c>
      <c r="D1517" s="28">
        <v>44154</v>
      </c>
      <c r="E1517" s="30">
        <v>13.022</v>
      </c>
      <c r="F1517" s="30">
        <v>37.227322496420449</v>
      </c>
      <c r="G1517" s="30">
        <v>5.2640444706476881</v>
      </c>
      <c r="H1517" s="30">
        <v>56.851680282995027</v>
      </c>
      <c r="I1517" s="8">
        <v>0</v>
      </c>
      <c r="J1517" s="31">
        <v>0</v>
      </c>
      <c r="K1517" s="31">
        <v>0</v>
      </c>
      <c r="L1517" s="31">
        <v>0</v>
      </c>
      <c r="M1517" s="31">
        <v>0</v>
      </c>
      <c r="N1517" s="31">
        <v>0</v>
      </c>
      <c r="O1517" s="31">
        <v>0</v>
      </c>
      <c r="P1517" s="31">
        <v>0</v>
      </c>
      <c r="Q1517" s="31">
        <v>0</v>
      </c>
      <c r="R1517" s="31">
        <v>0</v>
      </c>
      <c r="S1517" s="31">
        <v>1</v>
      </c>
      <c r="T1517" s="21" cm="1">
        <f t="array" aca="1" ref="T1517" ca="1">+fair_value_gap(OFFSET(S1516,0,0,-1*$I$5,-1*$Z$1),OFFSET(E1516,0,0,-1*$I$5,1),F1517:S1517,0)</f>
        <v>13.701351249794747</v>
      </c>
      <c r="U1517" s="7" cm="1">
        <f t="array" aca="1" ref="U1517" ca="1">z_score_diff(OFFSET(T1517,0,0,$I$5*-1,1),OFFSET(E1517,0,0,$I$5*-1,1))</f>
        <v>-6.3658117979911166E-2</v>
      </c>
      <c r="V1517" s="7">
        <f t="shared" ca="1" si="1617"/>
        <v>-0.18309201542318529</v>
      </c>
      <c r="W1517" s="14">
        <f t="shared" ca="1" si="1612"/>
        <v>0.20225417183683936</v>
      </c>
      <c r="X1517" s="10">
        <f t="shared" ref="X1517:Y1517" ca="1" si="1656">+X1516</f>
        <v>0</v>
      </c>
      <c r="Y1517" s="10">
        <f t="shared" ca="1" si="1656"/>
        <v>0</v>
      </c>
      <c r="Z1517">
        <f t="shared" ca="1" si="1619"/>
        <v>1</v>
      </c>
      <c r="AA1517">
        <f t="shared" ca="1" si="1620"/>
        <v>0</v>
      </c>
      <c r="AB1517" s="19">
        <f t="shared" ca="1" si="1621"/>
        <v>0.20225417183683936</v>
      </c>
      <c r="AC1517" s="19">
        <f t="shared" ca="1" si="1622"/>
        <v>0</v>
      </c>
    </row>
    <row r="1518" spans="3:29" x14ac:dyDescent="0.25">
      <c r="C1518" s="4">
        <v>1511</v>
      </c>
      <c r="D1518" s="28">
        <v>44155</v>
      </c>
      <c r="E1518" s="30">
        <v>12.894</v>
      </c>
      <c r="F1518" s="30">
        <v>37.931325402851598</v>
      </c>
      <c r="G1518" s="30">
        <v>5.3783852189319159</v>
      </c>
      <c r="H1518" s="30">
        <v>57.242892094828306</v>
      </c>
      <c r="I1518" s="8">
        <v>0</v>
      </c>
      <c r="J1518" s="31">
        <v>0</v>
      </c>
      <c r="K1518" s="31">
        <v>0</v>
      </c>
      <c r="L1518" s="31">
        <v>0</v>
      </c>
      <c r="M1518" s="31">
        <v>0</v>
      </c>
      <c r="N1518" s="31">
        <v>0</v>
      </c>
      <c r="O1518" s="31">
        <v>0</v>
      </c>
      <c r="P1518" s="31">
        <v>0</v>
      </c>
      <c r="Q1518" s="31">
        <v>0</v>
      </c>
      <c r="R1518" s="31">
        <v>0</v>
      </c>
      <c r="S1518" s="31">
        <v>1</v>
      </c>
      <c r="T1518" s="21" cm="1">
        <f t="array" aca="1" ref="T1518" ca="1">+fair_value_gap(OFFSET(S1517,0,0,-1*$I$5,-1*$Z$1),OFFSET(E1517,0,0,-1*$I$5,1),F1518:S1518,0)</f>
        <v>13.851206358009465</v>
      </c>
      <c r="U1518" s="7" cm="1">
        <f t="array" aca="1" ref="U1518" ca="1">z_score_diff(OFFSET(T1518,0,0,$I$5*-1,1),OFFSET(E1518,0,0,$I$5*-1,1))</f>
        <v>1.1424659000395465E-2</v>
      </c>
      <c r="V1518" s="7">
        <f t="shared" ca="1" si="1617"/>
        <v>-0.17219062239615912</v>
      </c>
      <c r="W1518" s="14">
        <f t="shared" ca="1" si="1612"/>
        <v>0.20867613132251187</v>
      </c>
      <c r="X1518" s="10">
        <f t="shared" ref="X1518:Y1518" ca="1" si="1657">+X1517</f>
        <v>0</v>
      </c>
      <c r="Y1518" s="10">
        <f t="shared" ca="1" si="1657"/>
        <v>0</v>
      </c>
      <c r="Z1518">
        <f t="shared" ca="1" si="1619"/>
        <v>1</v>
      </c>
      <c r="AA1518">
        <f t="shared" ca="1" si="1620"/>
        <v>0</v>
      </c>
      <c r="AB1518" s="19">
        <f t="shared" ca="1" si="1621"/>
        <v>0.20867613132251187</v>
      </c>
      <c r="AC1518" s="19">
        <f t="shared" ca="1" si="1622"/>
        <v>0</v>
      </c>
    </row>
    <row r="1519" spans="3:29" x14ac:dyDescent="0.25">
      <c r="C1519" s="4">
        <v>1512</v>
      </c>
      <c r="D1519" s="28">
        <v>44158</v>
      </c>
      <c r="E1519" s="30">
        <v>13.537000000000001</v>
      </c>
      <c r="F1519" s="30">
        <v>38.902027027027032</v>
      </c>
      <c r="G1519" s="30">
        <v>5.5320945945945947</v>
      </c>
      <c r="H1519" s="30">
        <v>57.89695945945946</v>
      </c>
      <c r="I1519" s="8">
        <v>0</v>
      </c>
      <c r="J1519" s="31">
        <v>0</v>
      </c>
      <c r="K1519" s="31">
        <v>0</v>
      </c>
      <c r="L1519" s="31">
        <v>0</v>
      </c>
      <c r="M1519" s="31">
        <v>0</v>
      </c>
      <c r="N1519" s="31">
        <v>0</v>
      </c>
      <c r="O1519" s="31">
        <v>0</v>
      </c>
      <c r="P1519" s="31">
        <v>0</v>
      </c>
      <c r="Q1519" s="31">
        <v>0</v>
      </c>
      <c r="R1519" s="31">
        <v>0</v>
      </c>
      <c r="S1519" s="31">
        <v>1</v>
      </c>
      <c r="T1519" s="21" cm="1">
        <f t="array" aca="1" ref="T1519" ca="1">+fair_value_gap(OFFSET(S1518,0,0,-1*$I$5,-1*$Z$1),OFFSET(E1518,0,0,-1*$I$5,1),F1519:S1519,0)</f>
        <v>13.982166512724257</v>
      </c>
      <c r="U1519" s="7" cm="1">
        <f t="array" aca="1" ref="U1519" ca="1">z_score_diff(OFFSET(T1519,0,0,$I$5*-1,1),OFFSET(E1519,0,0,$I$5*-1,1))</f>
        <v>-0.12930164724910753</v>
      </c>
      <c r="V1519" s="7">
        <f t="shared" ca="1" si="1617"/>
        <v>-0.1743508464806347</v>
      </c>
      <c r="W1519" s="14">
        <f t="shared" ca="1" si="1612"/>
        <v>0.21565454586060689</v>
      </c>
      <c r="X1519" s="10">
        <f t="shared" ref="X1519:Y1519" ca="1" si="1658">+X1518</f>
        <v>0</v>
      </c>
      <c r="Y1519" s="10">
        <f t="shared" ca="1" si="1658"/>
        <v>0</v>
      </c>
      <c r="Z1519">
        <f t="shared" ca="1" si="1619"/>
        <v>1</v>
      </c>
      <c r="AA1519">
        <f t="shared" ca="1" si="1620"/>
        <v>0</v>
      </c>
      <c r="AB1519" s="19">
        <f t="shared" ca="1" si="1621"/>
        <v>0.21565454586060689</v>
      </c>
      <c r="AC1519" s="19">
        <f t="shared" ca="1" si="1622"/>
        <v>0</v>
      </c>
    </row>
    <row r="1520" spans="3:29" x14ac:dyDescent="0.25">
      <c r="C1520" s="4">
        <v>1513</v>
      </c>
      <c r="D1520" s="28">
        <v>44159</v>
      </c>
      <c r="E1520" s="30">
        <v>13.901999999999999</v>
      </c>
      <c r="F1520" s="30">
        <v>40.259084791386272</v>
      </c>
      <c r="G1520" s="30">
        <v>5.6737886944818303</v>
      </c>
      <c r="H1520" s="30">
        <v>57.747308209959627</v>
      </c>
      <c r="I1520" s="8">
        <v>0</v>
      </c>
      <c r="J1520" s="31">
        <v>0</v>
      </c>
      <c r="K1520" s="31">
        <v>0</v>
      </c>
      <c r="L1520" s="31">
        <v>0</v>
      </c>
      <c r="M1520" s="31">
        <v>0</v>
      </c>
      <c r="N1520" s="31">
        <v>0</v>
      </c>
      <c r="O1520" s="31">
        <v>0</v>
      </c>
      <c r="P1520" s="31">
        <v>0</v>
      </c>
      <c r="Q1520" s="31">
        <v>0</v>
      </c>
      <c r="R1520" s="31">
        <v>0</v>
      </c>
      <c r="S1520" s="31">
        <v>1</v>
      </c>
      <c r="T1520" s="21" cm="1">
        <f t="array" aca="1" ref="T1520" ca="1">+fair_value_gap(OFFSET(S1519,0,0,-1*$I$5,-1*$Z$1),OFFSET(E1519,0,0,-1*$I$5,1),F1520:S1520,0)</f>
        <v>14.188788392672443</v>
      </c>
      <c r="U1520" s="7" cm="1">
        <f t="array" aca="1" ref="U1520" ca="1">z_score_diff(OFFSET(T1520,0,0,$I$5*-1,1),OFFSET(E1520,0,0,$I$5*-1,1))</f>
        <v>-0.16938803362245647</v>
      </c>
      <c r="V1520" s="7">
        <f t="shared" ca="1" si="1617"/>
        <v>-0.17680570538923007</v>
      </c>
      <c r="W1520" s="14">
        <f t="shared" ca="1" si="1612"/>
        <v>0.23790955281739709</v>
      </c>
      <c r="X1520" s="10">
        <f t="shared" ref="X1520:Y1520" ca="1" si="1659">+X1519</f>
        <v>0</v>
      </c>
      <c r="Y1520" s="10">
        <f t="shared" ca="1" si="1659"/>
        <v>0</v>
      </c>
      <c r="Z1520">
        <f t="shared" ca="1" si="1619"/>
        <v>1</v>
      </c>
      <c r="AA1520">
        <f t="shared" ca="1" si="1620"/>
        <v>0</v>
      </c>
      <c r="AB1520" s="19">
        <f t="shared" ca="1" si="1621"/>
        <v>0.23790955281739709</v>
      </c>
      <c r="AC1520" s="19">
        <f t="shared" ca="1" si="1622"/>
        <v>0</v>
      </c>
    </row>
    <row r="1521" spans="3:29" x14ac:dyDescent="0.25">
      <c r="C1521" s="4">
        <v>1514</v>
      </c>
      <c r="D1521" s="28">
        <v>44160</v>
      </c>
      <c r="E1521" s="30">
        <v>13.932</v>
      </c>
      <c r="F1521" s="30">
        <v>40.804163518844959</v>
      </c>
      <c r="G1521" s="30">
        <v>5.8339628976748088</v>
      </c>
      <c r="H1521" s="30">
        <v>57.794006547469145</v>
      </c>
      <c r="I1521" s="8">
        <v>0</v>
      </c>
      <c r="J1521" s="31">
        <v>0</v>
      </c>
      <c r="K1521" s="31">
        <v>0</v>
      </c>
      <c r="L1521" s="31">
        <v>0</v>
      </c>
      <c r="M1521" s="31">
        <v>0</v>
      </c>
      <c r="N1521" s="31">
        <v>0</v>
      </c>
      <c r="O1521" s="31">
        <v>0</v>
      </c>
      <c r="P1521" s="31">
        <v>0</v>
      </c>
      <c r="Q1521" s="31">
        <v>0</v>
      </c>
      <c r="R1521" s="31">
        <v>0</v>
      </c>
      <c r="S1521" s="31">
        <v>1</v>
      </c>
      <c r="T1521" s="21" cm="1">
        <f t="array" aca="1" ref="T1521" ca="1">+fair_value_gap(OFFSET(S1520,0,0,-1*$I$5,-1*$Z$1),OFFSET(E1520,0,0,-1*$I$5,1),F1521:S1521,0)</f>
        <v>14.404762966276648</v>
      </c>
      <c r="U1521" s="7" cm="1">
        <f t="array" aca="1" ref="U1521" ca="1">z_score_diff(OFFSET(T1521,0,0,$I$5*-1,1),OFFSET(E1521,0,0,$I$5*-1,1))</f>
        <v>-0.11448476219492276</v>
      </c>
      <c r="V1521" s="7">
        <f t="shared" ca="1" si="1617"/>
        <v>-0.1780877960438316</v>
      </c>
      <c r="W1521" s="14">
        <f t="shared" ca="1" si="1612"/>
        <v>0.22841244844704056</v>
      </c>
      <c r="X1521" s="10">
        <f t="shared" ref="X1521:Y1521" ca="1" si="1660">+X1520</f>
        <v>0</v>
      </c>
      <c r="Y1521" s="10">
        <f t="shared" ca="1" si="1660"/>
        <v>0</v>
      </c>
      <c r="Z1521">
        <f t="shared" ca="1" si="1619"/>
        <v>1</v>
      </c>
      <c r="AA1521">
        <f t="shared" ca="1" si="1620"/>
        <v>0</v>
      </c>
      <c r="AB1521" s="19">
        <f t="shared" ca="1" si="1621"/>
        <v>0.22841244844704056</v>
      </c>
      <c r="AC1521" s="19">
        <f t="shared" ca="1" si="1622"/>
        <v>0</v>
      </c>
    </row>
    <row r="1522" spans="3:29" x14ac:dyDescent="0.25">
      <c r="C1522" s="4">
        <v>1515</v>
      </c>
      <c r="D1522" s="28">
        <v>44161</v>
      </c>
      <c r="E1522" s="30">
        <v>13.914</v>
      </c>
      <c r="F1522" s="30">
        <v>40.124234030051198</v>
      </c>
      <c r="G1522" s="30">
        <v>5.8339628976748088</v>
      </c>
      <c r="H1522" s="30">
        <v>57.794006547469145</v>
      </c>
      <c r="I1522" s="8">
        <v>0</v>
      </c>
      <c r="J1522" s="31">
        <v>0</v>
      </c>
      <c r="K1522" s="31">
        <v>0</v>
      </c>
      <c r="L1522" s="31">
        <v>0</v>
      </c>
      <c r="M1522" s="31">
        <v>0</v>
      </c>
      <c r="N1522" s="31">
        <v>0</v>
      </c>
      <c r="O1522" s="31">
        <v>0</v>
      </c>
      <c r="P1522" s="31">
        <v>0</v>
      </c>
      <c r="Q1522" s="31">
        <v>0</v>
      </c>
      <c r="R1522" s="31">
        <v>0</v>
      </c>
      <c r="S1522" s="31">
        <v>1</v>
      </c>
      <c r="T1522" s="21" cm="1">
        <f t="array" aca="1" ref="T1522" ca="1">+fair_value_gap(OFFSET(S1521,0,0,-1*$I$5,-1*$Z$1),OFFSET(E1521,0,0,-1*$I$5,1),F1522:S1522,0)</f>
        <v>14.339054402465699</v>
      </c>
      <c r="U1522" s="7" cm="1">
        <f t="array" aca="1" ref="U1522" ca="1">z_score_diff(OFFSET(T1522,0,0,$I$5*-1,1),OFFSET(E1522,0,0,$I$5*-1,1))</f>
        <v>-0.1234260780817884</v>
      </c>
      <c r="V1522" s="7">
        <f t="shared" ca="1" si="1617"/>
        <v>-0.18245709552923278</v>
      </c>
      <c r="W1522" s="14">
        <f t="shared" ca="1" si="1612"/>
        <v>0.23778359704897903</v>
      </c>
      <c r="X1522" s="10">
        <f t="shared" ref="X1522:Y1522" ca="1" si="1661">+X1521</f>
        <v>0</v>
      </c>
      <c r="Y1522" s="10">
        <f t="shared" ca="1" si="1661"/>
        <v>0</v>
      </c>
      <c r="Z1522">
        <f t="shared" ca="1" si="1619"/>
        <v>1</v>
      </c>
      <c r="AA1522">
        <f t="shared" ca="1" si="1620"/>
        <v>0</v>
      </c>
      <c r="AB1522" s="19">
        <f t="shared" ca="1" si="1621"/>
        <v>0.23778359704897903</v>
      </c>
      <c r="AC1522" s="19">
        <f t="shared" ca="1" si="1622"/>
        <v>0</v>
      </c>
    </row>
    <row r="1523" spans="3:29" x14ac:dyDescent="0.25">
      <c r="C1523" s="4">
        <v>1516</v>
      </c>
      <c r="D1523" s="28">
        <v>44162</v>
      </c>
      <c r="E1523" s="30">
        <v>14.484999999999999</v>
      </c>
      <c r="F1523" s="30">
        <v>40.27754556094299</v>
      </c>
      <c r="G1523" s="30">
        <v>5.9772613275372022</v>
      </c>
      <c r="H1523" s="30">
        <v>57.640862731984626</v>
      </c>
      <c r="I1523" s="8">
        <v>0</v>
      </c>
      <c r="J1523" s="31">
        <v>0</v>
      </c>
      <c r="K1523" s="31">
        <v>0</v>
      </c>
      <c r="L1523" s="31">
        <v>0</v>
      </c>
      <c r="M1523" s="31">
        <v>0</v>
      </c>
      <c r="N1523" s="31">
        <v>0</v>
      </c>
      <c r="O1523" s="31">
        <v>0</v>
      </c>
      <c r="P1523" s="31">
        <v>0</v>
      </c>
      <c r="Q1523" s="31">
        <v>0</v>
      </c>
      <c r="R1523" s="31">
        <v>0</v>
      </c>
      <c r="S1523" s="31">
        <v>1</v>
      </c>
      <c r="T1523" s="21" cm="1">
        <f t="array" aca="1" ref="T1523" ca="1">+fair_value_gap(OFFSET(S1522,0,0,-1*$I$5,-1*$Z$1),OFFSET(E1522,0,0,-1*$I$5,1),F1523:S1523,0)</f>
        <v>14.487834052299668</v>
      </c>
      <c r="U1523" s="7" cm="1">
        <f t="array" aca="1" ref="U1523" ca="1">z_score_diff(OFFSET(T1523,0,0,$I$5*-1,1),OFFSET(E1523,0,0,$I$5*-1,1))</f>
        <v>-0.24609205837293868</v>
      </c>
      <c r="V1523" s="7">
        <f t="shared" ca="1" si="1617"/>
        <v>-0.19561498932653718</v>
      </c>
      <c r="W1523" s="14">
        <f t="shared" ca="1" si="1612"/>
        <v>0.27929351759430371</v>
      </c>
      <c r="X1523" s="10">
        <f t="shared" ref="X1523:Y1523" ca="1" si="1662">+X1522</f>
        <v>0</v>
      </c>
      <c r="Y1523" s="10">
        <f t="shared" ca="1" si="1662"/>
        <v>0</v>
      </c>
      <c r="Z1523">
        <f t="shared" ca="1" si="1619"/>
        <v>1</v>
      </c>
      <c r="AA1523">
        <f t="shared" ca="1" si="1620"/>
        <v>0</v>
      </c>
      <c r="AB1523" s="19">
        <f t="shared" ca="1" si="1621"/>
        <v>0.27929351759430371</v>
      </c>
      <c r="AC1523" s="19">
        <f t="shared" ca="1" si="1622"/>
        <v>0</v>
      </c>
    </row>
    <row r="1524" spans="3:29" x14ac:dyDescent="0.25">
      <c r="C1524" s="4">
        <v>1517</v>
      </c>
      <c r="D1524" s="28">
        <v>44165</v>
      </c>
      <c r="E1524" s="30">
        <v>15.138</v>
      </c>
      <c r="F1524" s="30">
        <v>39.897719651240777</v>
      </c>
      <c r="G1524" s="30">
        <v>6.1410127431254189</v>
      </c>
      <c r="H1524" s="30">
        <v>70.129107981220656</v>
      </c>
      <c r="I1524" s="8">
        <v>0</v>
      </c>
      <c r="J1524" s="31">
        <v>0</v>
      </c>
      <c r="K1524" s="31">
        <v>0</v>
      </c>
      <c r="L1524" s="31">
        <v>0</v>
      </c>
      <c r="M1524" s="31">
        <v>0</v>
      </c>
      <c r="N1524" s="31">
        <v>0</v>
      </c>
      <c r="O1524" s="31">
        <v>0</v>
      </c>
      <c r="P1524" s="31">
        <v>0</v>
      </c>
      <c r="Q1524" s="31">
        <v>0</v>
      </c>
      <c r="R1524" s="31">
        <v>0</v>
      </c>
      <c r="S1524" s="31">
        <v>1</v>
      </c>
      <c r="T1524" s="21" cm="1">
        <f t="array" aca="1" ref="T1524" ca="1">+fair_value_gap(OFFSET(S1523,0,0,-1*$I$5,-1*$Z$1),OFFSET(E1523,0,0,-1*$I$5,1),F1524:S1524,0)</f>
        <v>15.394955549583793</v>
      </c>
      <c r="U1524" s="7" cm="1">
        <f t="array" aca="1" ref="U1524" ca="1">z_score_diff(OFFSET(T1524,0,0,$I$5*-1,1),OFFSET(E1524,0,0,$I$5*-1,1))</f>
        <v>-0.17716975769132048</v>
      </c>
      <c r="V1524" s="7">
        <f t="shared" ca="1" si="1617"/>
        <v>-0.19687587375416093</v>
      </c>
      <c r="W1524" s="14">
        <f t="shared" ca="1" si="1612"/>
        <v>0.21526479502782439</v>
      </c>
      <c r="X1524" s="10">
        <f t="shared" ref="X1524:Y1524" ca="1" si="1663">+X1523</f>
        <v>0</v>
      </c>
      <c r="Y1524" s="10">
        <f t="shared" ca="1" si="1663"/>
        <v>0</v>
      </c>
      <c r="Z1524">
        <f t="shared" ca="1" si="1619"/>
        <v>1</v>
      </c>
      <c r="AA1524">
        <f t="shared" ca="1" si="1620"/>
        <v>0</v>
      </c>
      <c r="AB1524" s="19">
        <f t="shared" ca="1" si="1621"/>
        <v>0.21526479502782439</v>
      </c>
      <c r="AC1524" s="19">
        <f t="shared" ca="1" si="1622"/>
        <v>0</v>
      </c>
    </row>
    <row r="1525" spans="3:29" x14ac:dyDescent="0.25">
      <c r="C1525" s="4">
        <v>1518</v>
      </c>
      <c r="D1525" s="28">
        <v>44166</v>
      </c>
      <c r="E1525" s="30">
        <v>14.912000000000001</v>
      </c>
      <c r="F1525" s="30">
        <v>39.28748964374482</v>
      </c>
      <c r="G1525" s="30">
        <v>6.0687655343827673</v>
      </c>
      <c r="H1525" s="30">
        <v>69.5940347970174</v>
      </c>
      <c r="I1525" s="8">
        <v>0</v>
      </c>
      <c r="J1525" s="31">
        <v>0</v>
      </c>
      <c r="K1525" s="31">
        <v>0</v>
      </c>
      <c r="L1525" s="31">
        <v>0</v>
      </c>
      <c r="M1525" s="31">
        <v>0</v>
      </c>
      <c r="N1525" s="31">
        <v>0</v>
      </c>
      <c r="O1525" s="31">
        <v>0</v>
      </c>
      <c r="P1525" s="31">
        <v>0</v>
      </c>
      <c r="Q1525" s="31">
        <v>0</v>
      </c>
      <c r="R1525" s="31">
        <v>0</v>
      </c>
      <c r="S1525" s="31">
        <v>0</v>
      </c>
      <c r="T1525" s="21" cm="1">
        <f t="array" aca="1" ref="T1525" ca="1">+fair_value_gap(OFFSET(S1524,0,0,-1*$I$5,-1*$Z$1),OFFSET(E1524,0,0,-1*$I$5,1),F1525:S1525,0)</f>
        <v>13.602243659021248</v>
      </c>
      <c r="U1525" s="7" cm="1">
        <f t="array" aca="1" ref="U1525" ca="1">z_score_diff(OFFSET(T1525,0,0,$I$5*-1,1),OFFSET(E1525,0,0,$I$5*-1,1))</f>
        <v>-0.61167297505965523</v>
      </c>
      <c r="V1525" s="7">
        <f t="shared" ca="1" si="1617"/>
        <v>-0.21675126424643887</v>
      </c>
      <c r="W1525" s="14">
        <f t="shared" ca="1" si="1612"/>
        <v>0.24232535141715947</v>
      </c>
      <c r="X1525" s="10">
        <f t="shared" ref="X1525:Y1525" ca="1" si="1664">+X1524</f>
        <v>0</v>
      </c>
      <c r="Y1525" s="10">
        <f t="shared" ca="1" si="1664"/>
        <v>0</v>
      </c>
      <c r="Z1525">
        <f t="shared" ca="1" si="1619"/>
        <v>1</v>
      </c>
      <c r="AA1525">
        <f t="shared" ca="1" si="1620"/>
        <v>0</v>
      </c>
      <c r="AB1525" s="19">
        <f t="shared" ca="1" si="1621"/>
        <v>0.24232535141715947</v>
      </c>
      <c r="AC1525" s="19">
        <f t="shared" ca="1" si="1622"/>
        <v>0</v>
      </c>
    </row>
    <row r="1526" spans="3:29" x14ac:dyDescent="0.25">
      <c r="C1526" s="4">
        <v>1519</v>
      </c>
      <c r="D1526" s="28">
        <v>44167</v>
      </c>
      <c r="E1526" s="30">
        <v>14.904999999999999</v>
      </c>
      <c r="F1526" s="30">
        <v>39.826661163846474</v>
      </c>
      <c r="G1526" s="30">
        <v>6.2319438712340069</v>
      </c>
      <c r="H1526" s="30">
        <v>69.830788278992983</v>
      </c>
      <c r="I1526" s="8">
        <v>0</v>
      </c>
      <c r="J1526" s="31">
        <v>0</v>
      </c>
      <c r="K1526" s="31">
        <v>0</v>
      </c>
      <c r="L1526" s="31">
        <v>0</v>
      </c>
      <c r="M1526" s="31">
        <v>0</v>
      </c>
      <c r="N1526" s="31">
        <v>0</v>
      </c>
      <c r="O1526" s="31">
        <v>0</v>
      </c>
      <c r="P1526" s="31">
        <v>0</v>
      </c>
      <c r="Q1526" s="31">
        <v>0</v>
      </c>
      <c r="R1526" s="31">
        <v>0</v>
      </c>
      <c r="S1526" s="31">
        <v>0</v>
      </c>
      <c r="T1526" s="21" cm="1">
        <f t="array" aca="1" ref="T1526" ca="1">+fair_value_gap(OFFSET(S1525,0,0,-1*$I$5,-1*$Z$1),OFFSET(E1525,0,0,-1*$I$5,1),F1526:S1526,0)</f>
        <v>14.073180499312038</v>
      </c>
      <c r="U1526" s="7" cm="1">
        <f t="array" aca="1" ref="U1526" ca="1">z_score_diff(OFFSET(T1526,0,0,$I$5*-1,1),OFFSET(E1526,0,0,$I$5*-1,1))</f>
        <v>-0.46595342005014739</v>
      </c>
      <c r="V1526" s="7">
        <f t="shared" ca="1" si="1617"/>
        <v>-0.22767636856814694</v>
      </c>
      <c r="W1526" s="14">
        <f t="shared" ca="1" si="1612"/>
        <v>0.24919507195080245</v>
      </c>
      <c r="X1526" s="10">
        <f t="shared" ref="X1526:Y1526" ca="1" si="1665">+X1525</f>
        <v>0</v>
      </c>
      <c r="Y1526" s="10">
        <f t="shared" ca="1" si="1665"/>
        <v>0</v>
      </c>
      <c r="Z1526">
        <f t="shared" ca="1" si="1619"/>
        <v>1</v>
      </c>
      <c r="AA1526">
        <f t="shared" ca="1" si="1620"/>
        <v>0</v>
      </c>
      <c r="AB1526" s="19">
        <f t="shared" ca="1" si="1621"/>
        <v>0.24919507195080245</v>
      </c>
      <c r="AC1526" s="19">
        <f t="shared" ca="1" si="1622"/>
        <v>0</v>
      </c>
    </row>
    <row r="1527" spans="3:29" x14ac:dyDescent="0.25">
      <c r="C1527" s="4">
        <v>1520</v>
      </c>
      <c r="D1527" s="28">
        <v>44168</v>
      </c>
      <c r="E1527" s="30">
        <v>14.143000000000001</v>
      </c>
      <c r="F1527" s="30">
        <v>40.12355848434926</v>
      </c>
      <c r="G1527" s="30">
        <v>6.177924217462933</v>
      </c>
      <c r="H1527" s="30">
        <v>69.439868204283357</v>
      </c>
      <c r="I1527" s="8">
        <v>0</v>
      </c>
      <c r="J1527" s="31">
        <v>0</v>
      </c>
      <c r="K1527" s="31">
        <v>0</v>
      </c>
      <c r="L1527" s="31">
        <v>0</v>
      </c>
      <c r="M1527" s="31">
        <v>0</v>
      </c>
      <c r="N1527" s="31">
        <v>0</v>
      </c>
      <c r="O1527" s="31">
        <v>0</v>
      </c>
      <c r="P1527" s="31">
        <v>0</v>
      </c>
      <c r="Q1527" s="31">
        <v>0</v>
      </c>
      <c r="R1527" s="31">
        <v>0</v>
      </c>
      <c r="S1527" s="31">
        <v>0</v>
      </c>
      <c r="T1527" s="21" cm="1">
        <f t="array" aca="1" ref="T1527" ca="1">+fair_value_gap(OFFSET(S1526,0,0,-1*$I$5,-1*$Z$1),OFFSET(E1526,0,0,-1*$I$5,1),F1527:S1527,0)</f>
        <v>14.132830542290725</v>
      </c>
      <c r="U1527" s="7" cm="1">
        <f t="array" aca="1" ref="U1527" ca="1">z_score_diff(OFFSET(T1527,0,0,$I$5*-1,1),OFFSET(E1527,0,0,$I$5*-1,1))</f>
        <v>-0.22181671232165168</v>
      </c>
      <c r="V1527" s="7">
        <f t="shared" ca="1" si="1617"/>
        <v>-0.21727223081784061</v>
      </c>
      <c r="W1527" s="14">
        <f t="shared" ca="1" si="1612"/>
        <v>0.33868189240043972</v>
      </c>
      <c r="X1527" s="10">
        <f t="shared" ref="X1527:Y1527" ca="1" si="1666">+X1526</f>
        <v>0</v>
      </c>
      <c r="Y1527" s="10">
        <f t="shared" ca="1" si="1666"/>
        <v>0</v>
      </c>
      <c r="Z1527">
        <f t="shared" ca="1" si="1619"/>
        <v>1</v>
      </c>
      <c r="AA1527">
        <f t="shared" ca="1" si="1620"/>
        <v>0</v>
      </c>
      <c r="AB1527" s="19">
        <f t="shared" ca="1" si="1621"/>
        <v>0.33868189240043972</v>
      </c>
      <c r="AC1527" s="19">
        <f t="shared" ca="1" si="1622"/>
        <v>0</v>
      </c>
    </row>
    <row r="1528" spans="3:29" x14ac:dyDescent="0.25">
      <c r="C1528" s="4">
        <v>1521</v>
      </c>
      <c r="D1528" s="28">
        <v>44169</v>
      </c>
      <c r="E1528" s="30">
        <v>14.643000000000001</v>
      </c>
      <c r="F1528" s="30">
        <v>40.635313531353134</v>
      </c>
      <c r="G1528" s="30">
        <v>6.1839933993399345</v>
      </c>
      <c r="H1528" s="30">
        <v>68.976897689768975</v>
      </c>
      <c r="I1528" s="8">
        <v>0</v>
      </c>
      <c r="J1528" s="31">
        <v>0</v>
      </c>
      <c r="K1528" s="31">
        <v>0</v>
      </c>
      <c r="L1528" s="31">
        <v>0</v>
      </c>
      <c r="M1528" s="31">
        <v>0</v>
      </c>
      <c r="N1528" s="31">
        <v>0</v>
      </c>
      <c r="O1528" s="31">
        <v>0</v>
      </c>
      <c r="P1528" s="31">
        <v>0</v>
      </c>
      <c r="Q1528" s="31">
        <v>0</v>
      </c>
      <c r="R1528" s="31">
        <v>0</v>
      </c>
      <c r="S1528" s="31">
        <v>0</v>
      </c>
      <c r="T1528" s="21" cm="1">
        <f t="array" aca="1" ref="T1528" ca="1">+fair_value_gap(OFFSET(S1527,0,0,-1*$I$5,-1*$Z$1),OFFSET(E1527,0,0,-1*$I$5,1),F1528:S1528,0)</f>
        <v>14.084095190891174</v>
      </c>
      <c r="U1528" s="7" cm="1">
        <f t="array" aca="1" ref="U1528" ca="1">z_score_diff(OFFSET(T1528,0,0,$I$5*-1,1),OFFSET(E1528,0,0,$I$5*-1,1))</f>
        <v>-0.37749670385819822</v>
      </c>
      <c r="V1528" s="7">
        <f t="shared" ca="1" si="1617"/>
        <v>-0.22299095997951307</v>
      </c>
      <c r="W1528" s="14">
        <f t="shared" ca="1" si="1612"/>
        <v>0.20679816561424832</v>
      </c>
      <c r="X1528" s="10">
        <f t="shared" ref="X1528:Y1528" ca="1" si="1667">+X1527</f>
        <v>0</v>
      </c>
      <c r="Y1528" s="10">
        <f t="shared" ca="1" si="1667"/>
        <v>0</v>
      </c>
      <c r="Z1528">
        <f t="shared" ca="1" si="1619"/>
        <v>1</v>
      </c>
      <c r="AA1528">
        <f t="shared" ca="1" si="1620"/>
        <v>0</v>
      </c>
      <c r="AB1528" s="19">
        <f t="shared" ca="1" si="1621"/>
        <v>0.20679816561424832</v>
      </c>
      <c r="AC1528" s="19">
        <f t="shared" ca="1" si="1622"/>
        <v>0</v>
      </c>
    </row>
    <row r="1529" spans="3:29" x14ac:dyDescent="0.25">
      <c r="C1529" s="4">
        <v>1522</v>
      </c>
      <c r="D1529" s="28">
        <v>44172</v>
      </c>
      <c r="E1529" s="30">
        <v>14.356999999999999</v>
      </c>
      <c r="F1529" s="30">
        <v>40.295672282788232</v>
      </c>
      <c r="G1529" s="30">
        <v>6.2768417575156912</v>
      </c>
      <c r="H1529" s="30">
        <v>67.558638916418886</v>
      </c>
      <c r="I1529" s="8">
        <v>0</v>
      </c>
      <c r="J1529" s="31">
        <v>0</v>
      </c>
      <c r="K1529" s="31">
        <v>0</v>
      </c>
      <c r="L1529" s="31">
        <v>0</v>
      </c>
      <c r="M1529" s="31">
        <v>0</v>
      </c>
      <c r="N1529" s="31">
        <v>0</v>
      </c>
      <c r="O1529" s="31">
        <v>0</v>
      </c>
      <c r="P1529" s="31">
        <v>0</v>
      </c>
      <c r="Q1529" s="31">
        <v>0</v>
      </c>
      <c r="R1529" s="31">
        <v>0</v>
      </c>
      <c r="S1529" s="31">
        <v>0</v>
      </c>
      <c r="T1529" s="21" cm="1">
        <f t="array" aca="1" ref="T1529" ca="1">+fair_value_gap(OFFSET(S1528,0,0,-1*$I$5,-1*$Z$1),OFFSET(E1528,0,0,-1*$I$5,1),F1529:S1529,0)</f>
        <v>14.174790026961709</v>
      </c>
      <c r="U1529" s="7" cm="1">
        <f t="array" aca="1" ref="U1529" ca="1">z_score_diff(OFFSET(T1529,0,0,$I$5*-1,1),OFFSET(E1529,0,0,$I$5*-1,1))</f>
        <v>-0.26338191213530715</v>
      </c>
      <c r="V1529" s="7">
        <f t="shared" ca="1" si="1617"/>
        <v>-0.22726697166694088</v>
      </c>
      <c r="W1529" s="14">
        <f t="shared" ca="1" si="1612"/>
        <v>0.2016137245539141</v>
      </c>
      <c r="X1529" s="10">
        <f t="shared" ref="X1529:Y1529" ca="1" si="1668">+X1528</f>
        <v>0</v>
      </c>
      <c r="Y1529" s="10">
        <f t="shared" ca="1" si="1668"/>
        <v>0</v>
      </c>
      <c r="Z1529">
        <f t="shared" ca="1" si="1619"/>
        <v>1</v>
      </c>
      <c r="AA1529">
        <f t="shared" ca="1" si="1620"/>
        <v>0</v>
      </c>
      <c r="AB1529" s="19">
        <f t="shared" ca="1" si="1621"/>
        <v>0.2016137245539141</v>
      </c>
      <c r="AC1529" s="19">
        <f t="shared" ca="1" si="1622"/>
        <v>0</v>
      </c>
    </row>
    <row r="1530" spans="3:29" x14ac:dyDescent="0.25">
      <c r="C1530" s="4">
        <v>1523</v>
      </c>
      <c r="D1530" s="28">
        <v>44173</v>
      </c>
      <c r="E1530" s="30">
        <v>14.446999999999999</v>
      </c>
      <c r="F1530" s="30">
        <v>40.360300801586654</v>
      </c>
      <c r="G1530" s="30">
        <v>6.3589785968101813</v>
      </c>
      <c r="H1530" s="30">
        <v>66.1928766217668</v>
      </c>
      <c r="I1530" s="8">
        <v>0</v>
      </c>
      <c r="J1530" s="31">
        <v>0</v>
      </c>
      <c r="K1530" s="31">
        <v>0</v>
      </c>
      <c r="L1530" s="31">
        <v>0</v>
      </c>
      <c r="M1530" s="31">
        <v>0</v>
      </c>
      <c r="N1530" s="31">
        <v>0</v>
      </c>
      <c r="O1530" s="31">
        <v>0</v>
      </c>
      <c r="P1530" s="31">
        <v>0</v>
      </c>
      <c r="Q1530" s="31">
        <v>0</v>
      </c>
      <c r="R1530" s="31">
        <v>0</v>
      </c>
      <c r="S1530" s="31">
        <v>0</v>
      </c>
      <c r="T1530" s="21" cm="1">
        <f t="array" aca="1" ref="T1530" ca="1">+fair_value_gap(OFFSET(S1529,0,0,-1*$I$5,-1*$Z$1),OFFSET(E1529,0,0,-1*$I$5,1),F1530:S1530,0)</f>
        <v>14.20757779463165</v>
      </c>
      <c r="U1530" s="7" cm="1">
        <f t="array" aca="1" ref="U1530" ca="1">z_score_diff(OFFSET(T1530,0,0,$I$5*-1,1),OFFSET(E1530,0,0,$I$5*-1,1))</f>
        <v>-0.27939231005817633</v>
      </c>
      <c r="V1530" s="7">
        <f t="shared" ca="1" si="1617"/>
        <v>-0.23148729865617329</v>
      </c>
      <c r="W1530" s="14">
        <f t="shared" ca="1" si="1612"/>
        <v>0.2897737436984939</v>
      </c>
      <c r="X1530" s="10">
        <f t="shared" ref="X1530:Y1530" ca="1" si="1669">+X1529</f>
        <v>0</v>
      </c>
      <c r="Y1530" s="10">
        <f t="shared" ca="1" si="1669"/>
        <v>0</v>
      </c>
      <c r="Z1530">
        <f t="shared" ca="1" si="1619"/>
        <v>1</v>
      </c>
      <c r="AA1530">
        <f t="shared" ca="1" si="1620"/>
        <v>0</v>
      </c>
      <c r="AB1530" s="19">
        <f t="shared" ca="1" si="1621"/>
        <v>0.2897737436984939</v>
      </c>
      <c r="AC1530" s="19">
        <f t="shared" ca="1" si="1622"/>
        <v>0</v>
      </c>
    </row>
    <row r="1531" spans="3:29" x14ac:dyDescent="0.25">
      <c r="C1531" s="4">
        <v>1524</v>
      </c>
      <c r="D1531" s="28">
        <v>44174</v>
      </c>
      <c r="E1531" s="30">
        <v>14.733000000000001</v>
      </c>
      <c r="F1531" s="30">
        <v>40.44367188146677</v>
      </c>
      <c r="G1531" s="30">
        <v>6.4729740915487133</v>
      </c>
      <c r="H1531" s="30">
        <v>66.50939491763927</v>
      </c>
      <c r="I1531" s="8">
        <v>0</v>
      </c>
      <c r="J1531" s="31">
        <v>0</v>
      </c>
      <c r="K1531" s="31">
        <v>0</v>
      </c>
      <c r="L1531" s="31">
        <v>0</v>
      </c>
      <c r="M1531" s="31">
        <v>0</v>
      </c>
      <c r="N1531" s="31">
        <v>0</v>
      </c>
      <c r="O1531" s="31">
        <v>0</v>
      </c>
      <c r="P1531" s="31">
        <v>0</v>
      </c>
      <c r="Q1531" s="31">
        <v>0</v>
      </c>
      <c r="R1531" s="31">
        <v>0</v>
      </c>
      <c r="S1531" s="31">
        <v>0</v>
      </c>
      <c r="T1531" s="21" cm="1">
        <f t="array" aca="1" ref="T1531" ca="1">+fair_value_gap(OFFSET(S1530,0,0,-1*$I$5,-1*$Z$1),OFFSET(E1530,0,0,-1*$I$5,1),F1531:S1531,0)</f>
        <v>14.375312125432551</v>
      </c>
      <c r="U1531" s="7" cm="1">
        <f t="array" aca="1" ref="U1531" ca="1">z_score_diff(OFFSET(T1531,0,0,$I$5*-1,1),OFFSET(E1531,0,0,$I$5*-1,1))</f>
        <v>-0.31555495539734313</v>
      </c>
      <c r="V1531" s="7">
        <f t="shared" ca="1" si="1617"/>
        <v>-0.23801830993469014</v>
      </c>
      <c r="W1531" s="14">
        <f t="shared" ca="1" si="1612"/>
        <v>0.31152506098692917</v>
      </c>
      <c r="X1531" s="10">
        <f t="shared" ref="X1531:Y1531" ca="1" si="1670">+X1530</f>
        <v>0</v>
      </c>
      <c r="Y1531" s="10">
        <f t="shared" ca="1" si="1670"/>
        <v>0</v>
      </c>
      <c r="Z1531">
        <f t="shared" ca="1" si="1619"/>
        <v>1</v>
      </c>
      <c r="AA1531">
        <f t="shared" ca="1" si="1620"/>
        <v>0</v>
      </c>
      <c r="AB1531" s="19">
        <f t="shared" ca="1" si="1621"/>
        <v>0.31152506098692917</v>
      </c>
      <c r="AC1531" s="19">
        <f t="shared" ca="1" si="1622"/>
        <v>0</v>
      </c>
    </row>
    <row r="1532" spans="3:29" x14ac:dyDescent="0.25">
      <c r="C1532" s="4">
        <v>1525</v>
      </c>
      <c r="D1532" s="28">
        <v>44175</v>
      </c>
      <c r="E1532" s="30">
        <v>15.539</v>
      </c>
      <c r="F1532" s="30">
        <v>41.40573500329598</v>
      </c>
      <c r="G1532" s="30">
        <v>6.5219182597231375</v>
      </c>
      <c r="H1532" s="30">
        <v>68.020764667106121</v>
      </c>
      <c r="I1532" s="8">
        <v>0</v>
      </c>
      <c r="J1532" s="31">
        <v>0</v>
      </c>
      <c r="K1532" s="31">
        <v>0</v>
      </c>
      <c r="L1532" s="31">
        <v>0</v>
      </c>
      <c r="M1532" s="31">
        <v>0</v>
      </c>
      <c r="N1532" s="31">
        <v>0</v>
      </c>
      <c r="O1532" s="31">
        <v>0</v>
      </c>
      <c r="P1532" s="31">
        <v>0</v>
      </c>
      <c r="Q1532" s="31">
        <v>0</v>
      </c>
      <c r="R1532" s="31">
        <v>0</v>
      </c>
      <c r="S1532" s="31">
        <v>0</v>
      </c>
      <c r="T1532" s="21" cm="1">
        <f t="array" aca="1" ref="T1532" ca="1">+fair_value_gap(OFFSET(S1531,0,0,-1*$I$5,-1*$Z$1),OFFSET(E1531,0,0,-1*$I$5,1),F1532:S1532,0)</f>
        <v>14.562787582007495</v>
      </c>
      <c r="U1532" s="7" cm="1">
        <f t="array" aca="1" ref="U1532" ca="1">z_score_diff(OFFSET(T1532,0,0,$I$5*-1,1),OFFSET(E1532,0,0,$I$5*-1,1))</f>
        <v>-0.49625752321322447</v>
      </c>
      <c r="V1532" s="7">
        <f t="shared" ca="1" si="1617"/>
        <v>-0.2547275463773816</v>
      </c>
      <c r="W1532" s="14">
        <f t="shared" ca="1" si="1612"/>
        <v>0.35330999932783441</v>
      </c>
      <c r="X1532" s="10">
        <f t="shared" ref="X1532:Y1532" ca="1" si="1671">+X1531</f>
        <v>0</v>
      </c>
      <c r="Y1532" s="10">
        <f t="shared" ca="1" si="1671"/>
        <v>0</v>
      </c>
      <c r="Z1532">
        <f t="shared" ca="1" si="1619"/>
        <v>1</v>
      </c>
      <c r="AA1532">
        <f t="shared" ca="1" si="1620"/>
        <v>0</v>
      </c>
      <c r="AB1532" s="19">
        <f t="shared" ca="1" si="1621"/>
        <v>0.35330999932783441</v>
      </c>
      <c r="AC1532" s="19">
        <f t="shared" ca="1" si="1622"/>
        <v>0</v>
      </c>
    </row>
    <row r="1533" spans="3:29" x14ac:dyDescent="0.25">
      <c r="C1533" s="4">
        <v>1526</v>
      </c>
      <c r="D1533" s="28">
        <v>44176</v>
      </c>
      <c r="E1533" s="30">
        <v>15.959</v>
      </c>
      <c r="F1533" s="30">
        <v>41.260011559739077</v>
      </c>
      <c r="G1533" s="30">
        <v>6.66749236231525</v>
      </c>
      <c r="H1533" s="30">
        <v>72.661217075386006</v>
      </c>
      <c r="I1533" s="8">
        <v>0</v>
      </c>
      <c r="J1533" s="31">
        <v>0</v>
      </c>
      <c r="K1533" s="31">
        <v>0</v>
      </c>
      <c r="L1533" s="31">
        <v>0</v>
      </c>
      <c r="M1533" s="31">
        <v>0</v>
      </c>
      <c r="N1533" s="31">
        <v>0</v>
      </c>
      <c r="O1533" s="31">
        <v>0</v>
      </c>
      <c r="P1533" s="31">
        <v>0</v>
      </c>
      <c r="Q1533" s="31">
        <v>0</v>
      </c>
      <c r="R1533" s="31">
        <v>0</v>
      </c>
      <c r="S1533" s="31">
        <v>0</v>
      </c>
      <c r="T1533" s="21" cm="1">
        <f t="array" aca="1" ref="T1533" ca="1">+fair_value_gap(OFFSET(S1532,0,0,-1*$I$5,-1*$Z$1),OFFSET(E1532,0,0,-1*$I$5,1),F1533:S1533,0)</f>
        <v>15.076864607996541</v>
      </c>
      <c r="U1533" s="7" cm="1">
        <f t="array" aca="1" ref="U1533" ca="1">z_score_diff(OFFSET(T1533,0,0,$I$5*-1,1),OFFSET(E1533,0,0,$I$5*-1,1))</f>
        <v>-0.46476078540042853</v>
      </c>
      <c r="V1533" s="7">
        <f t="shared" ca="1" si="1617"/>
        <v>-0.2657756926337253</v>
      </c>
      <c r="W1533" s="14">
        <f t="shared" ca="1" si="1612"/>
        <v>0.49401744340552506</v>
      </c>
      <c r="X1533" s="10">
        <f t="shared" ref="X1533:Y1533" ca="1" si="1672">+X1532</f>
        <v>0</v>
      </c>
      <c r="Y1533" s="10">
        <f t="shared" ca="1" si="1672"/>
        <v>0</v>
      </c>
      <c r="Z1533">
        <f t="shared" ca="1" si="1619"/>
        <v>1</v>
      </c>
      <c r="AA1533">
        <f t="shared" ca="1" si="1620"/>
        <v>0</v>
      </c>
      <c r="AB1533" s="19">
        <f t="shared" ca="1" si="1621"/>
        <v>0.49401744340552506</v>
      </c>
      <c r="AC1533" s="19">
        <f t="shared" ca="1" si="1622"/>
        <v>0</v>
      </c>
    </row>
    <row r="1534" spans="3:29" x14ac:dyDescent="0.25">
      <c r="C1534" s="4">
        <v>1527</v>
      </c>
      <c r="D1534" s="28">
        <v>44179</v>
      </c>
      <c r="E1534" s="30">
        <v>16.606999999999999</v>
      </c>
      <c r="F1534" s="30">
        <v>41.414806884624888</v>
      </c>
      <c r="G1534" s="30">
        <v>6.7240385407230496</v>
      </c>
      <c r="H1534" s="30">
        <v>72.881495511817505</v>
      </c>
      <c r="I1534" s="8">
        <v>0</v>
      </c>
      <c r="J1534" s="31">
        <v>0</v>
      </c>
      <c r="K1534" s="31">
        <v>0</v>
      </c>
      <c r="L1534" s="31">
        <v>0</v>
      </c>
      <c r="M1534" s="31">
        <v>0</v>
      </c>
      <c r="N1534" s="31">
        <v>0</v>
      </c>
      <c r="O1534" s="31">
        <v>0</v>
      </c>
      <c r="P1534" s="31">
        <v>0</v>
      </c>
      <c r="Q1534" s="31">
        <v>0</v>
      </c>
      <c r="R1534" s="31">
        <v>0</v>
      </c>
      <c r="S1534" s="31">
        <v>0</v>
      </c>
      <c r="T1534" s="21" cm="1">
        <f t="array" aca="1" ref="T1534" ca="1">+fair_value_gap(OFFSET(S1533,0,0,-1*$I$5,-1*$Z$1),OFFSET(E1533,0,0,-1*$I$5,1),F1534:S1534,0)</f>
        <v>15.232830218809877</v>
      </c>
      <c r="U1534" s="7" cm="1">
        <f t="array" aca="1" ref="U1534" ca="1">z_score_diff(OFFSET(T1534,0,0,$I$5*-1,1),OFFSET(E1534,0,0,$I$5*-1,1))</f>
        <v>-0.59462105556217848</v>
      </c>
      <c r="V1534" s="7">
        <f t="shared" ca="1" si="1617"/>
        <v>-0.27782821310328992</v>
      </c>
      <c r="W1534" s="14">
        <f t="shared" ca="1" si="1612"/>
        <v>0.25822864190900108</v>
      </c>
      <c r="X1534" s="10">
        <f t="shared" ref="X1534:Y1534" ca="1" si="1673">+X1533</f>
        <v>0</v>
      </c>
      <c r="Y1534" s="10">
        <f t="shared" ca="1" si="1673"/>
        <v>0</v>
      </c>
      <c r="Z1534">
        <f t="shared" ca="1" si="1619"/>
        <v>1</v>
      </c>
      <c r="AA1534">
        <f t="shared" ca="1" si="1620"/>
        <v>0</v>
      </c>
      <c r="AB1534" s="19">
        <f t="shared" ca="1" si="1621"/>
        <v>0.25822864190900108</v>
      </c>
      <c r="AC1534" s="19">
        <f t="shared" ca="1" si="1622"/>
        <v>0</v>
      </c>
    </row>
    <row r="1535" spans="3:29" x14ac:dyDescent="0.25">
      <c r="C1535" s="4">
        <v>1528</v>
      </c>
      <c r="D1535" s="28">
        <v>44180</v>
      </c>
      <c r="E1535" s="30">
        <v>17.225000000000001</v>
      </c>
      <c r="F1535" s="30">
        <v>41.774339560529995</v>
      </c>
      <c r="G1535" s="30">
        <v>6.7261953748662657</v>
      </c>
      <c r="H1535" s="30">
        <v>74.067977944202113</v>
      </c>
      <c r="I1535" s="8">
        <v>0</v>
      </c>
      <c r="J1535" s="31">
        <v>0</v>
      </c>
      <c r="K1535" s="31">
        <v>0</v>
      </c>
      <c r="L1535" s="31">
        <v>0</v>
      </c>
      <c r="M1535" s="31">
        <v>0</v>
      </c>
      <c r="N1535" s="31">
        <v>0</v>
      </c>
      <c r="O1535" s="31">
        <v>0</v>
      </c>
      <c r="P1535" s="31">
        <v>0</v>
      </c>
      <c r="Q1535" s="31">
        <v>0</v>
      </c>
      <c r="R1535" s="31">
        <v>0</v>
      </c>
      <c r="S1535" s="31">
        <v>0</v>
      </c>
      <c r="T1535" s="21" cm="1">
        <f t="array" aca="1" ref="T1535" ca="1">+fair_value_gap(OFFSET(S1534,0,0,-1*$I$5,-1*$Z$1),OFFSET(E1534,0,0,-1*$I$5,1),F1535:S1535,0)</f>
        <v>15.46181912729379</v>
      </c>
      <c r="U1535" s="7" cm="1">
        <f t="array" aca="1" ref="U1535" ca="1">z_score_diff(OFFSET(T1535,0,0,$I$5*-1,1),OFFSET(E1535,0,0,$I$5*-1,1))</f>
        <v>-0.68695710868664728</v>
      </c>
      <c r="V1535" s="7">
        <f t="shared" ca="1" si="1617"/>
        <v>-0.299382390167377</v>
      </c>
      <c r="W1535" s="14">
        <f t="shared" ca="1" si="1612"/>
        <v>0.21389335266976817</v>
      </c>
      <c r="X1535" s="10">
        <f t="shared" ref="X1535:Y1535" ca="1" si="1674">+X1534</f>
        <v>0</v>
      </c>
      <c r="Y1535" s="10">
        <f t="shared" ca="1" si="1674"/>
        <v>0</v>
      </c>
      <c r="Z1535">
        <f t="shared" ca="1" si="1619"/>
        <v>1</v>
      </c>
      <c r="AA1535">
        <f t="shared" ca="1" si="1620"/>
        <v>0</v>
      </c>
      <c r="AB1535" s="19">
        <f t="shared" ca="1" si="1621"/>
        <v>0.21389335266976817</v>
      </c>
      <c r="AC1535" s="19">
        <f t="shared" ca="1" si="1622"/>
        <v>0</v>
      </c>
    </row>
    <row r="1536" spans="3:29" x14ac:dyDescent="0.25">
      <c r="C1536" s="4">
        <v>1529</v>
      </c>
      <c r="D1536" s="28">
        <v>44181</v>
      </c>
      <c r="E1536" s="30">
        <v>16.381</v>
      </c>
      <c r="F1536" s="30">
        <v>41.879150610805937</v>
      </c>
      <c r="G1536" s="30">
        <v>8.5553824710994508</v>
      </c>
      <c r="H1536" s="30">
        <v>73.542674428138071</v>
      </c>
      <c r="I1536" s="8">
        <v>0</v>
      </c>
      <c r="J1536" s="31">
        <v>0</v>
      </c>
      <c r="K1536" s="31">
        <v>0</v>
      </c>
      <c r="L1536" s="31">
        <v>0</v>
      </c>
      <c r="M1536" s="31">
        <v>0</v>
      </c>
      <c r="N1536" s="31">
        <v>0</v>
      </c>
      <c r="O1536" s="31">
        <v>0</v>
      </c>
      <c r="P1536" s="31">
        <v>0</v>
      </c>
      <c r="Q1536" s="31">
        <v>0</v>
      </c>
      <c r="R1536" s="31">
        <v>0</v>
      </c>
      <c r="S1536" s="31">
        <v>0</v>
      </c>
      <c r="T1536" s="21" cm="1">
        <f t="array" aca="1" ref="T1536" ca="1">+fair_value_gap(OFFSET(S1535,0,0,-1*$I$5,-1*$Z$1),OFFSET(E1535,0,0,-1*$I$5,1),F1536:S1536,0)</f>
        <v>18.173859256062507</v>
      </c>
      <c r="U1536" s="7" cm="1">
        <f t="array" aca="1" ref="U1536" ca="1">z_score_diff(OFFSET(T1536,0,0,$I$5*-1,1),OFFSET(E1536,0,0,$I$5*-1,1))</f>
        <v>0.32597095157984546</v>
      </c>
      <c r="V1536" s="7">
        <f t="shared" ca="1" si="1617"/>
        <v>-0.2731995153177581</v>
      </c>
      <c r="W1536" s="14">
        <f t="shared" ca="1" si="1612"/>
        <v>0.20956047778466466</v>
      </c>
      <c r="X1536" s="10">
        <f t="shared" ref="X1536:Y1536" ca="1" si="1675">+X1535</f>
        <v>0</v>
      </c>
      <c r="Y1536" s="10">
        <f t="shared" ca="1" si="1675"/>
        <v>0</v>
      </c>
      <c r="Z1536">
        <f t="shared" ca="1" si="1619"/>
        <v>1</v>
      </c>
      <c r="AA1536">
        <f t="shared" ca="1" si="1620"/>
        <v>0</v>
      </c>
      <c r="AB1536" s="19">
        <f t="shared" ca="1" si="1621"/>
        <v>0.20956047778466466</v>
      </c>
      <c r="AC1536" s="19">
        <f t="shared" ca="1" si="1622"/>
        <v>0</v>
      </c>
    </row>
    <row r="1537" spans="3:29" x14ac:dyDescent="0.25">
      <c r="C1537" s="4">
        <v>1530</v>
      </c>
      <c r="D1537" s="28">
        <v>44182</v>
      </c>
      <c r="E1537" s="30">
        <v>15.941000000000001</v>
      </c>
      <c r="F1537" s="30">
        <v>41.98597749877711</v>
      </c>
      <c r="G1537" s="30">
        <v>8.2463720854394271</v>
      </c>
      <c r="H1537" s="30">
        <v>73.251263655633466</v>
      </c>
      <c r="I1537" s="8">
        <v>0</v>
      </c>
      <c r="J1537" s="31">
        <v>0</v>
      </c>
      <c r="K1537" s="31">
        <v>0</v>
      </c>
      <c r="L1537" s="31">
        <v>0</v>
      </c>
      <c r="M1537" s="31">
        <v>0</v>
      </c>
      <c r="N1537" s="31">
        <v>0</v>
      </c>
      <c r="O1537" s="31">
        <v>0</v>
      </c>
      <c r="P1537" s="31">
        <v>0</v>
      </c>
      <c r="Q1537" s="31">
        <v>0</v>
      </c>
      <c r="R1537" s="31">
        <v>0</v>
      </c>
      <c r="S1537" s="31">
        <v>0</v>
      </c>
      <c r="T1537" s="21" cm="1">
        <f t="array" aca="1" ref="T1537" ca="1">+fair_value_gap(OFFSET(S1536,0,0,-1*$I$5,-1*$Z$1),OFFSET(E1536,0,0,-1*$I$5,1),F1537:S1537,0)</f>
        <v>17.464651911447049</v>
      </c>
      <c r="U1537" s="7" cm="1">
        <f t="array" aca="1" ref="U1537" ca="1">z_score_diff(OFFSET(T1537,0,0,$I$5*-1,1),OFFSET(E1537,0,0,$I$5*-1,1))</f>
        <v>0.24533930145651706</v>
      </c>
      <c r="V1537" s="7">
        <f t="shared" ca="1" si="1617"/>
        <v>-0.25774964434593667</v>
      </c>
      <c r="W1537" s="14">
        <f t="shared" ca="1" si="1612"/>
        <v>0.17691205813275571</v>
      </c>
      <c r="X1537" s="10">
        <f t="shared" ref="X1537:Y1537" ca="1" si="1676">+X1536</f>
        <v>0</v>
      </c>
      <c r="Y1537" s="10">
        <f t="shared" ca="1" si="1676"/>
        <v>0</v>
      </c>
      <c r="Z1537">
        <f t="shared" ca="1" si="1619"/>
        <v>1</v>
      </c>
      <c r="AA1537">
        <f t="shared" ca="1" si="1620"/>
        <v>0</v>
      </c>
      <c r="AB1537" s="19">
        <f t="shared" ca="1" si="1621"/>
        <v>0.17691205813275571</v>
      </c>
      <c r="AC1537" s="19">
        <f t="shared" ca="1" si="1622"/>
        <v>0</v>
      </c>
    </row>
    <row r="1538" spans="3:29" x14ac:dyDescent="0.25">
      <c r="C1538" s="4">
        <v>1531</v>
      </c>
      <c r="D1538" s="28">
        <v>44183</v>
      </c>
      <c r="E1538" s="30">
        <v>15.885999999999999</v>
      </c>
      <c r="F1538" s="30">
        <v>42.643818849449204</v>
      </c>
      <c r="G1538" s="30">
        <v>7.8824969400244793</v>
      </c>
      <c r="H1538" s="30">
        <v>73.439412484700114</v>
      </c>
      <c r="I1538" s="8">
        <v>0</v>
      </c>
      <c r="J1538" s="31">
        <v>0</v>
      </c>
      <c r="K1538" s="31">
        <v>0</v>
      </c>
      <c r="L1538" s="31">
        <v>0</v>
      </c>
      <c r="M1538" s="31">
        <v>0</v>
      </c>
      <c r="N1538" s="31">
        <v>0</v>
      </c>
      <c r="O1538" s="31">
        <v>0</v>
      </c>
      <c r="P1538" s="31">
        <v>0</v>
      </c>
      <c r="Q1538" s="31">
        <v>0</v>
      </c>
      <c r="R1538" s="31">
        <v>0</v>
      </c>
      <c r="S1538" s="31">
        <v>0</v>
      </c>
      <c r="T1538" s="21" cm="1">
        <f t="array" aca="1" ref="T1538" ca="1">+fair_value_gap(OFFSET(S1537,0,0,-1*$I$5,-1*$Z$1),OFFSET(E1537,0,0,-1*$I$5,1),F1538:S1538,0)</f>
        <v>16.881743730676078</v>
      </c>
      <c r="U1538" s="7" cm="1">
        <f t="array" aca="1" ref="U1538" ca="1">z_score_diff(OFFSET(T1538,0,0,$I$5*-1,1),OFFSET(E1538,0,0,$I$5*-1,1))</f>
        <v>9.7003596495855771E-2</v>
      </c>
      <c r="V1538" s="7">
        <f t="shared" ca="1" si="1617"/>
        <v>-0.25347069747116369</v>
      </c>
      <c r="W1538" s="14">
        <f t="shared" ca="1" si="1612"/>
        <v>0.2465118333658847</v>
      </c>
      <c r="X1538" s="10">
        <f t="shared" ref="X1538:Y1538" ca="1" si="1677">+X1537</f>
        <v>0</v>
      </c>
      <c r="Y1538" s="10">
        <f t="shared" ca="1" si="1677"/>
        <v>0</v>
      </c>
      <c r="Z1538">
        <f t="shared" ca="1" si="1619"/>
        <v>1</v>
      </c>
      <c r="AA1538">
        <f t="shared" ca="1" si="1620"/>
        <v>0</v>
      </c>
      <c r="AB1538" s="19">
        <f t="shared" ca="1" si="1621"/>
        <v>0.2465118333658847</v>
      </c>
      <c r="AC1538" s="19">
        <f t="shared" ca="1" si="1622"/>
        <v>0</v>
      </c>
    </row>
    <row r="1539" spans="3:29" x14ac:dyDescent="0.25">
      <c r="C1539" s="4">
        <v>1532</v>
      </c>
      <c r="D1539" s="28">
        <v>44186</v>
      </c>
      <c r="E1539" s="30">
        <v>16.795000000000002</v>
      </c>
      <c r="F1539" s="30">
        <v>41.586342100963897</v>
      </c>
      <c r="G1539" s="30">
        <v>8.2094429014866854</v>
      </c>
      <c r="H1539" s="30">
        <v>73.517399117791214</v>
      </c>
      <c r="I1539" s="8">
        <v>0</v>
      </c>
      <c r="J1539" s="31">
        <v>0</v>
      </c>
      <c r="K1539" s="31">
        <v>0</v>
      </c>
      <c r="L1539" s="31">
        <v>0</v>
      </c>
      <c r="M1539" s="31">
        <v>0</v>
      </c>
      <c r="N1539" s="31">
        <v>0</v>
      </c>
      <c r="O1539" s="31">
        <v>0</v>
      </c>
      <c r="P1539" s="31">
        <v>0</v>
      </c>
      <c r="Q1539" s="31">
        <v>0</v>
      </c>
      <c r="R1539" s="31">
        <v>0</v>
      </c>
      <c r="S1539" s="31">
        <v>0</v>
      </c>
      <c r="T1539" s="21" cm="1">
        <f t="array" aca="1" ref="T1539" ca="1">+fair_value_gap(OFFSET(S1538,0,0,-1*$I$5,-1*$Z$1),OFFSET(E1538,0,0,-1*$I$5,1),F1539:S1539,0)</f>
        <v>17.154622851211641</v>
      </c>
      <c r="U1539" s="7" cm="1">
        <f t="array" aca="1" ref="U1539" ca="1">z_score_diff(OFFSET(T1539,0,0,$I$5*-1,1),OFFSET(E1539,0,0,$I$5*-1,1))</f>
        <v>-6.1494950344546773E-2</v>
      </c>
      <c r="V1539" s="7">
        <f t="shared" ca="1" si="1617"/>
        <v>-0.25008036262593564</v>
      </c>
      <c r="W1539" s="14">
        <f t="shared" ca="1" si="1612"/>
        <v>0.18756727575628121</v>
      </c>
      <c r="X1539" s="10">
        <f t="shared" ref="X1539:Y1539" ca="1" si="1678">+X1538</f>
        <v>0</v>
      </c>
      <c r="Y1539" s="10">
        <f t="shared" ca="1" si="1678"/>
        <v>0</v>
      </c>
      <c r="Z1539">
        <f t="shared" ca="1" si="1619"/>
        <v>1</v>
      </c>
      <c r="AA1539">
        <f t="shared" ca="1" si="1620"/>
        <v>0</v>
      </c>
      <c r="AB1539" s="19">
        <f t="shared" ca="1" si="1621"/>
        <v>0.18756727575628121</v>
      </c>
      <c r="AC1539" s="19">
        <f t="shared" ca="1" si="1622"/>
        <v>0</v>
      </c>
    </row>
    <row r="1540" spans="3:29" x14ac:dyDescent="0.25">
      <c r="C1540" s="4">
        <v>1533</v>
      </c>
      <c r="D1540" s="28">
        <v>44187</v>
      </c>
      <c r="E1540" s="30">
        <v>17.635999999999999</v>
      </c>
      <c r="F1540" s="30">
        <v>41.180823945399226</v>
      </c>
      <c r="G1540" s="30">
        <v>8.8438450785297267</v>
      </c>
      <c r="H1540" s="30">
        <v>74.00707178685964</v>
      </c>
      <c r="I1540" s="8">
        <v>0</v>
      </c>
      <c r="J1540" s="31">
        <v>0</v>
      </c>
      <c r="K1540" s="31">
        <v>0</v>
      </c>
      <c r="L1540" s="31">
        <v>0</v>
      </c>
      <c r="M1540" s="31">
        <v>0</v>
      </c>
      <c r="N1540" s="31">
        <v>0</v>
      </c>
      <c r="O1540" s="31">
        <v>0</v>
      </c>
      <c r="P1540" s="31">
        <v>0</v>
      </c>
      <c r="Q1540" s="31">
        <v>0</v>
      </c>
      <c r="R1540" s="31">
        <v>0</v>
      </c>
      <c r="S1540" s="31">
        <v>0</v>
      </c>
      <c r="T1540" s="21" cm="1">
        <f t="array" aca="1" ref="T1540" ca="1">+fair_value_gap(OFFSET(S1539,0,0,-1*$I$5,-1*$Z$1),OFFSET(E1539,0,0,-1*$I$5,1),F1540:S1540,0)</f>
        <v>17.832443040275525</v>
      </c>
      <c r="U1540" s="7" cm="1">
        <f t="array" aca="1" ref="U1540" ca="1">z_score_diff(OFFSET(T1540,0,0,$I$5*-1,1),OFFSET(E1540,0,0,$I$5*-1,1))</f>
        <v>-9.4834403803052414E-2</v>
      </c>
      <c r="V1540" s="7">
        <f t="shared" ca="1" si="1617"/>
        <v>-0.2463526811349655</v>
      </c>
      <c r="W1540" s="14">
        <f t="shared" ca="1" si="1612"/>
        <v>0.12893505520237272</v>
      </c>
      <c r="X1540" s="10">
        <f t="shared" ref="X1540:Y1540" ca="1" si="1679">+X1539</f>
        <v>0</v>
      </c>
      <c r="Y1540" s="10">
        <f t="shared" ca="1" si="1679"/>
        <v>0</v>
      </c>
      <c r="Z1540">
        <f t="shared" ca="1" si="1619"/>
        <v>1</v>
      </c>
      <c r="AA1540">
        <f t="shared" ca="1" si="1620"/>
        <v>0</v>
      </c>
      <c r="AB1540" s="19">
        <f t="shared" ca="1" si="1621"/>
        <v>0.12893505520237272</v>
      </c>
      <c r="AC1540" s="19">
        <f t="shared" ca="1" si="1622"/>
        <v>0</v>
      </c>
    </row>
    <row r="1541" spans="3:29" x14ac:dyDescent="0.25">
      <c r="C1541" s="4">
        <v>1534</v>
      </c>
      <c r="D1541" s="28">
        <v>44188</v>
      </c>
      <c r="E1541" s="30">
        <v>17.507000000000001</v>
      </c>
      <c r="F1541" s="30">
        <v>42.018875666803453</v>
      </c>
      <c r="G1541" s="30">
        <v>8.6376692654903575</v>
      </c>
      <c r="H1541" s="30">
        <v>73.861304883052938</v>
      </c>
      <c r="I1541" s="8">
        <v>0</v>
      </c>
      <c r="J1541" s="31">
        <v>0</v>
      </c>
      <c r="K1541" s="31">
        <v>0</v>
      </c>
      <c r="L1541" s="31">
        <v>0</v>
      </c>
      <c r="M1541" s="31">
        <v>0</v>
      </c>
      <c r="N1541" s="31">
        <v>0</v>
      </c>
      <c r="O1541" s="31">
        <v>0</v>
      </c>
      <c r="P1541" s="31">
        <v>0</v>
      </c>
      <c r="Q1541" s="31">
        <v>0</v>
      </c>
      <c r="R1541" s="31">
        <v>0</v>
      </c>
      <c r="S1541" s="31">
        <v>0</v>
      </c>
      <c r="T1541" s="21" cm="1">
        <f t="array" aca="1" ref="T1541" ca="1">+fair_value_gap(OFFSET(S1540,0,0,-1*$I$5,-1*$Z$1),OFFSET(E1540,0,0,-1*$I$5,1),F1541:S1541,0)</f>
        <v>17.578250124055209</v>
      </c>
      <c r="U1541" s="7" cm="1">
        <f t="array" aca="1" ref="U1541" ca="1">z_score_diff(OFFSET(T1541,0,0,$I$5*-1,1),OFFSET(E1541,0,0,$I$5*-1,1))</f>
        <v>-0.11574167907443922</v>
      </c>
      <c r="V1541" s="7">
        <f t="shared" ca="1" si="1617"/>
        <v>-0.24641552697894128</v>
      </c>
      <c r="W1541" s="14">
        <f t="shared" ca="1" si="1612"/>
        <v>0.20466112374211709</v>
      </c>
      <c r="X1541" s="10">
        <f t="shared" ref="X1541:Y1541" ca="1" si="1680">+X1540</f>
        <v>0</v>
      </c>
      <c r="Y1541" s="10">
        <f t="shared" ca="1" si="1680"/>
        <v>0</v>
      </c>
      <c r="Z1541">
        <f t="shared" ca="1" si="1619"/>
        <v>1</v>
      </c>
      <c r="AA1541">
        <f t="shared" ca="1" si="1620"/>
        <v>0</v>
      </c>
      <c r="AB1541" s="19">
        <f t="shared" ca="1" si="1621"/>
        <v>0.20466112374211709</v>
      </c>
      <c r="AC1541" s="19">
        <f t="shared" ca="1" si="1622"/>
        <v>0</v>
      </c>
    </row>
    <row r="1542" spans="3:29" x14ac:dyDescent="0.25">
      <c r="C1542" s="4">
        <v>1535</v>
      </c>
      <c r="D1542" s="28">
        <v>44189</v>
      </c>
      <c r="E1542" s="30">
        <v>17.649000000000001</v>
      </c>
      <c r="F1542" s="30">
        <v>42.08928278352208</v>
      </c>
      <c r="G1542" s="30">
        <v>9.0267520105038574</v>
      </c>
      <c r="H1542" s="30">
        <v>74.019366486131631</v>
      </c>
      <c r="I1542" s="8">
        <v>0</v>
      </c>
      <c r="J1542" s="31">
        <v>0</v>
      </c>
      <c r="K1542" s="31">
        <v>0</v>
      </c>
      <c r="L1542" s="31">
        <v>0</v>
      </c>
      <c r="M1542" s="31">
        <v>0</v>
      </c>
      <c r="N1542" s="31">
        <v>0</v>
      </c>
      <c r="O1542" s="31">
        <v>0</v>
      </c>
      <c r="P1542" s="31">
        <v>0</v>
      </c>
      <c r="Q1542" s="31">
        <v>0</v>
      </c>
      <c r="R1542" s="31">
        <v>0</v>
      </c>
      <c r="S1542" s="31">
        <v>0</v>
      </c>
      <c r="T1542" s="21" cm="1">
        <f t="array" aca="1" ref="T1542" ca="1">+fair_value_gap(OFFSET(S1541,0,0,-1*$I$5,-1*$Z$1),OFFSET(E1541,0,0,-1*$I$5,1),F1542:S1542,0)</f>
        <v>17.98208710721206</v>
      </c>
      <c r="U1542" s="7" cm="1">
        <f t="array" aca="1" ref="U1542" ca="1">z_score_diff(OFFSET(T1542,0,0,$I$5*-1,1),OFFSET(E1542,0,0,$I$5*-1,1))</f>
        <v>-2.7281117262023979E-2</v>
      </c>
      <c r="V1542" s="7">
        <f t="shared" ca="1" si="1617"/>
        <v>-0.24160827893795309</v>
      </c>
      <c r="W1542" s="14">
        <f t="shared" ca="1" si="1612"/>
        <v>0.133120520081321</v>
      </c>
      <c r="X1542" s="10">
        <f t="shared" ref="X1542:Y1542" ca="1" si="1681">+X1541</f>
        <v>0</v>
      </c>
      <c r="Y1542" s="10">
        <f t="shared" ca="1" si="1681"/>
        <v>0</v>
      </c>
      <c r="Z1542">
        <f t="shared" ca="1" si="1619"/>
        <v>1</v>
      </c>
      <c r="AA1542">
        <f t="shared" ca="1" si="1620"/>
        <v>0</v>
      </c>
      <c r="AB1542" s="19">
        <f t="shared" ca="1" si="1621"/>
        <v>0.133120520081321</v>
      </c>
      <c r="AC1542" s="19">
        <f t="shared" ca="1" si="1622"/>
        <v>0</v>
      </c>
    </row>
    <row r="1543" spans="3:29" x14ac:dyDescent="0.25">
      <c r="C1543" s="4">
        <v>1536</v>
      </c>
      <c r="D1543" s="28">
        <v>44193</v>
      </c>
      <c r="E1543" s="30">
        <v>19.152000000000001</v>
      </c>
      <c r="F1543" s="30">
        <v>41.640740134272143</v>
      </c>
      <c r="G1543" s="30">
        <v>9.0756508924185368</v>
      </c>
      <c r="H1543" s="30">
        <v>74.709349926314061</v>
      </c>
      <c r="I1543" s="8">
        <v>0</v>
      </c>
      <c r="J1543" s="31">
        <v>0</v>
      </c>
      <c r="K1543" s="31">
        <v>0</v>
      </c>
      <c r="L1543" s="31">
        <v>0</v>
      </c>
      <c r="M1543" s="31">
        <v>0</v>
      </c>
      <c r="N1543" s="31">
        <v>0</v>
      </c>
      <c r="O1543" s="31">
        <v>0</v>
      </c>
      <c r="P1543" s="31">
        <v>0</v>
      </c>
      <c r="Q1543" s="31">
        <v>0</v>
      </c>
      <c r="R1543" s="31">
        <v>0</v>
      </c>
      <c r="S1543" s="31">
        <v>0</v>
      </c>
      <c r="T1543" s="21" cm="1">
        <f t="array" aca="1" ref="T1543" ca="1">+fair_value_gap(OFFSET(S1542,0,0,-1*$I$5,-1*$Z$1),OFFSET(E1542,0,0,-1*$I$5,1),F1543:S1543,0)</f>
        <v>18.030239326756238</v>
      </c>
      <c r="U1543" s="7" cm="1">
        <f t="array" aca="1" ref="U1543" ca="1">z_score_diff(OFFSET(T1543,0,0,$I$5*-1,1),OFFSET(E1543,0,0,$I$5*-1,1))</f>
        <v>-0.39560950172809983</v>
      </c>
      <c r="V1543" s="7">
        <f t="shared" ca="1" si="1617"/>
        <v>-0.24908415110571108</v>
      </c>
      <c r="W1543" s="14">
        <f t="shared" ref="W1543:W1606" ca="1" si="1682">+LN(OFFSET(E1543,$W$3,0,1,1)/E1543)</f>
        <v>1.8468748739506994E-2</v>
      </c>
      <c r="X1543" s="10">
        <f t="shared" ref="X1543:Y1543" ca="1" si="1683">+X1542</f>
        <v>0</v>
      </c>
      <c r="Y1543" s="10">
        <f t="shared" ca="1" si="1683"/>
        <v>0</v>
      </c>
      <c r="Z1543">
        <f t="shared" ca="1" si="1619"/>
        <v>1</v>
      </c>
      <c r="AA1543">
        <f t="shared" ca="1" si="1620"/>
        <v>0</v>
      </c>
      <c r="AB1543" s="19">
        <f t="shared" ca="1" si="1621"/>
        <v>1.8468748739506994E-2</v>
      </c>
      <c r="AC1543" s="19">
        <f t="shared" ca="1" si="1622"/>
        <v>0</v>
      </c>
    </row>
    <row r="1544" spans="3:29" x14ac:dyDescent="0.25">
      <c r="C1544" s="4">
        <v>1537</v>
      </c>
      <c r="D1544" s="28">
        <v>44194</v>
      </c>
      <c r="E1544" s="30">
        <v>18.774000000000001</v>
      </c>
      <c r="F1544" s="30">
        <v>41.716338695190665</v>
      </c>
      <c r="G1544" s="30">
        <v>9.8799706050461342</v>
      </c>
      <c r="H1544" s="30">
        <v>72.425900220462168</v>
      </c>
      <c r="I1544" s="8">
        <v>0</v>
      </c>
      <c r="J1544" s="31">
        <v>0</v>
      </c>
      <c r="K1544" s="31">
        <v>0</v>
      </c>
      <c r="L1544" s="31">
        <v>0</v>
      </c>
      <c r="M1544" s="31">
        <v>0</v>
      </c>
      <c r="N1544" s="31">
        <v>0</v>
      </c>
      <c r="O1544" s="31">
        <v>0</v>
      </c>
      <c r="P1544" s="31">
        <v>0</v>
      </c>
      <c r="Q1544" s="31">
        <v>0</v>
      </c>
      <c r="R1544" s="31">
        <v>0</v>
      </c>
      <c r="S1544" s="31">
        <v>0</v>
      </c>
      <c r="T1544" s="21" cm="1">
        <f t="array" aca="1" ref="T1544" ca="1">+fair_value_gap(OFFSET(S1543,0,0,-1*$I$5,-1*$Z$1),OFFSET(E1543,0,0,-1*$I$5,1),F1544:S1544,0)</f>
        <v>18.805315120335727</v>
      </c>
      <c r="U1544" s="7" cm="1">
        <f t="array" aca="1" ref="U1544" ca="1">z_score_diff(OFFSET(T1544,0,0,$I$5*-1,1),OFFSET(E1544,0,0,$I$5*-1,1))</f>
        <v>-6.1609125596899794E-2</v>
      </c>
      <c r="V1544" s="7">
        <f t="shared" ca="1" si="1617"/>
        <v>-0.24330611950099007</v>
      </c>
      <c r="W1544" s="14">
        <f t="shared" ca="1" si="1682"/>
        <v>4.8196461962145262E-2</v>
      </c>
      <c r="X1544" s="10">
        <f t="shared" ref="X1544:Y1544" ca="1" si="1684">+X1543</f>
        <v>0</v>
      </c>
      <c r="Y1544" s="10">
        <f t="shared" ca="1" si="1684"/>
        <v>0</v>
      </c>
      <c r="Z1544">
        <f t="shared" ca="1" si="1619"/>
        <v>1</v>
      </c>
      <c r="AA1544">
        <f t="shared" ca="1" si="1620"/>
        <v>0</v>
      </c>
      <c r="AB1544" s="19">
        <f t="shared" ca="1" si="1621"/>
        <v>4.8196461962145262E-2</v>
      </c>
      <c r="AC1544" s="19">
        <f t="shared" ca="1" si="1622"/>
        <v>0</v>
      </c>
    </row>
    <row r="1545" spans="3:29" x14ac:dyDescent="0.25">
      <c r="C1545" s="4">
        <v>1538</v>
      </c>
      <c r="D1545" s="28">
        <v>44195</v>
      </c>
      <c r="E1545" s="30">
        <v>19.001000000000001</v>
      </c>
      <c r="F1545" s="30">
        <v>41.756811712078083</v>
      </c>
      <c r="G1545" s="30">
        <v>10.406669377795852</v>
      </c>
      <c r="H1545" s="30">
        <v>71.28914192761286</v>
      </c>
      <c r="I1545" s="8">
        <v>0</v>
      </c>
      <c r="J1545" s="31">
        <v>0</v>
      </c>
      <c r="K1545" s="31">
        <v>0</v>
      </c>
      <c r="L1545" s="31">
        <v>0</v>
      </c>
      <c r="M1545" s="31">
        <v>0</v>
      </c>
      <c r="N1545" s="31">
        <v>0</v>
      </c>
      <c r="O1545" s="31">
        <v>0</v>
      </c>
      <c r="P1545" s="31">
        <v>0</v>
      </c>
      <c r="Q1545" s="31">
        <v>0</v>
      </c>
      <c r="R1545" s="31">
        <v>0</v>
      </c>
      <c r="S1545" s="31">
        <v>0</v>
      </c>
      <c r="T1545" s="21" cm="1">
        <f t="array" aca="1" ref="T1545" ca="1">+fair_value_gap(OFFSET(S1544,0,0,-1*$I$5,-1*$Z$1),OFFSET(E1544,0,0,-1*$I$5,1),F1545:S1545,0)</f>
        <v>19.252111596458995</v>
      </c>
      <c r="U1545" s="7" cm="1">
        <f t="array" aca="1" ref="U1545" ca="1">z_score_diff(OFFSET(T1545,0,0,$I$5*-1,1),OFFSET(E1545,0,0,$I$5*-1,1))</f>
        <v>2.0675597476036423E-2</v>
      </c>
      <c r="V1545" s="7">
        <f t="shared" ca="1" si="1617"/>
        <v>-0.2116886908742055</v>
      </c>
      <c r="W1545" s="14">
        <f t="shared" ca="1" si="1682"/>
        <v>9.5640251490280478E-2</v>
      </c>
      <c r="X1545" s="10">
        <f t="shared" ref="X1545:Y1545" ca="1" si="1685">+X1544</f>
        <v>0</v>
      </c>
      <c r="Y1545" s="10">
        <f t="shared" ca="1" si="1685"/>
        <v>0</v>
      </c>
      <c r="Z1545">
        <f t="shared" ca="1" si="1619"/>
        <v>1</v>
      </c>
      <c r="AA1545">
        <f t="shared" ca="1" si="1620"/>
        <v>0</v>
      </c>
      <c r="AB1545" s="19">
        <f t="shared" ca="1" si="1621"/>
        <v>9.5640251490280478E-2</v>
      </c>
      <c r="AC1545" s="19">
        <f t="shared" ca="1" si="1622"/>
        <v>0</v>
      </c>
    </row>
    <row r="1546" spans="3:29" x14ac:dyDescent="0.25">
      <c r="C1546" s="4">
        <v>1539</v>
      </c>
      <c r="D1546" s="28">
        <v>44196</v>
      </c>
      <c r="E1546" s="30">
        <v>19.123000000000001</v>
      </c>
      <c r="F1546" s="30">
        <v>42.413821337918606</v>
      </c>
      <c r="G1546" s="30">
        <v>11.708834848112668</v>
      </c>
      <c r="H1546" s="30">
        <v>71.276508638336196</v>
      </c>
      <c r="I1546" s="8">
        <v>0</v>
      </c>
      <c r="J1546" s="31">
        <v>0</v>
      </c>
      <c r="K1546" s="31">
        <v>0</v>
      </c>
      <c r="L1546" s="31">
        <v>0</v>
      </c>
      <c r="M1546" s="31">
        <v>0</v>
      </c>
      <c r="N1546" s="31">
        <v>0</v>
      </c>
      <c r="O1546" s="31">
        <v>0</v>
      </c>
      <c r="P1546" s="31">
        <v>0</v>
      </c>
      <c r="Q1546" s="31">
        <v>0</v>
      </c>
      <c r="R1546" s="31">
        <v>0</v>
      </c>
      <c r="S1546" s="31">
        <v>0</v>
      </c>
      <c r="T1546" s="21" cm="1">
        <f t="array" aca="1" ref="T1546" ca="1">+fair_value_gap(OFFSET(S1545,0,0,-1*$I$5,-1*$Z$1),OFFSET(E1545,0,0,-1*$I$5,1),F1546:S1546,0)</f>
        <v>20.619105375884232</v>
      </c>
      <c r="U1546" s="7" cm="1">
        <f t="array" aca="1" ref="U1546" ca="1">z_score_diff(OFFSET(T1546,0,0,$I$5*-1,1),OFFSET(E1546,0,0,$I$5*-1,1))</f>
        <v>0.36106561288986105</v>
      </c>
      <c r="V1546" s="7">
        <f t="shared" ca="1" si="1617"/>
        <v>-0.17033773922720508</v>
      </c>
      <c r="W1546" s="14">
        <f t="shared" ca="1" si="1682"/>
        <v>3.5749274461373291E-2</v>
      </c>
      <c r="X1546" s="10">
        <f t="shared" ref="X1546:Y1546" ca="1" si="1686">+X1545</f>
        <v>0</v>
      </c>
      <c r="Y1546" s="10">
        <f t="shared" ca="1" si="1686"/>
        <v>0</v>
      </c>
      <c r="Z1546">
        <f t="shared" ca="1" si="1619"/>
        <v>1</v>
      </c>
      <c r="AA1546">
        <f t="shared" ca="1" si="1620"/>
        <v>0</v>
      </c>
      <c r="AB1546" s="19">
        <f t="shared" ca="1" si="1621"/>
        <v>3.5749274461373291E-2</v>
      </c>
      <c r="AC1546" s="19">
        <f t="shared" ca="1" si="1622"/>
        <v>0</v>
      </c>
    </row>
    <row r="1547" spans="3:29" x14ac:dyDescent="0.25">
      <c r="C1547" s="4">
        <v>1540</v>
      </c>
      <c r="D1547" s="28">
        <v>44200</v>
      </c>
      <c r="E1547" s="30">
        <v>19.844000000000001</v>
      </c>
      <c r="F1547" s="30">
        <v>41.71293272370999</v>
      </c>
      <c r="G1547" s="30">
        <v>12.189745264532984</v>
      </c>
      <c r="H1547" s="30">
        <v>69.970607446113647</v>
      </c>
      <c r="I1547" s="8">
        <v>1</v>
      </c>
      <c r="J1547" s="31">
        <v>0</v>
      </c>
      <c r="K1547" s="31">
        <v>0</v>
      </c>
      <c r="L1547" s="31">
        <v>0</v>
      </c>
      <c r="M1547" s="31">
        <v>0</v>
      </c>
      <c r="N1547" s="31">
        <v>0</v>
      </c>
      <c r="O1547" s="31">
        <v>0</v>
      </c>
      <c r="P1547" s="31">
        <v>0</v>
      </c>
      <c r="Q1547" s="31">
        <v>0</v>
      </c>
      <c r="R1547" s="31">
        <v>0</v>
      </c>
      <c r="S1547" s="31">
        <v>0</v>
      </c>
      <c r="T1547" s="21" cm="1">
        <f t="array" aca="1" ref="T1547" ca="1">+fair_value_gap(OFFSET(S1546,0,0,-1*$I$5,-1*$Z$1),OFFSET(E1546,0,0,-1*$I$5,1),F1547:S1547,0)</f>
        <v>17.382970935005243</v>
      </c>
      <c r="U1547" s="7" cm="1">
        <f t="array" aca="1" ref="U1547" ca="1">z_score_diff(OFFSET(T1547,0,0,$I$5*-1,1),OFFSET(E1547,0,0,$I$5*-1,1))</f>
        <v>-0.66715920064931122</v>
      </c>
      <c r="V1547" s="7">
        <f t="shared" ref="V1547:V1607" ca="1" si="1687">+IF(ISERROR(AVERAGE(OFFSET(U1547,0,0,$V$5*-1,1))),"",AVERAGE(OFFSET(U1547,0,0,$V$5*-1,1)))</f>
        <v>-0.19260486364358806</v>
      </c>
      <c r="W1547" s="14">
        <f t="shared" ca="1" si="1682"/>
        <v>-8.9837378062970208E-2</v>
      </c>
      <c r="X1547" s="10">
        <f t="shared" ref="X1547:Y1547" ca="1" si="1688">+X1546</f>
        <v>0</v>
      </c>
      <c r="Y1547" s="10">
        <f t="shared" ca="1" si="1688"/>
        <v>0</v>
      </c>
      <c r="Z1547">
        <f t="shared" ref="Z1547:Z1607" ca="1" si="1689">+IF(V1547="","",IF(V1547&lt;X1547,1,0))</f>
        <v>1</v>
      </c>
      <c r="AA1547">
        <f t="shared" ref="AA1547:AA1607" ca="1" si="1690">+IF(V1547="","",IF(V1547&gt;Y1547,1,0))</f>
        <v>0</v>
      </c>
      <c r="AB1547" s="19">
        <f t="shared" ref="AB1547:AB1607" ca="1" si="1691">+IF(ISERROR(Z1547*W1547),"",Z1547*W1547)</f>
        <v>-8.9837378062970208E-2</v>
      </c>
      <c r="AC1547" s="19">
        <f t="shared" ref="AC1547:AC1607" ca="1" si="1692">+IF(ISERROR(AA1547*W1547),"",AA1547*W1547)</f>
        <v>0</v>
      </c>
    </row>
    <row r="1548" spans="3:29" x14ac:dyDescent="0.25">
      <c r="C1548" s="4">
        <v>1541</v>
      </c>
      <c r="D1548" s="28">
        <v>44201</v>
      </c>
      <c r="E1548" s="30">
        <v>18.007000000000001</v>
      </c>
      <c r="F1548" s="30">
        <v>43.598503334960142</v>
      </c>
      <c r="G1548" s="30">
        <v>12.28648121034651</v>
      </c>
      <c r="H1548" s="30">
        <v>68.936066373840902</v>
      </c>
      <c r="I1548" s="8">
        <v>1</v>
      </c>
      <c r="J1548" s="31">
        <v>0</v>
      </c>
      <c r="K1548" s="31">
        <v>0</v>
      </c>
      <c r="L1548" s="31">
        <v>0</v>
      </c>
      <c r="M1548" s="31">
        <v>0</v>
      </c>
      <c r="N1548" s="31">
        <v>0</v>
      </c>
      <c r="O1548" s="31">
        <v>0</v>
      </c>
      <c r="P1548" s="31">
        <v>0</v>
      </c>
      <c r="Q1548" s="31">
        <v>0</v>
      </c>
      <c r="R1548" s="31">
        <v>0</v>
      </c>
      <c r="S1548" s="31">
        <v>0</v>
      </c>
      <c r="T1548" s="21" cm="1">
        <f t="array" aca="1" ref="T1548" ca="1">+fair_value_gap(OFFSET(S1547,0,0,-1*$I$5,-1*$Z$1),OFFSET(E1547,0,0,-1*$I$5,1),F1548:S1548,0)</f>
        <v>18.834767673184871</v>
      </c>
      <c r="U1548" s="7" cm="1">
        <f t="array" aca="1" ref="U1548" ca="1">z_score_diff(OFFSET(T1548,0,0,$I$5*-1,1),OFFSET(E1548,0,0,$I$5*-1,1))</f>
        <v>0.19828361401562278</v>
      </c>
      <c r="V1548" s="7">
        <f t="shared" ca="1" si="1687"/>
        <v>-0.16381584774989699</v>
      </c>
      <c r="W1548" s="14">
        <f t="shared" ca="1" si="1682"/>
        <v>1.3459301860515058E-2</v>
      </c>
      <c r="X1548" s="10">
        <f t="shared" ref="X1548:Y1548" ca="1" si="1693">+X1547</f>
        <v>0</v>
      </c>
      <c r="Y1548" s="10">
        <f t="shared" ca="1" si="1693"/>
        <v>0</v>
      </c>
      <c r="Z1548">
        <f t="shared" ca="1" si="1689"/>
        <v>1</v>
      </c>
      <c r="AA1548">
        <f t="shared" ca="1" si="1690"/>
        <v>0</v>
      </c>
      <c r="AB1548" s="19">
        <f t="shared" ca="1" si="1691"/>
        <v>1.3459301860515058E-2</v>
      </c>
      <c r="AC1548" s="19">
        <f t="shared" ca="1" si="1692"/>
        <v>0</v>
      </c>
    </row>
    <row r="1549" spans="3:29" x14ac:dyDescent="0.25">
      <c r="C1549" s="4">
        <v>1542</v>
      </c>
      <c r="D1549" s="28">
        <v>44202</v>
      </c>
      <c r="E1549" s="30">
        <v>17.564</v>
      </c>
      <c r="F1549" s="30">
        <v>44.056795131845846</v>
      </c>
      <c r="G1549" s="30">
        <v>12.616632860040569</v>
      </c>
      <c r="H1549" s="30">
        <v>69.695740365111575</v>
      </c>
      <c r="I1549" s="8">
        <v>1</v>
      </c>
      <c r="J1549" s="31">
        <v>0</v>
      </c>
      <c r="K1549" s="31">
        <v>0</v>
      </c>
      <c r="L1549" s="31">
        <v>0</v>
      </c>
      <c r="M1549" s="31">
        <v>0</v>
      </c>
      <c r="N1549" s="31">
        <v>0</v>
      </c>
      <c r="O1549" s="31">
        <v>0</v>
      </c>
      <c r="P1549" s="31">
        <v>0</v>
      </c>
      <c r="Q1549" s="31">
        <v>0</v>
      </c>
      <c r="R1549" s="31">
        <v>0</v>
      </c>
      <c r="S1549" s="31">
        <v>0</v>
      </c>
      <c r="T1549" s="21" cm="1">
        <f t="array" aca="1" ref="T1549" ca="1">+fair_value_gap(OFFSET(S1548,0,0,-1*$I$5,-1*$Z$1),OFFSET(E1548,0,0,-1*$I$5,1),F1549:S1549,0)</f>
        <v>19.01673462222654</v>
      </c>
      <c r="U1549" s="7" cm="1">
        <f t="array" aca="1" ref="U1549" ca="1">z_score_diff(OFFSET(T1549,0,0,$I$5*-1,1),OFFSET(E1549,0,0,$I$5*-1,1))</f>
        <v>0.35031167100693716</v>
      </c>
      <c r="V1549" s="7">
        <f t="shared" ca="1" si="1687"/>
        <v>-0.13313116859278479</v>
      </c>
      <c r="W1549" s="14">
        <f t="shared" ca="1" si="1682"/>
        <v>1.6376220057699245E-2</v>
      </c>
      <c r="X1549" s="10">
        <f t="shared" ref="X1549:Y1549" ca="1" si="1694">+X1548</f>
        <v>0</v>
      </c>
      <c r="Y1549" s="10">
        <f t="shared" ca="1" si="1694"/>
        <v>0</v>
      </c>
      <c r="Z1549">
        <f t="shared" ca="1" si="1689"/>
        <v>1</v>
      </c>
      <c r="AA1549">
        <f t="shared" ca="1" si="1690"/>
        <v>0</v>
      </c>
      <c r="AB1549" s="19">
        <f t="shared" ca="1" si="1691"/>
        <v>1.6376220057699245E-2</v>
      </c>
      <c r="AC1549" s="19">
        <f t="shared" ca="1" si="1692"/>
        <v>0</v>
      </c>
    </row>
    <row r="1550" spans="3:29" x14ac:dyDescent="0.25">
      <c r="C1550" s="4">
        <v>1543</v>
      </c>
      <c r="D1550" s="28">
        <v>44203</v>
      </c>
      <c r="E1550" s="30">
        <v>19.303000000000001</v>
      </c>
      <c r="F1550" s="30">
        <v>44.319478402607984</v>
      </c>
      <c r="G1550" s="30">
        <v>14.058679706601467</v>
      </c>
      <c r="H1550" s="30">
        <v>72.127139364303176</v>
      </c>
      <c r="I1550" s="8">
        <v>1</v>
      </c>
      <c r="J1550" s="31">
        <v>0</v>
      </c>
      <c r="K1550" s="31">
        <v>0</v>
      </c>
      <c r="L1550" s="31">
        <v>0</v>
      </c>
      <c r="M1550" s="31">
        <v>0</v>
      </c>
      <c r="N1550" s="31">
        <v>0</v>
      </c>
      <c r="O1550" s="31">
        <v>0</v>
      </c>
      <c r="P1550" s="31">
        <v>0</v>
      </c>
      <c r="Q1550" s="31">
        <v>0</v>
      </c>
      <c r="R1550" s="31">
        <v>0</v>
      </c>
      <c r="S1550" s="31">
        <v>0</v>
      </c>
      <c r="T1550" s="21" cm="1">
        <f t="array" aca="1" ref="T1550" ca="1">+fair_value_gap(OFFSET(S1549,0,0,-1*$I$5,-1*$Z$1),OFFSET(E1549,0,0,-1*$I$5,1),F1550:S1550,0)</f>
        <v>20.352936151643448</v>
      </c>
      <c r="U1550" s="7" cm="1">
        <f t="array" aca="1" ref="U1550" ca="1">z_score_diff(OFFSET(T1550,0,0,$I$5*-1,1),OFFSET(E1550,0,0,$I$5*-1,1))</f>
        <v>0.25133123882382336</v>
      </c>
      <c r="V1550" s="7">
        <f t="shared" ca="1" si="1687"/>
        <v>-0.1065949911486848</v>
      </c>
      <c r="W1550" s="14">
        <f t="shared" ca="1" si="1682"/>
        <v>-6.32442236309049E-2</v>
      </c>
      <c r="X1550" s="10">
        <f t="shared" ref="X1550:Y1550" ca="1" si="1695">+X1549</f>
        <v>0</v>
      </c>
      <c r="Y1550" s="10">
        <f t="shared" ca="1" si="1695"/>
        <v>0</v>
      </c>
      <c r="Z1550">
        <f t="shared" ca="1" si="1689"/>
        <v>1</v>
      </c>
      <c r="AA1550">
        <f t="shared" ca="1" si="1690"/>
        <v>0</v>
      </c>
      <c r="AB1550" s="19">
        <f t="shared" ca="1" si="1691"/>
        <v>-6.32442236309049E-2</v>
      </c>
      <c r="AC1550" s="19">
        <f t="shared" ca="1" si="1692"/>
        <v>0</v>
      </c>
    </row>
    <row r="1551" spans="3:29" x14ac:dyDescent="0.25">
      <c r="C1551" s="4">
        <v>1544</v>
      </c>
      <c r="D1551" s="28">
        <v>44204</v>
      </c>
      <c r="E1551" s="30">
        <v>20.117999999999999</v>
      </c>
      <c r="F1551" s="30">
        <v>45.825830741528897</v>
      </c>
      <c r="G1551" s="30">
        <v>14.11851366835816</v>
      </c>
      <c r="H1551" s="30">
        <v>73.579963987559339</v>
      </c>
      <c r="I1551" s="8">
        <v>1</v>
      </c>
      <c r="J1551" s="31">
        <v>0</v>
      </c>
      <c r="K1551" s="31">
        <v>0</v>
      </c>
      <c r="L1551" s="31">
        <v>0</v>
      </c>
      <c r="M1551" s="31">
        <v>0</v>
      </c>
      <c r="N1551" s="31">
        <v>0</v>
      </c>
      <c r="O1551" s="31">
        <v>0</v>
      </c>
      <c r="P1551" s="31">
        <v>0</v>
      </c>
      <c r="Q1551" s="31">
        <v>0</v>
      </c>
      <c r="R1551" s="31">
        <v>0</v>
      </c>
      <c r="S1551" s="31">
        <v>0</v>
      </c>
      <c r="T1551" s="21" cm="1">
        <f t="array" aca="1" ref="T1551" ca="1">+fair_value_gap(OFFSET(S1550,0,0,-1*$I$5,-1*$Z$1),OFFSET(E1550,0,0,-1*$I$5,1),F1551:S1551,0)</f>
        <v>20.344713013896353</v>
      </c>
      <c r="U1551" s="7" cm="1">
        <f t="array" aca="1" ref="U1551" ca="1">z_score_diff(OFFSET(T1551,0,0,$I$5*-1,1),OFFSET(E1551,0,0,$I$5*-1,1))</f>
        <v>4.4154418682480046E-2</v>
      </c>
      <c r="V1551" s="7">
        <f t="shared" ca="1" si="1687"/>
        <v>-8.8609522444693639E-2</v>
      </c>
      <c r="W1551" s="14">
        <f t="shared" ca="1" si="1682"/>
        <v>-9.0351819784605492E-2</v>
      </c>
      <c r="X1551" s="10">
        <f t="shared" ref="X1551:Y1551" ca="1" si="1696">+X1550</f>
        <v>0</v>
      </c>
      <c r="Y1551" s="10">
        <f t="shared" ca="1" si="1696"/>
        <v>0</v>
      </c>
      <c r="Z1551">
        <f t="shared" ca="1" si="1689"/>
        <v>1</v>
      </c>
      <c r="AA1551">
        <f t="shared" ca="1" si="1690"/>
        <v>0</v>
      </c>
      <c r="AB1551" s="19">
        <f t="shared" ca="1" si="1691"/>
        <v>-9.0351819784605492E-2</v>
      </c>
      <c r="AC1551" s="19">
        <f t="shared" ca="1" si="1692"/>
        <v>0</v>
      </c>
    </row>
    <row r="1552" spans="3:29" x14ac:dyDescent="0.25">
      <c r="C1552" s="4">
        <v>1545</v>
      </c>
      <c r="D1552" s="28">
        <v>44207</v>
      </c>
      <c r="E1552" s="30">
        <v>22.123999999999999</v>
      </c>
      <c r="F1552" s="30">
        <v>45.814470326775862</v>
      </c>
      <c r="G1552" s="30">
        <v>16.215326364309817</v>
      </c>
      <c r="H1552" s="30">
        <v>74.327105111531807</v>
      </c>
      <c r="I1552" s="8">
        <v>1</v>
      </c>
      <c r="J1552" s="31">
        <v>0</v>
      </c>
      <c r="K1552" s="31">
        <v>0</v>
      </c>
      <c r="L1552" s="31">
        <v>0</v>
      </c>
      <c r="M1552" s="31">
        <v>0</v>
      </c>
      <c r="N1552" s="31">
        <v>0</v>
      </c>
      <c r="O1552" s="31">
        <v>0</v>
      </c>
      <c r="P1552" s="31">
        <v>0</v>
      </c>
      <c r="Q1552" s="31">
        <v>0</v>
      </c>
      <c r="R1552" s="31">
        <v>0</v>
      </c>
      <c r="S1552" s="31">
        <v>0</v>
      </c>
      <c r="T1552" s="21" cm="1">
        <f t="array" aca="1" ref="T1552" ca="1">+fair_value_gap(OFFSET(S1551,0,0,-1*$I$5,-1*$Z$1),OFFSET(E1551,0,0,-1*$I$5,1),F1552:S1552,0)</f>
        <v>22.514804549445039</v>
      </c>
      <c r="U1552" s="7" cm="1">
        <f t="array" aca="1" ref="U1552" ca="1">z_score_diff(OFFSET(T1552,0,0,$I$5*-1,1),OFFSET(E1552,0,0,$I$5*-1,1))</f>
        <v>9.8187336458575469E-2</v>
      </c>
      <c r="V1552" s="7">
        <f t="shared" ca="1" si="1687"/>
        <v>-5.8887279461103635E-2</v>
      </c>
      <c r="W1552" s="14">
        <f t="shared" ca="1" si="1682"/>
        <v>-9.2020532448684578E-2</v>
      </c>
      <c r="X1552" s="10">
        <f t="shared" ref="X1552:Y1552" ca="1" si="1697">+X1551</f>
        <v>0</v>
      </c>
      <c r="Y1552" s="10">
        <f t="shared" ca="1" si="1697"/>
        <v>0</v>
      </c>
      <c r="Z1552">
        <f t="shared" ca="1" si="1689"/>
        <v>1</v>
      </c>
      <c r="AA1552">
        <f t="shared" ca="1" si="1690"/>
        <v>0</v>
      </c>
      <c r="AB1552" s="19">
        <f t="shared" ca="1" si="1691"/>
        <v>-9.2020532448684578E-2</v>
      </c>
      <c r="AC1552" s="19">
        <f t="shared" ca="1" si="1692"/>
        <v>0</v>
      </c>
    </row>
    <row r="1553" spans="3:29" x14ac:dyDescent="0.25">
      <c r="C1553" s="4">
        <v>1546</v>
      </c>
      <c r="D1553" s="28">
        <v>44208</v>
      </c>
      <c r="E1553" s="30">
        <v>26.155000000000001</v>
      </c>
      <c r="F1553" s="30">
        <v>46.350454657163922</v>
      </c>
      <c r="G1553" s="30">
        <v>16.138281314000164</v>
      </c>
      <c r="H1553" s="30">
        <v>76.513475874498255</v>
      </c>
      <c r="I1553" s="8">
        <v>1</v>
      </c>
      <c r="J1553" s="31">
        <v>0</v>
      </c>
      <c r="K1553" s="31">
        <v>0</v>
      </c>
      <c r="L1553" s="31">
        <v>0</v>
      </c>
      <c r="M1553" s="31">
        <v>0</v>
      </c>
      <c r="N1553" s="31">
        <v>0</v>
      </c>
      <c r="O1553" s="31">
        <v>0</v>
      </c>
      <c r="P1553" s="31">
        <v>0</v>
      </c>
      <c r="Q1553" s="31">
        <v>0</v>
      </c>
      <c r="R1553" s="31">
        <v>0</v>
      </c>
      <c r="S1553" s="31">
        <v>0</v>
      </c>
      <c r="T1553" s="21" cm="1">
        <f t="array" aca="1" ref="T1553" ca="1">+fair_value_gap(OFFSET(S1552,0,0,-1*$I$5,-1*$Z$1),OFFSET(E1552,0,0,-1*$I$5,1),F1553:S1553,0)</f>
        <v>22.578757081543959</v>
      </c>
      <c r="U1553" s="7" cm="1">
        <f t="array" aca="1" ref="U1553" ca="1">z_score_diff(OFFSET(T1553,0,0,$I$5*-1,1),OFFSET(E1553,0,0,$I$5*-1,1))</f>
        <v>-0.79903449981474584</v>
      </c>
      <c r="V1553" s="7">
        <f t="shared" ca="1" si="1687"/>
        <v>-7.560096518181951E-2</v>
      </c>
      <c r="W1553" s="14">
        <f t="shared" ca="1" si="1682"/>
        <v>-0.31723577689200705</v>
      </c>
      <c r="X1553" s="10">
        <f t="shared" ref="X1553:Y1553" ca="1" si="1698">+X1552</f>
        <v>0</v>
      </c>
      <c r="Y1553" s="10">
        <f t="shared" ca="1" si="1698"/>
        <v>0</v>
      </c>
      <c r="Z1553">
        <f t="shared" ca="1" si="1689"/>
        <v>1</v>
      </c>
      <c r="AA1553">
        <f t="shared" ca="1" si="1690"/>
        <v>0</v>
      </c>
      <c r="AB1553" s="19">
        <f t="shared" ca="1" si="1691"/>
        <v>-0.31723577689200705</v>
      </c>
      <c r="AC1553" s="19">
        <f t="shared" ca="1" si="1692"/>
        <v>0</v>
      </c>
    </row>
    <row r="1554" spans="3:29" x14ac:dyDescent="0.25">
      <c r="C1554" s="4">
        <v>1547</v>
      </c>
      <c r="D1554" s="28">
        <v>44209</v>
      </c>
      <c r="E1554" s="30">
        <v>21.5</v>
      </c>
      <c r="F1554" s="30">
        <v>46.113350333141405</v>
      </c>
      <c r="G1554" s="30">
        <v>15.275150119272848</v>
      </c>
      <c r="H1554" s="30">
        <v>76.6636505716871</v>
      </c>
      <c r="I1554" s="8">
        <v>1</v>
      </c>
      <c r="J1554" s="31">
        <v>0</v>
      </c>
      <c r="K1554" s="31">
        <v>0</v>
      </c>
      <c r="L1554" s="31">
        <v>0</v>
      </c>
      <c r="M1554" s="31">
        <v>0</v>
      </c>
      <c r="N1554" s="31">
        <v>0</v>
      </c>
      <c r="O1554" s="31">
        <v>0</v>
      </c>
      <c r="P1554" s="31">
        <v>0</v>
      </c>
      <c r="Q1554" s="31">
        <v>0</v>
      </c>
      <c r="R1554" s="31">
        <v>0</v>
      </c>
      <c r="S1554" s="31">
        <v>0</v>
      </c>
      <c r="T1554" s="21" cm="1">
        <f t="array" aca="1" ref="T1554" ca="1">+fair_value_gap(OFFSET(S1553,0,0,-1*$I$5,-1*$Z$1),OFFSET(E1553,0,0,-1*$I$5,1),F1554:S1554,0)</f>
        <v>22.275992576311481</v>
      </c>
      <c r="U1554" s="7" cm="1">
        <f t="array" aca="1" ref="U1554" ca="1">z_score_diff(OFFSET(T1554,0,0,$I$5*-1,1),OFFSET(E1554,0,0,$I$5*-1,1))</f>
        <v>0.21328308084570047</v>
      </c>
      <c r="V1554" s="7">
        <f t="shared" ca="1" si="1687"/>
        <v>-3.5205758361425567E-2</v>
      </c>
      <c r="W1554" s="14">
        <f t="shared" ca="1" si="1682"/>
        <v>-0.14715197220262954</v>
      </c>
      <c r="X1554" s="10">
        <f t="shared" ref="X1554:Y1554" ca="1" si="1699">+X1553</f>
        <v>0</v>
      </c>
      <c r="Y1554" s="10">
        <f t="shared" ca="1" si="1699"/>
        <v>0</v>
      </c>
      <c r="Z1554">
        <f t="shared" ca="1" si="1689"/>
        <v>1</v>
      </c>
      <c r="AA1554">
        <f t="shared" ca="1" si="1690"/>
        <v>0</v>
      </c>
      <c r="AB1554" s="19">
        <f t="shared" ca="1" si="1691"/>
        <v>-0.14715197220262954</v>
      </c>
      <c r="AC1554" s="19">
        <f t="shared" ca="1" si="1692"/>
        <v>0</v>
      </c>
    </row>
    <row r="1555" spans="3:29" x14ac:dyDescent="0.25">
      <c r="C1555" s="4">
        <v>1548</v>
      </c>
      <c r="D1555" s="28">
        <v>44210</v>
      </c>
      <c r="E1555" s="30">
        <v>21.332999999999998</v>
      </c>
      <c r="F1555" s="30">
        <v>46.413293846660089</v>
      </c>
      <c r="G1555" s="30">
        <v>15.276406712734452</v>
      </c>
      <c r="H1555" s="30">
        <v>75.888450148075023</v>
      </c>
      <c r="I1555" s="8">
        <v>1</v>
      </c>
      <c r="J1555" s="31">
        <v>0</v>
      </c>
      <c r="K1555" s="31">
        <v>0</v>
      </c>
      <c r="L1555" s="31">
        <v>0</v>
      </c>
      <c r="M1555" s="31">
        <v>0</v>
      </c>
      <c r="N1555" s="31">
        <v>0</v>
      </c>
      <c r="O1555" s="31">
        <v>0</v>
      </c>
      <c r="P1555" s="31">
        <v>0</v>
      </c>
      <c r="Q1555" s="31">
        <v>0</v>
      </c>
      <c r="R1555" s="31">
        <v>0</v>
      </c>
      <c r="S1555" s="31">
        <v>0</v>
      </c>
      <c r="T1555" s="21" cm="1">
        <f t="array" aca="1" ref="T1555" ca="1">+fair_value_gap(OFFSET(S1554,0,0,-1*$I$5,-1*$Z$1),OFFSET(E1554,0,0,-1*$I$5,1),F1555:S1555,0)</f>
        <v>22.119858407986335</v>
      </c>
      <c r="U1555" s="7" cm="1">
        <f t="array" aca="1" ref="U1555" ca="1">z_score_diff(OFFSET(T1555,0,0,$I$5*-1,1),OFFSET(E1555,0,0,$I$5*-1,1))</f>
        <v>0.20471105957806923</v>
      </c>
      <c r="V1555" s="7">
        <f t="shared" ca="1" si="1687"/>
        <v>9.3776500518102605E-3</v>
      </c>
      <c r="W1555" s="14">
        <f t="shared" ca="1" si="1682"/>
        <v>-0.20533789265772806</v>
      </c>
      <c r="X1555" s="10">
        <f t="shared" ref="X1555:Y1555" ca="1" si="1700">+X1554</f>
        <v>0</v>
      </c>
      <c r="Y1555" s="10">
        <f t="shared" ca="1" si="1700"/>
        <v>0</v>
      </c>
      <c r="Z1555">
        <f t="shared" ca="1" si="1689"/>
        <v>0</v>
      </c>
      <c r="AA1555">
        <f t="shared" ca="1" si="1690"/>
        <v>1</v>
      </c>
      <c r="AB1555" s="19">
        <f t="shared" ca="1" si="1691"/>
        <v>0</v>
      </c>
      <c r="AC1555" s="19">
        <f t="shared" ca="1" si="1692"/>
        <v>-0.20533789265772806</v>
      </c>
    </row>
    <row r="1556" spans="3:29" x14ac:dyDescent="0.25">
      <c r="C1556" s="4">
        <v>1549</v>
      </c>
      <c r="D1556" s="28">
        <v>44211</v>
      </c>
      <c r="E1556" s="30">
        <v>20.2</v>
      </c>
      <c r="F1556" s="30">
        <v>45.620135784070214</v>
      </c>
      <c r="G1556" s="30">
        <v>15.158966716343766</v>
      </c>
      <c r="H1556" s="30">
        <v>76.088756416625273</v>
      </c>
      <c r="I1556" s="8">
        <v>1</v>
      </c>
      <c r="J1556" s="31">
        <v>0</v>
      </c>
      <c r="K1556" s="31">
        <v>0</v>
      </c>
      <c r="L1556" s="31">
        <v>0</v>
      </c>
      <c r="M1556" s="31">
        <v>0</v>
      </c>
      <c r="N1556" s="31">
        <v>0</v>
      </c>
      <c r="O1556" s="31">
        <v>0</v>
      </c>
      <c r="P1556" s="31">
        <v>0</v>
      </c>
      <c r="Q1556" s="31">
        <v>0</v>
      </c>
      <c r="R1556" s="31">
        <v>0</v>
      </c>
      <c r="S1556" s="31">
        <v>0</v>
      </c>
      <c r="T1556" s="21" cm="1">
        <f t="array" aca="1" ref="T1556" ca="1">+fair_value_gap(OFFSET(S1555,0,0,-1*$I$5,-1*$Z$1),OFFSET(E1555,0,0,-1*$I$5,1),F1556:S1556,0)</f>
        <v>21.888516761749464</v>
      </c>
      <c r="U1556" s="7" cm="1">
        <f t="array" aca="1" ref="U1556" ca="1">z_score_diff(OFFSET(T1556,0,0,$I$5*-1,1),OFFSET(E1556,0,0,$I$5*-1,1))</f>
        <v>0.39243496651680143</v>
      </c>
      <c r="V1556" s="7">
        <f t="shared" ca="1" si="1687"/>
        <v>1.2700850798658059E-2</v>
      </c>
      <c r="W1556" s="14">
        <f t="shared" ca="1" si="1682"/>
        <v>-0.13676149771955515</v>
      </c>
      <c r="X1556" s="10">
        <f t="shared" ref="X1556:Y1556" ca="1" si="1701">+X1555</f>
        <v>0</v>
      </c>
      <c r="Y1556" s="10">
        <f t="shared" ca="1" si="1701"/>
        <v>0</v>
      </c>
      <c r="Z1556">
        <f t="shared" ca="1" si="1689"/>
        <v>0</v>
      </c>
      <c r="AA1556">
        <f t="shared" ca="1" si="1690"/>
        <v>1</v>
      </c>
      <c r="AB1556" s="19">
        <f t="shared" ca="1" si="1691"/>
        <v>0</v>
      </c>
      <c r="AC1556" s="19">
        <f t="shared" ca="1" si="1692"/>
        <v>-0.13676149771955515</v>
      </c>
    </row>
    <row r="1557" spans="3:29" x14ac:dyDescent="0.25">
      <c r="C1557" s="4">
        <v>1550</v>
      </c>
      <c r="D1557" s="28">
        <v>44214</v>
      </c>
      <c r="E1557" s="30">
        <v>19.026</v>
      </c>
      <c r="F1557" s="30">
        <v>45.337860218615432</v>
      </c>
      <c r="G1557" s="30">
        <v>15.161477310367673</v>
      </c>
      <c r="H1557" s="30">
        <v>75.977144749917187</v>
      </c>
      <c r="I1557" s="8">
        <v>1</v>
      </c>
      <c r="J1557" s="31">
        <v>0</v>
      </c>
      <c r="K1557" s="31">
        <v>0</v>
      </c>
      <c r="L1557" s="31">
        <v>0</v>
      </c>
      <c r="M1557" s="31">
        <v>0</v>
      </c>
      <c r="N1557" s="31">
        <v>0</v>
      </c>
      <c r="O1557" s="31">
        <v>0</v>
      </c>
      <c r="P1557" s="31">
        <v>0</v>
      </c>
      <c r="Q1557" s="31">
        <v>0</v>
      </c>
      <c r="R1557" s="31">
        <v>0</v>
      </c>
      <c r="S1557" s="31">
        <v>0</v>
      </c>
      <c r="T1557" s="21" cm="1">
        <f t="array" aca="1" ref="T1557" ca="1">+fair_value_gap(OFFSET(S1556,0,0,-1*$I$5,-1*$Z$1),OFFSET(E1556,0,0,-1*$I$5,1),F1557:S1557,0)</f>
        <v>21.694408397940521</v>
      </c>
      <c r="U1557" s="7" cm="1">
        <f t="array" aca="1" ref="U1557" ca="1">z_score_diff(OFFSET(T1557,0,0,$I$5*-1,1),OFFSET(E1557,0,0,$I$5*-1,1))</f>
        <v>0.59109744377844642</v>
      </c>
      <c r="V1557" s="7">
        <f t="shared" ca="1" si="1687"/>
        <v>2.9988757914754527E-2</v>
      </c>
      <c r="W1557" s="14">
        <f t="shared" ca="1" si="1682"/>
        <v>-0.14002477518872011</v>
      </c>
      <c r="X1557" s="10">
        <f t="shared" ref="X1557:Y1557" ca="1" si="1702">+X1556</f>
        <v>0</v>
      </c>
      <c r="Y1557" s="10">
        <f t="shared" ca="1" si="1702"/>
        <v>0</v>
      </c>
      <c r="Z1557">
        <f t="shared" ca="1" si="1689"/>
        <v>0</v>
      </c>
      <c r="AA1557">
        <f t="shared" ca="1" si="1690"/>
        <v>1</v>
      </c>
      <c r="AB1557" s="19">
        <f t="shared" ca="1" si="1691"/>
        <v>0</v>
      </c>
      <c r="AC1557" s="19">
        <f t="shared" ca="1" si="1692"/>
        <v>-0.14002477518872011</v>
      </c>
    </row>
    <row r="1558" spans="3:29" x14ac:dyDescent="0.25">
      <c r="C1558" s="4">
        <v>1551</v>
      </c>
      <c r="D1558" s="28">
        <v>44215</v>
      </c>
      <c r="E1558" s="30">
        <v>20.327000000000002</v>
      </c>
      <c r="F1558" s="30">
        <v>46.091688654353554</v>
      </c>
      <c r="G1558" s="30">
        <v>7.0250659630606851</v>
      </c>
      <c r="H1558" s="30">
        <v>75.239116094986798</v>
      </c>
      <c r="I1558" s="8">
        <v>1</v>
      </c>
      <c r="J1558" s="31">
        <v>0</v>
      </c>
      <c r="K1558" s="31">
        <v>0</v>
      </c>
      <c r="L1558" s="31">
        <v>0</v>
      </c>
      <c r="M1558" s="31">
        <v>0</v>
      </c>
      <c r="N1558" s="31">
        <v>0</v>
      </c>
      <c r="O1558" s="31">
        <v>0</v>
      </c>
      <c r="P1558" s="31">
        <v>0</v>
      </c>
      <c r="Q1558" s="31">
        <v>0</v>
      </c>
      <c r="R1558" s="31">
        <v>0</v>
      </c>
      <c r="S1558" s="31">
        <v>0</v>
      </c>
      <c r="T1558" s="21" cm="1">
        <f t="array" aca="1" ref="T1558" ca="1">+fair_value_gap(OFFSET(S1557,0,0,-1*$I$5,-1*$Z$1),OFFSET(E1557,0,0,-1*$I$5,1),F1558:S1558,0)</f>
        <v>13.014336024647093</v>
      </c>
      <c r="U1558" s="7" cm="1">
        <f t="array" aca="1" ref="U1558" ca="1">z_score_diff(OFFSET(T1558,0,0,$I$5*-1,1),OFFSET(E1558,0,0,$I$5*-1,1))</f>
        <v>-1.680237650072143</v>
      </c>
      <c r="V1558" s="7">
        <f t="shared" ca="1" si="1687"/>
        <v>-5.8873304413645411E-2</v>
      </c>
      <c r="W1558" s="14">
        <f t="shared" ca="1" si="1682"/>
        <v>-0.19564353170476304</v>
      </c>
      <c r="X1558" s="10">
        <f t="shared" ref="X1558:Y1558" ca="1" si="1703">+X1557</f>
        <v>0</v>
      </c>
      <c r="Y1558" s="10">
        <f t="shared" ca="1" si="1703"/>
        <v>0</v>
      </c>
      <c r="Z1558">
        <f t="shared" ca="1" si="1689"/>
        <v>1</v>
      </c>
      <c r="AA1558">
        <f t="shared" ca="1" si="1690"/>
        <v>0</v>
      </c>
      <c r="AB1558" s="19">
        <f t="shared" ca="1" si="1691"/>
        <v>-0.19564353170476304</v>
      </c>
      <c r="AC1558" s="19">
        <f t="shared" ca="1" si="1692"/>
        <v>0</v>
      </c>
    </row>
    <row r="1559" spans="3:29" x14ac:dyDescent="0.25">
      <c r="C1559" s="4">
        <v>1552</v>
      </c>
      <c r="D1559" s="28">
        <v>44216</v>
      </c>
      <c r="E1559" s="30">
        <v>20.260000000000002</v>
      </c>
      <c r="F1559" s="30">
        <v>46.331791143423665</v>
      </c>
      <c r="G1559" s="30">
        <v>7.44795109054858</v>
      </c>
      <c r="H1559" s="30">
        <v>75.181758096497035</v>
      </c>
      <c r="I1559" s="8">
        <v>1</v>
      </c>
      <c r="J1559" s="31">
        <v>0</v>
      </c>
      <c r="K1559" s="31">
        <v>0</v>
      </c>
      <c r="L1559" s="31">
        <v>0</v>
      </c>
      <c r="M1559" s="31">
        <v>0</v>
      </c>
      <c r="N1559" s="31">
        <v>0</v>
      </c>
      <c r="O1559" s="31">
        <v>0</v>
      </c>
      <c r="P1559" s="31">
        <v>0</v>
      </c>
      <c r="Q1559" s="31">
        <v>0</v>
      </c>
      <c r="R1559" s="31">
        <v>0</v>
      </c>
      <c r="S1559" s="31">
        <v>0</v>
      </c>
      <c r="T1559" s="21" cm="1">
        <f t="array" aca="1" ref="T1559" ca="1">+fair_value_gap(OFFSET(S1558,0,0,-1*$I$5,-1*$Z$1),OFFSET(E1558,0,0,-1*$I$5,1),F1559:S1559,0)</f>
        <v>14.556708462484236</v>
      </c>
      <c r="U1559" s="7" cm="1">
        <f t="array" aca="1" ref="U1559" ca="1">z_score_diff(OFFSET(T1559,0,0,$I$5*-1,1),OFFSET(E1559,0,0,$I$5*-1,1))</f>
        <v>-1.2809987659909394</v>
      </c>
      <c r="V1559" s="7">
        <f t="shared" ca="1" si="1687"/>
        <v>-0.11984849519596504</v>
      </c>
      <c r="W1559" s="14">
        <f t="shared" ca="1" si="1682"/>
        <v>-0.20286680922499215</v>
      </c>
      <c r="X1559" s="10">
        <f t="shared" ref="X1559:Y1559" ca="1" si="1704">+X1558</f>
        <v>0</v>
      </c>
      <c r="Y1559" s="10">
        <f t="shared" ca="1" si="1704"/>
        <v>0</v>
      </c>
      <c r="Z1559">
        <f t="shared" ca="1" si="1689"/>
        <v>1</v>
      </c>
      <c r="AA1559">
        <f t="shared" ca="1" si="1690"/>
        <v>0</v>
      </c>
      <c r="AB1559" s="19">
        <f t="shared" ca="1" si="1691"/>
        <v>-0.20286680922499215</v>
      </c>
      <c r="AC1559" s="19">
        <f t="shared" ca="1" si="1692"/>
        <v>0</v>
      </c>
    </row>
    <row r="1560" spans="3:29" x14ac:dyDescent="0.25">
      <c r="C1560" s="4">
        <v>1553</v>
      </c>
      <c r="D1560" s="28">
        <v>44217</v>
      </c>
      <c r="E1560" s="30">
        <v>20.062999999999999</v>
      </c>
      <c r="F1560" s="30">
        <v>46.127281697089295</v>
      </c>
      <c r="G1560" s="30">
        <v>6.9766485775365892</v>
      </c>
      <c r="H1560" s="30">
        <v>74.82321986515376</v>
      </c>
      <c r="I1560" s="8">
        <v>1</v>
      </c>
      <c r="J1560" s="31">
        <v>0</v>
      </c>
      <c r="K1560" s="31">
        <v>0</v>
      </c>
      <c r="L1560" s="31">
        <v>0</v>
      </c>
      <c r="M1560" s="31">
        <v>0</v>
      </c>
      <c r="N1560" s="31">
        <v>0</v>
      </c>
      <c r="O1560" s="31">
        <v>0</v>
      </c>
      <c r="P1560" s="31">
        <v>0</v>
      </c>
      <c r="Q1560" s="31">
        <v>0</v>
      </c>
      <c r="R1560" s="31">
        <v>0</v>
      </c>
      <c r="S1560" s="31">
        <v>0</v>
      </c>
      <c r="T1560" s="21" cm="1">
        <f t="array" aca="1" ref="T1560" ca="1">+fair_value_gap(OFFSET(S1559,0,0,-1*$I$5,-1*$Z$1),OFFSET(E1559,0,0,-1*$I$5,1),F1560:S1560,0)</f>
        <v>15.548588782153253</v>
      </c>
      <c r="U1560" s="7" cm="1">
        <f t="array" aca="1" ref="U1560" ca="1">z_score_diff(OFFSET(T1560,0,0,$I$5*-1,1),OFFSET(E1560,0,0,$I$5*-1,1))</f>
        <v>-0.98618263964281572</v>
      </c>
      <c r="V1560" s="7">
        <f t="shared" ca="1" si="1687"/>
        <v>-0.16441590698795322</v>
      </c>
      <c r="W1560" s="14">
        <f t="shared" ca="1" si="1682"/>
        <v>-0.14649592403995537</v>
      </c>
      <c r="X1560" s="10">
        <f t="shared" ref="X1560:Y1560" ca="1" si="1705">+X1559</f>
        <v>0</v>
      </c>
      <c r="Y1560" s="10">
        <f t="shared" ca="1" si="1705"/>
        <v>0</v>
      </c>
      <c r="Z1560">
        <f t="shared" ca="1" si="1689"/>
        <v>1</v>
      </c>
      <c r="AA1560">
        <f t="shared" ca="1" si="1690"/>
        <v>0</v>
      </c>
      <c r="AB1560" s="19">
        <f t="shared" ca="1" si="1691"/>
        <v>-0.14649592403995537</v>
      </c>
      <c r="AC1560" s="19">
        <f t="shared" ca="1" si="1692"/>
        <v>0</v>
      </c>
    </row>
    <row r="1561" spans="3:29" x14ac:dyDescent="0.25">
      <c r="C1561" s="4">
        <v>1554</v>
      </c>
      <c r="D1561" s="28">
        <v>44218</v>
      </c>
      <c r="E1561" s="30">
        <v>21.483000000000001</v>
      </c>
      <c r="F1561" s="30">
        <v>45.541218048820582</v>
      </c>
      <c r="G1561" s="30">
        <v>7.2778827977315697</v>
      </c>
      <c r="H1561" s="30">
        <v>74.381523793868666</v>
      </c>
      <c r="I1561" s="8">
        <v>1</v>
      </c>
      <c r="J1561" s="31">
        <v>0</v>
      </c>
      <c r="K1561" s="31">
        <v>0</v>
      </c>
      <c r="L1561" s="31">
        <v>0</v>
      </c>
      <c r="M1561" s="31">
        <v>0</v>
      </c>
      <c r="N1561" s="31">
        <v>0</v>
      </c>
      <c r="O1561" s="31">
        <v>0</v>
      </c>
      <c r="P1561" s="31">
        <v>0</v>
      </c>
      <c r="Q1561" s="31">
        <v>0</v>
      </c>
      <c r="R1561" s="31">
        <v>0</v>
      </c>
      <c r="S1561" s="31">
        <v>0</v>
      </c>
      <c r="T1561" s="21" cm="1">
        <f t="array" aca="1" ref="T1561" ca="1">+fair_value_gap(OFFSET(S1560,0,0,-1*$I$5,-1*$Z$1),OFFSET(E1560,0,0,-1*$I$5,1),F1561:S1561,0)</f>
        <v>17.881187250315204</v>
      </c>
      <c r="U1561" s="7" cm="1">
        <f t="array" aca="1" ref="U1561" ca="1">z_score_diff(OFFSET(T1561,0,0,$I$5*-1,1),OFFSET(E1561,0,0,$I$5*-1,1))</f>
        <v>-0.72502123100487292</v>
      </c>
      <c r="V1561" s="7">
        <f t="shared" ca="1" si="1687"/>
        <v>-0.19487988458447489</v>
      </c>
      <c r="W1561" s="14">
        <f t="shared" ca="1" si="1682"/>
        <v>-0.26063416022970853</v>
      </c>
      <c r="X1561" s="10">
        <f t="shared" ref="X1561:Y1561" ca="1" si="1706">+X1560</f>
        <v>0</v>
      </c>
      <c r="Y1561" s="10">
        <f t="shared" ca="1" si="1706"/>
        <v>0</v>
      </c>
      <c r="Z1561">
        <f t="shared" ca="1" si="1689"/>
        <v>1</v>
      </c>
      <c r="AA1561">
        <f t="shared" ca="1" si="1690"/>
        <v>0</v>
      </c>
      <c r="AB1561" s="19">
        <f t="shared" ca="1" si="1691"/>
        <v>-0.26063416022970853</v>
      </c>
      <c r="AC1561" s="19">
        <f t="shared" ca="1" si="1692"/>
        <v>0</v>
      </c>
    </row>
    <row r="1562" spans="3:29" x14ac:dyDescent="0.25">
      <c r="C1562" s="4">
        <v>1555</v>
      </c>
      <c r="D1562" s="28">
        <v>44221</v>
      </c>
      <c r="E1562" s="30">
        <v>20.161999999999999</v>
      </c>
      <c r="F1562" s="30">
        <v>46.041031556397797</v>
      </c>
      <c r="G1562" s="30">
        <v>7.0940100519073903</v>
      </c>
      <c r="H1562" s="30">
        <v>74.565378594380817</v>
      </c>
      <c r="I1562" s="8">
        <v>1</v>
      </c>
      <c r="J1562" s="31">
        <v>0</v>
      </c>
      <c r="K1562" s="31">
        <v>0</v>
      </c>
      <c r="L1562" s="31">
        <v>0</v>
      </c>
      <c r="M1562" s="31">
        <v>0</v>
      </c>
      <c r="N1562" s="31">
        <v>0</v>
      </c>
      <c r="O1562" s="31">
        <v>0</v>
      </c>
      <c r="P1562" s="31">
        <v>0</v>
      </c>
      <c r="Q1562" s="31">
        <v>0</v>
      </c>
      <c r="R1562" s="31">
        <v>0</v>
      </c>
      <c r="S1562" s="31">
        <v>0</v>
      </c>
      <c r="T1562" s="21" cm="1">
        <f t="array" aca="1" ref="T1562" ca="1">+fair_value_gap(OFFSET(S1561,0,0,-1*$I$5,-1*$Z$1),OFFSET(E1561,0,0,-1*$I$5,1),F1562:S1562,0)</f>
        <v>18.500571459111008</v>
      </c>
      <c r="U1562" s="7" cm="1">
        <f t="array" aca="1" ref="U1562" ca="1">z_score_diff(OFFSET(T1562,0,0,$I$5*-1,1),OFFSET(E1562,0,0,$I$5*-1,1))</f>
        <v>-0.28229753529510493</v>
      </c>
      <c r="V1562" s="7">
        <f t="shared" ca="1" si="1687"/>
        <v>-0.20763070548612891</v>
      </c>
      <c r="W1562" s="14">
        <f t="shared" ca="1" si="1682"/>
        <v>-0.23371405261008693</v>
      </c>
      <c r="X1562" s="10">
        <f t="shared" ref="X1562:Y1562" ca="1" si="1707">+X1561</f>
        <v>0</v>
      </c>
      <c r="Y1562" s="10">
        <f t="shared" ca="1" si="1707"/>
        <v>0</v>
      </c>
      <c r="Z1562">
        <f t="shared" ca="1" si="1689"/>
        <v>1</v>
      </c>
      <c r="AA1562">
        <f t="shared" ca="1" si="1690"/>
        <v>0</v>
      </c>
      <c r="AB1562" s="19">
        <f t="shared" ca="1" si="1691"/>
        <v>-0.23371405261008693</v>
      </c>
      <c r="AC1562" s="19">
        <f t="shared" ca="1" si="1692"/>
        <v>0</v>
      </c>
    </row>
    <row r="1563" spans="3:29" x14ac:dyDescent="0.25">
      <c r="C1563" s="4">
        <v>1556</v>
      </c>
      <c r="D1563" s="28">
        <v>44222</v>
      </c>
      <c r="E1563" s="30">
        <v>19.509</v>
      </c>
      <c r="F1563" s="30">
        <v>45.97861842105263</v>
      </c>
      <c r="G1563" s="30">
        <v>7.0394736842105265</v>
      </c>
      <c r="H1563" s="30">
        <v>74.671052631578945</v>
      </c>
      <c r="I1563" s="8">
        <v>1</v>
      </c>
      <c r="J1563" s="31">
        <v>0</v>
      </c>
      <c r="K1563" s="31">
        <v>0</v>
      </c>
      <c r="L1563" s="31">
        <v>0</v>
      </c>
      <c r="M1563" s="31">
        <v>0</v>
      </c>
      <c r="N1563" s="31">
        <v>0</v>
      </c>
      <c r="O1563" s="31">
        <v>0</v>
      </c>
      <c r="P1563" s="31">
        <v>0</v>
      </c>
      <c r="Q1563" s="31">
        <v>0</v>
      </c>
      <c r="R1563" s="31">
        <v>0</v>
      </c>
      <c r="S1563" s="31">
        <v>0</v>
      </c>
      <c r="T1563" s="21" cm="1">
        <f t="array" aca="1" ref="T1563" ca="1">+fair_value_gap(OFFSET(S1562,0,0,-1*$I$5,-1*$Z$1),OFFSET(E1562,0,0,-1*$I$5,1),F1563:S1563,0)</f>
        <v>18.756730439444617</v>
      </c>
      <c r="U1563" s="7" cm="1">
        <f t="array" aca="1" ref="U1563" ca="1">z_score_diff(OFFSET(T1563,0,0,$I$5*-1,1),OFFSET(E1563,0,0,$I$5*-1,1))</f>
        <v>-7.66796725524721E-2</v>
      </c>
      <c r="V1563" s="7">
        <f t="shared" ca="1" si="1687"/>
        <v>-0.19168421402734753</v>
      </c>
      <c r="W1563" s="14">
        <f t="shared" ca="1" si="1682"/>
        <v>-0.18290607327704092</v>
      </c>
      <c r="X1563" s="10">
        <f t="shared" ref="X1563:Y1563" ca="1" si="1708">+X1562</f>
        <v>0</v>
      </c>
      <c r="Y1563" s="10">
        <f t="shared" ca="1" si="1708"/>
        <v>0</v>
      </c>
      <c r="Z1563">
        <f t="shared" ca="1" si="1689"/>
        <v>1</v>
      </c>
      <c r="AA1563">
        <f t="shared" ca="1" si="1690"/>
        <v>0</v>
      </c>
      <c r="AB1563" s="19">
        <f t="shared" ca="1" si="1691"/>
        <v>-0.18290607327704092</v>
      </c>
      <c r="AC1563" s="19">
        <f t="shared" ca="1" si="1692"/>
        <v>0</v>
      </c>
    </row>
    <row r="1564" spans="3:29" x14ac:dyDescent="0.25">
      <c r="C1564" s="4">
        <v>1557</v>
      </c>
      <c r="D1564" s="28">
        <v>44223</v>
      </c>
      <c r="E1564" s="30">
        <v>19.701000000000001</v>
      </c>
      <c r="F1564" s="30">
        <v>46.093491906177732</v>
      </c>
      <c r="G1564" s="30">
        <v>7.1151304922365375</v>
      </c>
      <c r="H1564" s="30">
        <v>75.156921043937885</v>
      </c>
      <c r="I1564" s="8">
        <v>1</v>
      </c>
      <c r="J1564" s="31">
        <v>0</v>
      </c>
      <c r="K1564" s="31">
        <v>0</v>
      </c>
      <c r="L1564" s="31">
        <v>0</v>
      </c>
      <c r="M1564" s="31">
        <v>0</v>
      </c>
      <c r="N1564" s="31">
        <v>0</v>
      </c>
      <c r="O1564" s="31">
        <v>0</v>
      </c>
      <c r="P1564" s="31">
        <v>0</v>
      </c>
      <c r="Q1564" s="31">
        <v>0</v>
      </c>
      <c r="R1564" s="31">
        <v>0</v>
      </c>
      <c r="S1564" s="31">
        <v>0</v>
      </c>
      <c r="T1564" s="21" cm="1">
        <f t="array" aca="1" ref="T1564" ca="1">+fair_value_gap(OFFSET(S1563,0,0,-1*$I$5,-1*$Z$1),OFFSET(E1563,0,0,-1*$I$5,1),F1564:S1564,0)</f>
        <v>18.971241550363544</v>
      </c>
      <c r="U1564" s="7" cm="1">
        <f t="array" aca="1" ref="U1564" ca="1">z_score_diff(OFFSET(T1564,0,0,$I$5*-1,1),OFFSET(E1564,0,0,$I$5*-1,1))</f>
        <v>-6.2823271534968805E-2</v>
      </c>
      <c r="V1564" s="7">
        <f t="shared" ca="1" si="1687"/>
        <v>-0.19174492132425097</v>
      </c>
      <c r="W1564" s="14">
        <f t="shared" ca="1" si="1682"/>
        <v>-0.18454726925445095</v>
      </c>
      <c r="X1564" s="10">
        <f t="shared" ref="X1564:Y1564" ca="1" si="1709">+X1563</f>
        <v>0</v>
      </c>
      <c r="Y1564" s="10">
        <f t="shared" ca="1" si="1709"/>
        <v>0</v>
      </c>
      <c r="Z1564">
        <f t="shared" ca="1" si="1689"/>
        <v>1</v>
      </c>
      <c r="AA1564">
        <f t="shared" ca="1" si="1690"/>
        <v>0</v>
      </c>
      <c r="AB1564" s="19">
        <f t="shared" ca="1" si="1691"/>
        <v>-0.18454726925445095</v>
      </c>
      <c r="AC1564" s="19">
        <f t="shared" ca="1" si="1692"/>
        <v>0</v>
      </c>
    </row>
    <row r="1565" spans="3:29" x14ac:dyDescent="0.25">
      <c r="C1565" s="4">
        <v>1558</v>
      </c>
      <c r="D1565" s="28">
        <v>44224</v>
      </c>
      <c r="E1565" s="30">
        <v>20.908000000000001</v>
      </c>
      <c r="F1565" s="30">
        <v>45.813051728405249</v>
      </c>
      <c r="G1565" s="30">
        <v>7.3013777741110468</v>
      </c>
      <c r="H1565" s="30">
        <v>75.117564557379751</v>
      </c>
      <c r="I1565" s="8">
        <v>1</v>
      </c>
      <c r="J1565" s="31">
        <v>0</v>
      </c>
      <c r="K1565" s="31">
        <v>0</v>
      </c>
      <c r="L1565" s="31">
        <v>0</v>
      </c>
      <c r="M1565" s="31">
        <v>0</v>
      </c>
      <c r="N1565" s="31">
        <v>0</v>
      </c>
      <c r="O1565" s="31">
        <v>0</v>
      </c>
      <c r="P1565" s="31">
        <v>0</v>
      </c>
      <c r="Q1565" s="31">
        <v>0</v>
      </c>
      <c r="R1565" s="31">
        <v>0</v>
      </c>
      <c r="S1565" s="31">
        <v>0</v>
      </c>
      <c r="T1565" s="21" cm="1">
        <f t="array" aca="1" ref="T1565" ca="1">+fair_value_gap(OFFSET(S1564,0,0,-1*$I$5,-1*$Z$1),OFFSET(E1564,0,0,-1*$I$5,1),F1565:S1565,0)</f>
        <v>19.102599148185369</v>
      </c>
      <c r="U1565" s="7" cm="1">
        <f t="array" aca="1" ref="U1565" ca="1">z_score_diff(OFFSET(T1565,0,0,$I$5*-1,1),OFFSET(E1565,0,0,$I$5*-1,1))</f>
        <v>-0.27526388812816793</v>
      </c>
      <c r="V1565" s="7">
        <f t="shared" ca="1" si="1687"/>
        <v>-0.20654189560446121</v>
      </c>
      <c r="W1565" s="14">
        <f t="shared" ca="1" si="1682"/>
        <v>-0.27161391298137572</v>
      </c>
      <c r="X1565" s="10">
        <f t="shared" ref="X1565:Y1565" ca="1" si="1710">+X1564</f>
        <v>0</v>
      </c>
      <c r="Y1565" s="10">
        <f t="shared" ca="1" si="1710"/>
        <v>0</v>
      </c>
      <c r="Z1565">
        <f t="shared" ca="1" si="1689"/>
        <v>1</v>
      </c>
      <c r="AA1565">
        <f t="shared" ca="1" si="1690"/>
        <v>0</v>
      </c>
      <c r="AB1565" s="19">
        <f t="shared" ca="1" si="1691"/>
        <v>-0.27161391298137572</v>
      </c>
      <c r="AC1565" s="19">
        <f t="shared" ca="1" si="1692"/>
        <v>0</v>
      </c>
    </row>
    <row r="1566" spans="3:29" x14ac:dyDescent="0.25">
      <c r="C1566" s="4">
        <v>1559</v>
      </c>
      <c r="D1566" s="28">
        <v>44225</v>
      </c>
      <c r="E1566" s="30">
        <v>19.818999999999999</v>
      </c>
      <c r="F1566" s="30">
        <v>46.044825313117997</v>
      </c>
      <c r="G1566" s="30">
        <v>7.308833223467369</v>
      </c>
      <c r="H1566" s="30">
        <v>74.653922214897818</v>
      </c>
      <c r="I1566" s="8">
        <v>1</v>
      </c>
      <c r="J1566" s="31">
        <v>0</v>
      </c>
      <c r="K1566" s="31">
        <v>0</v>
      </c>
      <c r="L1566" s="31">
        <v>0</v>
      </c>
      <c r="M1566" s="31">
        <v>0</v>
      </c>
      <c r="N1566" s="31">
        <v>0</v>
      </c>
      <c r="O1566" s="31">
        <v>0</v>
      </c>
      <c r="P1566" s="31">
        <v>0</v>
      </c>
      <c r="Q1566" s="31">
        <v>0</v>
      </c>
      <c r="R1566" s="31">
        <v>0</v>
      </c>
      <c r="S1566" s="31">
        <v>0</v>
      </c>
      <c r="T1566" s="21" cm="1">
        <f t="array" aca="1" ref="T1566" ca="1">+fair_value_gap(OFFSET(S1565,0,0,-1*$I$5,-1*$Z$1),OFFSET(E1565,0,0,-1*$I$5,1),F1566:S1566,0)</f>
        <v>19.222818428810584</v>
      </c>
      <c r="U1566" s="7" cm="1">
        <f t="array" aca="1" ref="U1566" ca="1">z_score_diff(OFFSET(T1566,0,0,$I$5*-1,1),OFFSET(E1566,0,0,$I$5*-1,1))</f>
        <v>-1.8968288074764805E-2</v>
      </c>
      <c r="V1566" s="7">
        <f t="shared" ca="1" si="1687"/>
        <v>-0.2255435906526925</v>
      </c>
      <c r="W1566" s="14">
        <f t="shared" ca="1" si="1682"/>
        <v>-0.23336259983692903</v>
      </c>
      <c r="X1566" s="10">
        <f t="shared" ref="X1566:Y1566" ca="1" si="1711">+X1565</f>
        <v>0</v>
      </c>
      <c r="Y1566" s="10">
        <f t="shared" ca="1" si="1711"/>
        <v>0</v>
      </c>
      <c r="Z1566">
        <f t="shared" ca="1" si="1689"/>
        <v>1</v>
      </c>
      <c r="AA1566">
        <f t="shared" ca="1" si="1690"/>
        <v>0</v>
      </c>
      <c r="AB1566" s="19">
        <f t="shared" ca="1" si="1691"/>
        <v>-0.23336259983692903</v>
      </c>
      <c r="AC1566" s="19">
        <f t="shared" ca="1" si="1692"/>
        <v>0</v>
      </c>
    </row>
    <row r="1567" spans="3:29" x14ac:dyDescent="0.25">
      <c r="C1567" s="4">
        <v>1560</v>
      </c>
      <c r="D1567" s="28">
        <v>44228</v>
      </c>
      <c r="E1567" s="30">
        <v>18.138999999999999</v>
      </c>
      <c r="F1567" s="30">
        <v>46.728584459739615</v>
      </c>
      <c r="G1567" s="30">
        <v>7.0652624595737619</v>
      </c>
      <c r="H1567" s="30">
        <v>69.035575089145041</v>
      </c>
      <c r="I1567" s="8">
        <v>0</v>
      </c>
      <c r="J1567" s="31">
        <v>1</v>
      </c>
      <c r="K1567" s="31">
        <v>0</v>
      </c>
      <c r="L1567" s="31">
        <v>0</v>
      </c>
      <c r="M1567" s="31">
        <v>0</v>
      </c>
      <c r="N1567" s="31">
        <v>0</v>
      </c>
      <c r="O1567" s="31">
        <v>0</v>
      </c>
      <c r="P1567" s="31">
        <v>0</v>
      </c>
      <c r="Q1567" s="31">
        <v>0</v>
      </c>
      <c r="R1567" s="31">
        <v>0</v>
      </c>
      <c r="S1567" s="31">
        <v>0</v>
      </c>
      <c r="T1567" s="21" cm="1">
        <f t="array" aca="1" ref="T1567" ca="1">+fair_value_gap(OFFSET(S1566,0,0,-1*$I$5,-1*$Z$1),OFFSET(E1566,0,0,-1*$I$5,1),F1567:S1567,0)</f>
        <v>8.7957058375826698</v>
      </c>
      <c r="U1567" s="7" cm="1">
        <f t="array" aca="1" ref="U1567" ca="1">z_score_diff(OFFSET(T1567,0,0,$I$5*-1,1),OFFSET(E1567,0,0,$I$5*-1,1))</f>
        <v>-1.9724830399639566</v>
      </c>
      <c r="V1567" s="7">
        <f t="shared" ca="1" si="1687"/>
        <v>-0.29080978261842477</v>
      </c>
      <c r="W1567" s="14">
        <f t="shared" ca="1" si="1682"/>
        <v>-0.12036368224987501</v>
      </c>
      <c r="X1567" s="10">
        <f t="shared" ref="X1567:Y1567" ca="1" si="1712">+X1566</f>
        <v>0</v>
      </c>
      <c r="Y1567" s="10">
        <f t="shared" ca="1" si="1712"/>
        <v>0</v>
      </c>
      <c r="Z1567">
        <f t="shared" ca="1" si="1689"/>
        <v>1</v>
      </c>
      <c r="AA1567">
        <f t="shared" ca="1" si="1690"/>
        <v>0</v>
      </c>
      <c r="AB1567" s="19">
        <f t="shared" ca="1" si="1691"/>
        <v>-0.12036368224987501</v>
      </c>
      <c r="AC1567" s="19">
        <f t="shared" ca="1" si="1692"/>
        <v>0</v>
      </c>
    </row>
    <row r="1568" spans="3:29" x14ac:dyDescent="0.25">
      <c r="C1568" s="4">
        <v>1561</v>
      </c>
      <c r="D1568" s="28">
        <v>44229</v>
      </c>
      <c r="E1568" s="30">
        <v>18.251000000000001</v>
      </c>
      <c r="F1568" s="30">
        <v>47.716326191662517</v>
      </c>
      <c r="G1568" s="30">
        <v>7.0004982561036373</v>
      </c>
      <c r="H1568" s="30">
        <v>68.095000830426841</v>
      </c>
      <c r="I1568" s="8">
        <v>0</v>
      </c>
      <c r="J1568" s="31">
        <v>1</v>
      </c>
      <c r="K1568" s="31">
        <v>0</v>
      </c>
      <c r="L1568" s="31">
        <v>0</v>
      </c>
      <c r="M1568" s="31">
        <v>0</v>
      </c>
      <c r="N1568" s="31">
        <v>0</v>
      </c>
      <c r="O1568" s="31">
        <v>0</v>
      </c>
      <c r="P1568" s="31">
        <v>0</v>
      </c>
      <c r="Q1568" s="31">
        <v>0</v>
      </c>
      <c r="R1568" s="31">
        <v>0</v>
      </c>
      <c r="S1568" s="31">
        <v>0</v>
      </c>
      <c r="T1568" s="21" cm="1">
        <f t="array" aca="1" ref="T1568" ca="1">+fair_value_gap(OFFSET(S1567,0,0,-1*$I$5,-1*$Z$1),OFFSET(E1567,0,0,-1*$I$5,1),F1568:S1568,0)</f>
        <v>9.9122814052599519</v>
      </c>
      <c r="U1568" s="7" cm="1">
        <f t="array" aca="1" ref="U1568" ca="1">z_score_diff(OFFSET(T1568,0,0,$I$5*-1,1),OFFSET(E1568,0,0,$I$5*-1,1))</f>
        <v>-1.7303701512607799</v>
      </c>
      <c r="V1568" s="7">
        <f t="shared" ca="1" si="1687"/>
        <v>-0.38724247088224489</v>
      </c>
      <c r="W1568" s="14">
        <f t="shared" ca="1" si="1682"/>
        <v>-0.13985235246717842</v>
      </c>
      <c r="X1568" s="10">
        <f t="shared" ref="X1568:Y1568" ca="1" si="1713">+X1567</f>
        <v>0</v>
      </c>
      <c r="Y1568" s="10">
        <f t="shared" ca="1" si="1713"/>
        <v>0</v>
      </c>
      <c r="Z1568">
        <f t="shared" ca="1" si="1689"/>
        <v>1</v>
      </c>
      <c r="AA1568">
        <f t="shared" ca="1" si="1690"/>
        <v>0</v>
      </c>
      <c r="AB1568" s="19">
        <f t="shared" ca="1" si="1691"/>
        <v>-0.13985235246717842</v>
      </c>
      <c r="AC1568" s="19">
        <f t="shared" ca="1" si="1692"/>
        <v>0</v>
      </c>
    </row>
    <row r="1569" spans="3:29" x14ac:dyDescent="0.25">
      <c r="C1569" s="4">
        <v>1562</v>
      </c>
      <c r="D1569" s="28">
        <v>44230</v>
      </c>
      <c r="E1569" s="30">
        <v>17.853999999999999</v>
      </c>
      <c r="F1569" s="30">
        <v>48.579026092737244</v>
      </c>
      <c r="G1569" s="30">
        <v>6.9511384410835966</v>
      </c>
      <c r="H1569" s="30">
        <v>67.93252451387734</v>
      </c>
      <c r="I1569" s="8">
        <v>0</v>
      </c>
      <c r="J1569" s="31">
        <v>1</v>
      </c>
      <c r="K1569" s="31">
        <v>0</v>
      </c>
      <c r="L1569" s="31">
        <v>0</v>
      </c>
      <c r="M1569" s="31">
        <v>0</v>
      </c>
      <c r="N1569" s="31">
        <v>0</v>
      </c>
      <c r="O1569" s="31">
        <v>0</v>
      </c>
      <c r="P1569" s="31">
        <v>0</v>
      </c>
      <c r="Q1569" s="31">
        <v>0</v>
      </c>
      <c r="R1569" s="31">
        <v>0</v>
      </c>
      <c r="S1569" s="31">
        <v>0</v>
      </c>
      <c r="T1569" s="21" cm="1">
        <f t="array" aca="1" ref="T1569" ca="1">+fair_value_gap(OFFSET(S1568,0,0,-1*$I$5,-1*$Z$1),OFFSET(E1568,0,0,-1*$I$5,1),F1569:S1569,0)</f>
        <v>10.987967639252568</v>
      </c>
      <c r="U1569" s="7" cm="1">
        <f t="array" aca="1" ref="U1569" ca="1">z_score_diff(OFFSET(T1569,0,0,$I$5*-1,1),OFFSET(E1569,0,0,$I$5*-1,1))</f>
        <v>-1.3961986167486735</v>
      </c>
      <c r="V1569" s="7">
        <f t="shared" ca="1" si="1687"/>
        <v>-0.47456798527002553</v>
      </c>
      <c r="W1569" s="14">
        <f t="shared" ca="1" si="1682"/>
        <v>-0.13964712875813762</v>
      </c>
      <c r="X1569" s="10">
        <f t="shared" ref="X1569:Y1569" ca="1" si="1714">+X1568</f>
        <v>0</v>
      </c>
      <c r="Y1569" s="10">
        <f t="shared" ca="1" si="1714"/>
        <v>0</v>
      </c>
      <c r="Z1569">
        <f t="shared" ca="1" si="1689"/>
        <v>1</v>
      </c>
      <c r="AA1569">
        <f t="shared" ca="1" si="1690"/>
        <v>0</v>
      </c>
      <c r="AB1569" s="19">
        <f t="shared" ca="1" si="1691"/>
        <v>-0.13964712875813762</v>
      </c>
      <c r="AC1569" s="19">
        <f t="shared" ca="1" si="1692"/>
        <v>0</v>
      </c>
    </row>
    <row r="1570" spans="3:29" x14ac:dyDescent="0.25">
      <c r="C1570" s="4">
        <v>1563</v>
      </c>
      <c r="D1570" s="28">
        <v>44231</v>
      </c>
      <c r="E1570" s="30">
        <v>18.12</v>
      </c>
      <c r="F1570" s="30">
        <v>49.189098812907545</v>
      </c>
      <c r="G1570" s="30">
        <v>6.9720782477846521</v>
      </c>
      <c r="H1570" s="30">
        <v>71.058351446246448</v>
      </c>
      <c r="I1570" s="8">
        <v>0</v>
      </c>
      <c r="J1570" s="31">
        <v>1</v>
      </c>
      <c r="K1570" s="31">
        <v>0</v>
      </c>
      <c r="L1570" s="31">
        <v>0</v>
      </c>
      <c r="M1570" s="31">
        <v>0</v>
      </c>
      <c r="N1570" s="31">
        <v>0</v>
      </c>
      <c r="O1570" s="31">
        <v>0</v>
      </c>
      <c r="P1570" s="31">
        <v>0</v>
      </c>
      <c r="Q1570" s="31">
        <v>0</v>
      </c>
      <c r="R1570" s="31">
        <v>0</v>
      </c>
      <c r="S1570" s="31">
        <v>0</v>
      </c>
      <c r="T1570" s="21" cm="1">
        <f t="array" aca="1" ref="T1570" ca="1">+fair_value_gap(OFFSET(S1569,0,0,-1*$I$5,-1*$Z$1),OFFSET(E1569,0,0,-1*$I$5,1),F1570:S1570,0)</f>
        <v>12.335014823729889</v>
      </c>
      <c r="U1570" s="7" cm="1">
        <f t="array" aca="1" ref="U1570" ca="1">z_score_diff(OFFSET(T1570,0,0,$I$5*-1,1),OFFSET(E1570,0,0,$I$5*-1,1))</f>
        <v>-1.1377768011990259</v>
      </c>
      <c r="V1570" s="7">
        <f t="shared" ca="1" si="1687"/>
        <v>-0.54402338727116795</v>
      </c>
      <c r="W1570" s="14">
        <f t="shared" ca="1" si="1682"/>
        <v>-0.12868663529543553</v>
      </c>
      <c r="X1570" s="10">
        <f t="shared" ref="X1570:Y1570" ca="1" si="1715">+X1569</f>
        <v>0</v>
      </c>
      <c r="Y1570" s="10">
        <f t="shared" ca="1" si="1715"/>
        <v>0</v>
      </c>
      <c r="Z1570">
        <f t="shared" ca="1" si="1689"/>
        <v>1</v>
      </c>
      <c r="AA1570">
        <f t="shared" ca="1" si="1690"/>
        <v>0</v>
      </c>
      <c r="AB1570" s="19">
        <f t="shared" ca="1" si="1691"/>
        <v>-0.12868663529543553</v>
      </c>
      <c r="AC1570" s="19">
        <f t="shared" ca="1" si="1692"/>
        <v>0</v>
      </c>
    </row>
    <row r="1571" spans="3:29" x14ac:dyDescent="0.25">
      <c r="C1571" s="4">
        <v>1564</v>
      </c>
      <c r="D1571" s="28">
        <v>44232</v>
      </c>
      <c r="E1571" s="30">
        <v>18.38</v>
      </c>
      <c r="F1571" s="30">
        <v>49.277528649725966</v>
      </c>
      <c r="G1571" s="30">
        <v>6.9631290483308419</v>
      </c>
      <c r="H1571" s="30">
        <v>71.748878923766824</v>
      </c>
      <c r="I1571" s="8">
        <v>0</v>
      </c>
      <c r="J1571" s="31">
        <v>1</v>
      </c>
      <c r="K1571" s="31">
        <v>0</v>
      </c>
      <c r="L1571" s="31">
        <v>0</v>
      </c>
      <c r="M1571" s="31">
        <v>0</v>
      </c>
      <c r="N1571" s="31">
        <v>0</v>
      </c>
      <c r="O1571" s="31">
        <v>0</v>
      </c>
      <c r="P1571" s="31">
        <v>0</v>
      </c>
      <c r="Q1571" s="31">
        <v>0</v>
      </c>
      <c r="R1571" s="31">
        <v>0</v>
      </c>
      <c r="S1571" s="31">
        <v>0</v>
      </c>
      <c r="T1571" s="21" cm="1">
        <f t="array" aca="1" ref="T1571" ca="1">+fair_value_gap(OFFSET(S1570,0,0,-1*$I$5,-1*$Z$1),OFFSET(E1570,0,0,-1*$I$5,1),F1571:S1571,0)</f>
        <v>13.144218448122224</v>
      </c>
      <c r="U1571" s="7" cm="1">
        <f t="array" aca="1" ref="U1571" ca="1">z_score_diff(OFFSET(T1571,0,0,$I$5*-1,1),OFFSET(E1571,0,0,$I$5*-1,1))</f>
        <v>-0.99820922148251034</v>
      </c>
      <c r="V1571" s="7">
        <f t="shared" ca="1" si="1687"/>
        <v>-0.59614156927941742</v>
      </c>
      <c r="W1571" s="14">
        <f t="shared" ca="1" si="1682"/>
        <v>-0.115996004403794</v>
      </c>
      <c r="X1571" s="10">
        <f t="shared" ref="X1571:Y1571" ca="1" si="1716">+X1570</f>
        <v>0</v>
      </c>
      <c r="Y1571" s="10">
        <f t="shared" ca="1" si="1716"/>
        <v>0</v>
      </c>
      <c r="Z1571">
        <f t="shared" ca="1" si="1689"/>
        <v>1</v>
      </c>
      <c r="AA1571">
        <f t="shared" ca="1" si="1690"/>
        <v>0</v>
      </c>
      <c r="AB1571" s="19">
        <f t="shared" ca="1" si="1691"/>
        <v>-0.115996004403794</v>
      </c>
      <c r="AC1571" s="19">
        <f t="shared" ca="1" si="1692"/>
        <v>0</v>
      </c>
    </row>
    <row r="1572" spans="3:29" x14ac:dyDescent="0.25">
      <c r="C1572" s="4">
        <v>1565</v>
      </c>
      <c r="D1572" s="28">
        <v>44235</v>
      </c>
      <c r="E1572" s="30">
        <v>20.178999999999998</v>
      </c>
      <c r="F1572" s="30">
        <v>50.265604249667994</v>
      </c>
      <c r="G1572" s="30">
        <v>6.997011952191234</v>
      </c>
      <c r="H1572" s="30">
        <v>72.543160690571042</v>
      </c>
      <c r="I1572" s="8">
        <v>0</v>
      </c>
      <c r="J1572" s="31">
        <v>1</v>
      </c>
      <c r="K1572" s="31">
        <v>0</v>
      </c>
      <c r="L1572" s="31">
        <v>0</v>
      </c>
      <c r="M1572" s="31">
        <v>0</v>
      </c>
      <c r="N1572" s="31">
        <v>0</v>
      </c>
      <c r="O1572" s="31">
        <v>0</v>
      </c>
      <c r="P1572" s="31">
        <v>0</v>
      </c>
      <c r="Q1572" s="31">
        <v>0</v>
      </c>
      <c r="R1572" s="31">
        <v>0</v>
      </c>
      <c r="S1572" s="31">
        <v>0</v>
      </c>
      <c r="T1572" s="21" cm="1">
        <f t="array" aca="1" ref="T1572" ca="1">+fair_value_gap(OFFSET(S1571,0,0,-1*$I$5,-1*$Z$1),OFFSET(E1571,0,0,-1*$I$5,1),F1572:S1572,0)</f>
        <v>13.960424631791668</v>
      </c>
      <c r="U1572" s="7" cm="1">
        <f t="array" aca="1" ref="U1572" ca="1">z_score_diff(OFFSET(T1572,0,0,$I$5*-1,1),OFFSET(E1572,0,0,$I$5*-1,1))</f>
        <v>-1.1614133505320932</v>
      </c>
      <c r="V1572" s="7">
        <f t="shared" ca="1" si="1687"/>
        <v>-0.65912160362895089</v>
      </c>
      <c r="W1572" s="14">
        <f t="shared" ca="1" si="1682"/>
        <v>-0.22266049242737085</v>
      </c>
      <c r="X1572" s="10">
        <f t="shared" ref="X1572:Y1572" ca="1" si="1717">+X1571</f>
        <v>0</v>
      </c>
      <c r="Y1572" s="10">
        <f t="shared" ca="1" si="1717"/>
        <v>0</v>
      </c>
      <c r="Z1572">
        <f t="shared" ca="1" si="1689"/>
        <v>1</v>
      </c>
      <c r="AA1572">
        <f t="shared" ca="1" si="1690"/>
        <v>0</v>
      </c>
      <c r="AB1572" s="19">
        <f t="shared" ca="1" si="1691"/>
        <v>-0.22266049242737085</v>
      </c>
      <c r="AC1572" s="19">
        <f t="shared" ca="1" si="1692"/>
        <v>0</v>
      </c>
    </row>
    <row r="1573" spans="3:29" x14ac:dyDescent="0.25">
      <c r="C1573" s="4">
        <v>1566</v>
      </c>
      <c r="D1573" s="28">
        <v>44236</v>
      </c>
      <c r="E1573" s="30">
        <v>19.045000000000002</v>
      </c>
      <c r="F1573" s="30">
        <v>50.416769827515061</v>
      </c>
      <c r="G1573" s="30">
        <v>6.8540067673516543</v>
      </c>
      <c r="H1573" s="30">
        <v>72.295122555087886</v>
      </c>
      <c r="I1573" s="8">
        <v>0</v>
      </c>
      <c r="J1573" s="31">
        <v>1</v>
      </c>
      <c r="K1573" s="31">
        <v>0</v>
      </c>
      <c r="L1573" s="31">
        <v>0</v>
      </c>
      <c r="M1573" s="31">
        <v>0</v>
      </c>
      <c r="N1573" s="31">
        <v>0</v>
      </c>
      <c r="O1573" s="31">
        <v>0</v>
      </c>
      <c r="P1573" s="31">
        <v>0</v>
      </c>
      <c r="Q1573" s="31">
        <v>0</v>
      </c>
      <c r="R1573" s="31">
        <v>0</v>
      </c>
      <c r="S1573" s="31">
        <v>0</v>
      </c>
      <c r="T1573" s="21" cm="1">
        <f t="array" aca="1" ref="T1573" ca="1">+fair_value_gap(OFFSET(S1572,0,0,-1*$I$5,-1*$Z$1),OFFSET(E1572,0,0,-1*$I$5,1),F1573:S1573,0)</f>
        <v>14.54505026214752</v>
      </c>
      <c r="U1573" s="7" cm="1">
        <f t="array" aca="1" ref="U1573" ca="1">z_score_diff(OFFSET(T1573,0,0,$I$5*-1,1),OFFSET(E1573,0,0,$I$5*-1,1))</f>
        <v>-0.79368649738773422</v>
      </c>
      <c r="V1573" s="7">
        <f t="shared" ca="1" si="1687"/>
        <v>-0.65885420350760016</v>
      </c>
      <c r="W1573" s="14">
        <f t="shared" ca="1" si="1682"/>
        <v>-0.11801278113222875</v>
      </c>
      <c r="X1573" s="10">
        <f t="shared" ref="X1573:Y1573" ca="1" si="1718">+X1572</f>
        <v>0</v>
      </c>
      <c r="Y1573" s="10">
        <f t="shared" ca="1" si="1718"/>
        <v>0</v>
      </c>
      <c r="Z1573">
        <f t="shared" ca="1" si="1689"/>
        <v>1</v>
      </c>
      <c r="AA1573">
        <f t="shared" ca="1" si="1690"/>
        <v>0</v>
      </c>
      <c r="AB1573" s="19">
        <f t="shared" ca="1" si="1691"/>
        <v>-0.11801278113222875</v>
      </c>
      <c r="AC1573" s="19">
        <f t="shared" ca="1" si="1692"/>
        <v>0</v>
      </c>
    </row>
    <row r="1574" spans="3:29" x14ac:dyDescent="0.25">
      <c r="C1574" s="4">
        <v>1567</v>
      </c>
      <c r="D1574" s="28">
        <v>44237</v>
      </c>
      <c r="E1574" s="30">
        <v>18.558</v>
      </c>
      <c r="F1574" s="30">
        <v>50.73456586332123</v>
      </c>
      <c r="G1574" s="30">
        <v>6.8339385935952457</v>
      </c>
      <c r="H1574" s="30">
        <v>72.796302410036319</v>
      </c>
      <c r="I1574" s="8">
        <v>0</v>
      </c>
      <c r="J1574" s="31">
        <v>1</v>
      </c>
      <c r="K1574" s="31">
        <v>0</v>
      </c>
      <c r="L1574" s="31">
        <v>0</v>
      </c>
      <c r="M1574" s="31">
        <v>0</v>
      </c>
      <c r="N1574" s="31">
        <v>0</v>
      </c>
      <c r="O1574" s="31">
        <v>0</v>
      </c>
      <c r="P1574" s="31">
        <v>0</v>
      </c>
      <c r="Q1574" s="31">
        <v>0</v>
      </c>
      <c r="R1574" s="31">
        <v>0</v>
      </c>
      <c r="S1574" s="31">
        <v>0</v>
      </c>
      <c r="T1574" s="21" cm="1">
        <f t="array" aca="1" ref="T1574" ca="1">+fair_value_gap(OFFSET(S1573,0,0,-1*$I$5,-1*$Z$1),OFFSET(E1573,0,0,-1*$I$5,1),F1574:S1574,0)</f>
        <v>15.175247957129137</v>
      </c>
      <c r="U1574" s="7" cm="1">
        <f t="array" aca="1" ref="U1574" ca="1">z_score_diff(OFFSET(T1574,0,0,$I$5*-1,1),OFFSET(E1574,0,0,$I$5*-1,1))</f>
        <v>-0.54966540399093522</v>
      </c>
      <c r="V1574" s="7">
        <f t="shared" ca="1" si="1687"/>
        <v>-0.69700162774943208</v>
      </c>
      <c r="W1574" s="14">
        <f t="shared" ca="1" si="1682"/>
        <v>-5.1185529960483485E-2</v>
      </c>
      <c r="X1574" s="10">
        <f t="shared" ref="X1574:Y1574" ca="1" si="1719">+X1573</f>
        <v>0</v>
      </c>
      <c r="Y1574" s="10">
        <f t="shared" ca="1" si="1719"/>
        <v>0</v>
      </c>
      <c r="Z1574">
        <f t="shared" ca="1" si="1689"/>
        <v>1</v>
      </c>
      <c r="AA1574">
        <f t="shared" ca="1" si="1690"/>
        <v>0</v>
      </c>
      <c r="AB1574" s="19">
        <f t="shared" ca="1" si="1691"/>
        <v>-5.1185529960483485E-2</v>
      </c>
      <c r="AC1574" s="19">
        <f t="shared" ca="1" si="1692"/>
        <v>0</v>
      </c>
    </row>
    <row r="1575" spans="3:29" x14ac:dyDescent="0.25">
      <c r="C1575" s="4">
        <v>1568</v>
      </c>
      <c r="D1575" s="28">
        <v>44238</v>
      </c>
      <c r="E1575" s="30">
        <v>17.373000000000001</v>
      </c>
      <c r="F1575" s="30">
        <v>50.412269129287594</v>
      </c>
      <c r="G1575" s="30">
        <v>6.8148087071240102</v>
      </c>
      <c r="H1575" s="30">
        <v>73.095316622691286</v>
      </c>
      <c r="I1575" s="8">
        <v>0</v>
      </c>
      <c r="J1575" s="31">
        <v>1</v>
      </c>
      <c r="K1575" s="31">
        <v>0</v>
      </c>
      <c r="L1575" s="31">
        <v>0</v>
      </c>
      <c r="M1575" s="31">
        <v>0</v>
      </c>
      <c r="N1575" s="31">
        <v>0</v>
      </c>
      <c r="O1575" s="31">
        <v>0</v>
      </c>
      <c r="P1575" s="31">
        <v>0</v>
      </c>
      <c r="Q1575" s="31">
        <v>0</v>
      </c>
      <c r="R1575" s="31">
        <v>0</v>
      </c>
      <c r="S1575" s="31">
        <v>0</v>
      </c>
      <c r="T1575" s="21" cm="1">
        <f t="array" aca="1" ref="T1575" ca="1">+fair_value_gap(OFFSET(S1574,0,0,-1*$I$5,-1*$Z$1),OFFSET(E1574,0,0,-1*$I$5,1),F1575:S1575,0)</f>
        <v>15.673920362371192</v>
      </c>
      <c r="U1575" s="7" cm="1">
        <f t="array" aca="1" ref="U1575" ca="1">z_score_diff(OFFSET(T1575,0,0,$I$5*-1,1),OFFSET(E1575,0,0,$I$5*-1,1))</f>
        <v>-0.20256239379588736</v>
      </c>
      <c r="V1575" s="7">
        <f t="shared" ca="1" si="1687"/>
        <v>-0.71736530041812996</v>
      </c>
      <c r="W1575" s="14">
        <f t="shared" ca="1" si="1682"/>
        <v>4.248526256901948E-2</v>
      </c>
      <c r="X1575" s="10">
        <f t="shared" ref="X1575:Y1575" ca="1" si="1720">+X1574</f>
        <v>0</v>
      </c>
      <c r="Y1575" s="10">
        <f t="shared" ca="1" si="1720"/>
        <v>0</v>
      </c>
      <c r="Z1575">
        <f t="shared" ca="1" si="1689"/>
        <v>1</v>
      </c>
      <c r="AA1575">
        <f t="shared" ca="1" si="1690"/>
        <v>0</v>
      </c>
      <c r="AB1575" s="19">
        <f t="shared" ca="1" si="1691"/>
        <v>4.248526256901948E-2</v>
      </c>
      <c r="AC1575" s="19">
        <f t="shared" ca="1" si="1692"/>
        <v>0</v>
      </c>
    </row>
    <row r="1576" spans="3:29" x14ac:dyDescent="0.25">
      <c r="C1576" s="4">
        <v>1569</v>
      </c>
      <c r="D1576" s="28">
        <v>44239</v>
      </c>
      <c r="E1576" s="30">
        <v>17.617999999999999</v>
      </c>
      <c r="F1576" s="30">
        <v>51.518402376629808</v>
      </c>
      <c r="G1576" s="30">
        <v>6.8196071959069151</v>
      </c>
      <c r="H1576" s="30">
        <v>73.361940914342313</v>
      </c>
      <c r="I1576" s="8">
        <v>0</v>
      </c>
      <c r="J1576" s="31">
        <v>1</v>
      </c>
      <c r="K1576" s="31">
        <v>0</v>
      </c>
      <c r="L1576" s="31">
        <v>0</v>
      </c>
      <c r="M1576" s="31">
        <v>0</v>
      </c>
      <c r="N1576" s="31">
        <v>0</v>
      </c>
      <c r="O1576" s="31">
        <v>0</v>
      </c>
      <c r="P1576" s="31">
        <v>0</v>
      </c>
      <c r="Q1576" s="31">
        <v>0</v>
      </c>
      <c r="R1576" s="31">
        <v>0</v>
      </c>
      <c r="S1576" s="31">
        <v>0</v>
      </c>
      <c r="T1576" s="21" cm="1">
        <f t="array" aca="1" ref="T1576" ca="1">+fair_value_gap(OFFSET(S1575,0,0,-1*$I$5,-1*$Z$1),OFFSET(E1575,0,0,-1*$I$5,1),F1576:S1576,0)</f>
        <v>16.198335878209484</v>
      </c>
      <c r="U1576" s="7" cm="1">
        <f t="array" aca="1" ref="U1576" ca="1">z_score_diff(OFFSET(T1576,0,0,$I$5*-1,1),OFFSET(E1576,0,0,$I$5*-1,1))</f>
        <v>-0.13354584764623301</v>
      </c>
      <c r="V1576" s="7">
        <f t="shared" ca="1" si="1687"/>
        <v>-0.74366434112628155</v>
      </c>
      <c r="W1576" s="14">
        <f t="shared" ca="1" si="1682"/>
        <v>4.6034856839099358E-2</v>
      </c>
      <c r="X1576" s="10">
        <f t="shared" ref="X1576:Y1576" ca="1" si="1721">+X1575</f>
        <v>0</v>
      </c>
      <c r="Y1576" s="10">
        <f t="shared" ca="1" si="1721"/>
        <v>0</v>
      </c>
      <c r="Z1576">
        <f t="shared" ca="1" si="1689"/>
        <v>1</v>
      </c>
      <c r="AA1576">
        <f t="shared" ca="1" si="1690"/>
        <v>0</v>
      </c>
      <c r="AB1576" s="19">
        <f t="shared" ca="1" si="1691"/>
        <v>4.6034856839099358E-2</v>
      </c>
      <c r="AC1576" s="19">
        <f t="shared" ca="1" si="1692"/>
        <v>0</v>
      </c>
    </row>
    <row r="1577" spans="3:29" x14ac:dyDescent="0.25">
      <c r="C1577" s="4">
        <v>1570</v>
      </c>
      <c r="D1577" s="28">
        <v>44242</v>
      </c>
      <c r="E1577" s="30">
        <v>16.54</v>
      </c>
      <c r="F1577" s="30">
        <v>52.197575657623489</v>
      </c>
      <c r="G1577" s="30">
        <v>6.8145460542590914</v>
      </c>
      <c r="H1577" s="30">
        <v>73.389956295868728</v>
      </c>
      <c r="I1577" s="8">
        <v>0</v>
      </c>
      <c r="J1577" s="31">
        <v>1</v>
      </c>
      <c r="K1577" s="31">
        <v>0</v>
      </c>
      <c r="L1577" s="31">
        <v>0</v>
      </c>
      <c r="M1577" s="31">
        <v>0</v>
      </c>
      <c r="N1577" s="31">
        <v>0</v>
      </c>
      <c r="O1577" s="31">
        <v>0</v>
      </c>
      <c r="P1577" s="31">
        <v>0</v>
      </c>
      <c r="Q1577" s="31">
        <v>0</v>
      </c>
      <c r="R1577" s="31">
        <v>0</v>
      </c>
      <c r="S1577" s="31">
        <v>0</v>
      </c>
      <c r="T1577" s="21" cm="1">
        <f t="array" aca="1" ref="T1577" ca="1">+fair_value_gap(OFFSET(S1576,0,0,-1*$I$5,-1*$Z$1),OFFSET(E1576,0,0,-1*$I$5,1),F1577:S1577,0)</f>
        <v>16.678521131962277</v>
      </c>
      <c r="U1577" s="7" cm="1">
        <f t="array" aca="1" ref="U1577" ca="1">z_score_diff(OFFSET(T1577,0,0,$I$5*-1,1),OFFSET(E1577,0,0,$I$5*-1,1))</f>
        <v>0.18152139387315858</v>
      </c>
      <c r="V1577" s="7">
        <f t="shared" ca="1" si="1687"/>
        <v>-0.76414314362154612</v>
      </c>
      <c r="W1577" s="14">
        <f t="shared" ca="1" si="1682"/>
        <v>8.0805136697647856E-2</v>
      </c>
      <c r="X1577" s="10">
        <f t="shared" ref="X1577:Y1577" ca="1" si="1722">+X1576</f>
        <v>0</v>
      </c>
      <c r="Y1577" s="10">
        <f t="shared" ca="1" si="1722"/>
        <v>0</v>
      </c>
      <c r="Z1577">
        <f t="shared" ca="1" si="1689"/>
        <v>1</v>
      </c>
      <c r="AA1577">
        <f t="shared" ca="1" si="1690"/>
        <v>0</v>
      </c>
      <c r="AB1577" s="19">
        <f t="shared" ca="1" si="1691"/>
        <v>8.0805136697647856E-2</v>
      </c>
      <c r="AC1577" s="19">
        <f t="shared" ca="1" si="1692"/>
        <v>0</v>
      </c>
    </row>
    <row r="1578" spans="3:29" x14ac:dyDescent="0.25">
      <c r="C1578" s="4">
        <v>1571</v>
      </c>
      <c r="D1578" s="28">
        <v>44243</v>
      </c>
      <c r="E1578" s="30">
        <v>16.715</v>
      </c>
      <c r="F1578" s="30">
        <v>52.338070059484473</v>
      </c>
      <c r="G1578" s="30">
        <v>5.2461996034368807</v>
      </c>
      <c r="H1578" s="30">
        <v>73.322868473231992</v>
      </c>
      <c r="I1578" s="8">
        <v>0</v>
      </c>
      <c r="J1578" s="31">
        <v>1</v>
      </c>
      <c r="K1578" s="31">
        <v>0</v>
      </c>
      <c r="L1578" s="31">
        <v>0</v>
      </c>
      <c r="M1578" s="31">
        <v>0</v>
      </c>
      <c r="N1578" s="31">
        <v>0</v>
      </c>
      <c r="O1578" s="31">
        <v>0</v>
      </c>
      <c r="P1578" s="31">
        <v>0</v>
      </c>
      <c r="Q1578" s="31">
        <v>0</v>
      </c>
      <c r="R1578" s="31">
        <v>0</v>
      </c>
      <c r="S1578" s="31">
        <v>0</v>
      </c>
      <c r="T1578" s="21" cm="1">
        <f t="array" aca="1" ref="T1578" ca="1">+fair_value_gap(OFFSET(S1577,0,0,-1*$I$5,-1*$Z$1),OFFSET(E1577,0,0,-1*$I$5,1),F1578:S1578,0)</f>
        <v>16.182278139359731</v>
      </c>
      <c r="U1578" s="7" cm="1">
        <f t="array" aca="1" ref="U1578" ca="1">z_score_diff(OFFSET(T1578,0,0,$I$5*-1,1),OFFSET(E1578,0,0,$I$5*-1,1))</f>
        <v>3.7670788397140775E-2</v>
      </c>
      <c r="V1578" s="7">
        <f t="shared" ca="1" si="1687"/>
        <v>-0.6782477216980819</v>
      </c>
      <c r="W1578" s="14">
        <f t="shared" ca="1" si="1682"/>
        <v>5.4882418607328773E-2</v>
      </c>
      <c r="X1578" s="10">
        <f t="shared" ref="X1578:Y1578" ca="1" si="1723">+X1577</f>
        <v>0</v>
      </c>
      <c r="Y1578" s="10">
        <f t="shared" ca="1" si="1723"/>
        <v>0</v>
      </c>
      <c r="Z1578">
        <f t="shared" ca="1" si="1689"/>
        <v>1</v>
      </c>
      <c r="AA1578">
        <f t="shared" ca="1" si="1690"/>
        <v>0</v>
      </c>
      <c r="AB1578" s="19">
        <f t="shared" ca="1" si="1691"/>
        <v>5.4882418607328773E-2</v>
      </c>
      <c r="AC1578" s="19">
        <f t="shared" ca="1" si="1692"/>
        <v>0</v>
      </c>
    </row>
    <row r="1579" spans="3:29" x14ac:dyDescent="0.25">
      <c r="C1579" s="4">
        <v>1572</v>
      </c>
      <c r="D1579" s="28">
        <v>44244</v>
      </c>
      <c r="E1579" s="30">
        <v>16.54</v>
      </c>
      <c r="F1579" s="30">
        <v>53.456297773346627</v>
      </c>
      <c r="G1579" s="30">
        <v>5.2384513127284809</v>
      </c>
      <c r="H1579" s="30">
        <v>73.86174808906614</v>
      </c>
      <c r="I1579" s="8">
        <v>0</v>
      </c>
      <c r="J1579" s="31">
        <v>1</v>
      </c>
      <c r="K1579" s="31">
        <v>0</v>
      </c>
      <c r="L1579" s="31">
        <v>0</v>
      </c>
      <c r="M1579" s="31">
        <v>0</v>
      </c>
      <c r="N1579" s="31">
        <v>0</v>
      </c>
      <c r="O1579" s="31">
        <v>0</v>
      </c>
      <c r="P1579" s="31">
        <v>0</v>
      </c>
      <c r="Q1579" s="31">
        <v>0</v>
      </c>
      <c r="R1579" s="31">
        <v>0</v>
      </c>
      <c r="S1579" s="31">
        <v>0</v>
      </c>
      <c r="T1579" s="21" cm="1">
        <f t="array" aca="1" ref="T1579" ca="1">+fair_value_gap(OFFSET(S1578,0,0,-1*$I$5,-1*$Z$1),OFFSET(E1578,0,0,-1*$I$5,1),F1579:S1579,0)</f>
        <v>16.839683818543637</v>
      </c>
      <c r="U1579" s="7" cm="1">
        <f t="array" aca="1" ref="U1579" ca="1">z_score_diff(OFFSET(T1579,0,0,$I$5*-1,1),OFFSET(E1579,0,0,$I$5*-1,1))</f>
        <v>0.21282719424030239</v>
      </c>
      <c r="V1579" s="7">
        <f t="shared" ca="1" si="1687"/>
        <v>-0.60355642368651974</v>
      </c>
      <c r="W1579" s="14">
        <f t="shared" ca="1" si="1682"/>
        <v>8.303330161236841E-2</v>
      </c>
      <c r="X1579" s="10">
        <f t="shared" ref="X1579:Y1579" ca="1" si="1724">+X1578</f>
        <v>0</v>
      </c>
      <c r="Y1579" s="10">
        <f t="shared" ca="1" si="1724"/>
        <v>0</v>
      </c>
      <c r="Z1579">
        <f t="shared" ca="1" si="1689"/>
        <v>1</v>
      </c>
      <c r="AA1579">
        <f t="shared" ca="1" si="1690"/>
        <v>0</v>
      </c>
      <c r="AB1579" s="19">
        <f t="shared" ca="1" si="1691"/>
        <v>8.303330161236841E-2</v>
      </c>
      <c r="AC1579" s="19">
        <f t="shared" ca="1" si="1692"/>
        <v>0</v>
      </c>
    </row>
    <row r="1580" spans="3:29" x14ac:dyDescent="0.25">
      <c r="C1580" s="4">
        <v>1573</v>
      </c>
      <c r="D1580" s="28">
        <v>44245</v>
      </c>
      <c r="E1580" s="30">
        <v>17.329000000000001</v>
      </c>
      <c r="F1580" s="30">
        <v>52.887160820648575</v>
      </c>
      <c r="G1580" s="30">
        <v>5.4599602911978815</v>
      </c>
      <c r="H1580" s="30">
        <v>73.213103904698869</v>
      </c>
      <c r="I1580" s="8">
        <v>0</v>
      </c>
      <c r="J1580" s="31">
        <v>1</v>
      </c>
      <c r="K1580" s="31">
        <v>0</v>
      </c>
      <c r="L1580" s="31">
        <v>0</v>
      </c>
      <c r="M1580" s="31">
        <v>0</v>
      </c>
      <c r="N1580" s="31">
        <v>0</v>
      </c>
      <c r="O1580" s="31">
        <v>0</v>
      </c>
      <c r="P1580" s="31">
        <v>0</v>
      </c>
      <c r="Q1580" s="31">
        <v>0</v>
      </c>
      <c r="R1580" s="31">
        <v>0</v>
      </c>
      <c r="S1580" s="31">
        <v>0</v>
      </c>
      <c r="T1580" s="21" cm="1">
        <f t="array" aca="1" ref="T1580" ca="1">+fair_value_gap(OFFSET(S1579,0,0,-1*$I$5,-1*$Z$1),OFFSET(E1579,0,0,-1*$I$5,1),F1580:S1580,0)</f>
        <v>17.299507702330025</v>
      </c>
      <c r="U1580" s="7" cm="1">
        <f t="array" aca="1" ref="U1580" ca="1">z_score_diff(OFFSET(T1580,0,0,$I$5*-1,1),OFFSET(E1580,0,0,$I$5*-1,1))</f>
        <v>0.15655971823142223</v>
      </c>
      <c r="V1580" s="7">
        <f t="shared" ca="1" si="1687"/>
        <v>-0.54641930579280784</v>
      </c>
      <c r="W1580" s="14">
        <f t="shared" ca="1" si="1682"/>
        <v>2.4623643627081374E-2</v>
      </c>
      <c r="X1580" s="10">
        <f t="shared" ref="X1580:Y1580" ca="1" si="1725">+X1579</f>
        <v>0</v>
      </c>
      <c r="Y1580" s="10">
        <f t="shared" ca="1" si="1725"/>
        <v>0</v>
      </c>
      <c r="Z1580">
        <f t="shared" ca="1" si="1689"/>
        <v>1</v>
      </c>
      <c r="AA1580">
        <f t="shared" ca="1" si="1690"/>
        <v>0</v>
      </c>
      <c r="AB1580" s="19">
        <f t="shared" ca="1" si="1691"/>
        <v>2.4623643627081374E-2</v>
      </c>
      <c r="AC1580" s="19">
        <f t="shared" ca="1" si="1692"/>
        <v>0</v>
      </c>
    </row>
    <row r="1581" spans="3:29" x14ac:dyDescent="0.25">
      <c r="C1581" s="4">
        <v>1574</v>
      </c>
      <c r="D1581" s="28">
        <v>44246</v>
      </c>
      <c r="E1581" s="30">
        <v>16.553999999999998</v>
      </c>
      <c r="F1581" s="30">
        <v>51.9187917801436</v>
      </c>
      <c r="G1581" s="30">
        <v>5.2818354378146406</v>
      </c>
      <c r="H1581" s="30">
        <v>73.945696129404965</v>
      </c>
      <c r="I1581" s="8">
        <v>0</v>
      </c>
      <c r="J1581" s="31">
        <v>1</v>
      </c>
      <c r="K1581" s="31">
        <v>0</v>
      </c>
      <c r="L1581" s="31">
        <v>0</v>
      </c>
      <c r="M1581" s="31">
        <v>0</v>
      </c>
      <c r="N1581" s="31">
        <v>0</v>
      </c>
      <c r="O1581" s="31">
        <v>0</v>
      </c>
      <c r="P1581" s="31">
        <v>0</v>
      </c>
      <c r="Q1581" s="31">
        <v>0</v>
      </c>
      <c r="R1581" s="31">
        <v>0</v>
      </c>
      <c r="S1581" s="31">
        <v>0</v>
      </c>
      <c r="T1581" s="21" cm="1">
        <f t="array" aca="1" ref="T1581" ca="1">+fair_value_gap(OFFSET(S1580,0,0,-1*$I$5,-1*$Z$1),OFFSET(E1580,0,0,-1*$I$5,1),F1581:S1581,0)</f>
        <v>17.888200851486381</v>
      </c>
      <c r="U1581" s="7" cm="1">
        <f t="array" aca="1" ref="U1581" ca="1">z_score_diff(OFFSET(T1581,0,0,$I$5*-1,1),OFFSET(E1581,0,0,$I$5*-1,1))</f>
        <v>0.43333110624471116</v>
      </c>
      <c r="V1581" s="7">
        <f t="shared" ca="1" si="1687"/>
        <v>-0.48850168893032875</v>
      </c>
      <c r="W1581" s="14">
        <f t="shared" ca="1" si="1682"/>
        <v>4.2111485350126848E-2</v>
      </c>
      <c r="X1581" s="10">
        <f t="shared" ref="X1581:Y1581" ca="1" si="1726">+X1580</f>
        <v>0</v>
      </c>
      <c r="Y1581" s="10">
        <f t="shared" ca="1" si="1726"/>
        <v>0</v>
      </c>
      <c r="Z1581">
        <f t="shared" ca="1" si="1689"/>
        <v>1</v>
      </c>
      <c r="AA1581">
        <f t="shared" ca="1" si="1690"/>
        <v>0</v>
      </c>
      <c r="AB1581" s="19">
        <f t="shared" ca="1" si="1691"/>
        <v>4.2111485350126848E-2</v>
      </c>
      <c r="AC1581" s="19">
        <f t="shared" ca="1" si="1692"/>
        <v>0</v>
      </c>
    </row>
    <row r="1582" spans="3:29" x14ac:dyDescent="0.25">
      <c r="C1582" s="4">
        <v>1575</v>
      </c>
      <c r="D1582" s="28">
        <v>44249</v>
      </c>
      <c r="E1582" s="30">
        <v>15.96</v>
      </c>
      <c r="F1582" s="30">
        <v>53.677801546815857</v>
      </c>
      <c r="G1582" s="30">
        <v>5.1464538423564257</v>
      </c>
      <c r="H1582" s="30">
        <v>72.856672700345555</v>
      </c>
      <c r="I1582" s="8">
        <v>0</v>
      </c>
      <c r="J1582" s="31">
        <v>1</v>
      </c>
      <c r="K1582" s="31">
        <v>0</v>
      </c>
      <c r="L1582" s="31">
        <v>0</v>
      </c>
      <c r="M1582" s="31">
        <v>0</v>
      </c>
      <c r="N1582" s="31">
        <v>0</v>
      </c>
      <c r="O1582" s="31">
        <v>0</v>
      </c>
      <c r="P1582" s="31">
        <v>0</v>
      </c>
      <c r="Q1582" s="31">
        <v>0</v>
      </c>
      <c r="R1582" s="31">
        <v>0</v>
      </c>
      <c r="S1582" s="31">
        <v>0</v>
      </c>
      <c r="T1582" s="21" cm="1">
        <f t="array" aca="1" ref="T1582" ca="1">+fair_value_gap(OFFSET(S1581,0,0,-1*$I$5,-1*$Z$1),OFFSET(E1581,0,0,-1*$I$5,1),F1582:S1582,0)</f>
        <v>17.655536254302497</v>
      </c>
      <c r="U1582" s="7" cm="1">
        <f t="array" aca="1" ref="U1582" ca="1">z_score_diff(OFFSET(T1582,0,0,$I$5*-1,1),OFFSET(E1582,0,0,$I$5*-1,1))</f>
        <v>0.49454009484645856</v>
      </c>
      <c r="V1582" s="7">
        <f t="shared" ca="1" si="1687"/>
        <v>-0.4496598074232504</v>
      </c>
      <c r="W1582" s="14">
        <f t="shared" ca="1" si="1682"/>
        <v>0.12283846155064611</v>
      </c>
      <c r="X1582" s="10">
        <f t="shared" ref="X1582:Y1582" ca="1" si="1727">+X1581</f>
        <v>0</v>
      </c>
      <c r="Y1582" s="10">
        <f t="shared" ca="1" si="1727"/>
        <v>0</v>
      </c>
      <c r="Z1582">
        <f t="shared" ca="1" si="1689"/>
        <v>1</v>
      </c>
      <c r="AA1582">
        <f t="shared" ca="1" si="1690"/>
        <v>0</v>
      </c>
      <c r="AB1582" s="19">
        <f t="shared" ca="1" si="1691"/>
        <v>0.12283846155064611</v>
      </c>
      <c r="AC1582" s="19">
        <f t="shared" ca="1" si="1692"/>
        <v>0</v>
      </c>
    </row>
    <row r="1583" spans="3:29" x14ac:dyDescent="0.25">
      <c r="C1583" s="4">
        <v>1576</v>
      </c>
      <c r="D1583" s="28">
        <v>44250</v>
      </c>
      <c r="E1583" s="30">
        <v>16.248000000000001</v>
      </c>
      <c r="F1583" s="30">
        <v>53.806897687052434</v>
      </c>
      <c r="G1583" s="30">
        <v>5.1279940735863034</v>
      </c>
      <c r="H1583" s="30">
        <v>72.022388673964926</v>
      </c>
      <c r="I1583" s="8">
        <v>0</v>
      </c>
      <c r="J1583" s="31">
        <v>1</v>
      </c>
      <c r="K1583" s="31">
        <v>0</v>
      </c>
      <c r="L1583" s="31">
        <v>0</v>
      </c>
      <c r="M1583" s="31">
        <v>0</v>
      </c>
      <c r="N1583" s="31">
        <v>0</v>
      </c>
      <c r="O1583" s="31">
        <v>0</v>
      </c>
      <c r="P1583" s="31">
        <v>0</v>
      </c>
      <c r="Q1583" s="31">
        <v>0</v>
      </c>
      <c r="R1583" s="31">
        <v>0</v>
      </c>
      <c r="S1583" s="31">
        <v>0</v>
      </c>
      <c r="T1583" s="21" cm="1">
        <f t="array" aca="1" ref="T1583" ca="1">+fair_value_gap(OFFSET(S1582,0,0,-1*$I$5,-1*$Z$1),OFFSET(E1582,0,0,-1*$I$5,1),F1583:S1583,0)</f>
        <v>17.42049035608331</v>
      </c>
      <c r="U1583" s="7" cm="1">
        <f t="array" aca="1" ref="U1583" ca="1">z_score_diff(OFFSET(T1583,0,0,$I$5*-1,1),OFFSET(E1583,0,0,$I$5*-1,1))</f>
        <v>0.38507371257811629</v>
      </c>
      <c r="V1583" s="7">
        <f t="shared" ca="1" si="1687"/>
        <v>-0.42657213816672102</v>
      </c>
      <c r="W1583" s="14">
        <f t="shared" ca="1" si="1682"/>
        <v>0.12383721433814612</v>
      </c>
      <c r="X1583" s="10">
        <f t="shared" ref="X1583:Y1583" ca="1" si="1728">+X1582</f>
        <v>0</v>
      </c>
      <c r="Y1583" s="10">
        <f t="shared" ca="1" si="1728"/>
        <v>0</v>
      </c>
      <c r="Z1583">
        <f t="shared" ca="1" si="1689"/>
        <v>1</v>
      </c>
      <c r="AA1583">
        <f t="shared" ca="1" si="1690"/>
        <v>0</v>
      </c>
      <c r="AB1583" s="19">
        <f t="shared" ca="1" si="1691"/>
        <v>0.12383721433814612</v>
      </c>
      <c r="AC1583" s="19">
        <f t="shared" ca="1" si="1692"/>
        <v>0</v>
      </c>
    </row>
    <row r="1584" spans="3:29" x14ac:dyDescent="0.25">
      <c r="C1584" s="4">
        <v>1577</v>
      </c>
      <c r="D1584" s="28">
        <v>44251</v>
      </c>
      <c r="E1584" s="30">
        <v>16.381</v>
      </c>
      <c r="F1584" s="30">
        <v>55.113449523183171</v>
      </c>
      <c r="G1584" s="30">
        <v>4.9654718842486032</v>
      </c>
      <c r="H1584" s="30">
        <v>72.796777375863201</v>
      </c>
      <c r="I1584" s="8">
        <v>0</v>
      </c>
      <c r="J1584" s="31">
        <v>1</v>
      </c>
      <c r="K1584" s="31">
        <v>0</v>
      </c>
      <c r="L1584" s="31">
        <v>0</v>
      </c>
      <c r="M1584" s="31">
        <v>0</v>
      </c>
      <c r="N1584" s="31">
        <v>0</v>
      </c>
      <c r="O1584" s="31">
        <v>0</v>
      </c>
      <c r="P1584" s="31">
        <v>0</v>
      </c>
      <c r="Q1584" s="31">
        <v>0</v>
      </c>
      <c r="R1584" s="31">
        <v>0</v>
      </c>
      <c r="S1584" s="31">
        <v>0</v>
      </c>
      <c r="T1584" s="21" cm="1">
        <f t="array" aca="1" ref="T1584" ca="1">+fair_value_gap(OFFSET(S1583,0,0,-1*$I$5,-1*$Z$1),OFFSET(E1583,0,0,-1*$I$5,1),F1584:S1584,0)</f>
        <v>17.515643815791432</v>
      </c>
      <c r="U1584" s="7" cm="1">
        <f t="array" aca="1" ref="U1584" ca="1">z_score_diff(OFFSET(T1584,0,0,$I$5*-1,1),OFFSET(E1584,0,0,$I$5*-1,1))</f>
        <v>0.37617106811432555</v>
      </c>
      <c r="V1584" s="7">
        <f t="shared" ca="1" si="1687"/>
        <v>-0.40462242118425634</v>
      </c>
      <c r="W1584" s="14">
        <f t="shared" ca="1" si="1682"/>
        <v>0.12644788130251258</v>
      </c>
      <c r="X1584" s="10">
        <f t="shared" ref="X1584:Y1584" ca="1" si="1729">+X1583</f>
        <v>0</v>
      </c>
      <c r="Y1584" s="10">
        <f t="shared" ca="1" si="1729"/>
        <v>0</v>
      </c>
      <c r="Z1584">
        <f t="shared" ca="1" si="1689"/>
        <v>1</v>
      </c>
      <c r="AA1584">
        <f t="shared" ca="1" si="1690"/>
        <v>0</v>
      </c>
      <c r="AB1584" s="19">
        <f t="shared" ca="1" si="1691"/>
        <v>0.12644788130251258</v>
      </c>
      <c r="AC1584" s="19">
        <f t="shared" ca="1" si="1692"/>
        <v>0</v>
      </c>
    </row>
    <row r="1585" spans="3:29" x14ac:dyDescent="0.25">
      <c r="C1585" s="4">
        <v>1578</v>
      </c>
      <c r="D1585" s="28">
        <v>44252</v>
      </c>
      <c r="E1585" s="30">
        <v>15.935</v>
      </c>
      <c r="F1585" s="30">
        <v>54.927726675427067</v>
      </c>
      <c r="G1585" s="30">
        <v>4.7675755584756896</v>
      </c>
      <c r="H1585" s="30">
        <v>72.725032851511173</v>
      </c>
      <c r="I1585" s="8">
        <v>0</v>
      </c>
      <c r="J1585" s="31">
        <v>1</v>
      </c>
      <c r="K1585" s="31">
        <v>0</v>
      </c>
      <c r="L1585" s="31">
        <v>0</v>
      </c>
      <c r="M1585" s="31">
        <v>0</v>
      </c>
      <c r="N1585" s="31">
        <v>0</v>
      </c>
      <c r="O1585" s="31">
        <v>0</v>
      </c>
      <c r="P1585" s="31">
        <v>0</v>
      </c>
      <c r="Q1585" s="31">
        <v>0</v>
      </c>
      <c r="R1585" s="31">
        <v>0</v>
      </c>
      <c r="S1585" s="31">
        <v>0</v>
      </c>
      <c r="T1585" s="21" cm="1">
        <f t="array" aca="1" ref="T1585" ca="1">+fair_value_gap(OFFSET(S1584,0,0,-1*$I$5,-1*$Z$1),OFFSET(E1584,0,0,-1*$I$5,1),F1585:S1585,0)</f>
        <v>17.380184299322359</v>
      </c>
      <c r="U1585" s="7" cm="1">
        <f t="array" aca="1" ref="U1585" ca="1">z_score_diff(OFFSET(T1585,0,0,$I$5*-1,1),OFFSET(E1585,0,0,$I$5*-1,1))</f>
        <v>0.42890855752856538</v>
      </c>
      <c r="V1585" s="7">
        <f t="shared" ca="1" si="1687"/>
        <v>-0.36941379890141962</v>
      </c>
      <c r="W1585" s="14">
        <f t="shared" ca="1" si="1682"/>
        <v>0.1420376282770982</v>
      </c>
      <c r="X1585" s="10">
        <f t="shared" ref="X1585:Y1585" ca="1" si="1730">+X1584</f>
        <v>0</v>
      </c>
      <c r="Y1585" s="10">
        <f t="shared" ca="1" si="1730"/>
        <v>0</v>
      </c>
      <c r="Z1585">
        <f t="shared" ca="1" si="1689"/>
        <v>1</v>
      </c>
      <c r="AA1585">
        <f t="shared" ca="1" si="1690"/>
        <v>0</v>
      </c>
      <c r="AB1585" s="19">
        <f t="shared" ca="1" si="1691"/>
        <v>0.1420376282770982</v>
      </c>
      <c r="AC1585" s="19">
        <f t="shared" ca="1" si="1692"/>
        <v>0</v>
      </c>
    </row>
    <row r="1586" spans="3:29" x14ac:dyDescent="0.25">
      <c r="C1586" s="4">
        <v>1579</v>
      </c>
      <c r="D1586" s="28">
        <v>44253</v>
      </c>
      <c r="E1586" s="30">
        <v>15.694000000000001</v>
      </c>
      <c r="F1586" s="30">
        <v>54.7705814146099</v>
      </c>
      <c r="G1586" s="30">
        <v>5.1308596985257582</v>
      </c>
      <c r="H1586" s="30">
        <v>73.422229584230578</v>
      </c>
      <c r="I1586" s="8">
        <v>0</v>
      </c>
      <c r="J1586" s="31">
        <v>1</v>
      </c>
      <c r="K1586" s="31">
        <v>0</v>
      </c>
      <c r="L1586" s="31">
        <v>0</v>
      </c>
      <c r="M1586" s="31">
        <v>0</v>
      </c>
      <c r="N1586" s="31">
        <v>0</v>
      </c>
      <c r="O1586" s="31">
        <v>0</v>
      </c>
      <c r="P1586" s="31">
        <v>0</v>
      </c>
      <c r="Q1586" s="31">
        <v>0</v>
      </c>
      <c r="R1586" s="31">
        <v>0</v>
      </c>
      <c r="S1586" s="31">
        <v>0</v>
      </c>
      <c r="T1586" s="21" cm="1">
        <f t="array" aca="1" ref="T1586" ca="1">+fair_value_gap(OFFSET(S1585,0,0,-1*$I$5,-1*$Z$1),OFFSET(E1585,0,0,-1*$I$5,1),F1586:S1586,0)</f>
        <v>17.523144850858518</v>
      </c>
      <c r="U1586" s="7" cm="1">
        <f t="array" aca="1" ref="U1586" ca="1">z_score_diff(OFFSET(T1586,0,0,$I$5*-1,1),OFFSET(E1586,0,0,$I$5*-1,1))</f>
        <v>0.49990175334774078</v>
      </c>
      <c r="V1586" s="7">
        <f t="shared" ca="1" si="1687"/>
        <v>-0.3434702968302944</v>
      </c>
      <c r="W1586" s="14">
        <f t="shared" ca="1" si="1682"/>
        <v>0.17519157278954176</v>
      </c>
      <c r="X1586" s="10">
        <f t="shared" ref="X1586:Y1586" ca="1" si="1731">+X1585</f>
        <v>0</v>
      </c>
      <c r="Y1586" s="10">
        <f t="shared" ca="1" si="1731"/>
        <v>0</v>
      </c>
      <c r="Z1586">
        <f t="shared" ca="1" si="1689"/>
        <v>1</v>
      </c>
      <c r="AA1586">
        <f t="shared" ca="1" si="1690"/>
        <v>0</v>
      </c>
      <c r="AB1586" s="19">
        <f t="shared" ca="1" si="1691"/>
        <v>0.17519157278954176</v>
      </c>
      <c r="AC1586" s="19">
        <f t="shared" ca="1" si="1692"/>
        <v>0</v>
      </c>
    </row>
    <row r="1587" spans="3:29" x14ac:dyDescent="0.25">
      <c r="C1587" s="4">
        <v>1580</v>
      </c>
      <c r="D1587" s="28">
        <v>44256</v>
      </c>
      <c r="E1587" s="30">
        <v>16.082000000000001</v>
      </c>
      <c r="F1587" s="30">
        <v>52.867933925458615</v>
      </c>
      <c r="G1587" s="30">
        <v>4.9182369054536395</v>
      </c>
      <c r="H1587" s="30">
        <v>70.972026230596825</v>
      </c>
      <c r="I1587" s="8">
        <v>0</v>
      </c>
      <c r="J1587" s="31">
        <v>0</v>
      </c>
      <c r="K1587" s="31">
        <v>1</v>
      </c>
      <c r="L1587" s="31">
        <v>0</v>
      </c>
      <c r="M1587" s="31">
        <v>0</v>
      </c>
      <c r="N1587" s="31">
        <v>0</v>
      </c>
      <c r="O1587" s="31">
        <v>0</v>
      </c>
      <c r="P1587" s="31">
        <v>0</v>
      </c>
      <c r="Q1587" s="31">
        <v>0</v>
      </c>
      <c r="R1587" s="31">
        <v>0</v>
      </c>
      <c r="S1587" s="31">
        <v>0</v>
      </c>
      <c r="T1587" s="21" cm="1">
        <f t="array" aca="1" ref="T1587" ca="1">+fair_value_gap(OFFSET(S1586,0,0,-1*$I$5,-1*$Z$1),OFFSET(E1586,0,0,-1*$I$5,1),F1587:S1587,0)</f>
        <v>12.317163448968637</v>
      </c>
      <c r="U1587" s="7" cm="1">
        <f t="array" aca="1" ref="U1587" ca="1">z_score_diff(OFFSET(T1587,0,0,$I$5*-1,1),OFFSET(E1587,0,0,$I$5*-1,1))</f>
        <v>-0.67556257640213468</v>
      </c>
      <c r="V1587" s="7">
        <f t="shared" ca="1" si="1687"/>
        <v>-0.27862427365220321</v>
      </c>
      <c r="W1587" s="14">
        <f t="shared" ca="1" si="1682"/>
        <v>0.13698426057471166</v>
      </c>
      <c r="X1587" s="10">
        <f t="shared" ref="X1587:Y1587" ca="1" si="1732">+X1586</f>
        <v>0</v>
      </c>
      <c r="Y1587" s="10">
        <f t="shared" ca="1" si="1732"/>
        <v>0</v>
      </c>
      <c r="Z1587">
        <f t="shared" ca="1" si="1689"/>
        <v>1</v>
      </c>
      <c r="AA1587">
        <f t="shared" ca="1" si="1690"/>
        <v>0</v>
      </c>
      <c r="AB1587" s="19">
        <f t="shared" ca="1" si="1691"/>
        <v>0.13698426057471166</v>
      </c>
      <c r="AC1587" s="19">
        <f t="shared" ca="1" si="1692"/>
        <v>0</v>
      </c>
    </row>
    <row r="1588" spans="3:29" x14ac:dyDescent="0.25">
      <c r="C1588" s="4">
        <v>1581</v>
      </c>
      <c r="D1588" s="28">
        <v>44257</v>
      </c>
      <c r="E1588" s="30">
        <v>15.869</v>
      </c>
      <c r="F1588" s="30">
        <v>51.865332120109187</v>
      </c>
      <c r="G1588" s="30">
        <v>4.8597898916370248</v>
      </c>
      <c r="H1588" s="30">
        <v>72.545289105798659</v>
      </c>
      <c r="I1588" s="8">
        <v>0</v>
      </c>
      <c r="J1588" s="31">
        <v>0</v>
      </c>
      <c r="K1588" s="31">
        <v>1</v>
      </c>
      <c r="L1588" s="31">
        <v>0</v>
      </c>
      <c r="M1588" s="31">
        <v>0</v>
      </c>
      <c r="N1588" s="31">
        <v>0</v>
      </c>
      <c r="O1588" s="31">
        <v>0</v>
      </c>
      <c r="P1588" s="31">
        <v>0</v>
      </c>
      <c r="Q1588" s="31">
        <v>0</v>
      </c>
      <c r="R1588" s="31">
        <v>0</v>
      </c>
      <c r="S1588" s="31">
        <v>0</v>
      </c>
      <c r="T1588" s="21" cm="1">
        <f t="array" aca="1" ref="T1588" ca="1">+fair_value_gap(OFFSET(S1587,0,0,-1*$I$5,-1*$Z$1),OFFSET(E1587,0,0,-1*$I$5,1),F1588:S1588,0)</f>
        <v>13.577240633365161</v>
      </c>
      <c r="U1588" s="7" cm="1">
        <f t="array" aca="1" ref="U1588" ca="1">z_score_diff(OFFSET(T1588,0,0,$I$5*-1,1),OFFSET(E1588,0,0,$I$5*-1,1))</f>
        <v>-0.36482528893374111</v>
      </c>
      <c r="V1588" s="7">
        <f t="shared" ca="1" si="1687"/>
        <v>-0.2103470305358513</v>
      </c>
      <c r="W1588" s="14">
        <f t="shared" ca="1" si="1682"/>
        <v>0.16970209258117885</v>
      </c>
      <c r="X1588" s="10">
        <f t="shared" ref="X1588:Y1588" ca="1" si="1733">+X1587</f>
        <v>0</v>
      </c>
      <c r="Y1588" s="10">
        <f t="shared" ca="1" si="1733"/>
        <v>0</v>
      </c>
      <c r="Z1588">
        <f t="shared" ca="1" si="1689"/>
        <v>1</v>
      </c>
      <c r="AA1588">
        <f t="shared" ca="1" si="1690"/>
        <v>0</v>
      </c>
      <c r="AB1588" s="19">
        <f t="shared" ca="1" si="1691"/>
        <v>0.16970209258117885</v>
      </c>
      <c r="AC1588" s="19">
        <f t="shared" ca="1" si="1692"/>
        <v>0</v>
      </c>
    </row>
    <row r="1589" spans="3:29" x14ac:dyDescent="0.25">
      <c r="C1589" s="4">
        <v>1582</v>
      </c>
      <c r="D1589" s="28">
        <v>44258</v>
      </c>
      <c r="E1589" s="30">
        <v>15.526999999999999</v>
      </c>
      <c r="F1589" s="30">
        <v>53.117227657104955</v>
      </c>
      <c r="G1589" s="30">
        <v>4.8706682142264963</v>
      </c>
      <c r="H1589" s="30">
        <v>73.453821920079591</v>
      </c>
      <c r="I1589" s="8">
        <v>0</v>
      </c>
      <c r="J1589" s="31">
        <v>0</v>
      </c>
      <c r="K1589" s="31">
        <v>1</v>
      </c>
      <c r="L1589" s="31">
        <v>0</v>
      </c>
      <c r="M1589" s="31">
        <v>0</v>
      </c>
      <c r="N1589" s="31">
        <v>0</v>
      </c>
      <c r="O1589" s="31">
        <v>0</v>
      </c>
      <c r="P1589" s="31">
        <v>0</v>
      </c>
      <c r="Q1589" s="31">
        <v>0</v>
      </c>
      <c r="R1589" s="31">
        <v>0</v>
      </c>
      <c r="S1589" s="31">
        <v>0</v>
      </c>
      <c r="T1589" s="21" cm="1">
        <f t="array" aca="1" ref="T1589" ca="1">+fair_value_gap(OFFSET(S1588,0,0,-1*$I$5,-1*$Z$1),OFFSET(E1588,0,0,-1*$I$5,1),F1589:S1589,0)</f>
        <v>14.346518273236748</v>
      </c>
      <c r="U1589" s="7" cm="1">
        <f t="array" aca="1" ref="U1589" ca="1">z_score_diff(OFFSET(T1589,0,0,$I$5*-1,1),OFFSET(E1589,0,0,$I$5*-1,1))</f>
        <v>-0.13524288444687238</v>
      </c>
      <c r="V1589" s="7">
        <f t="shared" ca="1" si="1687"/>
        <v>-0.14729924392076127</v>
      </c>
      <c r="W1589" s="14">
        <f t="shared" ca="1" si="1682"/>
        <v>0.20154269582172812</v>
      </c>
      <c r="X1589" s="10">
        <f t="shared" ref="X1589:Y1589" ca="1" si="1734">+X1588</f>
        <v>0</v>
      </c>
      <c r="Y1589" s="10">
        <f t="shared" ca="1" si="1734"/>
        <v>0</v>
      </c>
      <c r="Z1589">
        <f t="shared" ca="1" si="1689"/>
        <v>1</v>
      </c>
      <c r="AA1589">
        <f t="shared" ca="1" si="1690"/>
        <v>0</v>
      </c>
      <c r="AB1589" s="19">
        <f t="shared" ca="1" si="1691"/>
        <v>0.20154269582172812</v>
      </c>
      <c r="AC1589" s="19">
        <f t="shared" ca="1" si="1692"/>
        <v>0</v>
      </c>
    </row>
    <row r="1590" spans="3:29" x14ac:dyDescent="0.25">
      <c r="C1590" s="4">
        <v>1583</v>
      </c>
      <c r="D1590" s="28">
        <v>44259</v>
      </c>
      <c r="E1590" s="30">
        <v>15.932</v>
      </c>
      <c r="F1590" s="30">
        <v>55.77469496907905</v>
      </c>
      <c r="G1590" s="30">
        <v>5.0142069196055488</v>
      </c>
      <c r="H1590" s="30">
        <v>73.165635968577632</v>
      </c>
      <c r="I1590" s="8">
        <v>0</v>
      </c>
      <c r="J1590" s="31">
        <v>0</v>
      </c>
      <c r="K1590" s="31">
        <v>1</v>
      </c>
      <c r="L1590" s="31">
        <v>0</v>
      </c>
      <c r="M1590" s="31">
        <v>0</v>
      </c>
      <c r="N1590" s="31">
        <v>0</v>
      </c>
      <c r="O1590" s="31">
        <v>0</v>
      </c>
      <c r="P1590" s="31">
        <v>0</v>
      </c>
      <c r="Q1590" s="31">
        <v>0</v>
      </c>
      <c r="R1590" s="31">
        <v>0</v>
      </c>
      <c r="S1590" s="31">
        <v>0</v>
      </c>
      <c r="T1590" s="21" cm="1">
        <f t="array" aca="1" ref="T1590" ca="1">+fair_value_gap(OFFSET(S1589,0,0,-1*$I$5,-1*$Z$1),OFFSET(E1589,0,0,-1*$I$5,1),F1590:S1590,0)</f>
        <v>14.956846009950711</v>
      </c>
      <c r="U1590" s="7" cm="1">
        <f t="array" aca="1" ref="U1590" ca="1">z_score_diff(OFFSET(T1590,0,0,$I$5*-1,1),OFFSET(E1590,0,0,$I$5*-1,1))</f>
        <v>-8.3019121416729513E-2</v>
      </c>
      <c r="V1590" s="7">
        <f t="shared" ca="1" si="1687"/>
        <v>-9.456135993164648E-2</v>
      </c>
      <c r="W1590" s="14">
        <f t="shared" ca="1" si="1682"/>
        <v>0.18512121597798714</v>
      </c>
      <c r="X1590" s="10">
        <f t="shared" ref="X1590:Y1590" ca="1" si="1735">+X1589</f>
        <v>0</v>
      </c>
      <c r="Y1590" s="10">
        <f t="shared" ca="1" si="1735"/>
        <v>0</v>
      </c>
      <c r="Z1590">
        <f t="shared" ca="1" si="1689"/>
        <v>1</v>
      </c>
      <c r="AA1590">
        <f t="shared" ca="1" si="1690"/>
        <v>0</v>
      </c>
      <c r="AB1590" s="19">
        <f t="shared" ca="1" si="1691"/>
        <v>0.18512121597798714</v>
      </c>
      <c r="AC1590" s="19">
        <f t="shared" ca="1" si="1692"/>
        <v>0</v>
      </c>
    </row>
    <row r="1591" spans="3:29" x14ac:dyDescent="0.25">
      <c r="C1591" s="4">
        <v>1584</v>
      </c>
      <c r="D1591" s="28">
        <v>44260</v>
      </c>
      <c r="E1591" s="30">
        <v>16.367000000000001</v>
      </c>
      <c r="F1591" s="30">
        <v>58.202567760342369</v>
      </c>
      <c r="G1591" s="30">
        <v>5.0348242007216584</v>
      </c>
      <c r="H1591" s="30">
        <v>73.298648988839474</v>
      </c>
      <c r="I1591" s="8">
        <v>0</v>
      </c>
      <c r="J1591" s="31">
        <v>0</v>
      </c>
      <c r="K1591" s="31">
        <v>1</v>
      </c>
      <c r="L1591" s="31">
        <v>0</v>
      </c>
      <c r="M1591" s="31">
        <v>0</v>
      </c>
      <c r="N1591" s="31">
        <v>0</v>
      </c>
      <c r="O1591" s="31">
        <v>0</v>
      </c>
      <c r="P1591" s="31">
        <v>0</v>
      </c>
      <c r="Q1591" s="31">
        <v>0</v>
      </c>
      <c r="R1591" s="31">
        <v>0</v>
      </c>
      <c r="S1591" s="31">
        <v>0</v>
      </c>
      <c r="T1591" s="21" cm="1">
        <f t="array" aca="1" ref="T1591" ca="1">+fair_value_gap(OFFSET(S1590,0,0,-1*$I$5,-1*$Z$1),OFFSET(E1590,0,0,-1*$I$5,1),F1591:S1591,0)</f>
        <v>15.533376016102554</v>
      </c>
      <c r="U1591" s="7" cm="1">
        <f t="array" aca="1" ref="U1591" ca="1">z_score_diff(OFFSET(T1591,0,0,$I$5*-1,1),OFFSET(E1591,0,0,$I$5*-1,1))</f>
        <v>-4.3829691323841735E-2</v>
      </c>
      <c r="V1591" s="7">
        <f t="shared" ca="1" si="1687"/>
        <v>-4.6842383423713038E-2</v>
      </c>
      <c r="W1591" s="14">
        <f t="shared" ca="1" si="1682"/>
        <v>0.18945476851019194</v>
      </c>
      <c r="X1591" s="10">
        <f t="shared" ref="X1591:Y1591" ca="1" si="1736">+X1590</f>
        <v>0</v>
      </c>
      <c r="Y1591" s="10">
        <f t="shared" ca="1" si="1736"/>
        <v>0</v>
      </c>
      <c r="Z1591">
        <f t="shared" ca="1" si="1689"/>
        <v>1</v>
      </c>
      <c r="AA1591">
        <f t="shared" ca="1" si="1690"/>
        <v>0</v>
      </c>
      <c r="AB1591" s="19">
        <f t="shared" ca="1" si="1691"/>
        <v>0.18945476851019194</v>
      </c>
      <c r="AC1591" s="19">
        <f t="shared" ca="1" si="1692"/>
        <v>0</v>
      </c>
    </row>
    <row r="1592" spans="3:29" x14ac:dyDescent="0.25">
      <c r="C1592" s="4">
        <v>1585</v>
      </c>
      <c r="D1592" s="28">
        <v>44263</v>
      </c>
      <c r="E1592" s="30">
        <v>16.151</v>
      </c>
      <c r="F1592" s="30">
        <v>57.620535337330068</v>
      </c>
      <c r="G1592" s="30">
        <v>5.0662838807734527</v>
      </c>
      <c r="H1592" s="30">
        <v>73.629992400574181</v>
      </c>
      <c r="I1592" s="8">
        <v>0</v>
      </c>
      <c r="J1592" s="31">
        <v>0</v>
      </c>
      <c r="K1592" s="31">
        <v>1</v>
      </c>
      <c r="L1592" s="31">
        <v>0</v>
      </c>
      <c r="M1592" s="31">
        <v>0</v>
      </c>
      <c r="N1592" s="31">
        <v>0</v>
      </c>
      <c r="O1592" s="31">
        <v>0</v>
      </c>
      <c r="P1592" s="31">
        <v>0</v>
      </c>
      <c r="Q1592" s="31">
        <v>0</v>
      </c>
      <c r="R1592" s="31">
        <v>0</v>
      </c>
      <c r="S1592" s="31">
        <v>0</v>
      </c>
      <c r="T1592" s="21" cm="1">
        <f t="array" aca="1" ref="T1592" ca="1">+fair_value_gap(OFFSET(S1591,0,0,-1*$I$5,-1*$Z$1),OFFSET(E1591,0,0,-1*$I$5,1),F1592:S1592,0)</f>
        <v>15.649064529190809</v>
      </c>
      <c r="U1592" s="7" cm="1">
        <f t="array" aca="1" ref="U1592" ca="1">z_score_diff(OFFSET(T1592,0,0,$I$5*-1,1),OFFSET(E1592,0,0,$I$5*-1,1))</f>
        <v>2.1831262238288351E-2</v>
      </c>
      <c r="V1592" s="7">
        <f t="shared" ca="1" si="1687"/>
        <v>1.2319847214806034E-2</v>
      </c>
      <c r="W1592" s="14">
        <f t="shared" ca="1" si="1682"/>
        <v>0.17744932657128329</v>
      </c>
      <c r="X1592" s="10">
        <f t="shared" ref="X1592:Y1592" ca="1" si="1737">+X1591</f>
        <v>0</v>
      </c>
      <c r="Y1592" s="10">
        <f t="shared" ca="1" si="1737"/>
        <v>0</v>
      </c>
      <c r="Z1592">
        <f t="shared" ca="1" si="1689"/>
        <v>0</v>
      </c>
      <c r="AA1592">
        <f t="shared" ca="1" si="1690"/>
        <v>1</v>
      </c>
      <c r="AB1592" s="19">
        <f t="shared" ca="1" si="1691"/>
        <v>0</v>
      </c>
      <c r="AC1592" s="19">
        <f t="shared" ca="1" si="1692"/>
        <v>0.17744932657128329</v>
      </c>
    </row>
    <row r="1593" spans="3:29" x14ac:dyDescent="0.25">
      <c r="C1593" s="4">
        <v>1586</v>
      </c>
      <c r="D1593" s="28">
        <v>44264</v>
      </c>
      <c r="E1593" s="30">
        <v>16.925000000000001</v>
      </c>
      <c r="F1593" s="30">
        <v>56.749033451000166</v>
      </c>
      <c r="G1593" s="30">
        <v>5.0512691208606491</v>
      </c>
      <c r="H1593" s="30">
        <v>73.499747856782662</v>
      </c>
      <c r="I1593" s="8">
        <v>0</v>
      </c>
      <c r="J1593" s="31">
        <v>0</v>
      </c>
      <c r="K1593" s="31">
        <v>1</v>
      </c>
      <c r="L1593" s="31">
        <v>0</v>
      </c>
      <c r="M1593" s="31">
        <v>0</v>
      </c>
      <c r="N1593" s="31">
        <v>0</v>
      </c>
      <c r="O1593" s="31">
        <v>0</v>
      </c>
      <c r="P1593" s="31">
        <v>0</v>
      </c>
      <c r="Q1593" s="31">
        <v>0</v>
      </c>
      <c r="R1593" s="31">
        <v>0</v>
      </c>
      <c r="S1593" s="31">
        <v>0</v>
      </c>
      <c r="T1593" s="21" cm="1">
        <f t="array" aca="1" ref="T1593" ca="1">+fair_value_gap(OFFSET(S1592,0,0,-1*$I$5,-1*$Z$1),OFFSET(E1592,0,0,-1*$I$5,1),F1593:S1593,0)</f>
        <v>15.574718494715432</v>
      </c>
      <c r="U1593" s="7" cm="1">
        <f t="array" aca="1" ref="U1593" ca="1">z_score_diff(OFFSET(T1593,0,0,$I$5*-1,1),OFFSET(E1593,0,0,$I$5*-1,1))</f>
        <v>-0.14034794414055141</v>
      </c>
      <c r="V1593" s="7">
        <f t="shared" ca="1" si="1687"/>
        <v>4.4986774877165167E-2</v>
      </c>
      <c r="W1593" s="14">
        <f t="shared" ca="1" si="1682"/>
        <v>0.1151733639337693</v>
      </c>
      <c r="X1593" s="10">
        <f t="shared" ref="X1593:Y1593" ca="1" si="1738">+X1592</f>
        <v>0</v>
      </c>
      <c r="Y1593" s="10">
        <f t="shared" ca="1" si="1738"/>
        <v>0</v>
      </c>
      <c r="Z1593">
        <f t="shared" ca="1" si="1689"/>
        <v>0</v>
      </c>
      <c r="AA1593">
        <f t="shared" ca="1" si="1690"/>
        <v>1</v>
      </c>
      <c r="AB1593" s="19">
        <f t="shared" ca="1" si="1691"/>
        <v>0</v>
      </c>
      <c r="AC1593" s="19">
        <f t="shared" ca="1" si="1692"/>
        <v>0.1151733639337693</v>
      </c>
    </row>
    <row r="1594" spans="3:29" x14ac:dyDescent="0.25">
      <c r="C1594" s="4">
        <v>1587</v>
      </c>
      <c r="D1594" s="28">
        <v>44265</v>
      </c>
      <c r="E1594" s="30">
        <v>17.632000000000001</v>
      </c>
      <c r="F1594" s="30">
        <v>56.939203354297703</v>
      </c>
      <c r="G1594" s="30">
        <v>5.0314465408805038</v>
      </c>
      <c r="H1594" s="30">
        <v>73.878406708595392</v>
      </c>
      <c r="I1594" s="8">
        <v>0</v>
      </c>
      <c r="J1594" s="31">
        <v>0</v>
      </c>
      <c r="K1594" s="31">
        <v>1</v>
      </c>
      <c r="L1594" s="31">
        <v>0</v>
      </c>
      <c r="M1594" s="31">
        <v>0</v>
      </c>
      <c r="N1594" s="31">
        <v>0</v>
      </c>
      <c r="O1594" s="31">
        <v>0</v>
      </c>
      <c r="P1594" s="31">
        <v>0</v>
      </c>
      <c r="Q1594" s="31">
        <v>0</v>
      </c>
      <c r="R1594" s="31">
        <v>0</v>
      </c>
      <c r="S1594" s="31">
        <v>0</v>
      </c>
      <c r="T1594" s="21" cm="1">
        <f t="array" aca="1" ref="T1594" ca="1">+fair_value_gap(OFFSET(S1593,0,0,-1*$I$5,-1*$Z$1),OFFSET(E1593,0,0,-1*$I$5,1),F1594:S1594,0)</f>
        <v>15.809159205758862</v>
      </c>
      <c r="U1594" s="7" cm="1">
        <f t="array" aca="1" ref="U1594" ca="1">z_score_diff(OFFSET(T1594,0,0,$I$5*-1,1),OFFSET(E1594,0,0,$I$5*-1,1))</f>
        <v>-0.22319291290482335</v>
      </c>
      <c r="V1594" s="7">
        <f t="shared" ca="1" si="1687"/>
        <v>6.1310399431470784E-2</v>
      </c>
      <c r="W1594" s="14">
        <f t="shared" ca="1" si="1682"/>
        <v>7.1455052590804286E-2</v>
      </c>
      <c r="X1594" s="10">
        <f t="shared" ref="X1594:Y1594" ca="1" si="1739">+X1593</f>
        <v>0</v>
      </c>
      <c r="Y1594" s="10">
        <f t="shared" ca="1" si="1739"/>
        <v>0</v>
      </c>
      <c r="Z1594">
        <f t="shared" ca="1" si="1689"/>
        <v>0</v>
      </c>
      <c r="AA1594">
        <f t="shared" ca="1" si="1690"/>
        <v>1</v>
      </c>
      <c r="AB1594" s="19">
        <f t="shared" ca="1" si="1691"/>
        <v>0</v>
      </c>
      <c r="AC1594" s="19">
        <f t="shared" ca="1" si="1692"/>
        <v>7.1455052590804286E-2</v>
      </c>
    </row>
    <row r="1595" spans="3:29" x14ac:dyDescent="0.25">
      <c r="C1595" s="4">
        <v>1588</v>
      </c>
      <c r="D1595" s="28">
        <v>44266</v>
      </c>
      <c r="E1595" s="30">
        <v>18.126999999999999</v>
      </c>
      <c r="F1595" s="30">
        <v>58.102469959946596</v>
      </c>
      <c r="G1595" s="30">
        <v>5.0525700934579438</v>
      </c>
      <c r="H1595" s="30">
        <v>74.182242990654217</v>
      </c>
      <c r="I1595" s="8">
        <v>0</v>
      </c>
      <c r="J1595" s="31">
        <v>0</v>
      </c>
      <c r="K1595" s="31">
        <v>1</v>
      </c>
      <c r="L1595" s="31">
        <v>0</v>
      </c>
      <c r="M1595" s="31">
        <v>0</v>
      </c>
      <c r="N1595" s="31">
        <v>0</v>
      </c>
      <c r="O1595" s="31">
        <v>0</v>
      </c>
      <c r="P1595" s="31">
        <v>0</v>
      </c>
      <c r="Q1595" s="31">
        <v>0</v>
      </c>
      <c r="R1595" s="31">
        <v>0</v>
      </c>
      <c r="S1595" s="31">
        <v>0</v>
      </c>
      <c r="T1595" s="21" cm="1">
        <f t="array" aca="1" ref="T1595" ca="1">+fair_value_gap(OFFSET(S1594,0,0,-1*$I$5,-1*$Z$1),OFFSET(E1594,0,0,-1*$I$5,1),F1595:S1595,0)</f>
        <v>16.263740274157527</v>
      </c>
      <c r="U1595" s="7" cm="1">
        <f t="array" aca="1" ref="U1595" ca="1">z_score_diff(OFFSET(T1595,0,0,$I$5*-1,1),OFFSET(E1595,0,0,$I$5*-1,1))</f>
        <v>-0.2188061573621356</v>
      </c>
      <c r="V1595" s="7">
        <f t="shared" ca="1" si="1687"/>
        <v>6.0498211253158352E-2</v>
      </c>
      <c r="W1595" s="14">
        <f t="shared" ca="1" si="1682"/>
        <v>8.0674798834488248E-2</v>
      </c>
      <c r="X1595" s="10">
        <f t="shared" ref="X1595:Y1595" ca="1" si="1740">+X1594</f>
        <v>0</v>
      </c>
      <c r="Y1595" s="10">
        <f t="shared" ca="1" si="1740"/>
        <v>0</v>
      </c>
      <c r="Z1595">
        <f t="shared" ca="1" si="1689"/>
        <v>0</v>
      </c>
      <c r="AA1595">
        <f t="shared" ca="1" si="1690"/>
        <v>1</v>
      </c>
      <c r="AB1595" s="19">
        <f t="shared" ca="1" si="1691"/>
        <v>0</v>
      </c>
      <c r="AC1595" s="19">
        <f t="shared" ca="1" si="1692"/>
        <v>8.0674798834488248E-2</v>
      </c>
    </row>
    <row r="1596" spans="3:29" x14ac:dyDescent="0.25">
      <c r="C1596" s="4">
        <v>1589</v>
      </c>
      <c r="D1596" s="28">
        <v>44267</v>
      </c>
      <c r="E1596" s="30">
        <v>18.448</v>
      </c>
      <c r="F1596" s="30">
        <v>57.914993306559566</v>
      </c>
      <c r="G1596" s="30">
        <v>5.0786479250334668</v>
      </c>
      <c r="H1596" s="30">
        <v>75.384872824631856</v>
      </c>
      <c r="I1596" s="8">
        <v>0</v>
      </c>
      <c r="J1596" s="31">
        <v>0</v>
      </c>
      <c r="K1596" s="31">
        <v>1</v>
      </c>
      <c r="L1596" s="31">
        <v>0</v>
      </c>
      <c r="M1596" s="31">
        <v>0</v>
      </c>
      <c r="N1596" s="31">
        <v>0</v>
      </c>
      <c r="O1596" s="31">
        <v>0</v>
      </c>
      <c r="P1596" s="31">
        <v>0</v>
      </c>
      <c r="Q1596" s="31">
        <v>0</v>
      </c>
      <c r="R1596" s="31">
        <v>0</v>
      </c>
      <c r="S1596" s="31">
        <v>0</v>
      </c>
      <c r="T1596" s="21" cm="1">
        <f t="array" aca="1" ref="T1596" ca="1">+fair_value_gap(OFFSET(S1595,0,0,-1*$I$5,-1*$Z$1),OFFSET(E1595,0,0,-1*$I$5,1),F1596:S1596,0)</f>
        <v>16.555508409749404</v>
      </c>
      <c r="U1596" s="7" cm="1">
        <f t="array" aca="1" ref="U1596" ca="1">z_score_diff(OFFSET(T1596,0,0,$I$5*-1,1),OFFSET(E1596,0,0,$I$5*-1,1))</f>
        <v>-0.21552916134048994</v>
      </c>
      <c r="V1596" s="7">
        <f t="shared" ca="1" si="1687"/>
        <v>5.6399045568445508E-2</v>
      </c>
      <c r="W1596" s="14">
        <f t="shared" ca="1" si="1682"/>
        <v>5.6073697386915998E-2</v>
      </c>
      <c r="X1596" s="10">
        <f t="shared" ref="X1596:Y1596" ca="1" si="1741">+X1595</f>
        <v>0</v>
      </c>
      <c r="Y1596" s="10">
        <f t="shared" ca="1" si="1741"/>
        <v>0</v>
      </c>
      <c r="Z1596">
        <f t="shared" ca="1" si="1689"/>
        <v>0</v>
      </c>
      <c r="AA1596">
        <f t="shared" ca="1" si="1690"/>
        <v>1</v>
      </c>
      <c r="AB1596" s="19">
        <f t="shared" ca="1" si="1691"/>
        <v>0</v>
      </c>
      <c r="AC1596" s="19">
        <f t="shared" ca="1" si="1692"/>
        <v>5.6073697386915998E-2</v>
      </c>
    </row>
    <row r="1597" spans="3:29" x14ac:dyDescent="0.25">
      <c r="C1597" s="4">
        <v>1590</v>
      </c>
      <c r="D1597" s="28">
        <v>44270</v>
      </c>
      <c r="E1597" s="30">
        <v>17.931999999999999</v>
      </c>
      <c r="F1597" s="30">
        <v>57.746478873239425</v>
      </c>
      <c r="G1597" s="30">
        <v>5.0947350771294433</v>
      </c>
      <c r="H1597" s="30">
        <v>76.291079812206561</v>
      </c>
      <c r="I1597" s="8">
        <v>0</v>
      </c>
      <c r="J1597" s="31">
        <v>0</v>
      </c>
      <c r="K1597" s="31">
        <v>1</v>
      </c>
      <c r="L1597" s="31">
        <v>0</v>
      </c>
      <c r="M1597" s="31">
        <v>0</v>
      </c>
      <c r="N1597" s="31">
        <v>0</v>
      </c>
      <c r="O1597" s="31">
        <v>0</v>
      </c>
      <c r="P1597" s="31">
        <v>0</v>
      </c>
      <c r="Q1597" s="31">
        <v>0</v>
      </c>
      <c r="R1597" s="31">
        <v>0</v>
      </c>
      <c r="S1597" s="31">
        <v>0</v>
      </c>
      <c r="T1597" s="21" cm="1">
        <f t="array" aca="1" ref="T1597" ca="1">+fair_value_gap(OFFSET(S1596,0,0,-1*$I$5,-1*$Z$1),OFFSET(E1596,0,0,-1*$I$5,1),F1597:S1597,0)</f>
        <v>16.800456448523644</v>
      </c>
      <c r="U1597" s="7" cm="1">
        <f t="array" aca="1" ref="U1597" ca="1">z_score_diff(OFFSET(T1597,0,0,$I$5*-1,1),OFFSET(E1597,0,0,$I$5*-1,1))</f>
        <v>-6.5624169360702922E-2</v>
      </c>
      <c r="V1597" s="7">
        <f t="shared" ca="1" si="1687"/>
        <v>4.4041767406752454E-2</v>
      </c>
      <c r="W1597" s="14">
        <f t="shared" ca="1" si="1682"/>
        <v>9.3117686183600792E-2</v>
      </c>
      <c r="X1597" s="10">
        <f t="shared" ref="X1597:Y1597" ca="1" si="1742">+X1596</f>
        <v>0</v>
      </c>
      <c r="Y1597" s="10">
        <f t="shared" ca="1" si="1742"/>
        <v>0</v>
      </c>
      <c r="Z1597">
        <f t="shared" ca="1" si="1689"/>
        <v>0</v>
      </c>
      <c r="AA1597">
        <f t="shared" ca="1" si="1690"/>
        <v>1</v>
      </c>
      <c r="AB1597" s="19">
        <f t="shared" ca="1" si="1691"/>
        <v>0</v>
      </c>
      <c r="AC1597" s="19">
        <f t="shared" ca="1" si="1692"/>
        <v>9.3117686183600792E-2</v>
      </c>
    </row>
    <row r="1598" spans="3:29" x14ac:dyDescent="0.25">
      <c r="C1598" s="4">
        <v>1591</v>
      </c>
      <c r="D1598" s="28">
        <v>44271</v>
      </c>
      <c r="E1598" s="30">
        <v>17.658000000000001</v>
      </c>
      <c r="F1598" s="30">
        <v>57.470588235294123</v>
      </c>
      <c r="G1598" s="30">
        <v>5.4873949579831933</v>
      </c>
      <c r="H1598" s="30">
        <v>76.806722689075642</v>
      </c>
      <c r="I1598" s="8">
        <v>0</v>
      </c>
      <c r="J1598" s="31">
        <v>0</v>
      </c>
      <c r="K1598" s="31">
        <v>1</v>
      </c>
      <c r="L1598" s="31">
        <v>0</v>
      </c>
      <c r="M1598" s="31">
        <v>0</v>
      </c>
      <c r="N1598" s="31">
        <v>0</v>
      </c>
      <c r="O1598" s="31">
        <v>0</v>
      </c>
      <c r="P1598" s="31">
        <v>0</v>
      </c>
      <c r="Q1598" s="31">
        <v>0</v>
      </c>
      <c r="R1598" s="31">
        <v>0</v>
      </c>
      <c r="S1598" s="31">
        <v>0</v>
      </c>
      <c r="T1598" s="21" cm="1">
        <f t="array" aca="1" ref="T1598" ca="1">+fair_value_gap(OFFSET(S1597,0,0,-1*$I$5,-1*$Z$1),OFFSET(E1597,0,0,-1*$I$5,1),F1598:S1598,0)</f>
        <v>17.049067594184105</v>
      </c>
      <c r="U1598" s="7" cm="1">
        <f t="array" aca="1" ref="U1598" ca="1">z_score_diff(OFFSET(T1598,0,0,$I$5*-1,1),OFFSET(E1598,0,0,$I$5*-1,1))</f>
        <v>3.7777881980609163E-2</v>
      </c>
      <c r="V1598" s="7">
        <f t="shared" ca="1" si="1687"/>
        <v>4.4047122085925872E-2</v>
      </c>
      <c r="W1598" s="14">
        <f t="shared" ca="1" si="1682"/>
        <v>0.13745956034114651</v>
      </c>
      <c r="X1598" s="10">
        <f t="shared" ref="X1598:Y1598" ca="1" si="1743">+X1597</f>
        <v>0</v>
      </c>
      <c r="Y1598" s="10">
        <f t="shared" ca="1" si="1743"/>
        <v>0</v>
      </c>
      <c r="Z1598">
        <f t="shared" ca="1" si="1689"/>
        <v>0</v>
      </c>
      <c r="AA1598">
        <f t="shared" ca="1" si="1690"/>
        <v>1</v>
      </c>
      <c r="AB1598" s="19">
        <f t="shared" ca="1" si="1691"/>
        <v>0</v>
      </c>
      <c r="AC1598" s="19">
        <f t="shared" ca="1" si="1692"/>
        <v>0.13745956034114651</v>
      </c>
    </row>
    <row r="1599" spans="3:29" x14ac:dyDescent="0.25">
      <c r="C1599" s="4">
        <v>1592</v>
      </c>
      <c r="D1599" s="28">
        <v>44272</v>
      </c>
      <c r="E1599" s="30">
        <v>17.972000000000001</v>
      </c>
      <c r="F1599" s="30">
        <v>56.77074636834196</v>
      </c>
      <c r="G1599" s="30">
        <v>5.5518450492569711</v>
      </c>
      <c r="H1599" s="30">
        <v>77.642344297879447</v>
      </c>
      <c r="I1599" s="8">
        <v>0</v>
      </c>
      <c r="J1599" s="31">
        <v>0</v>
      </c>
      <c r="K1599" s="31">
        <v>1</v>
      </c>
      <c r="L1599" s="31">
        <v>0</v>
      </c>
      <c r="M1599" s="31">
        <v>0</v>
      </c>
      <c r="N1599" s="31">
        <v>0</v>
      </c>
      <c r="O1599" s="31">
        <v>0</v>
      </c>
      <c r="P1599" s="31">
        <v>0</v>
      </c>
      <c r="Q1599" s="31">
        <v>0</v>
      </c>
      <c r="R1599" s="31">
        <v>0</v>
      </c>
      <c r="S1599" s="31">
        <v>0</v>
      </c>
      <c r="T1599" s="21" cm="1">
        <f t="array" aca="1" ref="T1599" ca="1">+fair_value_gap(OFFSET(S1598,0,0,-1*$I$5,-1*$Z$1),OFFSET(E1598,0,0,-1*$I$5,1),F1599:S1599,0)</f>
        <v>17.086940599636684</v>
      </c>
      <c r="U1599" s="7" cm="1">
        <f t="array" aca="1" ref="U1599" ca="1">z_score_diff(OFFSET(T1599,0,0,$I$5*-1,1),OFFSET(E1599,0,0,$I$5*-1,1))</f>
        <v>-1.3245621668458885E-2</v>
      </c>
      <c r="V1599" s="7">
        <f t="shared" ca="1" si="1687"/>
        <v>3.2743481290487784E-2</v>
      </c>
      <c r="W1599" s="14">
        <f t="shared" ca="1" si="1682"/>
        <v>0.13346183756818972</v>
      </c>
      <c r="X1599" s="10">
        <f t="shared" ref="X1599:Y1599" ca="1" si="1744">+X1598</f>
        <v>0</v>
      </c>
      <c r="Y1599" s="10">
        <f t="shared" ca="1" si="1744"/>
        <v>0</v>
      </c>
      <c r="Z1599">
        <f t="shared" ca="1" si="1689"/>
        <v>0</v>
      </c>
      <c r="AA1599">
        <f t="shared" ca="1" si="1690"/>
        <v>1</v>
      </c>
      <c r="AB1599" s="19">
        <f t="shared" ca="1" si="1691"/>
        <v>0</v>
      </c>
      <c r="AC1599" s="19">
        <f t="shared" ca="1" si="1692"/>
        <v>0.13346183756818972</v>
      </c>
    </row>
    <row r="1600" spans="3:29" x14ac:dyDescent="0.25">
      <c r="C1600" s="4">
        <v>1593</v>
      </c>
      <c r="D1600" s="28">
        <v>44273</v>
      </c>
      <c r="E1600" s="30">
        <v>17.760999999999999</v>
      </c>
      <c r="F1600" s="30">
        <v>53.109525807805291</v>
      </c>
      <c r="G1600" s="30">
        <v>5.5098615190935796</v>
      </c>
      <c r="H1600" s="30">
        <v>78.5144775493076</v>
      </c>
      <c r="I1600" s="8">
        <v>0</v>
      </c>
      <c r="J1600" s="31">
        <v>0</v>
      </c>
      <c r="K1600" s="31">
        <v>1</v>
      </c>
      <c r="L1600" s="31">
        <v>0</v>
      </c>
      <c r="M1600" s="31">
        <v>0</v>
      </c>
      <c r="N1600" s="31">
        <v>0</v>
      </c>
      <c r="O1600" s="31">
        <v>0</v>
      </c>
      <c r="P1600" s="31">
        <v>0</v>
      </c>
      <c r="Q1600" s="31">
        <v>0</v>
      </c>
      <c r="R1600" s="31">
        <v>0</v>
      </c>
      <c r="S1600" s="31">
        <v>0</v>
      </c>
      <c r="T1600" s="21" cm="1">
        <f t="array" aca="1" ref="T1600" ca="1">+fair_value_gap(OFFSET(S1599,0,0,-1*$I$5,-1*$Z$1),OFFSET(E1599,0,0,-1*$I$5,1),F1600:S1600,0)</f>
        <v>16.588435894475477</v>
      </c>
      <c r="U1600" s="7" cm="1">
        <f t="array" aca="1" ref="U1600" ca="1">z_score_diff(OFFSET(T1600,0,0,$I$5*-1,1),OFFSET(E1600,0,0,$I$5*-1,1))</f>
        <v>-7.6646790670669818E-2</v>
      </c>
      <c r="V1600" s="7">
        <f t="shared" ca="1" si="1687"/>
        <v>2.1083155845383172E-2</v>
      </c>
      <c r="W1600" s="14" t="e">
        <f t="shared" ca="1" si="1682"/>
        <v>#NUM!</v>
      </c>
      <c r="X1600" s="10">
        <f t="shared" ref="X1600:Y1600" ca="1" si="1745">+X1599</f>
        <v>0</v>
      </c>
      <c r="Y1600" s="10">
        <f t="shared" ca="1" si="1745"/>
        <v>0</v>
      </c>
      <c r="Z1600">
        <f t="shared" ca="1" si="1689"/>
        <v>0</v>
      </c>
      <c r="AA1600">
        <f t="shared" ca="1" si="1690"/>
        <v>1</v>
      </c>
      <c r="AB1600" s="19" t="str">
        <f t="shared" ca="1" si="1691"/>
        <v/>
      </c>
      <c r="AC1600" s="19" t="str">
        <f t="shared" ca="1" si="1692"/>
        <v/>
      </c>
    </row>
    <row r="1601" spans="3:29" x14ac:dyDescent="0.25">
      <c r="C1601" s="4">
        <v>1594</v>
      </c>
      <c r="D1601" s="28">
        <v>44274</v>
      </c>
      <c r="E1601" s="30">
        <v>17.265999999999998</v>
      </c>
      <c r="F1601" s="30">
        <v>54.213223557086451</v>
      </c>
      <c r="G1601" s="30">
        <v>5.3977988742333869</v>
      </c>
      <c r="H1601" s="30">
        <v>78.971687809795853</v>
      </c>
      <c r="I1601" s="8">
        <v>0</v>
      </c>
      <c r="J1601" s="31">
        <v>0</v>
      </c>
      <c r="K1601" s="31">
        <v>1</v>
      </c>
      <c r="L1601" s="31">
        <v>0</v>
      </c>
      <c r="M1601" s="31">
        <v>0</v>
      </c>
      <c r="N1601" s="31">
        <v>0</v>
      </c>
      <c r="O1601" s="31">
        <v>0</v>
      </c>
      <c r="P1601" s="31">
        <v>0</v>
      </c>
      <c r="Q1601" s="31">
        <v>0</v>
      </c>
      <c r="R1601" s="31">
        <v>0</v>
      </c>
      <c r="S1601" s="31">
        <v>0</v>
      </c>
      <c r="T1601" s="21" cm="1">
        <f t="array" aca="1" ref="T1601" ca="1">+fair_value_gap(OFFSET(S1600,0,0,-1*$I$5,-1*$Z$1),OFFSET(E1600,0,0,-1*$I$5,1),F1601:S1601,0)</f>
        <v>16.927891276546326</v>
      </c>
      <c r="U1601" s="7" cm="1">
        <f t="array" aca="1" ref="U1601" ca="1">z_score_diff(OFFSET(T1601,0,0,$I$5*-1,1),OFFSET(E1601,0,0,$I$5*-1,1))</f>
        <v>8.6389136263063104E-2</v>
      </c>
      <c r="V1601" s="7">
        <f t="shared" ca="1" si="1687"/>
        <v>3.736057346300792E-3</v>
      </c>
      <c r="W1601" s="14" t="e">
        <f t="shared" ca="1" si="1682"/>
        <v>#NUM!</v>
      </c>
      <c r="X1601" s="10">
        <f t="shared" ref="X1601:Y1601" ca="1" si="1746">+X1600</f>
        <v>0</v>
      </c>
      <c r="Y1601" s="10">
        <f t="shared" ca="1" si="1746"/>
        <v>0</v>
      </c>
      <c r="Z1601">
        <f t="shared" ca="1" si="1689"/>
        <v>0</v>
      </c>
      <c r="AA1601">
        <f t="shared" ca="1" si="1690"/>
        <v>1</v>
      </c>
      <c r="AB1601" s="19" t="str">
        <f t="shared" ca="1" si="1691"/>
        <v/>
      </c>
      <c r="AC1601" s="19" t="str">
        <f t="shared" ca="1" si="1692"/>
        <v/>
      </c>
    </row>
    <row r="1602" spans="3:29" x14ac:dyDescent="0.25">
      <c r="C1602" s="4">
        <v>1595</v>
      </c>
      <c r="D1602" s="28">
        <v>44277</v>
      </c>
      <c r="E1602" s="30">
        <v>18.045999999999999</v>
      </c>
      <c r="F1602" s="30">
        <v>54.161428212220265</v>
      </c>
      <c r="G1602" s="30">
        <v>5.5527617131841422</v>
      </c>
      <c r="H1602" s="30">
        <v>79.205431229570024</v>
      </c>
      <c r="I1602" s="8">
        <v>0</v>
      </c>
      <c r="J1602" s="31">
        <v>0</v>
      </c>
      <c r="K1602" s="31">
        <v>1</v>
      </c>
      <c r="L1602" s="31">
        <v>0</v>
      </c>
      <c r="M1602" s="31">
        <v>0</v>
      </c>
      <c r="N1602" s="31">
        <v>0</v>
      </c>
      <c r="O1602" s="31">
        <v>0</v>
      </c>
      <c r="P1602" s="31">
        <v>0</v>
      </c>
      <c r="Q1602" s="31">
        <v>0</v>
      </c>
      <c r="R1602" s="31">
        <v>0</v>
      </c>
      <c r="S1602" s="31">
        <v>0</v>
      </c>
      <c r="T1602" s="21" cm="1">
        <f t="array" aca="1" ref="T1602" ca="1">+fair_value_gap(OFFSET(S1601,0,0,-1*$I$5,-1*$Z$1),OFFSET(E1601,0,0,-1*$I$5,1),F1602:S1602,0)</f>
        <v>17.232595054045426</v>
      </c>
      <c r="U1602" s="7" cm="1">
        <f t="array" aca="1" ref="U1602" ca="1">z_score_diff(OFFSET(T1602,0,0,$I$5*-1,1),OFFSET(E1602,0,0,$I$5*-1,1))</f>
        <v>3.5479559475595224E-3</v>
      </c>
      <c r="V1602" s="7">
        <f t="shared" ca="1" si="1687"/>
        <v>-2.0813549598644159E-2</v>
      </c>
      <c r="W1602" s="14" t="e">
        <f t="shared" ca="1" si="1682"/>
        <v>#NUM!</v>
      </c>
      <c r="X1602" s="10">
        <f t="shared" ref="X1602:Y1602" ca="1" si="1747">+X1601</f>
        <v>0</v>
      </c>
      <c r="Y1602" s="10">
        <f t="shared" ca="1" si="1747"/>
        <v>0</v>
      </c>
      <c r="Z1602">
        <f t="shared" ca="1" si="1689"/>
        <v>1</v>
      </c>
      <c r="AA1602">
        <f t="shared" ca="1" si="1690"/>
        <v>0</v>
      </c>
      <c r="AB1602" s="19" t="str">
        <f t="shared" ca="1" si="1691"/>
        <v/>
      </c>
      <c r="AC1602" s="19" t="str">
        <f t="shared" ca="1" si="1692"/>
        <v/>
      </c>
    </row>
    <row r="1603" spans="3:29" x14ac:dyDescent="0.25">
      <c r="C1603" s="4">
        <v>1596</v>
      </c>
      <c r="D1603" s="28">
        <v>44278</v>
      </c>
      <c r="E1603" s="30">
        <v>18.39</v>
      </c>
      <c r="F1603" s="30">
        <v>51.303907502742845</v>
      </c>
      <c r="G1603" s="30">
        <v>5.7852983374124403</v>
      </c>
      <c r="H1603" s="30">
        <v>79.753565701746979</v>
      </c>
      <c r="I1603" s="8">
        <v>0</v>
      </c>
      <c r="J1603" s="31">
        <v>0</v>
      </c>
      <c r="K1603" s="31">
        <v>1</v>
      </c>
      <c r="L1603" s="31">
        <v>0</v>
      </c>
      <c r="M1603" s="31">
        <v>0</v>
      </c>
      <c r="N1603" s="31">
        <v>0</v>
      </c>
      <c r="O1603" s="31">
        <v>0</v>
      </c>
      <c r="P1603" s="31">
        <v>0</v>
      </c>
      <c r="Q1603" s="31">
        <v>0</v>
      </c>
      <c r="R1603" s="31">
        <v>0</v>
      </c>
      <c r="S1603" s="31">
        <v>0</v>
      </c>
      <c r="T1603" s="21" cm="1">
        <f t="array" aca="1" ref="T1603" ca="1">+fair_value_gap(OFFSET(S1602,0,0,-1*$I$5,-1*$Z$1),OFFSET(E1602,0,0,-1*$I$5,1),F1603:S1603,0)</f>
        <v>18.226454518658272</v>
      </c>
      <c r="U1603" s="7" cm="1">
        <f t="array" aca="1" ref="U1603" ca="1">z_score_diff(OFFSET(T1603,0,0,$I$5*-1,1),OFFSET(E1603,0,0,$I$5*-1,1))</f>
        <v>0.14491049783303511</v>
      </c>
      <c r="V1603" s="7">
        <f t="shared" ca="1" si="1687"/>
        <v>-3.2821710335898216E-2</v>
      </c>
      <c r="W1603" s="14" t="e">
        <f t="shared" ca="1" si="1682"/>
        <v>#NUM!</v>
      </c>
      <c r="X1603" s="10">
        <f t="shared" ref="X1603:Y1603" ca="1" si="1748">+X1602</f>
        <v>0</v>
      </c>
      <c r="Y1603" s="10">
        <f t="shared" ca="1" si="1748"/>
        <v>0</v>
      </c>
      <c r="Z1603">
        <f t="shared" ca="1" si="1689"/>
        <v>1</v>
      </c>
      <c r="AA1603">
        <f t="shared" ca="1" si="1690"/>
        <v>0</v>
      </c>
      <c r="AB1603" s="19" t="str">
        <f t="shared" ca="1" si="1691"/>
        <v/>
      </c>
      <c r="AC1603" s="19" t="str">
        <f t="shared" ca="1" si="1692"/>
        <v/>
      </c>
    </row>
    <row r="1604" spans="3:29" x14ac:dyDescent="0.25">
      <c r="C1604" s="4">
        <v>1597</v>
      </c>
      <c r="D1604" s="28">
        <v>44279</v>
      </c>
      <c r="E1604" s="30">
        <v>18.588999999999999</v>
      </c>
      <c r="F1604" s="30">
        <v>54.529292245174396</v>
      </c>
      <c r="G1604" s="30">
        <v>5.8034202505926178</v>
      </c>
      <c r="H1604" s="30">
        <v>80.003386386725367</v>
      </c>
      <c r="I1604" s="8">
        <v>0</v>
      </c>
      <c r="J1604" s="31">
        <v>0</v>
      </c>
      <c r="K1604" s="31">
        <v>1</v>
      </c>
      <c r="L1604" s="31">
        <v>0</v>
      </c>
      <c r="M1604" s="31">
        <v>0</v>
      </c>
      <c r="N1604" s="31">
        <v>0</v>
      </c>
      <c r="O1604" s="31">
        <v>0</v>
      </c>
      <c r="P1604" s="31">
        <v>0</v>
      </c>
      <c r="Q1604" s="31">
        <v>0</v>
      </c>
      <c r="R1604" s="31">
        <v>0</v>
      </c>
      <c r="S1604" s="31">
        <v>0</v>
      </c>
      <c r="T1604" s="21" cm="1">
        <f t="array" aca="1" ref="T1604" ca="1">+fair_value_gap(OFFSET(S1603,0,0,-1*$I$5,-1*$Z$1),OFFSET(E1603,0,0,-1*$I$5,1),F1604:S1604,0)</f>
        <v>18.378328748479564</v>
      </c>
      <c r="U1604" s="7" cm="1">
        <f t="array" aca="1" ref="U1604" ca="1">z_score_diff(OFFSET(T1604,0,0,$I$5*-1,1),OFFSET(E1604,0,0,$I$5*-1,1))</f>
        <v>0.13733782254633065</v>
      </c>
      <c r="V1604" s="7">
        <f t="shared" ca="1" si="1687"/>
        <v>-4.4763372614297955E-2</v>
      </c>
      <c r="W1604" s="14" t="e">
        <f t="shared" ca="1" si="1682"/>
        <v>#NUM!</v>
      </c>
      <c r="X1604" s="10">
        <f t="shared" ref="X1604:Y1604" ca="1" si="1749">+X1603</f>
        <v>0</v>
      </c>
      <c r="Y1604" s="10">
        <f t="shared" ca="1" si="1749"/>
        <v>0</v>
      </c>
      <c r="Z1604">
        <f t="shared" ca="1" si="1689"/>
        <v>1</v>
      </c>
      <c r="AA1604">
        <f t="shared" ca="1" si="1690"/>
        <v>0</v>
      </c>
      <c r="AB1604" s="19" t="str">
        <f t="shared" ca="1" si="1691"/>
        <v/>
      </c>
      <c r="AC1604" s="19" t="str">
        <f t="shared" ca="1" si="1692"/>
        <v/>
      </c>
    </row>
    <row r="1605" spans="3:29" x14ac:dyDescent="0.25">
      <c r="C1605" s="4">
        <v>1598</v>
      </c>
      <c r="D1605" s="28">
        <v>44280</v>
      </c>
      <c r="E1605" s="30">
        <v>18.367000000000001</v>
      </c>
      <c r="F1605" s="30">
        <v>52.660659639578384</v>
      </c>
      <c r="G1605" s="30">
        <v>5.7378442706562396</v>
      </c>
      <c r="H1605" s="30">
        <v>80.329819789187354</v>
      </c>
      <c r="I1605" s="8">
        <v>0</v>
      </c>
      <c r="J1605" s="31">
        <v>0</v>
      </c>
      <c r="K1605" s="31">
        <v>1</v>
      </c>
      <c r="L1605" s="31">
        <v>0</v>
      </c>
      <c r="M1605" s="31">
        <v>0</v>
      </c>
      <c r="N1605" s="31">
        <v>0</v>
      </c>
      <c r="O1605" s="31">
        <v>0</v>
      </c>
      <c r="P1605" s="31">
        <v>0</v>
      </c>
      <c r="Q1605" s="31">
        <v>0</v>
      </c>
      <c r="R1605" s="31">
        <v>0</v>
      </c>
      <c r="S1605" s="31">
        <v>0</v>
      </c>
      <c r="T1605" s="21" cm="1">
        <f t="array" aca="1" ref="T1605" ca="1">+fair_value_gap(OFFSET(S1604,0,0,-1*$I$5,-1*$Z$1),OFFSET(E1604,0,0,-1*$I$5,1),F1605:S1605,0)</f>
        <v>18.511557465613969</v>
      </c>
      <c r="U1605" s="7" cm="1">
        <f t="array" aca="1" ref="U1605" ca="1">z_score_diff(OFFSET(T1605,0,0,$I$5*-1,1),OFFSET(E1605,0,0,$I$5*-1,1))</f>
        <v>0.20346190618321969</v>
      </c>
      <c r="V1605" s="7">
        <f t="shared" ca="1" si="1687"/>
        <v>-5.603570518156524E-2</v>
      </c>
      <c r="W1605" s="14" t="e">
        <f t="shared" ca="1" si="1682"/>
        <v>#NUM!</v>
      </c>
      <c r="X1605" s="10">
        <f t="shared" ref="X1605:Y1605" ca="1" si="1750">+X1604</f>
        <v>0</v>
      </c>
      <c r="Y1605" s="10">
        <f t="shared" ca="1" si="1750"/>
        <v>0</v>
      </c>
      <c r="Z1605">
        <f t="shared" ca="1" si="1689"/>
        <v>1</v>
      </c>
      <c r="AA1605">
        <f t="shared" ca="1" si="1690"/>
        <v>0</v>
      </c>
      <c r="AB1605" s="19" t="str">
        <f t="shared" ca="1" si="1691"/>
        <v/>
      </c>
      <c r="AC1605" s="19" t="str">
        <f t="shared" ca="1" si="1692"/>
        <v/>
      </c>
    </row>
    <row r="1606" spans="3:29" x14ac:dyDescent="0.25">
      <c r="C1606" s="4">
        <v>1599</v>
      </c>
      <c r="D1606" s="28">
        <v>44281</v>
      </c>
      <c r="E1606" s="30">
        <v>18.699000000000002</v>
      </c>
      <c r="F1606" s="30">
        <v>54.738894540522203</v>
      </c>
      <c r="G1606" s="30">
        <v>5.874872838250254</v>
      </c>
      <c r="H1606" s="30">
        <v>79.942353340115289</v>
      </c>
      <c r="I1606" s="8">
        <v>0</v>
      </c>
      <c r="J1606" s="31">
        <v>0</v>
      </c>
      <c r="K1606" s="31">
        <v>1</v>
      </c>
      <c r="L1606" s="31">
        <v>0</v>
      </c>
      <c r="M1606" s="31">
        <v>0</v>
      </c>
      <c r="N1606" s="31">
        <v>0</v>
      </c>
      <c r="O1606" s="31">
        <v>0</v>
      </c>
      <c r="P1606" s="31">
        <v>0</v>
      </c>
      <c r="Q1606" s="31">
        <v>0</v>
      </c>
      <c r="R1606" s="31">
        <v>0</v>
      </c>
      <c r="S1606" s="31">
        <v>0</v>
      </c>
      <c r="T1606" s="21" cm="1">
        <f t="array" aca="1" ref="T1606" ca="1">+fair_value_gap(OFFSET(S1605,0,0,-1*$I$5,-1*$Z$1),OFFSET(E1605,0,0,-1*$I$5,1),F1606:S1606,0)</f>
        <v>18.386372547471797</v>
      </c>
      <c r="U1606" s="7" cm="1">
        <f t="array" aca="1" ref="U1606" ca="1">z_score_diff(OFFSET(T1606,0,0,$I$5*-1,1),OFFSET(E1606,0,0,$I$5*-1,1))</f>
        <v>0.11434647973217849</v>
      </c>
      <c r="V1606" s="7">
        <f t="shared" ca="1" si="1687"/>
        <v>-7.5313468862343358E-2</v>
      </c>
      <c r="W1606" s="14" t="e">
        <f t="shared" ca="1" si="1682"/>
        <v>#NUM!</v>
      </c>
      <c r="X1606" s="10">
        <f t="shared" ref="X1606:Y1606" ca="1" si="1751">+X1605</f>
        <v>0</v>
      </c>
      <c r="Y1606" s="10">
        <f t="shared" ca="1" si="1751"/>
        <v>0</v>
      </c>
      <c r="Z1606">
        <f t="shared" ca="1" si="1689"/>
        <v>1</v>
      </c>
      <c r="AA1606">
        <f t="shared" ca="1" si="1690"/>
        <v>0</v>
      </c>
      <c r="AB1606" s="19" t="str">
        <f t="shared" ca="1" si="1691"/>
        <v/>
      </c>
      <c r="AC1606" s="19" t="str">
        <f t="shared" ca="1" si="1692"/>
        <v/>
      </c>
    </row>
    <row r="1607" spans="3:29" x14ac:dyDescent="0.25">
      <c r="C1607" s="4">
        <v>1600</v>
      </c>
      <c r="D1607" s="28">
        <v>44284</v>
      </c>
      <c r="E1607" s="30">
        <v>18.443000000000001</v>
      </c>
      <c r="F1607" s="30">
        <v>55.245706512497883</v>
      </c>
      <c r="G1607" s="30">
        <v>5.8365924162557397</v>
      </c>
      <c r="H1607" s="30">
        <v>80.641047440911407</v>
      </c>
      <c r="I1607" s="8">
        <v>0</v>
      </c>
      <c r="J1607" s="31">
        <v>0</v>
      </c>
      <c r="K1607" s="31">
        <v>1</v>
      </c>
      <c r="L1607" s="31">
        <v>0</v>
      </c>
      <c r="M1607" s="31">
        <v>0</v>
      </c>
      <c r="N1607" s="31">
        <v>0</v>
      </c>
      <c r="O1607" s="31">
        <v>0</v>
      </c>
      <c r="P1607" s="31">
        <v>0</v>
      </c>
      <c r="Q1607" s="31">
        <v>0</v>
      </c>
      <c r="R1607" s="31">
        <v>0</v>
      </c>
      <c r="S1607" s="31">
        <v>0</v>
      </c>
      <c r="T1607" s="21" cm="1">
        <f t="array" aca="1" ref="T1607" ca="1">+fair_value_gap(OFFSET(S1606,0,0,-1*$I$5,-1*$Z$1),OFFSET(E1606,0,0,-1*$I$5,1),F1607:S1607,0)</f>
        <v>18.518235643734393</v>
      </c>
      <c r="U1607" s="7" cm="1">
        <f t="array" aca="1" ref="U1607" ca="1">z_score_diff(OFFSET(T1607,0,0,$I$5*-1,1),OFFSET(E1607,0,0,$I$5*-1,1))</f>
        <v>0.18636833259053853</v>
      </c>
      <c r="V1607" s="7">
        <f t="shared" ca="1" si="1687"/>
        <v>-3.2216923412709708E-2</v>
      </c>
      <c r="W1607" s="14" t="e">
        <f t="shared" ref="W1607:W1618" ca="1" si="1752">+LN(OFFSET(E1607,$W$3,0,1,1)/E1607)</f>
        <v>#NUM!</v>
      </c>
      <c r="X1607" s="10">
        <f t="shared" ref="X1607:Y1607" ca="1" si="1753">+X1606</f>
        <v>0</v>
      </c>
      <c r="Y1607" s="10">
        <f t="shared" ca="1" si="1753"/>
        <v>0</v>
      </c>
      <c r="Z1607">
        <f t="shared" ca="1" si="1689"/>
        <v>1</v>
      </c>
      <c r="AA1607">
        <f t="shared" ca="1" si="1690"/>
        <v>0</v>
      </c>
      <c r="AB1607" s="19" t="str">
        <f t="shared" ca="1" si="1691"/>
        <v/>
      </c>
      <c r="AC1607" s="19" t="str">
        <f t="shared" ca="1" si="1692"/>
        <v/>
      </c>
    </row>
    <row r="1608" spans="3:29" x14ac:dyDescent="0.25">
      <c r="C1608" s="4">
        <v>1601</v>
      </c>
      <c r="D1608" s="28">
        <v>44285</v>
      </c>
      <c r="E1608" s="30">
        <v>18.803999999999998</v>
      </c>
      <c r="F1608" s="30">
        <v>54.754994024244496</v>
      </c>
      <c r="G1608" s="30">
        <v>5.9202663479597062</v>
      </c>
      <c r="H1608" s="30">
        <v>80.886119173638377</v>
      </c>
      <c r="I1608" s="8">
        <v>0</v>
      </c>
      <c r="J1608" s="31">
        <v>0</v>
      </c>
      <c r="K1608" s="31">
        <v>1</v>
      </c>
      <c r="L1608" s="31">
        <v>0</v>
      </c>
      <c r="M1608" s="31">
        <v>0</v>
      </c>
      <c r="N1608" s="31">
        <v>0</v>
      </c>
      <c r="O1608" s="31">
        <v>0</v>
      </c>
      <c r="P1608" s="31">
        <v>0</v>
      </c>
      <c r="Q1608" s="31">
        <v>0</v>
      </c>
      <c r="R1608" s="31">
        <v>0</v>
      </c>
      <c r="S1608" s="31">
        <v>0</v>
      </c>
      <c r="T1608" s="21" cm="1">
        <f t="array" aca="1" ref="T1608" ca="1">+fair_value_gap(OFFSET(S1607,0,0,-1*$I$5,-1*$Z$1),OFFSET(E1607,0,0,-1*$I$5,1),F1608:S1608,0)</f>
        <v>18.599884676315558</v>
      </c>
      <c r="U1608" s="7" cm="1">
        <f t="array" aca="1" ref="U1608" ca="1">z_score_diff(OFFSET(T1608,0,0,$I$5*-1,1),OFFSET(E1608,0,0,$I$5*-1,1))</f>
        <v>0.1340614768881172</v>
      </c>
      <c r="V1608" s="7">
        <f t="shared" ref="V1608:V1618" ca="1" si="1754">+IF(ISERROR(AVERAGE(OFFSET(U1608,0,0,$V$5*-1,1))),"",AVERAGE(OFFSET(U1608,0,0,$V$5*-1,1)))</f>
        <v>-7.2725851216167928E-3</v>
      </c>
      <c r="W1608" s="14" t="e">
        <f t="shared" ca="1" si="1752"/>
        <v>#NUM!</v>
      </c>
      <c r="X1608" s="10">
        <f t="shared" ref="X1608:Y1608" ca="1" si="1755">+X1607</f>
        <v>0</v>
      </c>
      <c r="Y1608" s="10">
        <f t="shared" ca="1" si="1755"/>
        <v>0</v>
      </c>
      <c r="Z1608">
        <f t="shared" ref="Z1608:Z1618" ca="1" si="1756">+IF(V1608="","",IF(V1608&lt;X1608,1,0))</f>
        <v>1</v>
      </c>
      <c r="AA1608">
        <f t="shared" ref="AA1608:AA1618" ca="1" si="1757">+IF(V1608="","",IF(V1608&gt;Y1608,1,0))</f>
        <v>0</v>
      </c>
      <c r="AB1608" s="19" t="str">
        <f t="shared" ref="AB1608:AB1618" ca="1" si="1758">+IF(ISERROR(Z1608*W1608),"",Z1608*W1608)</f>
        <v/>
      </c>
      <c r="AC1608" s="19" t="str">
        <f t="shared" ref="AC1608:AC1618" ca="1" si="1759">+IF(ISERROR(AA1608*W1608),"",AA1608*W1608)</f>
        <v/>
      </c>
    </row>
    <row r="1609" spans="3:29" x14ac:dyDescent="0.25">
      <c r="C1609" s="4">
        <v>1602</v>
      </c>
      <c r="D1609" s="28">
        <v>44286</v>
      </c>
      <c r="E1609" s="30">
        <v>18.994</v>
      </c>
      <c r="F1609" s="30">
        <v>54.178035470668483</v>
      </c>
      <c r="G1609" s="30">
        <v>5.9856753069577078</v>
      </c>
      <c r="H1609" s="30">
        <v>82.580150068212816</v>
      </c>
      <c r="I1609" s="8">
        <v>0</v>
      </c>
      <c r="J1609" s="31">
        <v>0</v>
      </c>
      <c r="K1609" s="31">
        <v>1</v>
      </c>
      <c r="L1609" s="31">
        <v>0</v>
      </c>
      <c r="M1609" s="31">
        <v>0</v>
      </c>
      <c r="N1609" s="31">
        <v>0</v>
      </c>
      <c r="O1609" s="31">
        <v>0</v>
      </c>
      <c r="P1609" s="31">
        <v>0</v>
      </c>
      <c r="Q1609" s="31">
        <v>0</v>
      </c>
      <c r="R1609" s="31">
        <v>0</v>
      </c>
      <c r="S1609" s="31">
        <v>0</v>
      </c>
      <c r="T1609" s="21" cm="1">
        <f t="array" aca="1" ref="T1609" ca="1">+fair_value_gap(OFFSET(S1608,0,0,-1*$I$5,-1*$Z$1),OFFSET(E1608,0,0,-1*$I$5,1),F1609:S1609,0)</f>
        <v>18.994055591567282</v>
      </c>
      <c r="U1609" s="7" cm="1">
        <f t="array" aca="1" ref="U1609" ca="1">z_score_diff(OFFSET(T1609,0,0,$I$5*-1,1),OFFSET(E1609,0,0,$I$5*-1,1))</f>
        <v>0.17632110562952619</v>
      </c>
      <c r="V1609" s="7">
        <f t="shared" ca="1" si="1754"/>
        <v>8.3056143822031418E-3</v>
      </c>
      <c r="W1609" s="14" t="e">
        <f t="shared" ca="1" si="1752"/>
        <v>#NUM!</v>
      </c>
      <c r="X1609" s="10">
        <f t="shared" ref="X1609:Y1609" ca="1" si="1760">+X1608</f>
        <v>0</v>
      </c>
      <c r="Y1609" s="10">
        <f t="shared" ca="1" si="1760"/>
        <v>0</v>
      </c>
      <c r="Z1609">
        <f t="shared" ca="1" si="1756"/>
        <v>0</v>
      </c>
      <c r="AA1609">
        <f t="shared" ca="1" si="1757"/>
        <v>1</v>
      </c>
      <c r="AB1609" s="19" t="str">
        <f t="shared" ca="1" si="1758"/>
        <v/>
      </c>
      <c r="AC1609" s="19" t="str">
        <f t="shared" ca="1" si="1759"/>
        <v/>
      </c>
    </row>
    <row r="1610" spans="3:29" x14ac:dyDescent="0.25">
      <c r="C1610" s="4">
        <v>1603</v>
      </c>
      <c r="D1610" s="28">
        <v>44287</v>
      </c>
      <c r="E1610" s="30">
        <v>19.172000000000001</v>
      </c>
      <c r="F1610" s="30">
        <v>55.082802547770697</v>
      </c>
      <c r="G1610" s="30">
        <v>5.881104033970276</v>
      </c>
      <c r="H1610" s="30">
        <v>82.377919320594486</v>
      </c>
      <c r="I1610" s="8">
        <v>0</v>
      </c>
      <c r="J1610" s="31">
        <v>0</v>
      </c>
      <c r="K1610" s="31">
        <v>0</v>
      </c>
      <c r="L1610" s="31">
        <v>1</v>
      </c>
      <c r="M1610" s="31">
        <v>0</v>
      </c>
      <c r="N1610" s="31">
        <v>0</v>
      </c>
      <c r="O1610" s="31">
        <v>0</v>
      </c>
      <c r="P1610" s="31">
        <v>0</v>
      </c>
      <c r="Q1610" s="31">
        <v>0</v>
      </c>
      <c r="R1610" s="31">
        <v>0</v>
      </c>
      <c r="S1610" s="31">
        <v>0</v>
      </c>
      <c r="T1610" s="21" cm="1">
        <f t="array" aca="1" ref="T1610" ca="1">+fair_value_gap(OFFSET(S1609,0,0,-1*$I$5,-1*$Z$1),OFFSET(E1609,0,0,-1*$I$5,1),F1610:S1610,0)</f>
        <v>13.336046408978582</v>
      </c>
      <c r="U1610" s="7" cm="1">
        <f t="array" aca="1" ref="U1610" ca="1">z_score_diff(OFFSET(T1610,0,0,$I$5*-1,1),OFFSET(E1610,0,0,$I$5*-1,1))</f>
        <v>-0.99507677570200814</v>
      </c>
      <c r="V1610" s="7">
        <f t="shared" ca="1" si="1754"/>
        <v>-3.729726833206079E-2</v>
      </c>
      <c r="W1610" s="14" t="e">
        <f t="shared" ca="1" si="1752"/>
        <v>#NUM!</v>
      </c>
      <c r="X1610" s="10">
        <f t="shared" ref="X1610:Y1610" ca="1" si="1761">+X1609</f>
        <v>0</v>
      </c>
      <c r="Y1610" s="10">
        <f t="shared" ca="1" si="1761"/>
        <v>0</v>
      </c>
      <c r="Z1610">
        <f t="shared" ca="1" si="1756"/>
        <v>1</v>
      </c>
      <c r="AA1610">
        <f t="shared" ca="1" si="1757"/>
        <v>0</v>
      </c>
      <c r="AB1610" s="19" t="str">
        <f t="shared" ca="1" si="1758"/>
        <v/>
      </c>
      <c r="AC1610" s="19" t="str">
        <f t="shared" ca="1" si="1759"/>
        <v/>
      </c>
    </row>
    <row r="1611" spans="3:29" x14ac:dyDescent="0.25">
      <c r="C1611" s="4">
        <v>1604</v>
      </c>
      <c r="D1611" s="28">
        <v>44292</v>
      </c>
      <c r="E1611" s="30">
        <v>19.780999999999999</v>
      </c>
      <c r="F1611" s="30">
        <v>52.833684210526314</v>
      </c>
      <c r="G1611" s="30">
        <v>5.8694736842105257</v>
      </c>
      <c r="H1611" s="30">
        <v>81.810526315789474</v>
      </c>
      <c r="I1611" s="8">
        <v>0</v>
      </c>
      <c r="J1611" s="31">
        <v>0</v>
      </c>
      <c r="K1611" s="31">
        <v>0</v>
      </c>
      <c r="L1611" s="31">
        <v>1</v>
      </c>
      <c r="M1611" s="31">
        <v>0</v>
      </c>
      <c r="N1611" s="31">
        <v>0</v>
      </c>
      <c r="O1611" s="31">
        <v>0</v>
      </c>
      <c r="P1611" s="31">
        <v>0</v>
      </c>
      <c r="Q1611" s="31">
        <v>0</v>
      </c>
      <c r="R1611" s="31">
        <v>0</v>
      </c>
      <c r="S1611" s="31">
        <v>0</v>
      </c>
      <c r="T1611" s="21" cm="1">
        <f t="array" aca="1" ref="T1611" ca="1">+fair_value_gap(OFFSET(S1610,0,0,-1*$I$5,-1*$Z$1),OFFSET(E1610,0,0,-1*$I$5,1),F1611:S1611,0)</f>
        <v>14.77556938713</v>
      </c>
      <c r="U1611" s="7" cm="1">
        <f t="array" aca="1" ref="U1611" ca="1">z_score_diff(OFFSET(T1611,0,0,$I$5*-1,1),OFFSET(E1611,0,0,$I$5*-1,1))</f>
        <v>-0.80848718193440772</v>
      </c>
      <c r="V1611" s="7">
        <f t="shared" ca="1" si="1754"/>
        <v>-7.5530142862589092E-2</v>
      </c>
      <c r="W1611" s="14" t="e">
        <f t="shared" ca="1" si="1752"/>
        <v>#NUM!</v>
      </c>
      <c r="X1611" s="10">
        <f t="shared" ref="X1611:Y1611" ca="1" si="1762">+X1610</f>
        <v>0</v>
      </c>
      <c r="Y1611" s="10">
        <f t="shared" ca="1" si="1762"/>
        <v>0</v>
      </c>
      <c r="Z1611">
        <f t="shared" ca="1" si="1756"/>
        <v>1</v>
      </c>
      <c r="AA1611">
        <f t="shared" ca="1" si="1757"/>
        <v>0</v>
      </c>
      <c r="AB1611" s="19" t="str">
        <f t="shared" ca="1" si="1758"/>
        <v/>
      </c>
      <c r="AC1611" s="19" t="str">
        <f t="shared" ca="1" si="1759"/>
        <v/>
      </c>
    </row>
    <row r="1612" spans="3:29" x14ac:dyDescent="0.25">
      <c r="C1612" s="4">
        <v>1605</v>
      </c>
      <c r="D1612" s="28">
        <v>44293</v>
      </c>
      <c r="E1612" s="30">
        <v>19.286999999999999</v>
      </c>
      <c r="F1612" s="30">
        <v>53.209772535804547</v>
      </c>
      <c r="G1612" s="30">
        <v>5.8803706823925861</v>
      </c>
      <c r="H1612" s="30">
        <v>82.139848357203036</v>
      </c>
      <c r="I1612" s="8">
        <v>0</v>
      </c>
      <c r="J1612" s="31">
        <v>0</v>
      </c>
      <c r="K1612" s="31">
        <v>0</v>
      </c>
      <c r="L1612" s="31">
        <v>1</v>
      </c>
      <c r="M1612" s="31">
        <v>0</v>
      </c>
      <c r="N1612" s="31">
        <v>0</v>
      </c>
      <c r="O1612" s="31">
        <v>0</v>
      </c>
      <c r="P1612" s="31">
        <v>0</v>
      </c>
      <c r="Q1612" s="31">
        <v>0</v>
      </c>
      <c r="R1612" s="31">
        <v>0</v>
      </c>
      <c r="S1612" s="31">
        <v>0</v>
      </c>
      <c r="T1612" s="21" cm="1">
        <f t="array" aca="1" ref="T1612" ca="1">+fair_value_gap(OFFSET(S1611,0,0,-1*$I$5,-1*$Z$1),OFFSET(E1611,0,0,-1*$I$5,1),F1612:S1612,0)</f>
        <v>15.909575931946733</v>
      </c>
      <c r="U1612" s="7" cm="1">
        <f t="array" aca="1" ref="U1612" ca="1">z_score_diff(OFFSET(T1612,0,0,$I$5*-1,1),OFFSET(E1612,0,0,$I$5*-1,1))</f>
        <v>-0.48275230156982463</v>
      </c>
      <c r="V1612" s="7">
        <f t="shared" ca="1" si="1754"/>
        <v>-0.10075932105299475</v>
      </c>
      <c r="W1612" s="14" t="e">
        <f t="shared" ca="1" si="1752"/>
        <v>#NUM!</v>
      </c>
      <c r="X1612" s="10">
        <f t="shared" ref="X1612:Y1612" ca="1" si="1763">+X1611</f>
        <v>0</v>
      </c>
      <c r="Y1612" s="10">
        <f t="shared" ca="1" si="1763"/>
        <v>0</v>
      </c>
      <c r="Z1612">
        <f t="shared" ca="1" si="1756"/>
        <v>1</v>
      </c>
      <c r="AA1612">
        <f t="shared" ca="1" si="1757"/>
        <v>0</v>
      </c>
      <c r="AB1612" s="19" t="str">
        <f t="shared" ca="1" si="1758"/>
        <v/>
      </c>
      <c r="AC1612" s="19" t="str">
        <f t="shared" ca="1" si="1759"/>
        <v/>
      </c>
    </row>
    <row r="1613" spans="3:29" x14ac:dyDescent="0.25">
      <c r="C1613" s="4">
        <v>1606</v>
      </c>
      <c r="D1613" s="28">
        <v>44294</v>
      </c>
      <c r="E1613" s="30">
        <v>18.991</v>
      </c>
      <c r="F1613" s="30">
        <v>53.055742108797851</v>
      </c>
      <c r="G1613" s="30">
        <v>5.8638347884486235</v>
      </c>
      <c r="H1613" s="30">
        <v>80.339153794492944</v>
      </c>
      <c r="I1613" s="8">
        <v>0</v>
      </c>
      <c r="J1613" s="31">
        <v>0</v>
      </c>
      <c r="K1613" s="31">
        <v>0</v>
      </c>
      <c r="L1613" s="31">
        <v>1</v>
      </c>
      <c r="M1613" s="31">
        <v>0</v>
      </c>
      <c r="N1613" s="31">
        <v>0</v>
      </c>
      <c r="O1613" s="31">
        <v>0</v>
      </c>
      <c r="P1613" s="31">
        <v>0</v>
      </c>
      <c r="Q1613" s="31">
        <v>0</v>
      </c>
      <c r="R1613" s="31">
        <v>0</v>
      </c>
      <c r="S1613" s="31">
        <v>0</v>
      </c>
      <c r="T1613" s="21" cm="1">
        <f t="array" aca="1" ref="T1613" ca="1">+fair_value_gap(OFFSET(S1612,0,0,-1*$I$5,-1*$Z$1),OFFSET(E1612,0,0,-1*$I$5,1),F1613:S1613,0)</f>
        <v>16.325662465319844</v>
      </c>
      <c r="U1613" s="7" cm="1">
        <f t="array" aca="1" ref="U1613" ca="1">z_score_diff(OFFSET(T1613,0,0,$I$5*-1,1),OFFSET(E1613,0,0,$I$5*-1,1))</f>
        <v>-0.34057864887595624</v>
      </c>
      <c r="V1613" s="7">
        <f t="shared" ca="1" si="1754"/>
        <v>-0.11077085628976499</v>
      </c>
      <c r="W1613" s="14" t="e">
        <f t="shared" ca="1" si="1752"/>
        <v>#NUM!</v>
      </c>
      <c r="X1613" s="10">
        <f t="shared" ref="X1613:Y1613" ca="1" si="1764">+X1612</f>
        <v>0</v>
      </c>
      <c r="Y1613" s="10">
        <f t="shared" ca="1" si="1764"/>
        <v>0</v>
      </c>
      <c r="Z1613">
        <f t="shared" ca="1" si="1756"/>
        <v>1</v>
      </c>
      <c r="AA1613">
        <f t="shared" ca="1" si="1757"/>
        <v>0</v>
      </c>
      <c r="AB1613" s="19" t="str">
        <f t="shared" ca="1" si="1758"/>
        <v/>
      </c>
      <c r="AC1613" s="19" t="str">
        <f t="shared" ca="1" si="1759"/>
        <v/>
      </c>
    </row>
    <row r="1614" spans="3:29" x14ac:dyDescent="0.25">
      <c r="C1614" s="4">
        <v>1607</v>
      </c>
      <c r="D1614" s="28">
        <v>44295</v>
      </c>
      <c r="E1614" s="30">
        <v>18.937999999999999</v>
      </c>
      <c r="F1614" s="30">
        <v>52.916946872898457</v>
      </c>
      <c r="G1614" s="30">
        <v>5.8717215870880972</v>
      </c>
      <c r="H1614" s="30">
        <v>79.984868863483527</v>
      </c>
      <c r="I1614" s="8">
        <v>0</v>
      </c>
      <c r="J1614" s="31">
        <v>0</v>
      </c>
      <c r="K1614" s="31">
        <v>0</v>
      </c>
      <c r="L1614" s="31">
        <v>1</v>
      </c>
      <c r="M1614" s="31">
        <v>0</v>
      </c>
      <c r="N1614" s="31">
        <v>0</v>
      </c>
      <c r="O1614" s="31">
        <v>0</v>
      </c>
      <c r="P1614" s="31">
        <v>0</v>
      </c>
      <c r="Q1614" s="31">
        <v>0</v>
      </c>
      <c r="R1614" s="31">
        <v>0</v>
      </c>
      <c r="S1614" s="31">
        <v>0</v>
      </c>
      <c r="T1614" s="21" cm="1">
        <f t="array" aca="1" ref="T1614" ca="1">+fair_value_gap(OFFSET(S1613,0,0,-1*$I$5,-1*$Z$1),OFFSET(E1613,0,0,-1*$I$5,1),F1614:S1614,0)</f>
        <v>16.780546714246242</v>
      </c>
      <c r="U1614" s="7" cm="1">
        <f t="array" aca="1" ref="U1614" ca="1">z_score_diff(OFFSET(T1614,0,0,$I$5*-1,1),OFFSET(E1614,0,0,$I$5*-1,1))</f>
        <v>-0.23606112423251102</v>
      </c>
      <c r="V1614" s="7">
        <f t="shared" ca="1" si="1754"/>
        <v>-0.11141426685614939</v>
      </c>
      <c r="W1614" s="14" t="e">
        <f t="shared" ca="1" si="1752"/>
        <v>#NUM!</v>
      </c>
      <c r="X1614" s="10">
        <f t="shared" ref="X1614:Y1614" ca="1" si="1765">+X1613</f>
        <v>0</v>
      </c>
      <c r="Y1614" s="10">
        <f t="shared" ca="1" si="1765"/>
        <v>0</v>
      </c>
      <c r="Z1614">
        <f t="shared" ca="1" si="1756"/>
        <v>1</v>
      </c>
      <c r="AA1614">
        <f t="shared" ca="1" si="1757"/>
        <v>0</v>
      </c>
      <c r="AB1614" s="19" t="str">
        <f t="shared" ca="1" si="1758"/>
        <v/>
      </c>
      <c r="AC1614" s="19" t="str">
        <f t="shared" ca="1" si="1759"/>
        <v/>
      </c>
    </row>
    <row r="1615" spans="3:29" x14ac:dyDescent="0.25">
      <c r="C1615" s="4">
        <v>1608</v>
      </c>
      <c r="D1615" s="28">
        <v>44298</v>
      </c>
      <c r="E1615" s="30">
        <v>19.649999999999999</v>
      </c>
      <c r="F1615" s="30">
        <v>53.136283483080021</v>
      </c>
      <c r="G1615" s="30">
        <v>5.8821059702745817</v>
      </c>
      <c r="H1615" s="30">
        <v>79.561676043328575</v>
      </c>
      <c r="I1615" s="8">
        <v>0</v>
      </c>
      <c r="J1615" s="31">
        <v>0</v>
      </c>
      <c r="K1615" s="31">
        <v>0</v>
      </c>
      <c r="L1615" s="31">
        <v>1</v>
      </c>
      <c r="M1615" s="31">
        <v>0</v>
      </c>
      <c r="N1615" s="31">
        <v>0</v>
      </c>
      <c r="O1615" s="31">
        <v>0</v>
      </c>
      <c r="P1615" s="31">
        <v>0</v>
      </c>
      <c r="Q1615" s="31">
        <v>0</v>
      </c>
      <c r="R1615" s="31">
        <v>0</v>
      </c>
      <c r="S1615" s="31">
        <v>0</v>
      </c>
      <c r="T1615" s="21" cm="1">
        <f t="array" aca="1" ref="T1615" ca="1">+fair_value_gap(OFFSET(S1614,0,0,-1*$I$5,-1*$Z$1),OFFSET(E1614,0,0,-1*$I$5,1),F1615:S1615,0)</f>
        <v>17.156599595416989</v>
      </c>
      <c r="U1615" s="7" cm="1">
        <f t="array" aca="1" ref="U1615" ca="1">z_score_diff(OFFSET(T1615,0,0,$I$5*-1,1),OFFSET(E1615,0,0,$I$5*-1,1))</f>
        <v>-0.28686382307188607</v>
      </c>
      <c r="V1615" s="7">
        <f t="shared" ca="1" si="1754"/>
        <v>-0.11481715014163688</v>
      </c>
      <c r="W1615" s="14" t="e">
        <f t="shared" ca="1" si="1752"/>
        <v>#NUM!</v>
      </c>
      <c r="X1615" s="10">
        <f t="shared" ref="X1615:Y1615" ca="1" si="1766">+X1614</f>
        <v>0</v>
      </c>
      <c r="Y1615" s="10">
        <f t="shared" ca="1" si="1766"/>
        <v>0</v>
      </c>
      <c r="Z1615">
        <f t="shared" ca="1" si="1756"/>
        <v>1</v>
      </c>
      <c r="AA1615">
        <f t="shared" ca="1" si="1757"/>
        <v>0</v>
      </c>
      <c r="AB1615" s="19" t="str">
        <f t="shared" ca="1" si="1758"/>
        <v/>
      </c>
      <c r="AC1615" s="19" t="str">
        <f t="shared" ca="1" si="1759"/>
        <v/>
      </c>
    </row>
    <row r="1616" spans="3:29" x14ac:dyDescent="0.25">
      <c r="C1616" s="4">
        <v>1609</v>
      </c>
      <c r="D1616" s="28">
        <v>44299</v>
      </c>
      <c r="E1616" s="30">
        <v>19.512</v>
      </c>
      <c r="F1616" s="30">
        <v>53.298175121379536</v>
      </c>
      <c r="G1616" s="30">
        <v>5.8722584965678877</v>
      </c>
      <c r="H1616" s="30">
        <v>79.482672024108481</v>
      </c>
      <c r="I1616" s="8">
        <v>0</v>
      </c>
      <c r="J1616" s="31">
        <v>0</v>
      </c>
      <c r="K1616" s="31">
        <v>0</v>
      </c>
      <c r="L1616" s="31">
        <v>1</v>
      </c>
      <c r="M1616" s="31">
        <v>0</v>
      </c>
      <c r="N1616" s="31">
        <v>0</v>
      </c>
      <c r="O1616" s="31">
        <v>0</v>
      </c>
      <c r="P1616" s="31">
        <v>0</v>
      </c>
      <c r="Q1616" s="31">
        <v>0</v>
      </c>
      <c r="R1616" s="31">
        <v>0</v>
      </c>
      <c r="S1616" s="31">
        <v>0</v>
      </c>
      <c r="T1616" s="21" cm="1">
        <f t="array" aca="1" ref="T1616" ca="1">+fair_value_gap(OFFSET(S1615,0,0,-1*$I$5,-1*$Z$1),OFFSET(E1615,0,0,-1*$I$5,1),F1616:S1616,0)</f>
        <v>17.507803592423187</v>
      </c>
      <c r="U1616" s="7" cm="1">
        <f t="array" aca="1" ref="U1616" ca="1">z_score_diff(OFFSET(T1616,0,0,$I$5*-1,1),OFFSET(E1616,0,0,$I$5*-1,1))</f>
        <v>-0.1878212323604509</v>
      </c>
      <c r="V1616" s="7">
        <f t="shared" ca="1" si="1754"/>
        <v>-0.11343175369263492</v>
      </c>
      <c r="W1616" s="14" t="e">
        <f t="shared" ca="1" si="1752"/>
        <v>#NUM!</v>
      </c>
      <c r="X1616" s="10">
        <f t="shared" ref="X1616:Y1616" ca="1" si="1767">+X1615</f>
        <v>0</v>
      </c>
      <c r="Y1616" s="10">
        <f t="shared" ca="1" si="1767"/>
        <v>0</v>
      </c>
      <c r="Z1616">
        <f t="shared" ca="1" si="1756"/>
        <v>1</v>
      </c>
      <c r="AA1616">
        <f t="shared" ca="1" si="1757"/>
        <v>0</v>
      </c>
      <c r="AB1616" s="19" t="str">
        <f t="shared" ca="1" si="1758"/>
        <v/>
      </c>
      <c r="AC1616" s="19" t="str">
        <f t="shared" ca="1" si="1759"/>
        <v/>
      </c>
    </row>
    <row r="1617" spans="3:29" x14ac:dyDescent="0.25">
      <c r="C1617" s="4">
        <v>1610</v>
      </c>
      <c r="D1617" s="28">
        <v>44300</v>
      </c>
      <c r="E1617" s="30">
        <v>19.681999999999999</v>
      </c>
      <c r="F1617" s="30">
        <v>55.585239605944231</v>
      </c>
      <c r="G1617" s="30">
        <v>5.8565703790282182</v>
      </c>
      <c r="H1617" s="30">
        <v>78.310235431624648</v>
      </c>
      <c r="I1617" s="8">
        <v>0</v>
      </c>
      <c r="J1617" s="31">
        <v>0</v>
      </c>
      <c r="K1617" s="31">
        <v>0</v>
      </c>
      <c r="L1617" s="31">
        <v>1</v>
      </c>
      <c r="M1617" s="31">
        <v>0</v>
      </c>
      <c r="N1617" s="31">
        <v>0</v>
      </c>
      <c r="O1617" s="31">
        <v>0</v>
      </c>
      <c r="P1617" s="31">
        <v>0</v>
      </c>
      <c r="Q1617" s="31">
        <v>0</v>
      </c>
      <c r="R1617" s="31">
        <v>0</v>
      </c>
      <c r="S1617" s="31">
        <v>0</v>
      </c>
      <c r="T1617" s="21" cm="1">
        <f t="array" aca="1" ref="T1617" ca="1">+fair_value_gap(OFFSET(S1616,0,0,-1*$I$5,-1*$Z$1),OFFSET(E1616,0,0,-1*$I$5,1),F1617:S1617,0)</f>
        <v>18.040619123504406</v>
      </c>
      <c r="U1617" s="7" cm="1">
        <f t="array" aca="1" ref="U1617" ca="1">z_score_diff(OFFSET(T1617,0,0,$I$5*-1,1),OFFSET(E1617,0,0,$I$5*-1,1))</f>
        <v>-0.1089167837368854</v>
      </c>
      <c r="V1617" s="7">
        <f t="shared" ca="1" si="1754"/>
        <v>-0.11559638441144404</v>
      </c>
      <c r="W1617" s="14" t="e">
        <f t="shared" ca="1" si="1752"/>
        <v>#NUM!</v>
      </c>
      <c r="X1617" s="10">
        <f t="shared" ref="X1617:Y1617" ca="1" si="1768">+X1616</f>
        <v>0</v>
      </c>
      <c r="Y1617" s="10">
        <f t="shared" ca="1" si="1768"/>
        <v>0</v>
      </c>
      <c r="Z1617">
        <f t="shared" ca="1" si="1756"/>
        <v>1</v>
      </c>
      <c r="AA1617">
        <f t="shared" ca="1" si="1757"/>
        <v>0</v>
      </c>
      <c r="AB1617" s="19" t="str">
        <f t="shared" ca="1" si="1758"/>
        <v/>
      </c>
      <c r="AC1617" s="19" t="str">
        <f t="shared" ca="1" si="1759"/>
        <v/>
      </c>
    </row>
    <row r="1618" spans="3:29" x14ac:dyDescent="0.25">
      <c r="C1618" s="4">
        <v>1611</v>
      </c>
      <c r="D1618" s="28">
        <v>44301</v>
      </c>
      <c r="E1618" s="30">
        <v>20.260000000000002</v>
      </c>
      <c r="F1618" s="30">
        <v>55.946510656080235</v>
      </c>
      <c r="G1618" s="30">
        <v>5.8646050982030928</v>
      </c>
      <c r="H1618" s="30">
        <v>78.144588382783127</v>
      </c>
      <c r="I1618" s="8">
        <v>0</v>
      </c>
      <c r="J1618" s="31">
        <v>0</v>
      </c>
      <c r="K1618" s="31">
        <v>0</v>
      </c>
      <c r="L1618" s="31">
        <v>1</v>
      </c>
      <c r="M1618" s="31">
        <v>0</v>
      </c>
      <c r="N1618" s="31">
        <v>0</v>
      </c>
      <c r="O1618" s="31">
        <v>0</v>
      </c>
      <c r="P1618" s="31">
        <v>0</v>
      </c>
      <c r="Q1618" s="31">
        <v>0</v>
      </c>
      <c r="R1618" s="31">
        <v>0</v>
      </c>
      <c r="S1618" s="31">
        <v>0</v>
      </c>
      <c r="T1618" s="21" cm="1">
        <f t="array" aca="1" ref="T1618" ca="1">+fair_value_gap(OFFSET(S1617,0,0,-1*$I$5,-1*$Z$1),OFFSET(E1617,0,0,-1*$I$5,1),F1618:S1618,0)</f>
        <v>18.301467065196633</v>
      </c>
      <c r="U1618" s="7" cm="1">
        <f t="array" aca="1" ref="U1618" ca="1">z_score_diff(OFFSET(T1618,0,0,$I$5*-1,1),OFFSET(E1618,0,0,$I$5*-1,1))</f>
        <v>-0.1592858824839698</v>
      </c>
      <c r="V1618" s="7">
        <f t="shared" ca="1" si="1754"/>
        <v>-0.12544957263467302</v>
      </c>
      <c r="W1618" s="14" t="e">
        <f t="shared" ca="1" si="1752"/>
        <v>#NUM!</v>
      </c>
      <c r="X1618" s="10">
        <f t="shared" ref="X1618:Y1618" ca="1" si="1769">+X1617</f>
        <v>0</v>
      </c>
      <c r="Y1618" s="10">
        <f t="shared" ca="1" si="1769"/>
        <v>0</v>
      </c>
      <c r="Z1618">
        <f t="shared" ca="1" si="1756"/>
        <v>1</v>
      </c>
      <c r="AA1618">
        <f t="shared" ca="1" si="1757"/>
        <v>0</v>
      </c>
      <c r="AB1618" s="19" t="str">
        <f t="shared" ca="1" si="1758"/>
        <v/>
      </c>
      <c r="AC1618" s="19" t="str">
        <f t="shared" ca="1" si="1759"/>
        <v/>
      </c>
    </row>
    <row r="1619" spans="3:29" x14ac:dyDescent="0.25">
      <c r="C1619" s="4">
        <v>1612</v>
      </c>
      <c r="D1619" s="28">
        <v>44302</v>
      </c>
      <c r="E1619" s="30">
        <v>20.538</v>
      </c>
      <c r="F1619" s="30">
        <v>55.729905683999668</v>
      </c>
      <c r="G1619" s="30">
        <v>5.8567732242717643</v>
      </c>
      <c r="H1619" s="30">
        <v>78.374092312828651</v>
      </c>
      <c r="I1619" s="8">
        <v>0</v>
      </c>
      <c r="J1619" s="31">
        <v>0</v>
      </c>
      <c r="K1619" s="31">
        <v>0</v>
      </c>
      <c r="L1619" s="31">
        <v>1</v>
      </c>
      <c r="M1619" s="31">
        <v>0</v>
      </c>
      <c r="N1619" s="31">
        <v>0</v>
      </c>
      <c r="O1619" s="31">
        <v>0</v>
      </c>
      <c r="P1619" s="31">
        <v>0</v>
      </c>
      <c r="Q1619" s="31">
        <v>0</v>
      </c>
      <c r="R1619" s="31">
        <v>0</v>
      </c>
      <c r="S1619" s="31">
        <v>0</v>
      </c>
      <c r="T1619" s="21"/>
      <c r="U1619" s="7"/>
      <c r="V1619" s="7"/>
      <c r="W1619" s="14"/>
      <c r="X1619" s="10"/>
      <c r="Y1619" s="10"/>
      <c r="AB1619" s="19"/>
      <c r="AC1619" s="18"/>
    </row>
    <row r="1620" spans="3:29" x14ac:dyDescent="0.25">
      <c r="D1620" s="3"/>
      <c r="E1620" s="12"/>
      <c r="F1620" s="12"/>
      <c r="G1620" s="12"/>
      <c r="H1620" s="12"/>
      <c r="J1620" s="21"/>
      <c r="K1620" s="21"/>
      <c r="L1620" s="21"/>
      <c r="M1620" s="21"/>
      <c r="N1620" s="21"/>
      <c r="O1620" s="21"/>
      <c r="P1620" s="21"/>
      <c r="Q1620" s="21"/>
      <c r="R1620" s="21"/>
      <c r="S1620" s="21"/>
      <c r="T1620" s="21"/>
      <c r="U1620" s="7"/>
      <c r="V1620" s="7"/>
      <c r="W1620" s="14"/>
      <c r="X1620" s="10"/>
      <c r="Y1620" s="10"/>
      <c r="AB1620" s="19"/>
      <c r="AC1620" s="18"/>
    </row>
    <row r="1621" spans="3:29" x14ac:dyDescent="0.25">
      <c r="D1621" s="3"/>
      <c r="E1621" s="12"/>
      <c r="F1621" s="12"/>
      <c r="G1621" s="12"/>
      <c r="H1621" s="12"/>
      <c r="J1621" s="21"/>
      <c r="K1621" s="21"/>
      <c r="L1621" s="21"/>
      <c r="M1621" s="21"/>
      <c r="N1621" s="21"/>
      <c r="O1621" s="21"/>
      <c r="P1621" s="21"/>
      <c r="Q1621" s="21"/>
      <c r="R1621" s="21"/>
      <c r="S1621" s="21"/>
      <c r="T1621" s="21"/>
      <c r="U1621" s="7"/>
      <c r="V1621" s="7"/>
      <c r="W1621" s="14"/>
      <c r="X1621" s="10"/>
      <c r="Y1621" s="10"/>
      <c r="AB1621" s="19"/>
      <c r="AC1621" s="18"/>
    </row>
    <row r="1622" spans="3:29" x14ac:dyDescent="0.25">
      <c r="D1622" s="3"/>
      <c r="E1622" s="12"/>
      <c r="F1622" s="12"/>
      <c r="G1622" s="12"/>
      <c r="H1622" s="12"/>
      <c r="J1622" s="21"/>
      <c r="K1622" s="21"/>
      <c r="L1622" s="21"/>
      <c r="M1622" s="21"/>
      <c r="N1622" s="21"/>
      <c r="O1622" s="21"/>
      <c r="P1622" s="21"/>
      <c r="Q1622" s="21"/>
      <c r="R1622" s="21"/>
      <c r="S1622" s="21"/>
      <c r="T1622" s="21"/>
      <c r="U1622" s="7"/>
      <c r="V1622" s="7"/>
      <c r="W1622" s="14"/>
      <c r="X1622" s="10"/>
      <c r="Y1622" s="10"/>
      <c r="AB1622" s="19"/>
      <c r="AC1622" s="18"/>
    </row>
    <row r="1623" spans="3:29" x14ac:dyDescent="0.25">
      <c r="D1623" s="3"/>
      <c r="E1623" s="12"/>
      <c r="F1623" s="12"/>
      <c r="G1623" s="12"/>
      <c r="H1623" s="12"/>
      <c r="I1623" s="7"/>
      <c r="J1623" s="7"/>
      <c r="K1623" s="7"/>
      <c r="L1623" s="7"/>
      <c r="M1623" s="7"/>
      <c r="N1623" s="7"/>
      <c r="O1623" s="7"/>
      <c r="P1623" s="7"/>
      <c r="Q1623" s="7"/>
      <c r="R1623" s="7"/>
      <c r="S1623" s="7"/>
      <c r="T1623" s="7"/>
      <c r="U1623" s="7"/>
      <c r="V1623" s="7"/>
      <c r="W1623" s="14"/>
      <c r="X1623" s="10"/>
      <c r="Y1623" s="10"/>
      <c r="AB1623" s="19"/>
      <c r="AC1623" s="18"/>
    </row>
    <row r="1624" spans="3:29" x14ac:dyDescent="0.25">
      <c r="D1624" s="3"/>
      <c r="E1624" s="12"/>
      <c r="F1624" s="12"/>
      <c r="G1624" s="12"/>
      <c r="H1624" s="12"/>
      <c r="I1624" s="7"/>
      <c r="J1624" s="7"/>
      <c r="K1624" s="7"/>
      <c r="L1624" s="7"/>
      <c r="M1624" s="7"/>
      <c r="N1624" s="7"/>
      <c r="O1624" s="7"/>
      <c r="P1624" s="7"/>
      <c r="Q1624" s="7"/>
      <c r="R1624" s="7"/>
      <c r="S1624" s="7"/>
      <c r="T1624" s="7"/>
      <c r="U1624" s="7"/>
      <c r="V1624" s="7"/>
      <c r="W1624" s="14"/>
      <c r="X1624" s="10"/>
      <c r="Y1624" s="10"/>
      <c r="AB1624" s="19"/>
      <c r="AC1624" s="18"/>
    </row>
    <row r="1625" spans="3:29" x14ac:dyDescent="0.25">
      <c r="D1625" s="3"/>
      <c r="E1625" s="12"/>
      <c r="F1625" s="12"/>
      <c r="G1625" s="12"/>
      <c r="H1625" s="12"/>
      <c r="I1625" s="7"/>
      <c r="J1625" s="7"/>
      <c r="K1625" s="7"/>
      <c r="L1625" s="7"/>
      <c r="M1625" s="7"/>
      <c r="N1625" s="7"/>
      <c r="O1625" s="7"/>
      <c r="P1625" s="7"/>
      <c r="Q1625" s="7"/>
      <c r="R1625" s="7"/>
      <c r="S1625" s="7"/>
      <c r="T1625" s="7"/>
      <c r="U1625" s="7"/>
      <c r="V1625" s="7"/>
      <c r="W1625" s="14"/>
      <c r="X1625" s="10"/>
      <c r="Y1625" s="10"/>
      <c r="AB1625" s="19"/>
      <c r="AC1625" s="18"/>
    </row>
    <row r="1626" spans="3:29" x14ac:dyDescent="0.25">
      <c r="D1626" s="3"/>
      <c r="E1626" s="12"/>
      <c r="F1626" s="12"/>
      <c r="G1626" s="12"/>
      <c r="H1626" s="12"/>
      <c r="I1626" s="7"/>
      <c r="J1626" s="7"/>
      <c r="K1626" s="7"/>
      <c r="L1626" s="7"/>
      <c r="M1626" s="7"/>
      <c r="N1626" s="7"/>
      <c r="O1626" s="7"/>
      <c r="P1626" s="7"/>
      <c r="Q1626" s="7"/>
      <c r="R1626" s="7"/>
      <c r="S1626" s="7"/>
      <c r="T1626" s="7"/>
      <c r="U1626" s="7"/>
      <c r="V1626" s="7"/>
      <c r="W1626" s="14"/>
      <c r="X1626" s="10"/>
      <c r="Y1626" s="10"/>
      <c r="AB1626" s="19"/>
      <c r="AC1626" s="18"/>
    </row>
    <row r="1627" spans="3:29" x14ac:dyDescent="0.25">
      <c r="D1627" s="3"/>
      <c r="E1627" s="12"/>
      <c r="F1627" s="12"/>
      <c r="G1627" s="12"/>
      <c r="H1627" s="12"/>
      <c r="I1627" s="7"/>
      <c r="J1627" s="7"/>
      <c r="K1627" s="7"/>
      <c r="L1627" s="7"/>
      <c r="M1627" s="7"/>
      <c r="N1627" s="7"/>
      <c r="O1627" s="7"/>
      <c r="P1627" s="7"/>
      <c r="Q1627" s="7"/>
      <c r="R1627" s="7"/>
      <c r="S1627" s="7"/>
      <c r="T1627" s="7"/>
      <c r="U1627" s="7"/>
      <c r="V1627" s="7"/>
      <c r="W1627" s="14"/>
      <c r="X1627" s="10"/>
      <c r="Y1627" s="10"/>
      <c r="AB1627" s="19"/>
      <c r="AC1627" s="18"/>
    </row>
    <row r="1628" spans="3:29" x14ac:dyDescent="0.25">
      <c r="D1628" s="3"/>
      <c r="E1628" s="12"/>
      <c r="F1628" s="12"/>
      <c r="G1628" s="12"/>
      <c r="H1628" s="12"/>
      <c r="I1628" s="7"/>
      <c r="J1628" s="7"/>
      <c r="K1628" s="7"/>
      <c r="L1628" s="7"/>
      <c r="M1628" s="7"/>
      <c r="N1628" s="7"/>
      <c r="O1628" s="7"/>
      <c r="P1628" s="7"/>
      <c r="Q1628" s="7"/>
      <c r="R1628" s="7"/>
      <c r="S1628" s="7"/>
      <c r="T1628" s="7"/>
      <c r="U1628" s="7"/>
      <c r="V1628" s="7"/>
      <c r="W1628" s="14"/>
      <c r="X1628" s="10"/>
      <c r="Y1628" s="10"/>
      <c r="AB1628" s="19"/>
      <c r="AC1628" s="18"/>
    </row>
    <row r="1629" spans="3:29" x14ac:dyDescent="0.25">
      <c r="D1629" s="3"/>
      <c r="E1629" s="12"/>
      <c r="F1629" s="12"/>
      <c r="G1629" s="12"/>
      <c r="H1629" s="12"/>
      <c r="I1629" s="7"/>
      <c r="J1629" s="7"/>
      <c r="K1629" s="7"/>
      <c r="L1629" s="7"/>
      <c r="M1629" s="7"/>
      <c r="N1629" s="7"/>
      <c r="O1629" s="7"/>
      <c r="P1629" s="7"/>
      <c r="Q1629" s="7"/>
      <c r="R1629" s="7"/>
      <c r="S1629" s="7"/>
      <c r="T1629" s="7"/>
      <c r="U1629" s="7"/>
      <c r="V1629" s="7"/>
      <c r="W1629" s="14"/>
      <c r="X1629" s="10"/>
      <c r="Y1629" s="10"/>
      <c r="AB1629" s="19"/>
      <c r="AC1629" s="18"/>
    </row>
    <row r="1630" spans="3:29" x14ac:dyDescent="0.25">
      <c r="D1630" s="3"/>
      <c r="E1630" s="12"/>
      <c r="F1630" s="12"/>
      <c r="G1630" s="12"/>
      <c r="H1630" s="12"/>
      <c r="I1630" s="7"/>
      <c r="J1630" s="7"/>
      <c r="K1630" s="7"/>
      <c r="L1630" s="7"/>
      <c r="M1630" s="7"/>
      <c r="N1630" s="7"/>
      <c r="O1630" s="7"/>
      <c r="P1630" s="7"/>
      <c r="Q1630" s="7"/>
      <c r="R1630" s="7"/>
      <c r="S1630" s="7"/>
      <c r="T1630" s="7"/>
      <c r="U1630" s="7"/>
      <c r="V1630" s="7"/>
      <c r="W1630" s="14"/>
      <c r="X1630" s="10"/>
      <c r="Y1630" s="10"/>
      <c r="AB1630" s="19"/>
      <c r="AC1630" s="18"/>
    </row>
    <row r="1631" spans="3:29" x14ac:dyDescent="0.25">
      <c r="D1631" s="3"/>
      <c r="E1631" s="12"/>
      <c r="F1631" s="12"/>
      <c r="G1631" s="12"/>
      <c r="H1631" s="12"/>
      <c r="I1631" s="7"/>
      <c r="J1631" s="7"/>
      <c r="K1631" s="7"/>
      <c r="L1631" s="7"/>
      <c r="M1631" s="7"/>
      <c r="N1631" s="7"/>
      <c r="O1631" s="7"/>
      <c r="P1631" s="7"/>
      <c r="Q1631" s="7"/>
      <c r="R1631" s="7"/>
      <c r="S1631" s="7"/>
      <c r="T1631" s="7"/>
      <c r="U1631" s="7"/>
      <c r="V1631" s="7"/>
      <c r="W1631" s="14"/>
      <c r="X1631" s="10"/>
      <c r="Y1631" s="10"/>
      <c r="AB1631" s="19"/>
      <c r="AC1631" s="18"/>
    </row>
    <row r="1632" spans="3:29" x14ac:dyDescent="0.25">
      <c r="D1632" s="3"/>
      <c r="E1632" s="12"/>
      <c r="F1632" s="12"/>
      <c r="G1632" s="12"/>
      <c r="H1632" s="12"/>
      <c r="I1632" s="7"/>
      <c r="J1632" s="7"/>
      <c r="K1632" s="7"/>
      <c r="L1632" s="7"/>
      <c r="M1632" s="7"/>
      <c r="N1632" s="7"/>
      <c r="O1632" s="7"/>
      <c r="P1632" s="7"/>
      <c r="Q1632" s="7"/>
      <c r="R1632" s="7"/>
      <c r="S1632" s="7"/>
      <c r="T1632" s="7"/>
      <c r="U1632" s="7"/>
      <c r="V1632" s="7"/>
      <c r="W1632" s="14"/>
      <c r="X1632" s="10"/>
      <c r="Y1632" s="10"/>
      <c r="AB1632" s="19"/>
      <c r="AC1632" s="18"/>
    </row>
    <row r="1633" spans="4:29" x14ac:dyDescent="0.25">
      <c r="D1633" s="3"/>
      <c r="E1633" s="12"/>
      <c r="F1633" s="12"/>
      <c r="G1633" s="12"/>
      <c r="H1633" s="12"/>
      <c r="I1633" s="7"/>
      <c r="J1633" s="7"/>
      <c r="K1633" s="7"/>
      <c r="L1633" s="7"/>
      <c r="M1633" s="7"/>
      <c r="N1633" s="7"/>
      <c r="O1633" s="7"/>
      <c r="P1633" s="7"/>
      <c r="Q1633" s="7"/>
      <c r="R1633" s="7"/>
      <c r="S1633" s="7"/>
      <c r="T1633" s="7"/>
      <c r="U1633" s="7"/>
      <c r="V1633" s="7"/>
      <c r="W1633" s="14"/>
      <c r="X1633" s="10"/>
      <c r="Y1633" s="10"/>
      <c r="AB1633" s="19"/>
      <c r="AC1633" s="18"/>
    </row>
    <row r="1634" spans="4:29" x14ac:dyDescent="0.25">
      <c r="D1634" s="3"/>
      <c r="E1634" s="12"/>
      <c r="F1634" s="12"/>
      <c r="G1634" s="12"/>
      <c r="H1634" s="12"/>
      <c r="I1634" s="7"/>
      <c r="J1634" s="7"/>
      <c r="K1634" s="7"/>
      <c r="L1634" s="7"/>
      <c r="M1634" s="7"/>
      <c r="N1634" s="7"/>
      <c r="O1634" s="7"/>
      <c r="P1634" s="7"/>
      <c r="Q1634" s="7"/>
      <c r="R1634" s="7"/>
      <c r="S1634" s="7"/>
      <c r="T1634" s="7"/>
      <c r="U1634" s="7"/>
      <c r="V1634" s="7"/>
      <c r="W1634" s="14"/>
      <c r="X1634" s="10"/>
      <c r="Y1634" s="10"/>
      <c r="AB1634" s="19"/>
      <c r="AC1634" s="18"/>
    </row>
    <row r="1635" spans="4:29" x14ac:dyDescent="0.25">
      <c r="D1635" s="3"/>
      <c r="E1635" s="12"/>
      <c r="F1635" s="12"/>
      <c r="G1635" s="12"/>
      <c r="H1635" s="12"/>
      <c r="I1635" s="7"/>
      <c r="J1635" s="7"/>
      <c r="K1635" s="7"/>
      <c r="L1635" s="7"/>
      <c r="M1635" s="7"/>
      <c r="N1635" s="7"/>
      <c r="O1635" s="7"/>
      <c r="P1635" s="7"/>
      <c r="Q1635" s="7"/>
      <c r="R1635" s="7"/>
      <c r="S1635" s="7"/>
      <c r="T1635" s="7"/>
      <c r="U1635" s="7"/>
      <c r="V1635" s="7"/>
      <c r="W1635" s="14"/>
      <c r="X1635" s="10"/>
      <c r="Y1635" s="10"/>
      <c r="AB1635" s="19"/>
      <c r="AC1635" s="18"/>
    </row>
    <row r="1636" spans="4:29" x14ac:dyDescent="0.25">
      <c r="D1636" s="3"/>
      <c r="E1636" s="12"/>
      <c r="F1636" s="12"/>
      <c r="G1636" s="12"/>
      <c r="H1636" s="12"/>
      <c r="I1636" s="7"/>
      <c r="J1636" s="7"/>
      <c r="K1636" s="7"/>
      <c r="L1636" s="7"/>
      <c r="M1636" s="7"/>
      <c r="N1636" s="7"/>
      <c r="O1636" s="7"/>
      <c r="P1636" s="7"/>
      <c r="Q1636" s="7"/>
      <c r="R1636" s="7"/>
      <c r="S1636" s="7"/>
      <c r="T1636" s="7"/>
      <c r="U1636" s="7"/>
      <c r="V1636" s="7"/>
      <c r="W1636" s="14"/>
      <c r="X1636" s="10"/>
      <c r="Y1636" s="10"/>
      <c r="AB1636" s="19"/>
      <c r="AC1636" s="18"/>
    </row>
    <row r="1637" spans="4:29" x14ac:dyDescent="0.25">
      <c r="D1637" s="3"/>
      <c r="E1637" s="12"/>
      <c r="F1637" s="12"/>
      <c r="G1637" s="12"/>
      <c r="H1637" s="12"/>
      <c r="I1637" s="7"/>
      <c r="J1637" s="7"/>
      <c r="K1637" s="7"/>
      <c r="L1637" s="7"/>
      <c r="M1637" s="7"/>
      <c r="N1637" s="7"/>
      <c r="O1637" s="7"/>
      <c r="P1637" s="7"/>
      <c r="Q1637" s="7"/>
      <c r="R1637" s="7"/>
      <c r="S1637" s="7"/>
      <c r="T1637" s="7"/>
      <c r="U1637" s="7"/>
      <c r="V1637" s="7"/>
      <c r="W1637" s="14"/>
      <c r="X1637" s="10"/>
      <c r="Y1637" s="10"/>
      <c r="AB1637" s="19"/>
      <c r="AC1637" s="18"/>
    </row>
    <row r="1638" spans="4:29" x14ac:dyDescent="0.25">
      <c r="D1638" s="3"/>
      <c r="E1638" s="12"/>
      <c r="F1638" s="12"/>
      <c r="G1638" s="12"/>
      <c r="H1638" s="12"/>
      <c r="I1638" s="7"/>
      <c r="J1638" s="7"/>
      <c r="K1638" s="7"/>
      <c r="L1638" s="7"/>
      <c r="M1638" s="7"/>
      <c r="N1638" s="7"/>
      <c r="O1638" s="7"/>
      <c r="P1638" s="7"/>
      <c r="Q1638" s="7"/>
      <c r="R1638" s="7"/>
      <c r="S1638" s="7"/>
      <c r="T1638" s="7"/>
      <c r="U1638" s="7"/>
      <c r="V1638" s="7"/>
      <c r="W1638" s="14"/>
      <c r="X1638" s="10"/>
      <c r="Y1638" s="10"/>
      <c r="AB1638" s="19"/>
      <c r="AC1638" s="18"/>
    </row>
    <row r="1639" spans="4:29" x14ac:dyDescent="0.25">
      <c r="D1639" s="3"/>
      <c r="E1639" s="12"/>
      <c r="F1639" s="12"/>
      <c r="G1639" s="12"/>
      <c r="H1639" s="12"/>
      <c r="I1639" s="7"/>
      <c r="J1639" s="7"/>
      <c r="K1639" s="7"/>
      <c r="L1639" s="7"/>
      <c r="M1639" s="7"/>
      <c r="N1639" s="7"/>
      <c r="O1639" s="7"/>
      <c r="P1639" s="7"/>
      <c r="Q1639" s="7"/>
      <c r="R1639" s="7"/>
      <c r="S1639" s="7"/>
      <c r="T1639" s="7"/>
      <c r="U1639" s="7"/>
      <c r="V1639" s="7"/>
      <c r="W1639" s="14"/>
      <c r="X1639" s="10"/>
      <c r="Y1639" s="10"/>
      <c r="AB1639" s="19"/>
      <c r="AC1639" s="18"/>
    </row>
    <row r="1640" spans="4:29" x14ac:dyDescent="0.25">
      <c r="D1640" s="3"/>
      <c r="E1640" s="12"/>
      <c r="F1640" s="12"/>
      <c r="G1640" s="12"/>
      <c r="H1640" s="12"/>
      <c r="I1640" s="7"/>
      <c r="J1640" s="7"/>
      <c r="K1640" s="7"/>
      <c r="L1640" s="7"/>
      <c r="M1640" s="7"/>
      <c r="N1640" s="7"/>
      <c r="O1640" s="7"/>
      <c r="P1640" s="7"/>
      <c r="Q1640" s="7"/>
      <c r="R1640" s="7"/>
      <c r="S1640" s="7"/>
      <c r="T1640" s="7"/>
      <c r="U1640" s="7"/>
      <c r="V1640" s="7"/>
      <c r="W1640" s="14"/>
      <c r="X1640" s="10"/>
      <c r="Y1640" s="10"/>
      <c r="AB1640" s="19"/>
      <c r="AC1640" s="18"/>
    </row>
    <row r="1641" spans="4:29" x14ac:dyDescent="0.25">
      <c r="D1641" s="3"/>
      <c r="E1641" s="12"/>
      <c r="F1641" s="12"/>
      <c r="G1641" s="12"/>
      <c r="H1641" s="12"/>
      <c r="I1641" s="7"/>
      <c r="J1641" s="7"/>
      <c r="K1641" s="7"/>
      <c r="L1641" s="7"/>
      <c r="M1641" s="7"/>
      <c r="N1641" s="7"/>
      <c r="O1641" s="7"/>
      <c r="P1641" s="7"/>
      <c r="Q1641" s="7"/>
      <c r="R1641" s="7"/>
      <c r="S1641" s="7"/>
      <c r="T1641" s="7"/>
      <c r="U1641" s="7"/>
      <c r="V1641" s="7"/>
      <c r="W1641" s="14"/>
      <c r="X1641" s="10"/>
      <c r="Y1641" s="10"/>
      <c r="AB1641" s="19"/>
      <c r="AC1641" s="18"/>
    </row>
    <row r="1642" spans="4:29" x14ac:dyDescent="0.25">
      <c r="D1642" s="3"/>
      <c r="E1642" s="12"/>
      <c r="F1642" s="12"/>
      <c r="G1642" s="12"/>
      <c r="H1642" s="12"/>
      <c r="I1642" s="7"/>
      <c r="J1642" s="7"/>
      <c r="K1642" s="7"/>
      <c r="L1642" s="7"/>
      <c r="M1642" s="7"/>
      <c r="N1642" s="7"/>
      <c r="O1642" s="7"/>
      <c r="P1642" s="7"/>
      <c r="Q1642" s="7"/>
      <c r="R1642" s="7"/>
      <c r="S1642" s="7"/>
      <c r="T1642" s="7"/>
      <c r="U1642" s="7"/>
      <c r="V1642" s="7"/>
      <c r="W1642" s="14"/>
      <c r="X1642" s="10"/>
      <c r="Y1642" s="10"/>
      <c r="AB1642" s="19"/>
      <c r="AC1642" s="18"/>
    </row>
    <row r="1643" spans="4:29" x14ac:dyDescent="0.25">
      <c r="D1643" s="3"/>
      <c r="E1643" s="12"/>
      <c r="F1643" s="12"/>
      <c r="G1643" s="12"/>
      <c r="H1643" s="12"/>
      <c r="I1643" s="7"/>
      <c r="J1643" s="7"/>
      <c r="K1643" s="7"/>
      <c r="L1643" s="7"/>
      <c r="M1643" s="7"/>
      <c r="N1643" s="7"/>
      <c r="O1643" s="7"/>
      <c r="P1643" s="7"/>
      <c r="Q1643" s="7"/>
      <c r="R1643" s="7"/>
      <c r="S1643" s="7"/>
      <c r="T1643" s="7"/>
      <c r="U1643" s="7"/>
      <c r="V1643" s="7"/>
      <c r="W1643" s="14"/>
      <c r="X1643" s="10"/>
      <c r="Y1643" s="10"/>
      <c r="AB1643" s="19"/>
      <c r="AC1643" s="18"/>
    </row>
    <row r="1644" spans="4:29" x14ac:dyDescent="0.25">
      <c r="D1644" s="3"/>
      <c r="E1644" s="12"/>
      <c r="F1644" s="12"/>
      <c r="G1644" s="12"/>
      <c r="H1644" s="12"/>
      <c r="I1644" s="7"/>
      <c r="J1644" s="7"/>
      <c r="K1644" s="7"/>
      <c r="L1644" s="7"/>
      <c r="M1644" s="7"/>
      <c r="N1644" s="7"/>
      <c r="O1644" s="7"/>
      <c r="P1644" s="7"/>
      <c r="Q1644" s="7"/>
      <c r="R1644" s="7"/>
      <c r="S1644" s="7"/>
      <c r="T1644" s="7"/>
      <c r="U1644" s="7"/>
      <c r="V1644" s="7"/>
      <c r="W1644" s="14"/>
      <c r="X1644" s="10"/>
      <c r="Y1644" s="10"/>
      <c r="AB1644" s="19"/>
      <c r="AC1644" s="18"/>
    </row>
    <row r="1645" spans="4:29" x14ac:dyDescent="0.25">
      <c r="D1645" s="3"/>
      <c r="E1645" s="12"/>
      <c r="F1645" s="12"/>
      <c r="G1645" s="12"/>
      <c r="H1645" s="12"/>
      <c r="I1645" s="7"/>
      <c r="J1645" s="7"/>
      <c r="K1645" s="7"/>
      <c r="L1645" s="7"/>
      <c r="M1645" s="7"/>
      <c r="N1645" s="7"/>
      <c r="O1645" s="7"/>
      <c r="P1645" s="7"/>
      <c r="Q1645" s="7"/>
      <c r="R1645" s="7"/>
      <c r="S1645" s="7"/>
      <c r="T1645" s="7"/>
      <c r="U1645" s="7"/>
      <c r="V1645" s="7"/>
      <c r="W1645" s="14"/>
      <c r="X1645" s="10"/>
      <c r="Y1645" s="10"/>
      <c r="AB1645" s="19"/>
      <c r="AC1645" s="18"/>
    </row>
    <row r="1646" spans="4:29" x14ac:dyDescent="0.25">
      <c r="D1646" s="3"/>
      <c r="E1646" s="12"/>
      <c r="F1646" s="12"/>
      <c r="G1646" s="12"/>
      <c r="H1646" s="12"/>
      <c r="I1646" s="7"/>
      <c r="J1646" s="7"/>
      <c r="K1646" s="7"/>
      <c r="L1646" s="7"/>
      <c r="M1646" s="7"/>
      <c r="N1646" s="7"/>
      <c r="O1646" s="7"/>
      <c r="P1646" s="7"/>
      <c r="Q1646" s="7"/>
      <c r="R1646" s="7"/>
      <c r="S1646" s="7"/>
      <c r="T1646" s="7"/>
      <c r="U1646" s="7"/>
      <c r="V1646" s="7"/>
      <c r="W1646" s="14"/>
      <c r="X1646" s="10"/>
      <c r="Y1646" s="10"/>
      <c r="AB1646" s="19"/>
      <c r="AC1646" s="18"/>
    </row>
    <row r="1647" spans="4:29" x14ac:dyDescent="0.25">
      <c r="D1647" s="3"/>
      <c r="E1647" s="12"/>
      <c r="F1647" s="12"/>
      <c r="G1647" s="12"/>
      <c r="H1647" s="12"/>
      <c r="I1647" s="7"/>
      <c r="J1647" s="7"/>
      <c r="K1647" s="7"/>
      <c r="L1647" s="7"/>
      <c r="M1647" s="7"/>
      <c r="N1647" s="7"/>
      <c r="O1647" s="7"/>
      <c r="P1647" s="7"/>
      <c r="Q1647" s="7"/>
      <c r="R1647" s="7"/>
      <c r="S1647" s="7"/>
      <c r="T1647" s="7"/>
      <c r="U1647" s="7"/>
      <c r="V1647" s="7"/>
      <c r="W1647" s="14"/>
      <c r="X1647" s="10"/>
      <c r="Y1647" s="10"/>
      <c r="AB1647" s="19"/>
      <c r="AC1647" s="18"/>
    </row>
    <row r="1648" spans="4:29" x14ac:dyDescent="0.25">
      <c r="D1648" s="3"/>
      <c r="E1648" s="12"/>
      <c r="F1648" s="12"/>
      <c r="G1648" s="12"/>
      <c r="H1648" s="12"/>
      <c r="I1648" s="7"/>
      <c r="J1648" s="7"/>
      <c r="K1648" s="7"/>
      <c r="L1648" s="7"/>
      <c r="M1648" s="7"/>
      <c r="N1648" s="7"/>
      <c r="O1648" s="7"/>
      <c r="P1648" s="7"/>
      <c r="Q1648" s="7"/>
      <c r="R1648" s="7"/>
      <c r="S1648" s="7"/>
      <c r="T1648" s="7"/>
      <c r="U1648" s="7"/>
      <c r="V1648" s="7"/>
      <c r="W1648" s="14"/>
      <c r="X1648" s="10"/>
      <c r="Y1648" s="10"/>
      <c r="AB1648" s="19"/>
      <c r="AC1648" s="18"/>
    </row>
    <row r="1649" spans="4:29" x14ac:dyDescent="0.25">
      <c r="D1649" s="3"/>
      <c r="E1649" s="12"/>
      <c r="F1649" s="12"/>
      <c r="G1649" s="12"/>
      <c r="H1649" s="12"/>
      <c r="I1649" s="7"/>
      <c r="J1649" s="7"/>
      <c r="K1649" s="7"/>
      <c r="L1649" s="7"/>
      <c r="M1649" s="7"/>
      <c r="N1649" s="7"/>
      <c r="O1649" s="7"/>
      <c r="P1649" s="7"/>
      <c r="Q1649" s="7"/>
      <c r="R1649" s="7"/>
      <c r="S1649" s="7"/>
      <c r="T1649" s="7"/>
      <c r="U1649" s="7"/>
      <c r="V1649" s="7"/>
      <c r="W1649" s="14"/>
      <c r="X1649" s="10"/>
      <c r="Y1649" s="10"/>
      <c r="AB1649" s="19"/>
      <c r="AC1649" s="18"/>
    </row>
    <row r="1650" spans="4:29" x14ac:dyDescent="0.25">
      <c r="D1650" s="3"/>
      <c r="E1650" s="12"/>
      <c r="F1650" s="12"/>
      <c r="G1650" s="12"/>
      <c r="H1650" s="12"/>
      <c r="I1650" s="7"/>
      <c r="J1650" s="7"/>
      <c r="K1650" s="7"/>
      <c r="L1650" s="7"/>
      <c r="M1650" s="7"/>
      <c r="N1650" s="7"/>
      <c r="O1650" s="7"/>
      <c r="P1650" s="7"/>
      <c r="Q1650" s="7"/>
      <c r="R1650" s="7"/>
      <c r="S1650" s="7"/>
      <c r="T1650" s="7"/>
      <c r="U1650" s="7"/>
      <c r="V1650" s="7"/>
      <c r="W1650" s="14"/>
      <c r="X1650" s="10"/>
      <c r="Y1650" s="10"/>
      <c r="AB1650" s="19"/>
      <c r="AC1650" s="18"/>
    </row>
    <row r="1651" spans="4:29" x14ac:dyDescent="0.25">
      <c r="D1651" s="3"/>
      <c r="E1651" s="12"/>
      <c r="F1651" s="12"/>
      <c r="G1651" s="12"/>
      <c r="H1651" s="12"/>
      <c r="I1651" s="7"/>
      <c r="J1651" s="7"/>
      <c r="K1651" s="7"/>
      <c r="L1651" s="7"/>
      <c r="M1651" s="7"/>
      <c r="N1651" s="7"/>
      <c r="O1651" s="7"/>
      <c r="P1651" s="7"/>
      <c r="Q1651" s="7"/>
      <c r="R1651" s="7"/>
      <c r="S1651" s="7"/>
      <c r="T1651" s="7"/>
      <c r="U1651" s="7"/>
      <c r="V1651" s="7"/>
      <c r="W1651" s="14"/>
      <c r="X1651" s="10"/>
      <c r="Y1651" s="10"/>
      <c r="AB1651" s="19"/>
      <c r="AC1651" s="18"/>
    </row>
    <row r="1652" spans="4:29" x14ac:dyDescent="0.25">
      <c r="D1652" s="3"/>
      <c r="E1652" s="12"/>
      <c r="F1652" s="12"/>
      <c r="G1652" s="12"/>
      <c r="H1652" s="12"/>
      <c r="I1652" s="7"/>
      <c r="J1652" s="7"/>
      <c r="K1652" s="7"/>
      <c r="L1652" s="7"/>
      <c r="M1652" s="7"/>
      <c r="N1652" s="7"/>
      <c r="O1652" s="7"/>
      <c r="P1652" s="7"/>
      <c r="Q1652" s="7"/>
      <c r="R1652" s="7"/>
      <c r="S1652" s="7"/>
      <c r="T1652" s="7"/>
      <c r="U1652" s="7"/>
      <c r="V1652" s="7"/>
      <c r="W1652" s="14"/>
      <c r="X1652" s="10"/>
      <c r="Y1652" s="10"/>
      <c r="AB1652" s="19"/>
      <c r="AC1652" s="18"/>
    </row>
    <row r="1653" spans="4:29" x14ac:dyDescent="0.25">
      <c r="D1653" s="3"/>
      <c r="E1653" s="12"/>
      <c r="F1653" s="12"/>
      <c r="G1653" s="12"/>
      <c r="H1653" s="12"/>
      <c r="I1653" s="7"/>
      <c r="J1653" s="7"/>
      <c r="K1653" s="7"/>
      <c r="L1653" s="7"/>
      <c r="M1653" s="7"/>
      <c r="N1653" s="7"/>
      <c r="O1653" s="7"/>
      <c r="P1653" s="7"/>
      <c r="Q1653" s="7"/>
      <c r="R1653" s="7"/>
      <c r="S1653" s="7"/>
      <c r="T1653" s="7"/>
      <c r="U1653" s="7"/>
      <c r="V1653" s="7"/>
      <c r="W1653" s="14"/>
      <c r="X1653" s="10"/>
      <c r="Y1653" s="10"/>
      <c r="AB1653" s="19"/>
      <c r="AC1653" s="18"/>
    </row>
    <row r="1654" spans="4:29" x14ac:dyDescent="0.25">
      <c r="D1654" s="3"/>
      <c r="E1654" s="12"/>
      <c r="F1654" s="12"/>
      <c r="G1654" s="12"/>
      <c r="H1654" s="12"/>
      <c r="I1654" s="7"/>
      <c r="J1654" s="7"/>
      <c r="K1654" s="7"/>
      <c r="L1654" s="7"/>
      <c r="M1654" s="7"/>
      <c r="N1654" s="7"/>
      <c r="O1654" s="7"/>
      <c r="P1654" s="7"/>
      <c r="Q1654" s="7"/>
      <c r="R1654" s="7"/>
      <c r="S1654" s="7"/>
      <c r="T1654" s="7"/>
      <c r="U1654" s="7"/>
      <c r="V1654" s="7"/>
      <c r="W1654" s="14"/>
      <c r="X1654" s="10"/>
      <c r="Y1654" s="10"/>
      <c r="AB1654" s="19"/>
      <c r="AC1654" s="18"/>
    </row>
    <row r="1655" spans="4:29" x14ac:dyDescent="0.25">
      <c r="D1655" s="3"/>
      <c r="E1655" s="12"/>
      <c r="F1655" s="12"/>
      <c r="G1655" s="12"/>
      <c r="H1655" s="12"/>
      <c r="I1655" s="7"/>
      <c r="J1655" s="7"/>
      <c r="K1655" s="7"/>
      <c r="L1655" s="7"/>
      <c r="M1655" s="7"/>
      <c r="N1655" s="7"/>
      <c r="O1655" s="7"/>
      <c r="P1655" s="7"/>
      <c r="Q1655" s="7"/>
      <c r="R1655" s="7"/>
      <c r="S1655" s="7"/>
      <c r="T1655" s="7"/>
      <c r="U1655" s="7"/>
      <c r="V1655" s="7"/>
      <c r="W1655" s="14"/>
      <c r="X1655" s="10"/>
      <c r="Y1655" s="10"/>
      <c r="AB1655" s="19"/>
      <c r="AC1655" s="18"/>
    </row>
    <row r="1656" spans="4:29" x14ac:dyDescent="0.25">
      <c r="D1656" s="3"/>
      <c r="E1656" s="12"/>
      <c r="F1656" s="12"/>
      <c r="G1656" s="12"/>
      <c r="H1656" s="12"/>
      <c r="I1656" s="7"/>
      <c r="J1656" s="7"/>
      <c r="K1656" s="7"/>
      <c r="L1656" s="7"/>
      <c r="M1656" s="7"/>
      <c r="N1656" s="7"/>
      <c r="O1656" s="7"/>
      <c r="P1656" s="7"/>
      <c r="Q1656" s="7"/>
      <c r="R1656" s="7"/>
      <c r="S1656" s="7"/>
      <c r="T1656" s="7"/>
      <c r="U1656" s="7"/>
      <c r="V1656" s="7"/>
      <c r="W1656" s="14"/>
      <c r="X1656" s="10"/>
      <c r="Y1656" s="10"/>
      <c r="AB1656" s="19"/>
      <c r="AC1656" s="18"/>
    </row>
    <row r="1657" spans="4:29" x14ac:dyDescent="0.25">
      <c r="D1657" s="3"/>
      <c r="E1657" s="12"/>
      <c r="F1657" s="12"/>
      <c r="G1657" s="12"/>
      <c r="H1657" s="12"/>
      <c r="I1657" s="7"/>
      <c r="J1657" s="7"/>
      <c r="K1657" s="7"/>
      <c r="L1657" s="7"/>
      <c r="M1657" s="7"/>
      <c r="N1657" s="7"/>
      <c r="O1657" s="7"/>
      <c r="P1657" s="7"/>
      <c r="Q1657" s="7"/>
      <c r="R1657" s="7"/>
      <c r="S1657" s="7"/>
      <c r="T1657" s="7"/>
      <c r="U1657" s="7"/>
      <c r="V1657" s="7"/>
      <c r="W1657" s="14"/>
      <c r="X1657" s="10"/>
      <c r="Y1657" s="10"/>
      <c r="AB1657" s="19"/>
      <c r="AC1657" s="18"/>
    </row>
    <row r="1658" spans="4:29" x14ac:dyDescent="0.25">
      <c r="D1658" s="3"/>
      <c r="E1658" s="12"/>
      <c r="F1658" s="12"/>
      <c r="G1658" s="12"/>
      <c r="H1658" s="12"/>
      <c r="I1658" s="7"/>
      <c r="J1658" s="7"/>
      <c r="K1658" s="7"/>
      <c r="L1658" s="7"/>
      <c r="M1658" s="7"/>
      <c r="N1658" s="7"/>
      <c r="O1658" s="7"/>
      <c r="P1658" s="7"/>
      <c r="Q1658" s="7"/>
      <c r="R1658" s="7"/>
      <c r="S1658" s="7"/>
      <c r="T1658" s="7"/>
      <c r="U1658" s="7"/>
      <c r="V1658" s="7"/>
      <c r="W1658" s="14"/>
      <c r="X1658" s="10"/>
      <c r="Y1658" s="10"/>
      <c r="AB1658" s="19"/>
      <c r="AC1658" s="18"/>
    </row>
    <row r="1659" spans="4:29" x14ac:dyDescent="0.25">
      <c r="D1659" s="3"/>
      <c r="E1659" s="12"/>
      <c r="F1659" s="12"/>
      <c r="G1659" s="12"/>
      <c r="H1659" s="12"/>
      <c r="I1659" s="7"/>
      <c r="J1659" s="7"/>
      <c r="K1659" s="7"/>
      <c r="L1659" s="7"/>
      <c r="M1659" s="7"/>
      <c r="N1659" s="7"/>
      <c r="O1659" s="7"/>
      <c r="P1659" s="7"/>
      <c r="Q1659" s="7"/>
      <c r="R1659" s="7"/>
      <c r="S1659" s="7"/>
      <c r="T1659" s="7"/>
      <c r="U1659" s="7"/>
      <c r="V1659" s="7"/>
      <c r="W1659" s="14"/>
      <c r="X1659" s="10"/>
      <c r="Y1659" s="10"/>
      <c r="AB1659" s="19"/>
      <c r="AC1659" s="18"/>
    </row>
    <row r="1660" spans="4:29" x14ac:dyDescent="0.25">
      <c r="D1660" s="3"/>
      <c r="E1660" s="12"/>
      <c r="F1660" s="12"/>
      <c r="G1660" s="12"/>
      <c r="H1660" s="12"/>
      <c r="I1660" s="7"/>
      <c r="J1660" s="7"/>
      <c r="K1660" s="7"/>
      <c r="L1660" s="7"/>
      <c r="M1660" s="7"/>
      <c r="N1660" s="7"/>
      <c r="O1660" s="7"/>
      <c r="P1660" s="7"/>
      <c r="Q1660" s="7"/>
      <c r="R1660" s="7"/>
      <c r="S1660" s="7"/>
      <c r="T1660" s="7"/>
      <c r="U1660" s="7"/>
      <c r="V1660" s="7"/>
      <c r="W1660" s="14"/>
      <c r="X1660" s="10"/>
      <c r="Y1660" s="10"/>
      <c r="AB1660" s="19"/>
      <c r="AC1660" s="18"/>
    </row>
    <row r="1661" spans="4:29" x14ac:dyDescent="0.25">
      <c r="D1661" s="3"/>
      <c r="E1661" s="12"/>
      <c r="F1661" s="12"/>
      <c r="G1661" s="12"/>
      <c r="H1661" s="12"/>
      <c r="I1661" s="7"/>
      <c r="J1661" s="7"/>
      <c r="K1661" s="7"/>
      <c r="L1661" s="7"/>
      <c r="M1661" s="7"/>
      <c r="N1661" s="7"/>
      <c r="O1661" s="7"/>
      <c r="P1661" s="7"/>
      <c r="Q1661" s="7"/>
      <c r="R1661" s="7"/>
      <c r="S1661" s="7"/>
      <c r="T1661" s="7"/>
      <c r="U1661" s="7"/>
      <c r="V1661" s="7"/>
      <c r="W1661" s="14"/>
      <c r="X1661" s="10"/>
      <c r="Y1661" s="10"/>
      <c r="AB1661" s="19"/>
      <c r="AC1661" s="18"/>
    </row>
    <row r="1662" spans="4:29" x14ac:dyDescent="0.25">
      <c r="D1662" s="3"/>
      <c r="E1662" s="12"/>
      <c r="F1662" s="12"/>
      <c r="G1662" s="12"/>
      <c r="H1662" s="12"/>
      <c r="I1662" s="7"/>
      <c r="J1662" s="7"/>
      <c r="K1662" s="7"/>
      <c r="L1662" s="7"/>
      <c r="M1662" s="7"/>
      <c r="N1662" s="7"/>
      <c r="O1662" s="7"/>
      <c r="P1662" s="7"/>
      <c r="Q1662" s="7"/>
      <c r="R1662" s="7"/>
      <c r="S1662" s="7"/>
      <c r="T1662" s="7"/>
      <c r="U1662" s="7"/>
      <c r="V1662" s="7"/>
      <c r="W1662" s="14"/>
      <c r="X1662" s="10"/>
      <c r="Y1662" s="10"/>
      <c r="AB1662" s="19"/>
      <c r="AC1662" s="18"/>
    </row>
    <row r="1663" spans="4:29" x14ac:dyDescent="0.25">
      <c r="D1663" s="3"/>
      <c r="E1663" s="12"/>
      <c r="F1663" s="12"/>
      <c r="G1663" s="12"/>
      <c r="H1663" s="12"/>
      <c r="I1663" s="7"/>
      <c r="J1663" s="7"/>
      <c r="K1663" s="7"/>
      <c r="L1663" s="7"/>
      <c r="M1663" s="7"/>
      <c r="N1663" s="7"/>
      <c r="O1663" s="7"/>
      <c r="P1663" s="7"/>
      <c r="Q1663" s="7"/>
      <c r="R1663" s="7"/>
      <c r="S1663" s="7"/>
      <c r="T1663" s="7"/>
      <c r="U1663" s="7"/>
      <c r="V1663" s="7"/>
      <c r="W1663" s="14"/>
      <c r="X1663" s="10"/>
      <c r="Y1663" s="10"/>
      <c r="AB1663" s="19"/>
      <c r="AC1663" s="18"/>
    </row>
    <row r="1664" spans="4:29" x14ac:dyDescent="0.25">
      <c r="D1664" s="3"/>
      <c r="E1664" s="12"/>
      <c r="F1664" s="12"/>
      <c r="G1664" s="12"/>
      <c r="H1664" s="12"/>
      <c r="I1664" s="7"/>
      <c r="J1664" s="7"/>
      <c r="K1664" s="7"/>
      <c r="L1664" s="7"/>
      <c r="M1664" s="7"/>
      <c r="N1664" s="7"/>
      <c r="O1664" s="7"/>
      <c r="P1664" s="7"/>
      <c r="Q1664" s="7"/>
      <c r="R1664" s="7"/>
      <c r="S1664" s="7"/>
      <c r="T1664" s="7"/>
      <c r="U1664" s="7"/>
      <c r="V1664" s="7"/>
      <c r="W1664" s="14"/>
      <c r="X1664" s="10"/>
      <c r="Y1664" s="10"/>
      <c r="AB1664" s="19"/>
      <c r="AC1664" s="18"/>
    </row>
    <row r="1665" spans="4:29" x14ac:dyDescent="0.25">
      <c r="D1665" s="3"/>
      <c r="E1665" s="12"/>
      <c r="F1665" s="12"/>
      <c r="G1665" s="12"/>
      <c r="H1665" s="12"/>
      <c r="I1665" s="7"/>
      <c r="J1665" s="7"/>
      <c r="K1665" s="7"/>
      <c r="L1665" s="7"/>
      <c r="M1665" s="7"/>
      <c r="N1665" s="7"/>
      <c r="O1665" s="7"/>
      <c r="P1665" s="7"/>
      <c r="Q1665" s="7"/>
      <c r="R1665" s="7"/>
      <c r="S1665" s="7"/>
      <c r="T1665" s="7"/>
      <c r="U1665" s="7"/>
      <c r="V1665" s="7"/>
      <c r="W1665" s="14"/>
      <c r="X1665" s="10"/>
      <c r="Y1665" s="10"/>
      <c r="AB1665" s="19"/>
      <c r="AC1665" s="18"/>
    </row>
    <row r="1666" spans="4:29" x14ac:dyDescent="0.25">
      <c r="D1666" s="3"/>
      <c r="E1666" s="12"/>
      <c r="F1666" s="12"/>
      <c r="G1666" s="12"/>
      <c r="H1666" s="12"/>
      <c r="I1666" s="7"/>
      <c r="J1666" s="7"/>
      <c r="K1666" s="7"/>
      <c r="L1666" s="7"/>
      <c r="M1666" s="7"/>
      <c r="N1666" s="7"/>
      <c r="O1666" s="7"/>
      <c r="P1666" s="7"/>
      <c r="Q1666" s="7"/>
      <c r="R1666" s="7"/>
      <c r="S1666" s="7"/>
      <c r="T1666" s="7"/>
      <c r="U1666" s="7"/>
      <c r="V1666" s="7"/>
      <c r="W1666" s="14"/>
      <c r="X1666" s="10"/>
      <c r="Y1666" s="10"/>
      <c r="AB1666" s="19"/>
      <c r="AC1666" s="18"/>
    </row>
    <row r="1667" spans="4:29" x14ac:dyDescent="0.25">
      <c r="D1667" s="3"/>
      <c r="E1667" s="12"/>
      <c r="F1667" s="12"/>
      <c r="G1667" s="12"/>
      <c r="H1667" s="12"/>
      <c r="I1667" s="7"/>
      <c r="J1667" s="7"/>
      <c r="K1667" s="7"/>
      <c r="L1667" s="7"/>
      <c r="M1667" s="7"/>
      <c r="N1667" s="7"/>
      <c r="O1667" s="7"/>
      <c r="P1667" s="7"/>
      <c r="Q1667" s="7"/>
      <c r="R1667" s="7"/>
      <c r="S1667" s="7"/>
      <c r="T1667" s="7"/>
      <c r="U1667" s="7"/>
      <c r="V1667" s="7"/>
      <c r="W1667" s="14"/>
      <c r="X1667" s="10"/>
      <c r="Y1667" s="10"/>
      <c r="AB1667" s="19"/>
      <c r="AC1667" s="18"/>
    </row>
    <row r="1668" spans="4:29" x14ac:dyDescent="0.25">
      <c r="D1668" s="3"/>
      <c r="E1668" s="12"/>
      <c r="F1668" s="12"/>
      <c r="G1668" s="12"/>
      <c r="H1668" s="12"/>
      <c r="I1668" s="7"/>
      <c r="J1668" s="7"/>
      <c r="K1668" s="7"/>
      <c r="L1668" s="7"/>
      <c r="M1668" s="7"/>
      <c r="N1668" s="7"/>
      <c r="O1668" s="7"/>
      <c r="P1668" s="7"/>
      <c r="Q1668" s="7"/>
      <c r="R1668" s="7"/>
      <c r="S1668" s="7"/>
      <c r="T1668" s="7"/>
      <c r="U1668" s="7"/>
      <c r="V1668" s="7"/>
      <c r="W1668" s="14"/>
      <c r="X1668" s="10"/>
      <c r="Y1668" s="10"/>
      <c r="AB1668" s="19"/>
      <c r="AC1668" s="18"/>
    </row>
    <row r="1669" spans="4:29" x14ac:dyDescent="0.25">
      <c r="D1669" s="3"/>
      <c r="E1669" s="12"/>
      <c r="F1669" s="12"/>
      <c r="G1669" s="12"/>
      <c r="H1669" s="12"/>
      <c r="I1669" s="7"/>
      <c r="J1669" s="7"/>
      <c r="K1669" s="7"/>
      <c r="L1669" s="7"/>
      <c r="M1669" s="7"/>
      <c r="N1669" s="7"/>
      <c r="O1669" s="7"/>
      <c r="P1669" s="7"/>
      <c r="Q1669" s="7"/>
      <c r="R1669" s="7"/>
      <c r="S1669" s="7"/>
      <c r="T1669" s="7"/>
      <c r="U1669" s="7"/>
      <c r="V1669" s="7"/>
      <c r="W1669" s="14"/>
      <c r="X1669" s="10"/>
      <c r="Y1669" s="10"/>
      <c r="AB1669" s="19"/>
      <c r="AC1669" s="18"/>
    </row>
    <row r="1670" spans="4:29" x14ac:dyDescent="0.25">
      <c r="D1670" s="3"/>
      <c r="E1670" s="12"/>
      <c r="F1670" s="12"/>
      <c r="G1670" s="12"/>
      <c r="H1670" s="12"/>
      <c r="I1670" s="7"/>
      <c r="J1670" s="7"/>
      <c r="K1670" s="7"/>
      <c r="L1670" s="7"/>
      <c r="M1670" s="7"/>
      <c r="N1670" s="7"/>
      <c r="O1670" s="7"/>
      <c r="P1670" s="7"/>
      <c r="Q1670" s="7"/>
      <c r="R1670" s="7"/>
      <c r="S1670" s="7"/>
      <c r="T1670" s="7"/>
      <c r="U1670" s="7"/>
      <c r="V1670" s="7"/>
      <c r="W1670" s="14"/>
      <c r="X1670" s="10"/>
      <c r="Y1670" s="10"/>
      <c r="AB1670" s="19"/>
      <c r="AC1670" s="18"/>
    </row>
    <row r="1671" spans="4:29" x14ac:dyDescent="0.25">
      <c r="D1671" s="3"/>
      <c r="E1671" s="12"/>
      <c r="F1671" s="12"/>
      <c r="G1671" s="12"/>
      <c r="H1671" s="12"/>
      <c r="I1671" s="7"/>
      <c r="J1671" s="7"/>
      <c r="K1671" s="7"/>
      <c r="L1671" s="7"/>
      <c r="M1671" s="7"/>
      <c r="N1671" s="7"/>
      <c r="O1671" s="7"/>
      <c r="P1671" s="7"/>
      <c r="Q1671" s="7"/>
      <c r="R1671" s="7"/>
      <c r="S1671" s="7"/>
      <c r="T1671" s="7"/>
      <c r="U1671" s="7"/>
      <c r="V1671" s="7"/>
      <c r="W1671" s="14"/>
      <c r="X1671" s="10"/>
      <c r="Y1671" s="10"/>
      <c r="AB1671" s="19"/>
      <c r="AC1671" s="18"/>
    </row>
    <row r="1672" spans="4:29" x14ac:dyDescent="0.25">
      <c r="D1672" s="3"/>
      <c r="E1672" s="12"/>
      <c r="F1672" s="12"/>
      <c r="G1672" s="12"/>
      <c r="H1672" s="12"/>
      <c r="I1672" s="7"/>
      <c r="J1672" s="7"/>
      <c r="K1672" s="7"/>
      <c r="L1672" s="7"/>
      <c r="M1672" s="7"/>
      <c r="N1672" s="7"/>
      <c r="O1672" s="7"/>
      <c r="P1672" s="7"/>
      <c r="Q1672" s="7"/>
      <c r="R1672" s="7"/>
      <c r="S1672" s="7"/>
      <c r="T1672" s="7"/>
      <c r="U1672" s="7"/>
      <c r="V1672" s="7"/>
      <c r="W1672" s="14"/>
      <c r="X1672" s="10"/>
      <c r="Y1672" s="10"/>
      <c r="AB1672" s="19"/>
      <c r="AC1672" s="18"/>
    </row>
    <row r="1673" spans="4:29" x14ac:dyDescent="0.25">
      <c r="D1673" s="3"/>
      <c r="E1673" s="12"/>
      <c r="F1673" s="12"/>
      <c r="G1673" s="12"/>
      <c r="H1673" s="12"/>
      <c r="I1673" s="7"/>
      <c r="J1673" s="7"/>
      <c r="K1673" s="7"/>
      <c r="L1673" s="7"/>
      <c r="M1673" s="7"/>
      <c r="N1673" s="7"/>
      <c r="O1673" s="7"/>
      <c r="P1673" s="7"/>
      <c r="Q1673" s="7"/>
      <c r="R1673" s="7"/>
      <c r="S1673" s="7"/>
      <c r="T1673" s="7"/>
      <c r="U1673" s="7"/>
      <c r="V1673" s="7"/>
      <c r="W1673" s="14"/>
      <c r="X1673" s="10"/>
      <c r="Y1673" s="10"/>
      <c r="AB1673" s="19"/>
      <c r="AC1673" s="18"/>
    </row>
    <row r="1674" spans="4:29" x14ac:dyDescent="0.25">
      <c r="D1674" s="3"/>
      <c r="E1674" s="12"/>
      <c r="F1674" s="12"/>
      <c r="G1674" s="12"/>
      <c r="H1674" s="12"/>
      <c r="I1674" s="7"/>
      <c r="J1674" s="7"/>
      <c r="K1674" s="7"/>
      <c r="L1674" s="7"/>
      <c r="M1674" s="7"/>
      <c r="N1674" s="7"/>
      <c r="O1674" s="7"/>
      <c r="P1674" s="7"/>
      <c r="Q1674" s="7"/>
      <c r="R1674" s="7"/>
      <c r="S1674" s="7"/>
      <c r="T1674" s="7"/>
      <c r="U1674" s="7"/>
      <c r="V1674" s="7"/>
      <c r="W1674" s="14"/>
      <c r="X1674" s="10"/>
      <c r="Y1674" s="10"/>
      <c r="AB1674" s="19"/>
      <c r="AC1674" s="18"/>
    </row>
    <row r="1675" spans="4:29" x14ac:dyDescent="0.25">
      <c r="D1675" s="3"/>
      <c r="E1675" s="12"/>
      <c r="F1675" s="12"/>
      <c r="G1675" s="12"/>
      <c r="H1675" s="12"/>
      <c r="I1675" s="7"/>
      <c r="J1675" s="7"/>
      <c r="K1675" s="7"/>
      <c r="L1675" s="7"/>
      <c r="M1675" s="7"/>
      <c r="N1675" s="7"/>
      <c r="O1675" s="7"/>
      <c r="P1675" s="7"/>
      <c r="Q1675" s="7"/>
      <c r="R1675" s="7"/>
      <c r="S1675" s="7"/>
      <c r="T1675" s="7"/>
      <c r="U1675" s="7"/>
      <c r="V1675" s="7"/>
      <c r="W1675" s="14"/>
      <c r="X1675" s="10"/>
      <c r="Y1675" s="10"/>
      <c r="AB1675" s="19"/>
      <c r="AC1675" s="18"/>
    </row>
    <row r="1676" spans="4:29" x14ac:dyDescent="0.25">
      <c r="D1676" s="3"/>
      <c r="E1676" s="12"/>
      <c r="F1676" s="12"/>
      <c r="G1676" s="12"/>
      <c r="H1676" s="12"/>
      <c r="I1676" s="7"/>
      <c r="J1676" s="7"/>
      <c r="K1676" s="7"/>
      <c r="L1676" s="7"/>
      <c r="M1676" s="7"/>
      <c r="N1676" s="7"/>
      <c r="O1676" s="7"/>
      <c r="P1676" s="7"/>
      <c r="Q1676" s="7"/>
      <c r="R1676" s="7"/>
      <c r="S1676" s="7"/>
      <c r="T1676" s="7"/>
      <c r="U1676" s="7"/>
      <c r="V1676" s="7"/>
      <c r="W1676" s="14"/>
      <c r="X1676" s="10"/>
      <c r="Y1676" s="10"/>
      <c r="AB1676" s="19"/>
      <c r="AC1676" s="18"/>
    </row>
    <row r="1677" spans="4:29" x14ac:dyDescent="0.25">
      <c r="D1677" s="3"/>
      <c r="E1677" s="12"/>
      <c r="F1677" s="12"/>
      <c r="G1677" s="12"/>
      <c r="H1677" s="12"/>
      <c r="I1677" s="7"/>
      <c r="J1677" s="7"/>
      <c r="K1677" s="7"/>
      <c r="L1677" s="7"/>
      <c r="M1677" s="7"/>
      <c r="N1677" s="7"/>
      <c r="O1677" s="7"/>
      <c r="P1677" s="7"/>
      <c r="Q1677" s="7"/>
      <c r="R1677" s="7"/>
      <c r="S1677" s="7"/>
      <c r="T1677" s="7"/>
      <c r="U1677" s="7"/>
      <c r="V1677" s="7"/>
      <c r="W1677" s="14"/>
      <c r="X1677" s="10"/>
      <c r="Y1677" s="10"/>
      <c r="AB1677" s="19"/>
      <c r="AC1677" s="18"/>
    </row>
    <row r="1678" spans="4:29" x14ac:dyDescent="0.25">
      <c r="D1678" s="3"/>
      <c r="E1678" s="12"/>
      <c r="F1678" s="12"/>
      <c r="G1678" s="12"/>
      <c r="H1678" s="12"/>
      <c r="I1678" s="7"/>
      <c r="J1678" s="7"/>
      <c r="K1678" s="7"/>
      <c r="L1678" s="7"/>
      <c r="M1678" s="7"/>
      <c r="N1678" s="7"/>
      <c r="O1678" s="7"/>
      <c r="P1678" s="7"/>
      <c r="Q1678" s="7"/>
      <c r="R1678" s="7"/>
      <c r="S1678" s="7"/>
      <c r="T1678" s="7"/>
      <c r="U1678" s="7"/>
      <c r="V1678" s="7"/>
      <c r="W1678" s="14"/>
      <c r="X1678" s="10"/>
      <c r="Y1678" s="10"/>
      <c r="AB1678" s="19"/>
      <c r="AC1678" s="18"/>
    </row>
    <row r="1679" spans="4:29" x14ac:dyDescent="0.25">
      <c r="D1679" s="3"/>
      <c r="E1679" s="12"/>
      <c r="F1679" s="12"/>
      <c r="G1679" s="12"/>
      <c r="H1679" s="12"/>
      <c r="I1679" s="7"/>
      <c r="J1679" s="7"/>
      <c r="K1679" s="7"/>
      <c r="L1679" s="7"/>
      <c r="M1679" s="7"/>
      <c r="N1679" s="7"/>
      <c r="O1679" s="7"/>
      <c r="P1679" s="7"/>
      <c r="Q1679" s="7"/>
      <c r="R1679" s="7"/>
      <c r="S1679" s="7"/>
      <c r="T1679" s="7"/>
      <c r="U1679" s="7"/>
      <c r="V1679" s="7"/>
      <c r="W1679" s="14"/>
      <c r="X1679" s="10"/>
      <c r="Y1679" s="10"/>
      <c r="AB1679" s="19"/>
      <c r="AC1679" s="18"/>
    </row>
    <row r="1680" spans="4:29" x14ac:dyDescent="0.25">
      <c r="D1680" s="3"/>
      <c r="E1680" s="12"/>
      <c r="F1680" s="12"/>
      <c r="G1680" s="12"/>
      <c r="H1680" s="12"/>
      <c r="I1680" s="7"/>
      <c r="J1680" s="7"/>
      <c r="K1680" s="7"/>
      <c r="L1680" s="7"/>
      <c r="M1680" s="7"/>
      <c r="N1680" s="7"/>
      <c r="O1680" s="7"/>
      <c r="P1680" s="7"/>
      <c r="Q1680" s="7"/>
      <c r="R1680" s="7"/>
      <c r="S1680" s="7"/>
      <c r="T1680" s="7"/>
      <c r="U1680" s="7"/>
      <c r="V1680" s="7"/>
      <c r="W1680" s="14"/>
      <c r="X1680" s="10"/>
      <c r="Y1680" s="10"/>
      <c r="AB1680" s="19"/>
      <c r="AC1680" s="18"/>
    </row>
    <row r="1681" spans="4:29" x14ac:dyDescent="0.25">
      <c r="D1681" s="3"/>
      <c r="E1681" s="12"/>
      <c r="F1681" s="12"/>
      <c r="G1681" s="12"/>
      <c r="H1681" s="12"/>
      <c r="I1681" s="7"/>
      <c r="J1681" s="7"/>
      <c r="K1681" s="7"/>
      <c r="L1681" s="7"/>
      <c r="M1681" s="7"/>
      <c r="N1681" s="7"/>
      <c r="O1681" s="7"/>
      <c r="P1681" s="7"/>
      <c r="Q1681" s="7"/>
      <c r="R1681" s="7"/>
      <c r="S1681" s="7"/>
      <c r="T1681" s="7"/>
      <c r="U1681" s="7"/>
      <c r="V1681" s="7"/>
      <c r="W1681" s="14"/>
      <c r="X1681" s="10"/>
      <c r="Y1681" s="10"/>
      <c r="AB1681" s="19"/>
      <c r="AC1681" s="18"/>
    </row>
    <row r="1682" spans="4:29" x14ac:dyDescent="0.25">
      <c r="D1682" s="3"/>
      <c r="E1682" s="12"/>
      <c r="F1682" s="12"/>
      <c r="G1682" s="12"/>
      <c r="H1682" s="12"/>
      <c r="I1682" s="7"/>
      <c r="J1682" s="7"/>
      <c r="K1682" s="7"/>
      <c r="L1682" s="7"/>
      <c r="M1682" s="7"/>
      <c r="N1682" s="7"/>
      <c r="O1682" s="7"/>
      <c r="P1682" s="7"/>
      <c r="Q1682" s="7"/>
      <c r="R1682" s="7"/>
      <c r="S1682" s="7"/>
      <c r="T1682" s="7"/>
      <c r="U1682" s="7"/>
      <c r="V1682" s="7"/>
      <c r="W1682" s="14"/>
      <c r="X1682" s="10"/>
      <c r="Y1682" s="10"/>
      <c r="AB1682" s="19"/>
      <c r="AC1682" s="18"/>
    </row>
    <row r="1683" spans="4:29" x14ac:dyDescent="0.25">
      <c r="D1683" s="3"/>
      <c r="E1683" s="12"/>
      <c r="F1683" s="12"/>
      <c r="G1683" s="12"/>
      <c r="H1683" s="12"/>
      <c r="I1683" s="7"/>
      <c r="J1683" s="7"/>
      <c r="K1683" s="7"/>
      <c r="L1683" s="7"/>
      <c r="M1683" s="7"/>
      <c r="N1683" s="7"/>
      <c r="O1683" s="7"/>
      <c r="P1683" s="7"/>
      <c r="Q1683" s="7"/>
      <c r="R1683" s="7"/>
      <c r="S1683" s="7"/>
      <c r="T1683" s="7"/>
      <c r="U1683" s="7"/>
      <c r="V1683" s="7"/>
      <c r="W1683" s="14"/>
      <c r="X1683" s="10"/>
      <c r="Y1683" s="10"/>
      <c r="AB1683" s="19"/>
      <c r="AC1683" s="18"/>
    </row>
    <row r="1684" spans="4:29" x14ac:dyDescent="0.25">
      <c r="D1684" s="3"/>
      <c r="E1684" s="12"/>
      <c r="F1684" s="12"/>
      <c r="G1684" s="12"/>
      <c r="H1684" s="12"/>
      <c r="I1684" s="7"/>
      <c r="J1684" s="7"/>
      <c r="K1684" s="7"/>
      <c r="L1684" s="7"/>
      <c r="M1684" s="7"/>
      <c r="N1684" s="7"/>
      <c r="O1684" s="7"/>
      <c r="P1684" s="7"/>
      <c r="Q1684" s="7"/>
      <c r="R1684" s="7"/>
      <c r="S1684" s="7"/>
      <c r="T1684" s="7"/>
      <c r="U1684" s="7"/>
      <c r="V1684" s="7"/>
      <c r="W1684" s="14"/>
      <c r="X1684" s="10"/>
      <c r="Y1684" s="10"/>
      <c r="AB1684" s="19"/>
      <c r="AC1684" s="18"/>
    </row>
    <row r="1685" spans="4:29" x14ac:dyDescent="0.25">
      <c r="D1685" s="3"/>
      <c r="E1685" s="12"/>
      <c r="F1685" s="12"/>
      <c r="G1685" s="12"/>
      <c r="H1685" s="12"/>
      <c r="I1685" s="7"/>
      <c r="J1685" s="7"/>
      <c r="K1685" s="7"/>
      <c r="L1685" s="7"/>
      <c r="M1685" s="7"/>
      <c r="N1685" s="7"/>
      <c r="O1685" s="7"/>
      <c r="P1685" s="7"/>
      <c r="Q1685" s="7"/>
      <c r="R1685" s="7"/>
      <c r="S1685" s="7"/>
      <c r="T1685" s="7"/>
      <c r="U1685" s="7"/>
      <c r="V1685" s="7"/>
      <c r="W1685" s="14"/>
      <c r="X1685" s="10"/>
      <c r="Y1685" s="10"/>
      <c r="AB1685" s="19"/>
      <c r="AC1685" s="18"/>
    </row>
    <row r="1686" spans="4:29" x14ac:dyDescent="0.25">
      <c r="D1686" s="3"/>
      <c r="E1686" s="12"/>
      <c r="F1686" s="12"/>
      <c r="G1686" s="12"/>
      <c r="H1686" s="12"/>
      <c r="I1686" s="7"/>
      <c r="J1686" s="7"/>
      <c r="K1686" s="7"/>
      <c r="L1686" s="7"/>
      <c r="M1686" s="7"/>
      <c r="N1686" s="7"/>
      <c r="O1686" s="7"/>
      <c r="P1686" s="7"/>
      <c r="Q1686" s="7"/>
      <c r="R1686" s="7"/>
      <c r="S1686" s="7"/>
      <c r="T1686" s="7"/>
      <c r="U1686" s="7"/>
      <c r="V1686" s="7"/>
      <c r="W1686" s="14"/>
      <c r="X1686" s="10"/>
      <c r="Y1686" s="10"/>
      <c r="AB1686" s="19"/>
      <c r="AC1686" s="18"/>
    </row>
    <row r="1687" spans="4:29" x14ac:dyDescent="0.25">
      <c r="D1687" s="3"/>
      <c r="E1687" s="12"/>
      <c r="F1687" s="12"/>
      <c r="G1687" s="12"/>
      <c r="H1687" s="12"/>
      <c r="I1687" s="7"/>
      <c r="J1687" s="7"/>
      <c r="K1687" s="7"/>
      <c r="L1687" s="7"/>
      <c r="M1687" s="7"/>
      <c r="N1687" s="7"/>
      <c r="O1687" s="7"/>
      <c r="P1687" s="7"/>
      <c r="Q1687" s="7"/>
      <c r="R1687" s="7"/>
      <c r="S1687" s="7"/>
      <c r="T1687" s="7"/>
      <c r="U1687" s="7"/>
      <c r="V1687" s="7"/>
      <c r="W1687" s="14"/>
      <c r="X1687" s="10"/>
      <c r="Y1687" s="10"/>
      <c r="AB1687" s="19"/>
      <c r="AC1687" s="18"/>
    </row>
    <row r="1688" spans="4:29" x14ac:dyDescent="0.25">
      <c r="D1688" s="3"/>
      <c r="E1688" s="12"/>
      <c r="F1688" s="12"/>
      <c r="G1688" s="12"/>
      <c r="H1688" s="12"/>
      <c r="I1688" s="7"/>
      <c r="J1688" s="7"/>
      <c r="K1688" s="7"/>
      <c r="L1688" s="7"/>
      <c r="M1688" s="7"/>
      <c r="N1688" s="7"/>
      <c r="O1688" s="7"/>
      <c r="P1688" s="7"/>
      <c r="Q1688" s="7"/>
      <c r="R1688" s="7"/>
      <c r="S1688" s="7"/>
      <c r="T1688" s="7"/>
      <c r="U1688" s="7"/>
      <c r="V1688" s="7"/>
      <c r="W1688" s="14"/>
      <c r="X1688" s="10"/>
      <c r="Y1688" s="10"/>
      <c r="AB1688" s="19"/>
      <c r="AC1688" s="18"/>
    </row>
    <row r="1689" spans="4:29" x14ac:dyDescent="0.25">
      <c r="D1689" s="3"/>
      <c r="E1689" s="12"/>
      <c r="F1689" s="12"/>
      <c r="G1689" s="12"/>
      <c r="H1689" s="12"/>
      <c r="I1689" s="7"/>
      <c r="J1689" s="7"/>
      <c r="K1689" s="7"/>
      <c r="L1689" s="7"/>
      <c r="M1689" s="7"/>
      <c r="N1689" s="7"/>
      <c r="O1689" s="7"/>
      <c r="P1689" s="7"/>
      <c r="Q1689" s="7"/>
      <c r="R1689" s="7"/>
      <c r="S1689" s="7"/>
      <c r="T1689" s="7"/>
      <c r="U1689" s="7"/>
      <c r="V1689" s="7"/>
      <c r="W1689" s="14"/>
      <c r="X1689" s="10"/>
      <c r="Y1689" s="10"/>
      <c r="AB1689" s="19"/>
      <c r="AC1689" s="18"/>
    </row>
    <row r="1690" spans="4:29" x14ac:dyDescent="0.25">
      <c r="D1690" s="3"/>
      <c r="E1690" s="12"/>
      <c r="F1690" s="12"/>
      <c r="G1690" s="12"/>
      <c r="H1690" s="12"/>
      <c r="I1690" s="7"/>
      <c r="J1690" s="7"/>
      <c r="K1690" s="7"/>
      <c r="L1690" s="7"/>
      <c r="M1690" s="7"/>
      <c r="N1690" s="7"/>
      <c r="O1690" s="7"/>
      <c r="P1690" s="7"/>
      <c r="Q1690" s="7"/>
      <c r="R1690" s="7"/>
      <c r="S1690" s="7"/>
      <c r="T1690" s="7"/>
      <c r="U1690" s="7"/>
      <c r="V1690" s="7"/>
      <c r="W1690" s="14"/>
      <c r="X1690" s="10"/>
      <c r="Y1690" s="10"/>
      <c r="AB1690" s="19"/>
      <c r="AC1690" s="18"/>
    </row>
    <row r="1691" spans="4:29" x14ac:dyDescent="0.25">
      <c r="D1691" s="3"/>
      <c r="E1691" s="12"/>
      <c r="F1691" s="12"/>
      <c r="G1691" s="12"/>
      <c r="H1691" s="12"/>
      <c r="I1691" s="7"/>
      <c r="J1691" s="7"/>
      <c r="K1691" s="7"/>
      <c r="L1691" s="7"/>
      <c r="M1691" s="7"/>
      <c r="N1691" s="7"/>
      <c r="O1691" s="7"/>
      <c r="P1691" s="7"/>
      <c r="Q1691" s="7"/>
      <c r="R1691" s="7"/>
      <c r="S1691" s="7"/>
      <c r="T1691" s="7"/>
      <c r="U1691" s="7"/>
      <c r="V1691" s="7"/>
      <c r="W1691" s="14"/>
      <c r="X1691" s="10"/>
      <c r="Y1691" s="10"/>
      <c r="AB1691" s="19"/>
      <c r="AC1691" s="18"/>
    </row>
    <row r="1692" spans="4:29" x14ac:dyDescent="0.25">
      <c r="D1692" s="3"/>
      <c r="E1692" s="12"/>
      <c r="F1692" s="12"/>
      <c r="G1692" s="12"/>
      <c r="H1692" s="12"/>
      <c r="I1692" s="7"/>
      <c r="J1692" s="7"/>
      <c r="K1692" s="7"/>
      <c r="L1692" s="7"/>
      <c r="M1692" s="7"/>
      <c r="N1692" s="7"/>
      <c r="O1692" s="7"/>
      <c r="P1692" s="7"/>
      <c r="Q1692" s="7"/>
      <c r="R1692" s="7"/>
      <c r="S1692" s="7"/>
      <c r="T1692" s="7"/>
      <c r="U1692" s="7"/>
      <c r="V1692" s="7"/>
      <c r="W1692" s="14"/>
      <c r="X1692" s="10"/>
      <c r="Y1692" s="10"/>
      <c r="AB1692" s="19"/>
      <c r="AC1692" s="18"/>
    </row>
    <row r="1693" spans="4:29" x14ac:dyDescent="0.25">
      <c r="D1693" s="3"/>
      <c r="E1693" s="12"/>
      <c r="F1693" s="12"/>
      <c r="G1693" s="12"/>
      <c r="H1693" s="12"/>
      <c r="I1693" s="7"/>
      <c r="J1693" s="7"/>
      <c r="K1693" s="7"/>
      <c r="L1693" s="7"/>
      <c r="M1693" s="7"/>
      <c r="N1693" s="7"/>
      <c r="O1693" s="7"/>
      <c r="P1693" s="7"/>
      <c r="Q1693" s="7"/>
      <c r="R1693" s="7"/>
      <c r="S1693" s="7"/>
      <c r="T1693" s="7"/>
      <c r="U1693" s="7"/>
      <c r="V1693" s="7"/>
      <c r="W1693" s="14"/>
      <c r="X1693" s="10"/>
      <c r="Y1693" s="10"/>
      <c r="AB1693" s="19"/>
      <c r="AC1693" s="18"/>
    </row>
    <row r="1694" spans="4:29" x14ac:dyDescent="0.25">
      <c r="D1694" s="3"/>
      <c r="E1694" s="12"/>
      <c r="F1694" s="12"/>
      <c r="G1694" s="12"/>
      <c r="H1694" s="12"/>
      <c r="I1694" s="7"/>
      <c r="J1694" s="7"/>
      <c r="K1694" s="7"/>
      <c r="L1694" s="7"/>
      <c r="M1694" s="7"/>
      <c r="N1694" s="7"/>
      <c r="O1694" s="7"/>
      <c r="P1694" s="7"/>
      <c r="Q1694" s="7"/>
      <c r="R1694" s="7"/>
      <c r="S1694" s="7"/>
      <c r="T1694" s="7"/>
      <c r="U1694" s="7"/>
      <c r="V1694" s="7"/>
      <c r="W1694" s="14"/>
      <c r="X1694" s="10"/>
      <c r="Y1694" s="10"/>
      <c r="AB1694" s="19"/>
      <c r="AC1694" s="18"/>
    </row>
    <row r="1695" spans="4:29" x14ac:dyDescent="0.25">
      <c r="D1695" s="3"/>
      <c r="E1695" s="12"/>
      <c r="F1695" s="12"/>
      <c r="G1695" s="12"/>
      <c r="H1695" s="12"/>
      <c r="I1695" s="7"/>
      <c r="J1695" s="7"/>
      <c r="K1695" s="7"/>
      <c r="L1695" s="7"/>
      <c r="M1695" s="7"/>
      <c r="N1695" s="7"/>
      <c r="O1695" s="7"/>
      <c r="P1695" s="7"/>
      <c r="Q1695" s="7"/>
      <c r="R1695" s="7"/>
      <c r="S1695" s="7"/>
      <c r="T1695" s="7"/>
      <c r="U1695" s="7"/>
      <c r="V1695" s="7"/>
      <c r="W1695" s="14"/>
      <c r="X1695" s="10"/>
      <c r="Y1695" s="10"/>
      <c r="AB1695" s="19"/>
      <c r="AC1695" s="18"/>
    </row>
    <row r="1696" spans="4:29" x14ac:dyDescent="0.25">
      <c r="D1696" s="3"/>
      <c r="E1696" s="12"/>
      <c r="F1696" s="12"/>
      <c r="G1696" s="12"/>
      <c r="H1696" s="12"/>
      <c r="I1696" s="7"/>
      <c r="J1696" s="7"/>
      <c r="K1696" s="7"/>
      <c r="L1696" s="7"/>
      <c r="M1696" s="7"/>
      <c r="N1696" s="7"/>
      <c r="O1696" s="7"/>
      <c r="P1696" s="7"/>
      <c r="Q1696" s="7"/>
      <c r="R1696" s="7"/>
      <c r="S1696" s="7"/>
      <c r="T1696" s="7"/>
      <c r="U1696" s="7"/>
      <c r="V1696" s="7"/>
      <c r="W1696" s="14"/>
      <c r="X1696" s="10"/>
      <c r="Y1696" s="10"/>
      <c r="AB1696" s="19"/>
      <c r="AC1696" s="18"/>
    </row>
    <row r="1697" spans="4:29" x14ac:dyDescent="0.25">
      <c r="D1697" s="3"/>
      <c r="E1697" s="12"/>
      <c r="F1697" s="12"/>
      <c r="G1697" s="12"/>
      <c r="H1697" s="12"/>
      <c r="I1697" s="7"/>
      <c r="J1697" s="7"/>
      <c r="K1697" s="7"/>
      <c r="L1697" s="7"/>
      <c r="M1697" s="7"/>
      <c r="N1697" s="7"/>
      <c r="O1697" s="7"/>
      <c r="P1697" s="7"/>
      <c r="Q1697" s="7"/>
      <c r="R1697" s="7"/>
      <c r="S1697" s="7"/>
      <c r="T1697" s="7"/>
      <c r="U1697" s="7"/>
      <c r="V1697" s="7"/>
      <c r="W1697" s="14"/>
      <c r="X1697" s="10"/>
      <c r="Y1697" s="10"/>
      <c r="AB1697" s="19"/>
      <c r="AC1697" s="18"/>
    </row>
    <row r="1698" spans="4:29" x14ac:dyDescent="0.25">
      <c r="D1698" s="3"/>
      <c r="E1698" s="12"/>
      <c r="F1698" s="12"/>
      <c r="G1698" s="12"/>
      <c r="H1698" s="12"/>
      <c r="I1698" s="7"/>
      <c r="J1698" s="7"/>
      <c r="K1698" s="7"/>
      <c r="L1698" s="7"/>
      <c r="M1698" s="7"/>
      <c r="N1698" s="7"/>
      <c r="O1698" s="7"/>
      <c r="P1698" s="7"/>
      <c r="Q1698" s="7"/>
      <c r="R1698" s="7"/>
      <c r="S1698" s="7"/>
      <c r="T1698" s="7"/>
      <c r="U1698" s="7"/>
      <c r="V1698" s="7"/>
      <c r="W1698" s="14"/>
      <c r="X1698" s="10"/>
      <c r="Y1698" s="10"/>
      <c r="AB1698" s="19"/>
      <c r="AC1698" s="18"/>
    </row>
    <row r="1699" spans="4:29" x14ac:dyDescent="0.25">
      <c r="D1699" s="3"/>
      <c r="E1699" s="12"/>
      <c r="F1699" s="12"/>
      <c r="G1699" s="12"/>
      <c r="H1699" s="12"/>
      <c r="I1699" s="7"/>
      <c r="J1699" s="7"/>
      <c r="K1699" s="7"/>
      <c r="L1699" s="7"/>
      <c r="M1699" s="7"/>
      <c r="N1699" s="7"/>
      <c r="O1699" s="7"/>
      <c r="P1699" s="7"/>
      <c r="Q1699" s="7"/>
      <c r="R1699" s="7"/>
      <c r="S1699" s="7"/>
      <c r="T1699" s="7"/>
      <c r="U1699" s="7"/>
      <c r="V1699" s="7"/>
      <c r="W1699" s="14"/>
      <c r="X1699" s="10"/>
      <c r="Y1699" s="10"/>
      <c r="AB1699" s="19"/>
      <c r="AC1699" s="18"/>
    </row>
    <row r="1700" spans="4:29" x14ac:dyDescent="0.25">
      <c r="D1700" s="3"/>
      <c r="E1700" s="12"/>
      <c r="F1700" s="12"/>
      <c r="G1700" s="12"/>
      <c r="H1700" s="12"/>
      <c r="I1700" s="7"/>
      <c r="J1700" s="7"/>
      <c r="K1700" s="7"/>
      <c r="L1700" s="7"/>
      <c r="M1700" s="7"/>
      <c r="N1700" s="7"/>
      <c r="O1700" s="7"/>
      <c r="P1700" s="7"/>
      <c r="Q1700" s="7"/>
      <c r="R1700" s="7"/>
      <c r="S1700" s="7"/>
      <c r="T1700" s="7"/>
      <c r="U1700" s="7"/>
      <c r="V1700" s="7"/>
      <c r="W1700" s="14"/>
      <c r="X1700" s="10"/>
      <c r="Y1700" s="10"/>
      <c r="AB1700" s="19"/>
      <c r="AC1700" s="18"/>
    </row>
    <row r="1701" spans="4:29" x14ac:dyDescent="0.25">
      <c r="D1701" s="3"/>
      <c r="E1701" s="12"/>
      <c r="F1701" s="12"/>
      <c r="G1701" s="12"/>
      <c r="H1701" s="12"/>
      <c r="I1701" s="7"/>
      <c r="J1701" s="7"/>
      <c r="K1701" s="7"/>
      <c r="L1701" s="7"/>
      <c r="M1701" s="7"/>
      <c r="N1701" s="7"/>
      <c r="O1701" s="7"/>
      <c r="P1701" s="7"/>
      <c r="Q1701" s="7"/>
      <c r="R1701" s="7"/>
      <c r="S1701" s="7"/>
      <c r="T1701" s="7"/>
      <c r="U1701" s="7"/>
      <c r="V1701" s="7"/>
      <c r="W1701" s="14"/>
      <c r="X1701" s="10"/>
      <c r="Y1701" s="10"/>
      <c r="AB1701" s="19"/>
      <c r="AC1701" s="18"/>
    </row>
    <row r="1702" spans="4:29" x14ac:dyDescent="0.25">
      <c r="D1702" s="3"/>
      <c r="E1702" s="12"/>
      <c r="F1702" s="12"/>
      <c r="G1702" s="12"/>
      <c r="H1702" s="12"/>
      <c r="I1702" s="7"/>
      <c r="J1702" s="7"/>
      <c r="K1702" s="7"/>
      <c r="L1702" s="7"/>
      <c r="M1702" s="7"/>
      <c r="N1702" s="7"/>
      <c r="O1702" s="7"/>
      <c r="P1702" s="7"/>
      <c r="Q1702" s="7"/>
      <c r="R1702" s="7"/>
      <c r="S1702" s="7"/>
      <c r="T1702" s="7"/>
      <c r="U1702" s="7"/>
      <c r="V1702" s="7"/>
      <c r="W1702" s="14"/>
      <c r="X1702" s="10"/>
      <c r="Y1702" s="10"/>
      <c r="AB1702" s="19"/>
      <c r="AC1702" s="18"/>
    </row>
    <row r="1703" spans="4:29" x14ac:dyDescent="0.25">
      <c r="D1703" s="3"/>
      <c r="E1703" s="12"/>
      <c r="F1703" s="12"/>
      <c r="G1703" s="12"/>
      <c r="H1703" s="12"/>
      <c r="I1703" s="7"/>
      <c r="J1703" s="7"/>
      <c r="K1703" s="7"/>
      <c r="L1703" s="7"/>
      <c r="M1703" s="7"/>
      <c r="N1703" s="7"/>
      <c r="O1703" s="7"/>
      <c r="P1703" s="7"/>
      <c r="Q1703" s="7"/>
      <c r="R1703" s="7"/>
      <c r="S1703" s="7"/>
      <c r="T1703" s="7"/>
      <c r="U1703" s="7"/>
      <c r="V1703" s="7"/>
      <c r="W1703" s="14"/>
      <c r="X1703" s="10"/>
      <c r="Y1703" s="10"/>
      <c r="AB1703" s="19"/>
      <c r="AC1703" s="18"/>
    </row>
    <row r="1704" spans="4:29" x14ac:dyDescent="0.25">
      <c r="D1704" s="3"/>
      <c r="E1704" s="12"/>
      <c r="F1704" s="12"/>
      <c r="G1704" s="12"/>
      <c r="H1704" s="12"/>
      <c r="I1704" s="7"/>
      <c r="J1704" s="7"/>
      <c r="K1704" s="7"/>
      <c r="L1704" s="7"/>
      <c r="M1704" s="7"/>
      <c r="N1704" s="7"/>
      <c r="O1704" s="7"/>
      <c r="P1704" s="7"/>
      <c r="Q1704" s="7"/>
      <c r="R1704" s="7"/>
      <c r="S1704" s="7"/>
      <c r="T1704" s="7"/>
      <c r="U1704" s="7"/>
      <c r="V1704" s="7"/>
      <c r="W1704" s="14"/>
      <c r="X1704" s="10"/>
      <c r="Y1704" s="10"/>
      <c r="AB1704" s="19"/>
      <c r="AC1704" s="18"/>
    </row>
    <row r="1705" spans="4:29" x14ac:dyDescent="0.25">
      <c r="D1705" s="3"/>
      <c r="E1705" s="12"/>
      <c r="F1705" s="12"/>
      <c r="G1705" s="12"/>
      <c r="H1705" s="12"/>
      <c r="I1705" s="7"/>
      <c r="J1705" s="7"/>
      <c r="K1705" s="7"/>
      <c r="L1705" s="7"/>
      <c r="M1705" s="7"/>
      <c r="N1705" s="7"/>
      <c r="O1705" s="7"/>
      <c r="P1705" s="7"/>
      <c r="Q1705" s="7"/>
      <c r="R1705" s="7"/>
      <c r="S1705" s="7"/>
      <c r="T1705" s="7"/>
      <c r="U1705" s="7"/>
      <c r="V1705" s="7"/>
      <c r="W1705" s="14"/>
      <c r="X1705" s="10"/>
      <c r="Y1705" s="10"/>
      <c r="AB1705" s="19"/>
      <c r="AC1705" s="18"/>
    </row>
    <row r="1706" spans="4:29" x14ac:dyDescent="0.25">
      <c r="D1706" s="3"/>
      <c r="E1706" s="12"/>
      <c r="F1706" s="12"/>
      <c r="G1706" s="12"/>
      <c r="H1706" s="12"/>
      <c r="I1706" s="7"/>
      <c r="J1706" s="7"/>
      <c r="K1706" s="7"/>
      <c r="L1706" s="7"/>
      <c r="M1706" s="7"/>
      <c r="N1706" s="7"/>
      <c r="O1706" s="7"/>
      <c r="P1706" s="7"/>
      <c r="Q1706" s="7"/>
      <c r="R1706" s="7"/>
      <c r="S1706" s="7"/>
      <c r="T1706" s="7"/>
      <c r="U1706" s="7"/>
      <c r="V1706" s="7"/>
      <c r="W1706" s="14"/>
      <c r="X1706" s="10"/>
      <c r="Y1706" s="10"/>
      <c r="AB1706" s="19"/>
      <c r="AC1706" s="18"/>
    </row>
    <row r="1707" spans="4:29" x14ac:dyDescent="0.25">
      <c r="D1707" s="3"/>
      <c r="E1707" s="12"/>
      <c r="F1707" s="12"/>
      <c r="G1707" s="12"/>
      <c r="H1707" s="12"/>
      <c r="I1707" s="7"/>
      <c r="J1707" s="7"/>
      <c r="K1707" s="7"/>
      <c r="L1707" s="7"/>
      <c r="M1707" s="7"/>
      <c r="N1707" s="7"/>
      <c r="O1707" s="7"/>
      <c r="P1707" s="7"/>
      <c r="Q1707" s="7"/>
      <c r="R1707" s="7"/>
      <c r="S1707" s="7"/>
      <c r="T1707" s="7"/>
      <c r="U1707" s="7"/>
      <c r="V1707" s="7"/>
      <c r="W1707" s="14"/>
      <c r="X1707" s="10"/>
      <c r="Y1707" s="10"/>
      <c r="AB1707" s="19"/>
      <c r="AC1707" s="18"/>
    </row>
    <row r="1708" spans="4:29" x14ac:dyDescent="0.25">
      <c r="D1708" s="3"/>
      <c r="E1708" s="12"/>
      <c r="F1708" s="12"/>
      <c r="G1708" s="12"/>
      <c r="H1708" s="12"/>
      <c r="I1708" s="7"/>
      <c r="J1708" s="7"/>
      <c r="K1708" s="7"/>
      <c r="L1708" s="7"/>
      <c r="M1708" s="7"/>
      <c r="N1708" s="7"/>
      <c r="O1708" s="7"/>
      <c r="P1708" s="7"/>
      <c r="Q1708" s="7"/>
      <c r="R1708" s="7"/>
      <c r="S1708" s="7"/>
      <c r="T1708" s="7"/>
      <c r="U1708" s="7"/>
      <c r="V1708" s="7"/>
      <c r="W1708" s="14"/>
      <c r="X1708" s="10"/>
      <c r="Y1708" s="10"/>
      <c r="AB1708" s="19"/>
      <c r="AC1708" s="18"/>
    </row>
    <row r="1709" spans="4:29" x14ac:dyDescent="0.25">
      <c r="D1709" s="3"/>
      <c r="E1709" s="12"/>
      <c r="F1709" s="12"/>
      <c r="G1709" s="12"/>
      <c r="H1709" s="12"/>
      <c r="I1709" s="7"/>
      <c r="J1709" s="7"/>
      <c r="K1709" s="7"/>
      <c r="L1709" s="7"/>
      <c r="M1709" s="7"/>
      <c r="N1709" s="7"/>
      <c r="O1709" s="7"/>
      <c r="P1709" s="7"/>
      <c r="Q1709" s="7"/>
      <c r="R1709" s="7"/>
      <c r="S1709" s="7"/>
      <c r="T1709" s="7"/>
      <c r="U1709" s="7"/>
      <c r="V1709" s="7"/>
      <c r="W1709" s="14"/>
      <c r="X1709" s="10"/>
      <c r="Y1709" s="10"/>
      <c r="AB1709" s="19"/>
      <c r="AC1709" s="18"/>
    </row>
    <row r="1710" spans="4:29" x14ac:dyDescent="0.25">
      <c r="D1710" s="3"/>
      <c r="E1710" s="12"/>
      <c r="F1710" s="12"/>
      <c r="G1710" s="12"/>
      <c r="H1710" s="12"/>
      <c r="I1710" s="7"/>
      <c r="J1710" s="7"/>
      <c r="K1710" s="7"/>
      <c r="L1710" s="7"/>
      <c r="M1710" s="7"/>
      <c r="N1710" s="7"/>
      <c r="O1710" s="7"/>
      <c r="P1710" s="7"/>
      <c r="Q1710" s="7"/>
      <c r="R1710" s="7"/>
      <c r="S1710" s="7"/>
      <c r="T1710" s="7"/>
      <c r="U1710" s="7"/>
      <c r="V1710" s="7"/>
      <c r="W1710" s="14"/>
      <c r="X1710" s="10"/>
      <c r="Y1710" s="10"/>
      <c r="AB1710" s="19"/>
      <c r="AC1710" s="18"/>
    </row>
    <row r="1711" spans="4:29" x14ac:dyDescent="0.25">
      <c r="D1711" s="3"/>
      <c r="E1711" s="12"/>
      <c r="F1711" s="12"/>
      <c r="G1711" s="12"/>
      <c r="H1711" s="12"/>
      <c r="I1711" s="7"/>
      <c r="J1711" s="7"/>
      <c r="K1711" s="7"/>
      <c r="L1711" s="7"/>
      <c r="M1711" s="7"/>
      <c r="N1711" s="7"/>
      <c r="O1711" s="7"/>
      <c r="P1711" s="7"/>
      <c r="Q1711" s="7"/>
      <c r="R1711" s="7"/>
      <c r="S1711" s="7"/>
      <c r="T1711" s="7"/>
      <c r="U1711" s="7"/>
      <c r="V1711" s="7"/>
      <c r="W1711" s="14"/>
      <c r="X1711" s="10"/>
      <c r="Y1711" s="10"/>
      <c r="AB1711" s="19"/>
      <c r="AC1711" s="18"/>
    </row>
    <row r="1712" spans="4:29" x14ac:dyDescent="0.25">
      <c r="D1712" s="3"/>
      <c r="E1712" s="12"/>
      <c r="F1712" s="12"/>
      <c r="G1712" s="12"/>
      <c r="H1712" s="12"/>
      <c r="I1712" s="7"/>
      <c r="J1712" s="7"/>
      <c r="K1712" s="7"/>
      <c r="L1712" s="7"/>
      <c r="M1712" s="7"/>
      <c r="N1712" s="7"/>
      <c r="O1712" s="7"/>
      <c r="P1712" s="7"/>
      <c r="Q1712" s="7"/>
      <c r="R1712" s="7"/>
      <c r="S1712" s="7"/>
      <c r="T1712" s="7"/>
      <c r="U1712" s="7"/>
      <c r="V1712" s="7"/>
      <c r="W1712" s="14"/>
      <c r="X1712" s="10"/>
      <c r="Y1712" s="10"/>
      <c r="AB1712" s="19"/>
      <c r="AC1712" s="18"/>
    </row>
    <row r="1713" spans="4:29" x14ac:dyDescent="0.25">
      <c r="D1713" s="3"/>
      <c r="E1713" s="12"/>
      <c r="F1713" s="12"/>
      <c r="G1713" s="12"/>
      <c r="H1713" s="12"/>
      <c r="I1713" s="7"/>
      <c r="J1713" s="7"/>
      <c r="K1713" s="7"/>
      <c r="L1713" s="7"/>
      <c r="M1713" s="7"/>
      <c r="N1713" s="7"/>
      <c r="O1713" s="7"/>
      <c r="P1713" s="7"/>
      <c r="Q1713" s="7"/>
      <c r="R1713" s="7"/>
      <c r="S1713" s="7"/>
      <c r="T1713" s="7"/>
      <c r="U1713" s="7"/>
      <c r="V1713" s="7"/>
      <c r="W1713" s="14"/>
      <c r="X1713" s="10"/>
      <c r="Y1713" s="10"/>
      <c r="AB1713" s="19"/>
      <c r="AC1713" s="18"/>
    </row>
    <row r="1714" spans="4:29" x14ac:dyDescent="0.25">
      <c r="D1714" s="3"/>
      <c r="E1714" s="12"/>
      <c r="F1714" s="12"/>
      <c r="G1714" s="12"/>
      <c r="H1714" s="12"/>
      <c r="I1714" s="7"/>
      <c r="J1714" s="7"/>
      <c r="K1714" s="7"/>
      <c r="L1714" s="7"/>
      <c r="M1714" s="7"/>
      <c r="N1714" s="7"/>
      <c r="O1714" s="7"/>
      <c r="P1714" s="7"/>
      <c r="Q1714" s="7"/>
      <c r="R1714" s="7"/>
      <c r="S1714" s="7"/>
      <c r="T1714" s="7"/>
      <c r="U1714" s="7"/>
      <c r="V1714" s="7"/>
      <c r="W1714" s="14"/>
      <c r="X1714" s="10"/>
      <c r="Y1714" s="10"/>
      <c r="AB1714" s="19"/>
      <c r="AC1714" s="18"/>
    </row>
    <row r="1715" spans="4:29" x14ac:dyDescent="0.25">
      <c r="D1715" s="3"/>
      <c r="E1715" s="12"/>
      <c r="F1715" s="12"/>
      <c r="G1715" s="12"/>
      <c r="H1715" s="12"/>
      <c r="I1715" s="7"/>
      <c r="J1715" s="7"/>
      <c r="K1715" s="7"/>
      <c r="L1715" s="7"/>
      <c r="M1715" s="7"/>
      <c r="N1715" s="7"/>
      <c r="O1715" s="7"/>
      <c r="P1715" s="7"/>
      <c r="Q1715" s="7"/>
      <c r="R1715" s="7"/>
      <c r="S1715" s="7"/>
      <c r="T1715" s="7"/>
      <c r="U1715" s="7"/>
      <c r="V1715" s="7"/>
      <c r="W1715" s="14"/>
      <c r="X1715" s="10"/>
      <c r="Y1715" s="10"/>
      <c r="AB1715" s="19"/>
      <c r="AC1715" s="18"/>
    </row>
    <row r="1716" spans="4:29" x14ac:dyDescent="0.25">
      <c r="D1716" s="3"/>
      <c r="E1716" s="12"/>
      <c r="F1716" s="12"/>
      <c r="G1716" s="12"/>
      <c r="H1716" s="12"/>
      <c r="I1716" s="7"/>
      <c r="J1716" s="7"/>
      <c r="K1716" s="7"/>
      <c r="L1716" s="7"/>
      <c r="M1716" s="7"/>
      <c r="N1716" s="7"/>
      <c r="O1716" s="7"/>
      <c r="P1716" s="7"/>
      <c r="Q1716" s="7"/>
      <c r="R1716" s="7"/>
      <c r="S1716" s="7"/>
      <c r="T1716" s="7"/>
      <c r="U1716" s="7"/>
      <c r="V1716" s="7"/>
      <c r="W1716" s="14"/>
      <c r="X1716" s="10"/>
      <c r="Y1716" s="10"/>
      <c r="AB1716" s="19"/>
      <c r="AC1716" s="18"/>
    </row>
    <row r="1717" spans="4:29" x14ac:dyDescent="0.25">
      <c r="D1717" s="3"/>
      <c r="E1717" s="12"/>
      <c r="F1717" s="12"/>
      <c r="G1717" s="12"/>
      <c r="H1717" s="12"/>
      <c r="I1717" s="7"/>
      <c r="J1717" s="7"/>
      <c r="K1717" s="7"/>
      <c r="L1717" s="7"/>
      <c r="M1717" s="7"/>
      <c r="N1717" s="7"/>
      <c r="O1717" s="7"/>
      <c r="P1717" s="7"/>
      <c r="Q1717" s="7"/>
      <c r="R1717" s="7"/>
      <c r="S1717" s="7"/>
      <c r="T1717" s="7"/>
      <c r="U1717" s="7"/>
      <c r="V1717" s="7"/>
      <c r="W1717" s="14"/>
      <c r="X1717" s="10"/>
      <c r="Y1717" s="10"/>
      <c r="AB1717" s="19"/>
      <c r="AC1717" s="18"/>
    </row>
    <row r="1718" spans="4:29" x14ac:dyDescent="0.25">
      <c r="D1718" s="3"/>
      <c r="E1718" s="12"/>
      <c r="F1718" s="12"/>
      <c r="G1718" s="12"/>
      <c r="H1718" s="12"/>
      <c r="I1718" s="7"/>
      <c r="J1718" s="7"/>
      <c r="K1718" s="7"/>
      <c r="L1718" s="7"/>
      <c r="M1718" s="7"/>
      <c r="N1718" s="7"/>
      <c r="O1718" s="7"/>
      <c r="P1718" s="7"/>
      <c r="Q1718" s="7"/>
      <c r="R1718" s="7"/>
      <c r="S1718" s="7"/>
      <c r="T1718" s="7"/>
      <c r="U1718" s="7"/>
      <c r="V1718" s="7"/>
      <c r="W1718" s="14"/>
      <c r="X1718" s="10"/>
      <c r="Y1718" s="10"/>
      <c r="AB1718" s="19"/>
      <c r="AC1718" s="18"/>
    </row>
    <row r="1719" spans="4:29" x14ac:dyDescent="0.25">
      <c r="D1719" s="3"/>
      <c r="E1719" s="12"/>
      <c r="F1719" s="12"/>
      <c r="G1719" s="12"/>
      <c r="H1719" s="12"/>
      <c r="I1719" s="7"/>
      <c r="J1719" s="7"/>
      <c r="K1719" s="7"/>
      <c r="L1719" s="7"/>
      <c r="M1719" s="7"/>
      <c r="N1719" s="7"/>
      <c r="O1719" s="7"/>
      <c r="P1719" s="7"/>
      <c r="Q1719" s="7"/>
      <c r="R1719" s="7"/>
      <c r="S1719" s="7"/>
      <c r="T1719" s="7"/>
      <c r="U1719" s="7"/>
      <c r="V1719" s="7"/>
      <c r="W1719" s="14"/>
      <c r="X1719" s="10"/>
      <c r="Y1719" s="10"/>
      <c r="AB1719" s="19"/>
      <c r="AC1719" s="18"/>
    </row>
    <row r="1720" spans="4:29" x14ac:dyDescent="0.25">
      <c r="D1720" s="3"/>
      <c r="E1720" s="12"/>
      <c r="F1720" s="12"/>
      <c r="G1720" s="12"/>
      <c r="H1720" s="12"/>
      <c r="I1720" s="7"/>
      <c r="J1720" s="7"/>
      <c r="K1720" s="7"/>
      <c r="L1720" s="7"/>
      <c r="M1720" s="7"/>
      <c r="N1720" s="7"/>
      <c r="O1720" s="7"/>
      <c r="P1720" s="7"/>
      <c r="Q1720" s="7"/>
      <c r="R1720" s="7"/>
      <c r="S1720" s="7"/>
      <c r="T1720" s="7"/>
      <c r="U1720" s="7"/>
      <c r="V1720" s="7"/>
      <c r="W1720" s="14"/>
      <c r="X1720" s="10"/>
      <c r="Y1720" s="10"/>
      <c r="AB1720" s="19"/>
      <c r="AC1720" s="18"/>
    </row>
    <row r="1721" spans="4:29" x14ac:dyDescent="0.25">
      <c r="D1721" s="3"/>
      <c r="E1721" s="12"/>
      <c r="F1721" s="12"/>
      <c r="G1721" s="12"/>
      <c r="H1721" s="12"/>
      <c r="I1721" s="7"/>
      <c r="J1721" s="7"/>
      <c r="K1721" s="7"/>
      <c r="L1721" s="7"/>
      <c r="M1721" s="7"/>
      <c r="N1721" s="7"/>
      <c r="O1721" s="7"/>
      <c r="P1721" s="7"/>
      <c r="Q1721" s="7"/>
      <c r="R1721" s="7"/>
      <c r="S1721" s="7"/>
      <c r="T1721" s="7"/>
      <c r="U1721" s="7"/>
      <c r="V1721" s="7"/>
      <c r="W1721" s="14"/>
      <c r="X1721" s="10"/>
      <c r="Y1721" s="10"/>
      <c r="AB1721" s="19"/>
      <c r="AC1721" s="18"/>
    </row>
    <row r="1722" spans="4:29" x14ac:dyDescent="0.25">
      <c r="D1722" s="3"/>
      <c r="E1722" s="12"/>
      <c r="F1722" s="12"/>
      <c r="G1722" s="12"/>
      <c r="H1722" s="12"/>
      <c r="I1722" s="7"/>
      <c r="J1722" s="7"/>
      <c r="K1722" s="7"/>
      <c r="L1722" s="7"/>
      <c r="M1722" s="7"/>
      <c r="N1722" s="7"/>
      <c r="O1722" s="7"/>
      <c r="P1722" s="7"/>
      <c r="Q1722" s="7"/>
      <c r="R1722" s="7"/>
      <c r="S1722" s="7"/>
      <c r="T1722" s="7"/>
      <c r="U1722" s="7"/>
      <c r="V1722" s="7"/>
      <c r="W1722" s="14"/>
      <c r="X1722" s="10"/>
      <c r="Y1722" s="10"/>
      <c r="AB1722" s="19"/>
      <c r="AC1722" s="18"/>
    </row>
    <row r="1723" spans="4:29" x14ac:dyDescent="0.25">
      <c r="D1723" s="3"/>
      <c r="E1723" s="12"/>
      <c r="F1723" s="12"/>
      <c r="G1723" s="12"/>
      <c r="H1723" s="12"/>
      <c r="I1723" s="7"/>
      <c r="J1723" s="7"/>
      <c r="K1723" s="7"/>
      <c r="L1723" s="7"/>
      <c r="M1723" s="7"/>
      <c r="N1723" s="7"/>
      <c r="O1723" s="7"/>
      <c r="P1723" s="7"/>
      <c r="Q1723" s="7"/>
      <c r="R1723" s="7"/>
      <c r="S1723" s="7"/>
      <c r="T1723" s="7"/>
      <c r="U1723" s="7"/>
      <c r="V1723" s="7"/>
      <c r="W1723" s="14"/>
      <c r="X1723" s="10"/>
      <c r="Y1723" s="10"/>
      <c r="AB1723" s="19"/>
      <c r="AC1723" s="18"/>
    </row>
    <row r="1724" spans="4:29" x14ac:dyDescent="0.25">
      <c r="D1724" s="3"/>
      <c r="E1724" s="12"/>
      <c r="F1724" s="12"/>
      <c r="G1724" s="12"/>
      <c r="H1724" s="12"/>
      <c r="I1724" s="7"/>
      <c r="J1724" s="7"/>
      <c r="K1724" s="7"/>
      <c r="L1724" s="7"/>
      <c r="M1724" s="7"/>
      <c r="N1724" s="7"/>
      <c r="O1724" s="7"/>
      <c r="P1724" s="7"/>
      <c r="Q1724" s="7"/>
      <c r="R1724" s="7"/>
      <c r="S1724" s="7"/>
      <c r="T1724" s="7"/>
      <c r="U1724" s="7"/>
      <c r="V1724" s="7"/>
      <c r="W1724" s="14"/>
      <c r="X1724" s="10"/>
      <c r="Y1724" s="10"/>
      <c r="AB1724" s="19"/>
      <c r="AC1724" s="18"/>
    </row>
    <row r="1725" spans="4:29" x14ac:dyDescent="0.25">
      <c r="D1725" s="3"/>
      <c r="E1725" s="12"/>
      <c r="F1725" s="12"/>
      <c r="G1725" s="12"/>
      <c r="H1725" s="12"/>
      <c r="I1725" s="7"/>
      <c r="J1725" s="7"/>
      <c r="K1725" s="7"/>
      <c r="L1725" s="7"/>
      <c r="M1725" s="7"/>
      <c r="N1725" s="7"/>
      <c r="O1725" s="7"/>
      <c r="P1725" s="7"/>
      <c r="Q1725" s="7"/>
      <c r="R1725" s="7"/>
      <c r="S1725" s="7"/>
      <c r="T1725" s="7"/>
      <c r="U1725" s="7"/>
      <c r="V1725" s="7"/>
      <c r="W1725" s="14"/>
      <c r="X1725" s="10"/>
      <c r="Y1725" s="10"/>
      <c r="AB1725" s="19"/>
      <c r="AC1725" s="18"/>
    </row>
    <row r="1726" spans="4:29" x14ac:dyDescent="0.25">
      <c r="D1726" s="3"/>
      <c r="E1726" s="12"/>
      <c r="F1726" s="12"/>
      <c r="G1726" s="12"/>
      <c r="H1726" s="12"/>
      <c r="I1726" s="7"/>
      <c r="J1726" s="7"/>
      <c r="K1726" s="7"/>
      <c r="L1726" s="7"/>
      <c r="M1726" s="7"/>
      <c r="N1726" s="7"/>
      <c r="O1726" s="7"/>
      <c r="P1726" s="7"/>
      <c r="Q1726" s="7"/>
      <c r="R1726" s="7"/>
      <c r="S1726" s="7"/>
      <c r="T1726" s="7"/>
      <c r="U1726" s="7"/>
      <c r="V1726" s="7"/>
      <c r="W1726" s="14"/>
      <c r="X1726" s="10"/>
      <c r="Y1726" s="10"/>
      <c r="AB1726" s="19"/>
      <c r="AC1726" s="18"/>
    </row>
    <row r="1727" spans="4:29" x14ac:dyDescent="0.25">
      <c r="D1727" s="3"/>
      <c r="E1727" s="12"/>
      <c r="F1727" s="12"/>
      <c r="G1727" s="12"/>
      <c r="H1727" s="12"/>
      <c r="I1727" s="7"/>
      <c r="J1727" s="7"/>
      <c r="K1727" s="7"/>
      <c r="L1727" s="7"/>
      <c r="M1727" s="7"/>
      <c r="N1727" s="7"/>
      <c r="O1727" s="7"/>
      <c r="P1727" s="7"/>
      <c r="Q1727" s="7"/>
      <c r="R1727" s="7"/>
      <c r="S1727" s="7"/>
      <c r="T1727" s="7"/>
      <c r="U1727" s="7"/>
      <c r="V1727" s="7"/>
      <c r="W1727" s="14"/>
      <c r="X1727" s="10"/>
      <c r="Y1727" s="10"/>
      <c r="AB1727" s="19"/>
      <c r="AC1727" s="18"/>
    </row>
    <row r="1728" spans="4:29" x14ac:dyDescent="0.25">
      <c r="D1728" s="3"/>
      <c r="E1728" s="12"/>
      <c r="F1728" s="12"/>
      <c r="G1728" s="12"/>
      <c r="H1728" s="12"/>
      <c r="I1728" s="7"/>
      <c r="J1728" s="7"/>
      <c r="K1728" s="7"/>
      <c r="L1728" s="7"/>
      <c r="M1728" s="7"/>
      <c r="N1728" s="7"/>
      <c r="O1728" s="7"/>
      <c r="P1728" s="7"/>
      <c r="Q1728" s="7"/>
      <c r="R1728" s="7"/>
      <c r="S1728" s="7"/>
      <c r="T1728" s="7"/>
      <c r="U1728" s="7"/>
      <c r="V1728" s="7"/>
      <c r="W1728" s="14"/>
      <c r="X1728" s="10"/>
      <c r="Y1728" s="10"/>
      <c r="AB1728" s="19"/>
      <c r="AC1728" s="18"/>
    </row>
    <row r="1729" spans="4:29" x14ac:dyDescent="0.25">
      <c r="D1729" s="3"/>
      <c r="E1729" s="12"/>
      <c r="F1729" s="12"/>
      <c r="G1729" s="12"/>
      <c r="H1729" s="12"/>
      <c r="I1729" s="7"/>
      <c r="J1729" s="7"/>
      <c r="K1729" s="7"/>
      <c r="L1729" s="7"/>
      <c r="M1729" s="7"/>
      <c r="N1729" s="7"/>
      <c r="O1729" s="7"/>
      <c r="P1729" s="7"/>
      <c r="Q1729" s="7"/>
      <c r="R1729" s="7"/>
      <c r="S1729" s="7"/>
      <c r="T1729" s="7"/>
      <c r="U1729" s="7"/>
      <c r="V1729" s="7"/>
      <c r="W1729" s="14"/>
      <c r="X1729" s="10"/>
      <c r="Y1729" s="10"/>
      <c r="AB1729" s="19"/>
      <c r="AC1729" s="18"/>
    </row>
    <row r="1730" spans="4:29" x14ac:dyDescent="0.25">
      <c r="D1730" s="3"/>
      <c r="E1730" s="12"/>
      <c r="F1730" s="12"/>
      <c r="G1730" s="12"/>
      <c r="H1730" s="12"/>
      <c r="I1730" s="7"/>
      <c r="J1730" s="7"/>
      <c r="K1730" s="7"/>
      <c r="L1730" s="7"/>
      <c r="M1730" s="7"/>
      <c r="N1730" s="7"/>
      <c r="O1730" s="7"/>
      <c r="P1730" s="7"/>
      <c r="Q1730" s="7"/>
      <c r="R1730" s="7"/>
      <c r="S1730" s="7"/>
      <c r="T1730" s="7"/>
      <c r="U1730" s="7"/>
      <c r="V1730" s="7"/>
      <c r="W1730" s="14"/>
      <c r="X1730" s="10"/>
      <c r="Y1730" s="10"/>
      <c r="AB1730" s="19"/>
      <c r="AC1730" s="18"/>
    </row>
    <row r="1731" spans="4:29" x14ac:dyDescent="0.25">
      <c r="D1731" s="3"/>
      <c r="E1731" s="12"/>
      <c r="F1731" s="12"/>
      <c r="G1731" s="12"/>
      <c r="H1731" s="12"/>
      <c r="I1731" s="7"/>
      <c r="J1731" s="7"/>
      <c r="K1731" s="7"/>
      <c r="L1731" s="7"/>
      <c r="M1731" s="7"/>
      <c r="N1731" s="7"/>
      <c r="O1731" s="7"/>
      <c r="P1731" s="7"/>
      <c r="Q1731" s="7"/>
      <c r="R1731" s="7"/>
      <c r="S1731" s="7"/>
      <c r="T1731" s="7"/>
      <c r="U1731" s="7"/>
      <c r="V1731" s="7"/>
      <c r="W1731" s="14"/>
      <c r="X1731" s="10"/>
      <c r="Y1731" s="10"/>
      <c r="AB1731" s="19"/>
      <c r="AC1731" s="18"/>
    </row>
    <row r="1732" spans="4:29" x14ac:dyDescent="0.25">
      <c r="D1732" s="3"/>
      <c r="E1732" s="12"/>
      <c r="F1732" s="12"/>
      <c r="G1732" s="12"/>
      <c r="H1732" s="12"/>
      <c r="I1732" s="7"/>
      <c r="J1732" s="7"/>
      <c r="K1732" s="7"/>
      <c r="L1732" s="7"/>
      <c r="M1732" s="7"/>
      <c r="N1732" s="7"/>
      <c r="O1732" s="7"/>
      <c r="P1732" s="7"/>
      <c r="Q1732" s="7"/>
      <c r="R1732" s="7"/>
      <c r="S1732" s="7"/>
      <c r="T1732" s="7"/>
      <c r="U1732" s="7"/>
      <c r="V1732" s="7"/>
      <c r="W1732" s="14"/>
      <c r="X1732" s="10"/>
      <c r="Y1732" s="10"/>
      <c r="AB1732" s="19"/>
      <c r="AC1732" s="18"/>
    </row>
    <row r="1733" spans="4:29" x14ac:dyDescent="0.25">
      <c r="D1733" s="3"/>
      <c r="E1733" s="12"/>
      <c r="F1733" s="12"/>
      <c r="G1733" s="12"/>
      <c r="H1733" s="12"/>
      <c r="I1733" s="7"/>
      <c r="J1733" s="7"/>
      <c r="K1733" s="7"/>
      <c r="L1733" s="7"/>
      <c r="M1733" s="7"/>
      <c r="N1733" s="7"/>
      <c r="O1733" s="7"/>
      <c r="P1733" s="7"/>
      <c r="Q1733" s="7"/>
      <c r="R1733" s="7"/>
      <c r="S1733" s="7"/>
      <c r="T1733" s="7"/>
      <c r="U1733" s="7"/>
      <c r="V1733" s="7"/>
      <c r="W1733" s="14"/>
      <c r="X1733" s="10"/>
      <c r="Y1733" s="10"/>
      <c r="AB1733" s="19"/>
      <c r="AC1733" s="18"/>
    </row>
    <row r="1734" spans="4:29" x14ac:dyDescent="0.25">
      <c r="D1734" s="3"/>
      <c r="E1734" s="12"/>
      <c r="F1734" s="12"/>
      <c r="G1734" s="12"/>
      <c r="H1734" s="12"/>
      <c r="I1734" s="7"/>
      <c r="J1734" s="7"/>
      <c r="K1734" s="7"/>
      <c r="L1734" s="7"/>
      <c r="M1734" s="7"/>
      <c r="N1734" s="7"/>
      <c r="O1734" s="7"/>
      <c r="P1734" s="7"/>
      <c r="Q1734" s="7"/>
      <c r="R1734" s="7"/>
      <c r="S1734" s="7"/>
      <c r="T1734" s="7"/>
      <c r="U1734" s="7"/>
      <c r="V1734" s="7"/>
      <c r="W1734" s="14"/>
      <c r="X1734" s="10"/>
      <c r="Y1734" s="10"/>
      <c r="AB1734" s="19"/>
      <c r="AC1734" s="18"/>
    </row>
    <row r="1735" spans="4:29" x14ac:dyDescent="0.25">
      <c r="D1735" s="3"/>
      <c r="E1735" s="12"/>
      <c r="F1735" s="12"/>
      <c r="G1735" s="12"/>
      <c r="H1735" s="12"/>
      <c r="I1735" s="7"/>
      <c r="J1735" s="7"/>
      <c r="K1735" s="7"/>
      <c r="L1735" s="7"/>
      <c r="M1735" s="7"/>
      <c r="N1735" s="7"/>
      <c r="O1735" s="7"/>
      <c r="P1735" s="7"/>
      <c r="Q1735" s="7"/>
      <c r="R1735" s="7"/>
      <c r="S1735" s="7"/>
      <c r="T1735" s="7"/>
      <c r="U1735" s="7"/>
      <c r="V1735" s="7"/>
      <c r="W1735" s="14"/>
      <c r="X1735" s="10"/>
      <c r="Y1735" s="10"/>
      <c r="AB1735" s="19"/>
      <c r="AC1735" s="18"/>
    </row>
    <row r="1736" spans="4:29" x14ac:dyDescent="0.25">
      <c r="D1736" s="3"/>
      <c r="E1736" s="12"/>
      <c r="F1736" s="12"/>
      <c r="G1736" s="12"/>
      <c r="H1736" s="12"/>
      <c r="I1736" s="7"/>
      <c r="J1736" s="7"/>
      <c r="K1736" s="7"/>
      <c r="L1736" s="7"/>
      <c r="M1736" s="7"/>
      <c r="N1736" s="7"/>
      <c r="O1736" s="7"/>
      <c r="P1736" s="7"/>
      <c r="Q1736" s="7"/>
      <c r="R1736" s="7"/>
      <c r="S1736" s="7"/>
      <c r="T1736" s="7"/>
      <c r="U1736" s="7"/>
      <c r="V1736" s="7"/>
      <c r="W1736" s="14"/>
      <c r="X1736" s="10"/>
      <c r="Y1736" s="10"/>
      <c r="AB1736" s="19"/>
      <c r="AC1736" s="18"/>
    </row>
    <row r="1737" spans="4:29" x14ac:dyDescent="0.25">
      <c r="D1737" s="3"/>
      <c r="E1737" s="12"/>
      <c r="F1737" s="12"/>
      <c r="G1737" s="12"/>
      <c r="H1737" s="12"/>
      <c r="I1737" s="7"/>
      <c r="J1737" s="7"/>
      <c r="K1737" s="7"/>
      <c r="L1737" s="7"/>
      <c r="M1737" s="7"/>
      <c r="N1737" s="7"/>
      <c r="O1737" s="7"/>
      <c r="P1737" s="7"/>
      <c r="Q1737" s="7"/>
      <c r="R1737" s="7"/>
      <c r="S1737" s="7"/>
      <c r="T1737" s="7"/>
      <c r="U1737" s="7"/>
      <c r="V1737" s="7"/>
      <c r="W1737" s="14"/>
      <c r="X1737" s="10"/>
      <c r="Y1737" s="10"/>
      <c r="AB1737" s="19"/>
      <c r="AC1737" s="18"/>
    </row>
    <row r="1738" spans="4:29" x14ac:dyDescent="0.25">
      <c r="D1738" s="3"/>
      <c r="E1738" s="12"/>
      <c r="F1738" s="12"/>
      <c r="G1738" s="12"/>
      <c r="H1738" s="12"/>
      <c r="I1738" s="7"/>
      <c r="J1738" s="7"/>
      <c r="K1738" s="7"/>
      <c r="L1738" s="7"/>
      <c r="M1738" s="7"/>
      <c r="N1738" s="7"/>
      <c r="O1738" s="7"/>
      <c r="P1738" s="7"/>
      <c r="Q1738" s="7"/>
      <c r="R1738" s="7"/>
      <c r="S1738" s="7"/>
      <c r="T1738" s="7"/>
      <c r="U1738" s="7"/>
      <c r="V1738" s="7"/>
      <c r="W1738" s="14"/>
      <c r="X1738" s="10"/>
      <c r="Y1738" s="10"/>
      <c r="AB1738" s="19"/>
      <c r="AC1738" s="18"/>
    </row>
    <row r="1739" spans="4:29" x14ac:dyDescent="0.25">
      <c r="D1739" s="3"/>
      <c r="E1739" s="12"/>
      <c r="F1739" s="12"/>
      <c r="G1739" s="12"/>
      <c r="H1739" s="12"/>
      <c r="I1739" s="7"/>
      <c r="J1739" s="7"/>
      <c r="K1739" s="7"/>
      <c r="L1739" s="7"/>
      <c r="M1739" s="7"/>
      <c r="N1739" s="7"/>
      <c r="O1739" s="7"/>
      <c r="P1739" s="7"/>
      <c r="Q1739" s="7"/>
      <c r="R1739" s="7"/>
      <c r="S1739" s="7"/>
      <c r="T1739" s="7"/>
      <c r="U1739" s="7"/>
      <c r="V1739" s="7"/>
      <c r="W1739" s="14"/>
      <c r="X1739" s="10"/>
      <c r="Y1739" s="10"/>
      <c r="AB1739" s="19"/>
      <c r="AC1739" s="18"/>
    </row>
    <row r="1740" spans="4:29" x14ac:dyDescent="0.25">
      <c r="D1740" s="3"/>
      <c r="E1740" s="12"/>
      <c r="F1740" s="12"/>
      <c r="G1740" s="12"/>
      <c r="H1740" s="12"/>
      <c r="I1740" s="7"/>
      <c r="J1740" s="7"/>
      <c r="K1740" s="7"/>
      <c r="L1740" s="7"/>
      <c r="M1740" s="7"/>
      <c r="N1740" s="7"/>
      <c r="O1740" s="7"/>
      <c r="P1740" s="7"/>
      <c r="Q1740" s="7"/>
      <c r="R1740" s="7"/>
      <c r="S1740" s="7"/>
      <c r="T1740" s="7"/>
      <c r="U1740" s="7"/>
      <c r="V1740" s="7"/>
      <c r="W1740" s="14"/>
      <c r="X1740" s="10"/>
      <c r="Y1740" s="10"/>
      <c r="AB1740" s="19"/>
      <c r="AC1740" s="18"/>
    </row>
    <row r="1741" spans="4:29" x14ac:dyDescent="0.25">
      <c r="D1741" s="3"/>
      <c r="E1741" s="12"/>
      <c r="F1741" s="12"/>
      <c r="G1741" s="12"/>
      <c r="H1741" s="12"/>
      <c r="I1741" s="7"/>
      <c r="J1741" s="7"/>
      <c r="K1741" s="7"/>
      <c r="L1741" s="7"/>
      <c r="M1741" s="7"/>
      <c r="N1741" s="7"/>
      <c r="O1741" s="7"/>
      <c r="P1741" s="7"/>
      <c r="Q1741" s="7"/>
      <c r="R1741" s="7"/>
      <c r="S1741" s="7"/>
      <c r="T1741" s="7"/>
      <c r="U1741" s="7"/>
      <c r="V1741" s="7"/>
      <c r="W1741" s="14"/>
      <c r="X1741" s="10"/>
      <c r="Y1741" s="10"/>
      <c r="AB1741" s="19"/>
      <c r="AC1741" s="18"/>
    </row>
    <row r="1742" spans="4:29" x14ac:dyDescent="0.25">
      <c r="D1742" s="3"/>
      <c r="E1742" s="12"/>
      <c r="F1742" s="12"/>
      <c r="G1742" s="12"/>
      <c r="H1742" s="12"/>
      <c r="I1742" s="7"/>
      <c r="J1742" s="7"/>
      <c r="K1742" s="7"/>
      <c r="L1742" s="7"/>
      <c r="M1742" s="7"/>
      <c r="N1742" s="7"/>
      <c r="O1742" s="7"/>
      <c r="P1742" s="7"/>
      <c r="Q1742" s="7"/>
      <c r="R1742" s="7"/>
      <c r="S1742" s="7"/>
      <c r="T1742" s="7"/>
      <c r="U1742" s="7"/>
      <c r="V1742" s="7"/>
      <c r="W1742" s="14"/>
      <c r="X1742" s="10"/>
      <c r="Y1742" s="10"/>
      <c r="AB1742" s="19"/>
      <c r="AC1742" s="18"/>
    </row>
    <row r="1743" spans="4:29" x14ac:dyDescent="0.25">
      <c r="D1743" s="3"/>
      <c r="E1743" s="12"/>
      <c r="F1743" s="12"/>
      <c r="G1743" s="12"/>
      <c r="H1743" s="12"/>
      <c r="I1743" s="7"/>
      <c r="J1743" s="7"/>
      <c r="K1743" s="7"/>
      <c r="L1743" s="7"/>
      <c r="M1743" s="7"/>
      <c r="N1743" s="7"/>
      <c r="O1743" s="7"/>
      <c r="P1743" s="7"/>
      <c r="Q1743" s="7"/>
      <c r="R1743" s="7"/>
      <c r="S1743" s="7"/>
      <c r="T1743" s="7"/>
      <c r="U1743" s="7"/>
      <c r="V1743" s="7"/>
      <c r="W1743" s="14"/>
      <c r="X1743" s="10"/>
      <c r="Y1743" s="10"/>
      <c r="AB1743" s="19"/>
      <c r="AC1743" s="18"/>
    </row>
    <row r="1744" spans="4:29" x14ac:dyDescent="0.25">
      <c r="D1744" s="3"/>
      <c r="E1744" s="12"/>
      <c r="F1744" s="12"/>
      <c r="G1744" s="12"/>
      <c r="H1744" s="12"/>
      <c r="I1744" s="7"/>
      <c r="J1744" s="7"/>
      <c r="K1744" s="7"/>
      <c r="L1744" s="7"/>
      <c r="M1744" s="7"/>
      <c r="N1744" s="7"/>
      <c r="O1744" s="7"/>
      <c r="P1744" s="7"/>
      <c r="Q1744" s="7"/>
      <c r="R1744" s="7"/>
      <c r="S1744" s="7"/>
      <c r="T1744" s="7"/>
      <c r="U1744" s="7"/>
      <c r="V1744" s="7"/>
      <c r="W1744" s="14"/>
      <c r="X1744" s="10"/>
      <c r="Y1744" s="10"/>
      <c r="AB1744" s="19"/>
      <c r="AC1744" s="18"/>
    </row>
    <row r="1745" spans="4:29" x14ac:dyDescent="0.25">
      <c r="D1745" s="3"/>
      <c r="E1745" s="12"/>
      <c r="F1745" s="12"/>
      <c r="G1745" s="12"/>
      <c r="H1745" s="12"/>
      <c r="I1745" s="7"/>
      <c r="J1745" s="7"/>
      <c r="K1745" s="7"/>
      <c r="L1745" s="7"/>
      <c r="M1745" s="7"/>
      <c r="N1745" s="7"/>
      <c r="O1745" s="7"/>
      <c r="P1745" s="7"/>
      <c r="Q1745" s="7"/>
      <c r="R1745" s="7"/>
      <c r="S1745" s="7"/>
      <c r="T1745" s="7"/>
      <c r="U1745" s="7"/>
      <c r="V1745" s="7"/>
      <c r="W1745" s="14"/>
      <c r="X1745" s="10"/>
      <c r="Y1745" s="10"/>
      <c r="AB1745" s="19"/>
      <c r="AC1745" s="18"/>
    </row>
    <row r="1746" spans="4:29" x14ac:dyDescent="0.25">
      <c r="D1746" s="3"/>
      <c r="E1746" s="12"/>
      <c r="F1746" s="12"/>
      <c r="G1746" s="12"/>
      <c r="H1746" s="12"/>
      <c r="I1746" s="7"/>
      <c r="J1746" s="7"/>
      <c r="K1746" s="7"/>
      <c r="L1746" s="7"/>
      <c r="M1746" s="7"/>
      <c r="N1746" s="7"/>
      <c r="O1746" s="7"/>
      <c r="P1746" s="7"/>
      <c r="Q1746" s="7"/>
      <c r="R1746" s="7"/>
      <c r="S1746" s="7"/>
      <c r="T1746" s="7"/>
      <c r="U1746" s="7"/>
      <c r="V1746" s="7"/>
      <c r="W1746" s="14"/>
      <c r="X1746" s="10"/>
      <c r="Y1746" s="10"/>
      <c r="AB1746" s="19"/>
      <c r="AC1746" s="18"/>
    </row>
    <row r="1747" spans="4:29" x14ac:dyDescent="0.25">
      <c r="D1747" s="3"/>
      <c r="E1747" s="12"/>
      <c r="F1747" s="12"/>
      <c r="G1747" s="12"/>
      <c r="H1747" s="12"/>
      <c r="I1747" s="7"/>
      <c r="J1747" s="7"/>
      <c r="K1747" s="7"/>
      <c r="L1747" s="7"/>
      <c r="M1747" s="7"/>
      <c r="N1747" s="7"/>
      <c r="O1747" s="7"/>
      <c r="P1747" s="7"/>
      <c r="Q1747" s="7"/>
      <c r="R1747" s="7"/>
      <c r="S1747" s="7"/>
      <c r="T1747" s="7"/>
      <c r="U1747" s="7"/>
      <c r="V1747" s="7"/>
      <c r="W1747" s="14"/>
      <c r="X1747" s="10"/>
      <c r="Y1747" s="10"/>
      <c r="AB1747" s="19"/>
      <c r="AC1747" s="18"/>
    </row>
    <row r="1748" spans="4:29" x14ac:dyDescent="0.25">
      <c r="D1748" s="3"/>
      <c r="E1748" s="12"/>
      <c r="F1748" s="12"/>
      <c r="G1748" s="12"/>
      <c r="H1748" s="12"/>
      <c r="I1748" s="7"/>
      <c r="J1748" s="7"/>
      <c r="K1748" s="7"/>
      <c r="L1748" s="7"/>
      <c r="M1748" s="7"/>
      <c r="N1748" s="7"/>
      <c r="O1748" s="7"/>
      <c r="P1748" s="7"/>
      <c r="Q1748" s="7"/>
      <c r="R1748" s="7"/>
      <c r="S1748" s="7"/>
      <c r="T1748" s="7"/>
      <c r="U1748" s="7"/>
      <c r="V1748" s="7"/>
      <c r="W1748" s="14"/>
      <c r="X1748" s="10"/>
      <c r="Y1748" s="10"/>
      <c r="AB1748" s="19"/>
      <c r="AC1748" s="18"/>
    </row>
    <row r="1749" spans="4:29" x14ac:dyDescent="0.25">
      <c r="D1749" s="3"/>
      <c r="E1749" s="12"/>
      <c r="F1749" s="12"/>
      <c r="G1749" s="12"/>
      <c r="H1749" s="12"/>
      <c r="I1749" s="7"/>
      <c r="J1749" s="7"/>
      <c r="K1749" s="7"/>
      <c r="L1749" s="7"/>
      <c r="M1749" s="7"/>
      <c r="N1749" s="7"/>
      <c r="O1749" s="7"/>
      <c r="P1749" s="7"/>
      <c r="Q1749" s="7"/>
      <c r="R1749" s="7"/>
      <c r="S1749" s="7"/>
      <c r="T1749" s="7"/>
      <c r="U1749" s="7"/>
      <c r="V1749" s="7"/>
      <c r="W1749" s="14"/>
      <c r="X1749" s="10"/>
      <c r="Y1749" s="10"/>
      <c r="AB1749" s="19"/>
      <c r="AC1749" s="18"/>
    </row>
    <row r="1750" spans="4:29" x14ac:dyDescent="0.25">
      <c r="D1750" s="3"/>
      <c r="E1750" s="12"/>
      <c r="F1750" s="12"/>
      <c r="G1750" s="12"/>
      <c r="H1750" s="12"/>
      <c r="I1750" s="7"/>
      <c r="J1750" s="7"/>
      <c r="K1750" s="7"/>
      <c r="L1750" s="7"/>
      <c r="M1750" s="7"/>
      <c r="N1750" s="7"/>
      <c r="O1750" s="7"/>
      <c r="P1750" s="7"/>
      <c r="Q1750" s="7"/>
      <c r="R1750" s="7"/>
      <c r="S1750" s="7"/>
      <c r="T1750" s="7"/>
      <c r="U1750" s="7"/>
      <c r="V1750" s="7"/>
      <c r="W1750" s="14"/>
      <c r="X1750" s="10"/>
      <c r="Y1750" s="10"/>
      <c r="AB1750" s="19"/>
      <c r="AC1750" s="18"/>
    </row>
    <row r="1751" spans="4:29" x14ac:dyDescent="0.25">
      <c r="D1751" s="3"/>
      <c r="E1751" s="12"/>
      <c r="F1751" s="12"/>
      <c r="G1751" s="12"/>
      <c r="H1751" s="12"/>
      <c r="I1751" s="7"/>
      <c r="J1751" s="7"/>
      <c r="K1751" s="7"/>
      <c r="L1751" s="7"/>
      <c r="M1751" s="7"/>
      <c r="N1751" s="7"/>
      <c r="O1751" s="7"/>
      <c r="P1751" s="7"/>
      <c r="Q1751" s="7"/>
      <c r="R1751" s="7"/>
      <c r="S1751" s="7"/>
      <c r="T1751" s="7"/>
      <c r="U1751" s="7"/>
      <c r="V1751" s="7"/>
      <c r="W1751" s="14"/>
      <c r="X1751" s="10"/>
      <c r="Y1751" s="10"/>
      <c r="AB1751" s="19"/>
      <c r="AC1751" s="18"/>
    </row>
    <row r="1752" spans="4:29" x14ac:dyDescent="0.25">
      <c r="D1752" s="3"/>
      <c r="E1752" s="12"/>
      <c r="F1752" s="12"/>
      <c r="G1752" s="12"/>
      <c r="H1752" s="12"/>
      <c r="I1752" s="7"/>
      <c r="J1752" s="7"/>
      <c r="K1752" s="7"/>
      <c r="L1752" s="7"/>
      <c r="M1752" s="7"/>
      <c r="N1752" s="7"/>
      <c r="O1752" s="7"/>
      <c r="P1752" s="7"/>
      <c r="Q1752" s="7"/>
      <c r="R1752" s="7"/>
      <c r="S1752" s="7"/>
      <c r="T1752" s="7"/>
      <c r="U1752" s="7"/>
      <c r="V1752" s="7"/>
      <c r="W1752" s="14"/>
      <c r="X1752" s="10"/>
      <c r="Y1752" s="10"/>
      <c r="AB1752" s="19"/>
      <c r="AC1752" s="18"/>
    </row>
    <row r="1753" spans="4:29" x14ac:dyDescent="0.25">
      <c r="D1753" s="3"/>
      <c r="E1753" s="12"/>
      <c r="F1753" s="12"/>
      <c r="G1753" s="12"/>
      <c r="H1753" s="12"/>
      <c r="I1753" s="7"/>
      <c r="J1753" s="7"/>
      <c r="K1753" s="7"/>
      <c r="L1753" s="7"/>
      <c r="M1753" s="7"/>
      <c r="N1753" s="7"/>
      <c r="O1753" s="7"/>
      <c r="P1753" s="7"/>
      <c r="Q1753" s="7"/>
      <c r="R1753" s="7"/>
      <c r="S1753" s="7"/>
      <c r="T1753" s="7"/>
      <c r="U1753" s="7"/>
      <c r="V1753" s="7"/>
      <c r="W1753" s="14"/>
      <c r="X1753" s="10"/>
      <c r="Y1753" s="10"/>
      <c r="AB1753" s="19"/>
      <c r="AC1753" s="18"/>
    </row>
    <row r="1754" spans="4:29" x14ac:dyDescent="0.25">
      <c r="D1754" s="3"/>
      <c r="E1754" s="12"/>
      <c r="F1754" s="12"/>
      <c r="G1754" s="12"/>
      <c r="H1754" s="12"/>
      <c r="I1754" s="7"/>
      <c r="J1754" s="7"/>
      <c r="K1754" s="7"/>
      <c r="L1754" s="7"/>
      <c r="M1754" s="7"/>
      <c r="N1754" s="7"/>
      <c r="O1754" s="7"/>
      <c r="P1754" s="7"/>
      <c r="Q1754" s="7"/>
      <c r="R1754" s="7"/>
      <c r="S1754" s="7"/>
      <c r="T1754" s="7"/>
      <c r="U1754" s="7"/>
      <c r="V1754" s="7"/>
      <c r="W1754" s="14"/>
      <c r="X1754" s="10"/>
      <c r="Y1754" s="10"/>
      <c r="AB1754" s="19"/>
      <c r="AC1754" s="18"/>
    </row>
    <row r="1755" spans="4:29" x14ac:dyDescent="0.25">
      <c r="D1755" s="3"/>
      <c r="E1755" s="12"/>
      <c r="F1755" s="12"/>
      <c r="G1755" s="12"/>
      <c r="H1755" s="12"/>
      <c r="I1755" s="7"/>
      <c r="J1755" s="7"/>
      <c r="K1755" s="7"/>
      <c r="L1755" s="7"/>
      <c r="M1755" s="7"/>
      <c r="N1755" s="7"/>
      <c r="O1755" s="7"/>
      <c r="P1755" s="7"/>
      <c r="Q1755" s="7"/>
      <c r="R1755" s="7"/>
      <c r="S1755" s="7"/>
      <c r="T1755" s="7"/>
      <c r="U1755" s="7"/>
      <c r="V1755" s="7"/>
      <c r="W1755" s="14"/>
      <c r="X1755" s="10"/>
      <c r="Y1755" s="10"/>
      <c r="AB1755" s="19"/>
      <c r="AC1755" s="18"/>
    </row>
    <row r="1756" spans="4:29" x14ac:dyDescent="0.25">
      <c r="D1756" s="3"/>
      <c r="E1756" s="12"/>
      <c r="F1756" s="12"/>
      <c r="G1756" s="12"/>
      <c r="H1756" s="12"/>
      <c r="I1756" s="7"/>
      <c r="J1756" s="7"/>
      <c r="K1756" s="7"/>
      <c r="L1756" s="7"/>
      <c r="M1756" s="7"/>
      <c r="N1756" s="7"/>
      <c r="O1756" s="7"/>
      <c r="P1756" s="7"/>
      <c r="Q1756" s="7"/>
      <c r="R1756" s="7"/>
      <c r="S1756" s="7"/>
      <c r="T1756" s="7"/>
      <c r="U1756" s="7"/>
      <c r="V1756" s="7"/>
      <c r="W1756" s="14"/>
      <c r="X1756" s="10"/>
      <c r="Y1756" s="10"/>
      <c r="AB1756" s="19"/>
      <c r="AC1756" s="18"/>
    </row>
    <row r="1757" spans="4:29" x14ac:dyDescent="0.25">
      <c r="D1757" s="3"/>
      <c r="E1757" s="12"/>
      <c r="F1757" s="12"/>
      <c r="G1757" s="12"/>
      <c r="H1757" s="12"/>
      <c r="I1757" s="7"/>
      <c r="J1757" s="7"/>
      <c r="K1757" s="7"/>
      <c r="L1757" s="7"/>
      <c r="M1757" s="7"/>
      <c r="N1757" s="7"/>
      <c r="O1757" s="7"/>
      <c r="P1757" s="7"/>
      <c r="Q1757" s="7"/>
      <c r="R1757" s="7"/>
      <c r="S1757" s="7"/>
      <c r="T1757" s="7"/>
      <c r="U1757" s="7"/>
      <c r="V1757" s="7"/>
      <c r="W1757" s="14"/>
      <c r="X1757" s="10"/>
      <c r="Y1757" s="10"/>
      <c r="AB1757" s="19"/>
      <c r="AC1757" s="18"/>
    </row>
    <row r="1758" spans="4:29" x14ac:dyDescent="0.25">
      <c r="D1758" s="3"/>
      <c r="E1758" s="12"/>
      <c r="F1758" s="12"/>
      <c r="G1758" s="12"/>
      <c r="H1758" s="12"/>
      <c r="I1758" s="7"/>
      <c r="J1758" s="7"/>
      <c r="K1758" s="7"/>
      <c r="L1758" s="7"/>
      <c r="M1758" s="7"/>
      <c r="N1758" s="7"/>
      <c r="O1758" s="7"/>
      <c r="P1758" s="7"/>
      <c r="Q1758" s="7"/>
      <c r="R1758" s="7"/>
      <c r="S1758" s="7"/>
      <c r="T1758" s="7"/>
      <c r="U1758" s="7"/>
      <c r="V1758" s="7"/>
      <c r="W1758" s="14"/>
      <c r="X1758" s="10"/>
      <c r="Y1758" s="10"/>
      <c r="AB1758" s="19"/>
      <c r="AC1758" s="18"/>
    </row>
    <row r="1759" spans="4:29" x14ac:dyDescent="0.25">
      <c r="D1759" s="3"/>
      <c r="E1759" s="12"/>
      <c r="F1759" s="12"/>
      <c r="G1759" s="12"/>
      <c r="H1759" s="12"/>
      <c r="I1759" s="7"/>
      <c r="J1759" s="7"/>
      <c r="K1759" s="7"/>
      <c r="L1759" s="7"/>
      <c r="M1759" s="7"/>
      <c r="N1759" s="7"/>
      <c r="O1759" s="7"/>
      <c r="P1759" s="7"/>
      <c r="Q1759" s="7"/>
      <c r="R1759" s="7"/>
      <c r="S1759" s="7"/>
      <c r="T1759" s="7"/>
      <c r="U1759" s="7"/>
      <c r="V1759" s="7"/>
      <c r="W1759" s="14"/>
      <c r="X1759" s="10"/>
      <c r="Y1759" s="10"/>
      <c r="AB1759" s="19"/>
      <c r="AC1759" s="18"/>
    </row>
    <row r="1760" spans="4:29" x14ac:dyDescent="0.25">
      <c r="D1760" s="3"/>
      <c r="E1760" s="12"/>
      <c r="F1760" s="12"/>
      <c r="G1760" s="12"/>
      <c r="H1760" s="12"/>
      <c r="I1760" s="7"/>
      <c r="J1760" s="7"/>
      <c r="K1760" s="7"/>
      <c r="L1760" s="7"/>
      <c r="M1760" s="7"/>
      <c r="N1760" s="7"/>
      <c r="O1760" s="7"/>
      <c r="P1760" s="7"/>
      <c r="Q1760" s="7"/>
      <c r="R1760" s="7"/>
      <c r="S1760" s="7"/>
      <c r="T1760" s="7"/>
      <c r="U1760" s="7"/>
      <c r="V1760" s="7"/>
      <c r="W1760" s="14"/>
      <c r="X1760" s="10"/>
      <c r="Y1760" s="10"/>
      <c r="AB1760" s="19"/>
      <c r="AC1760" s="18"/>
    </row>
    <row r="1761" spans="4:29" x14ac:dyDescent="0.25">
      <c r="D1761" s="3"/>
      <c r="E1761" s="12"/>
      <c r="F1761" s="12"/>
      <c r="G1761" s="12"/>
      <c r="H1761" s="12"/>
      <c r="I1761" s="7"/>
      <c r="J1761" s="7"/>
      <c r="K1761" s="7"/>
      <c r="L1761" s="7"/>
      <c r="M1761" s="7"/>
      <c r="N1761" s="7"/>
      <c r="O1761" s="7"/>
      <c r="P1761" s="7"/>
      <c r="Q1761" s="7"/>
      <c r="R1761" s="7"/>
      <c r="S1761" s="7"/>
      <c r="T1761" s="7"/>
      <c r="U1761" s="7"/>
      <c r="V1761" s="7"/>
      <c r="W1761" s="14"/>
      <c r="X1761" s="10"/>
      <c r="Y1761" s="10"/>
      <c r="AB1761" s="19"/>
      <c r="AC1761" s="18"/>
    </row>
    <row r="1762" spans="4:29" x14ac:dyDescent="0.25">
      <c r="D1762" s="3"/>
      <c r="E1762" s="12"/>
      <c r="F1762" s="12"/>
      <c r="G1762" s="12"/>
      <c r="H1762" s="12"/>
      <c r="I1762" s="7"/>
      <c r="J1762" s="7"/>
      <c r="K1762" s="7"/>
      <c r="L1762" s="7"/>
      <c r="M1762" s="7"/>
      <c r="N1762" s="7"/>
      <c r="O1762" s="7"/>
      <c r="P1762" s="7"/>
      <c r="Q1762" s="7"/>
      <c r="R1762" s="7"/>
      <c r="S1762" s="7"/>
      <c r="T1762" s="7"/>
      <c r="U1762" s="7"/>
      <c r="V1762" s="7"/>
      <c r="W1762" s="14"/>
      <c r="X1762" s="10"/>
      <c r="Y1762" s="10"/>
      <c r="AB1762" s="19"/>
      <c r="AC1762" s="18"/>
    </row>
    <row r="1763" spans="4:29" x14ac:dyDescent="0.25">
      <c r="D1763" s="3"/>
      <c r="E1763" s="12"/>
      <c r="F1763" s="12"/>
      <c r="G1763" s="12"/>
      <c r="H1763" s="12"/>
      <c r="I1763" s="7"/>
      <c r="J1763" s="7"/>
      <c r="K1763" s="7"/>
      <c r="L1763" s="7"/>
      <c r="M1763" s="7"/>
      <c r="N1763" s="7"/>
      <c r="O1763" s="7"/>
      <c r="P1763" s="7"/>
      <c r="Q1763" s="7"/>
      <c r="R1763" s="7"/>
      <c r="S1763" s="7"/>
      <c r="T1763" s="7"/>
      <c r="U1763" s="7"/>
      <c r="V1763" s="7"/>
      <c r="W1763" s="14"/>
      <c r="X1763" s="10"/>
      <c r="Y1763" s="10"/>
      <c r="AB1763" s="19"/>
      <c r="AC1763" s="18"/>
    </row>
    <row r="1764" spans="4:29" x14ac:dyDescent="0.25">
      <c r="D1764" s="3"/>
      <c r="E1764" s="12"/>
      <c r="F1764" s="12"/>
      <c r="G1764" s="12"/>
      <c r="H1764" s="12"/>
      <c r="I1764" s="7"/>
      <c r="J1764" s="7"/>
      <c r="K1764" s="7"/>
      <c r="L1764" s="7"/>
      <c r="M1764" s="7"/>
      <c r="N1764" s="7"/>
      <c r="O1764" s="7"/>
      <c r="P1764" s="7"/>
      <c r="Q1764" s="7"/>
      <c r="R1764" s="7"/>
      <c r="S1764" s="7"/>
      <c r="T1764" s="7"/>
      <c r="U1764" s="7"/>
      <c r="V1764" s="7"/>
      <c r="W1764" s="14"/>
      <c r="X1764" s="10"/>
      <c r="Y1764" s="10"/>
      <c r="AB1764" s="19"/>
      <c r="AC1764" s="18"/>
    </row>
    <row r="1765" spans="4:29" x14ac:dyDescent="0.25">
      <c r="D1765" s="3"/>
      <c r="E1765" s="12"/>
      <c r="F1765" s="12"/>
      <c r="G1765" s="12"/>
      <c r="H1765" s="12"/>
      <c r="I1765" s="7"/>
      <c r="J1765" s="7"/>
      <c r="K1765" s="7"/>
      <c r="L1765" s="7"/>
      <c r="M1765" s="7"/>
      <c r="N1765" s="7"/>
      <c r="O1765" s="7"/>
      <c r="P1765" s="7"/>
      <c r="Q1765" s="7"/>
      <c r="R1765" s="7"/>
      <c r="S1765" s="7"/>
      <c r="T1765" s="7"/>
      <c r="U1765" s="7"/>
      <c r="V1765" s="7"/>
      <c r="W1765" s="14"/>
      <c r="X1765" s="10"/>
      <c r="Y1765" s="10"/>
      <c r="AB1765" s="19"/>
      <c r="AC1765" s="18"/>
    </row>
    <row r="1766" spans="4:29" x14ac:dyDescent="0.25">
      <c r="D1766" s="3"/>
      <c r="E1766" s="12"/>
      <c r="F1766" s="12"/>
      <c r="G1766" s="12"/>
      <c r="H1766" s="12"/>
      <c r="I1766" s="7"/>
      <c r="J1766" s="7"/>
      <c r="K1766" s="7"/>
      <c r="L1766" s="7"/>
      <c r="M1766" s="7"/>
      <c r="N1766" s="7"/>
      <c r="O1766" s="7"/>
      <c r="P1766" s="7"/>
      <c r="Q1766" s="7"/>
      <c r="R1766" s="7"/>
      <c r="S1766" s="7"/>
      <c r="T1766" s="7"/>
      <c r="U1766" s="7"/>
      <c r="V1766" s="7"/>
      <c r="W1766" s="14"/>
      <c r="X1766" s="10"/>
      <c r="Y1766" s="10"/>
      <c r="AB1766" s="19"/>
      <c r="AC1766" s="18"/>
    </row>
    <row r="1767" spans="4:29" x14ac:dyDescent="0.25">
      <c r="D1767" s="3"/>
      <c r="E1767" s="12"/>
      <c r="F1767" s="12"/>
      <c r="G1767" s="12"/>
      <c r="H1767" s="12"/>
      <c r="I1767" s="7"/>
      <c r="J1767" s="7"/>
      <c r="K1767" s="7"/>
      <c r="L1767" s="7"/>
      <c r="M1767" s="7"/>
      <c r="N1767" s="7"/>
      <c r="O1767" s="7"/>
      <c r="P1767" s="7"/>
      <c r="Q1767" s="7"/>
      <c r="R1767" s="7"/>
      <c r="S1767" s="7"/>
      <c r="T1767" s="7"/>
      <c r="U1767" s="7"/>
      <c r="V1767" s="7"/>
      <c r="W1767" s="14"/>
      <c r="X1767" s="10"/>
      <c r="Y1767" s="10"/>
      <c r="AB1767" s="19"/>
      <c r="AC1767" s="18"/>
    </row>
    <row r="1768" spans="4:29" x14ac:dyDescent="0.25">
      <c r="D1768" s="3"/>
      <c r="E1768" s="12"/>
      <c r="F1768" s="12"/>
      <c r="G1768" s="12"/>
      <c r="H1768" s="12"/>
      <c r="I1768" s="7"/>
      <c r="J1768" s="7"/>
      <c r="K1768" s="7"/>
      <c r="L1768" s="7"/>
      <c r="M1768" s="7"/>
      <c r="N1768" s="7"/>
      <c r="O1768" s="7"/>
      <c r="P1768" s="7"/>
      <c r="Q1768" s="7"/>
      <c r="R1768" s="7"/>
      <c r="S1768" s="7"/>
      <c r="T1768" s="7"/>
      <c r="U1768" s="7"/>
      <c r="V1768" s="7"/>
      <c r="W1768" s="14"/>
      <c r="X1768" s="10"/>
      <c r="Y1768" s="10"/>
      <c r="AB1768" s="19"/>
      <c r="AC1768" s="18"/>
    </row>
    <row r="1769" spans="4:29" x14ac:dyDescent="0.25">
      <c r="D1769" s="3"/>
      <c r="E1769" s="12"/>
      <c r="F1769" s="12"/>
      <c r="G1769" s="12"/>
      <c r="H1769" s="12"/>
      <c r="I1769" s="7"/>
      <c r="J1769" s="7"/>
      <c r="K1769" s="7"/>
      <c r="L1769" s="7"/>
      <c r="M1769" s="7"/>
      <c r="N1769" s="7"/>
      <c r="O1769" s="7"/>
      <c r="P1769" s="7"/>
      <c r="Q1769" s="7"/>
      <c r="R1769" s="7"/>
      <c r="S1769" s="7"/>
      <c r="T1769" s="7"/>
      <c r="U1769" s="7"/>
      <c r="V1769" s="7"/>
      <c r="W1769" s="14"/>
      <c r="X1769" s="10"/>
      <c r="Y1769" s="10"/>
      <c r="AB1769" s="19"/>
      <c r="AC1769" s="18"/>
    </row>
    <row r="1770" spans="4:29" x14ac:dyDescent="0.25">
      <c r="D1770" s="3"/>
      <c r="E1770" s="12"/>
      <c r="F1770" s="12"/>
      <c r="G1770" s="12"/>
      <c r="H1770" s="12"/>
      <c r="I1770" s="7"/>
      <c r="J1770" s="7"/>
      <c r="K1770" s="7"/>
      <c r="L1770" s="7"/>
      <c r="M1770" s="7"/>
      <c r="N1770" s="7"/>
      <c r="O1770" s="7"/>
      <c r="P1770" s="7"/>
      <c r="Q1770" s="7"/>
      <c r="R1770" s="7"/>
      <c r="S1770" s="7"/>
      <c r="T1770" s="7"/>
      <c r="U1770" s="7"/>
      <c r="V1770" s="7"/>
      <c r="W1770" s="14"/>
      <c r="X1770" s="10"/>
      <c r="Y1770" s="10"/>
      <c r="AB1770" s="19"/>
      <c r="AC1770" s="18"/>
    </row>
    <row r="1771" spans="4:29" x14ac:dyDescent="0.25">
      <c r="D1771" s="3"/>
      <c r="E1771" s="12"/>
      <c r="F1771" s="12"/>
      <c r="G1771" s="12"/>
      <c r="H1771" s="12"/>
      <c r="I1771" s="7"/>
      <c r="J1771" s="7"/>
      <c r="K1771" s="7"/>
      <c r="L1771" s="7"/>
      <c r="M1771" s="7"/>
      <c r="N1771" s="7"/>
      <c r="O1771" s="7"/>
      <c r="P1771" s="7"/>
      <c r="Q1771" s="7"/>
      <c r="R1771" s="7"/>
      <c r="S1771" s="7"/>
      <c r="T1771" s="7"/>
      <c r="U1771" s="7"/>
      <c r="V1771" s="7"/>
      <c r="W1771" s="14"/>
      <c r="X1771" s="10"/>
      <c r="Y1771" s="10"/>
      <c r="AB1771" s="19"/>
      <c r="AC1771" s="18"/>
    </row>
    <row r="1772" spans="4:29" x14ac:dyDescent="0.25">
      <c r="D1772" s="3"/>
      <c r="E1772" s="12"/>
      <c r="F1772" s="12"/>
      <c r="G1772" s="12"/>
      <c r="H1772" s="12"/>
      <c r="I1772" s="7"/>
      <c r="J1772" s="7"/>
      <c r="K1772" s="7"/>
      <c r="L1772" s="7"/>
      <c r="M1772" s="7"/>
      <c r="N1772" s="7"/>
      <c r="O1772" s="7"/>
      <c r="P1772" s="7"/>
      <c r="Q1772" s="7"/>
      <c r="R1772" s="7"/>
      <c r="S1772" s="7"/>
      <c r="T1772" s="7"/>
      <c r="U1772" s="7"/>
      <c r="V1772" s="7"/>
      <c r="W1772" s="14"/>
      <c r="X1772" s="10"/>
      <c r="Y1772" s="10"/>
      <c r="AB1772" s="19"/>
      <c r="AC1772" s="18"/>
    </row>
    <row r="1773" spans="4:29" x14ac:dyDescent="0.25">
      <c r="D1773" s="3"/>
      <c r="E1773" s="12"/>
      <c r="F1773" s="12"/>
      <c r="G1773" s="12"/>
      <c r="H1773" s="12"/>
      <c r="I1773" s="7"/>
      <c r="J1773" s="7"/>
      <c r="K1773" s="7"/>
      <c r="L1773" s="7"/>
      <c r="M1773" s="7"/>
      <c r="N1773" s="7"/>
      <c r="O1773" s="7"/>
      <c r="P1773" s="7"/>
      <c r="Q1773" s="7"/>
      <c r="R1773" s="7"/>
      <c r="S1773" s="7"/>
      <c r="T1773" s="7"/>
      <c r="U1773" s="7"/>
      <c r="V1773" s="7"/>
      <c r="W1773" s="14"/>
      <c r="X1773" s="10"/>
      <c r="Y1773" s="10"/>
      <c r="AB1773" s="19"/>
      <c r="AC1773" s="18"/>
    </row>
    <row r="1774" spans="4:29" x14ac:dyDescent="0.25">
      <c r="D1774" s="3"/>
      <c r="E1774" s="12"/>
      <c r="F1774" s="12"/>
      <c r="G1774" s="12"/>
      <c r="H1774" s="12"/>
      <c r="I1774" s="7"/>
      <c r="J1774" s="7"/>
      <c r="K1774" s="7"/>
      <c r="L1774" s="7"/>
      <c r="M1774" s="7"/>
      <c r="N1774" s="7"/>
      <c r="O1774" s="7"/>
      <c r="P1774" s="7"/>
      <c r="Q1774" s="7"/>
      <c r="R1774" s="7"/>
      <c r="S1774" s="7"/>
      <c r="T1774" s="7"/>
      <c r="U1774" s="7"/>
      <c r="V1774" s="7"/>
      <c r="W1774" s="14"/>
      <c r="X1774" s="10"/>
      <c r="Y1774" s="10"/>
      <c r="AB1774" s="19"/>
      <c r="AC1774" s="18"/>
    </row>
    <row r="1775" spans="4:29" x14ac:dyDescent="0.25">
      <c r="D1775" s="3"/>
      <c r="E1775" s="12"/>
      <c r="F1775" s="12"/>
      <c r="G1775" s="12"/>
      <c r="H1775" s="12"/>
      <c r="I1775" s="7"/>
      <c r="J1775" s="7"/>
      <c r="K1775" s="7"/>
      <c r="L1775" s="7"/>
      <c r="M1775" s="7"/>
      <c r="N1775" s="7"/>
      <c r="O1775" s="7"/>
      <c r="P1775" s="7"/>
      <c r="Q1775" s="7"/>
      <c r="R1775" s="7"/>
      <c r="S1775" s="7"/>
      <c r="T1775" s="7"/>
      <c r="U1775" s="7"/>
      <c r="V1775" s="7"/>
      <c r="W1775" s="14"/>
      <c r="X1775" s="10"/>
      <c r="Y1775" s="10"/>
      <c r="AB1775" s="19"/>
      <c r="AC1775" s="18"/>
    </row>
    <row r="1776" spans="4:29" x14ac:dyDescent="0.25">
      <c r="D1776" s="3"/>
      <c r="E1776" s="12"/>
      <c r="F1776" s="12"/>
      <c r="G1776" s="12"/>
      <c r="H1776" s="12"/>
      <c r="I1776" s="7"/>
      <c r="J1776" s="7"/>
      <c r="K1776" s="7"/>
      <c r="L1776" s="7"/>
      <c r="M1776" s="7"/>
      <c r="N1776" s="7"/>
      <c r="O1776" s="7"/>
      <c r="P1776" s="7"/>
      <c r="Q1776" s="7"/>
      <c r="R1776" s="7"/>
      <c r="S1776" s="7"/>
      <c r="T1776" s="7"/>
      <c r="U1776" s="7"/>
      <c r="V1776" s="7"/>
      <c r="W1776" s="14"/>
      <c r="X1776" s="10"/>
      <c r="Y1776" s="10"/>
      <c r="AB1776" s="19"/>
      <c r="AC1776" s="18"/>
    </row>
    <row r="1777" spans="4:29" x14ac:dyDescent="0.25">
      <c r="D1777" s="3"/>
      <c r="E1777" s="12"/>
      <c r="F1777" s="12"/>
      <c r="G1777" s="12"/>
      <c r="H1777" s="12"/>
      <c r="I1777" s="7"/>
      <c r="J1777" s="7"/>
      <c r="K1777" s="7"/>
      <c r="L1777" s="7"/>
      <c r="M1777" s="7"/>
      <c r="N1777" s="7"/>
      <c r="O1777" s="7"/>
      <c r="P1777" s="7"/>
      <c r="Q1777" s="7"/>
      <c r="R1777" s="7"/>
      <c r="S1777" s="7"/>
      <c r="T1777" s="7"/>
      <c r="U1777" s="7"/>
      <c r="V1777" s="7"/>
      <c r="W1777" s="14"/>
      <c r="X1777" s="10"/>
      <c r="Y1777" s="10"/>
      <c r="AB1777" s="19"/>
      <c r="AC1777" s="18"/>
    </row>
    <row r="1778" spans="4:29" x14ac:dyDescent="0.25">
      <c r="D1778" s="3"/>
      <c r="E1778" s="12"/>
      <c r="F1778" s="12"/>
      <c r="G1778" s="12"/>
      <c r="H1778" s="12"/>
      <c r="I1778" s="7"/>
      <c r="J1778" s="7"/>
      <c r="K1778" s="7"/>
      <c r="L1778" s="7"/>
      <c r="M1778" s="7"/>
      <c r="N1778" s="7"/>
      <c r="O1778" s="7"/>
      <c r="P1778" s="7"/>
      <c r="Q1778" s="7"/>
      <c r="R1778" s="7"/>
      <c r="S1778" s="7"/>
      <c r="T1778" s="7"/>
      <c r="U1778" s="7"/>
      <c r="V1778" s="7"/>
      <c r="W1778" s="14"/>
      <c r="X1778" s="10"/>
      <c r="Y1778" s="10"/>
      <c r="AB1778" s="19"/>
      <c r="AC1778" s="18"/>
    </row>
    <row r="1779" spans="4:29" x14ac:dyDescent="0.25">
      <c r="D1779" s="3"/>
      <c r="E1779" s="12"/>
      <c r="F1779" s="12"/>
      <c r="G1779" s="12"/>
      <c r="H1779" s="12"/>
      <c r="I1779" s="7"/>
      <c r="J1779" s="7"/>
      <c r="K1779" s="7"/>
      <c r="L1779" s="7"/>
      <c r="M1779" s="7"/>
      <c r="N1779" s="7"/>
      <c r="O1779" s="7"/>
      <c r="P1779" s="7"/>
      <c r="Q1779" s="7"/>
      <c r="R1779" s="7"/>
      <c r="S1779" s="7"/>
      <c r="T1779" s="7"/>
      <c r="U1779" s="7"/>
      <c r="V1779" s="7"/>
      <c r="W1779" s="14"/>
      <c r="X1779" s="10"/>
      <c r="Y1779" s="10"/>
      <c r="AB1779" s="19"/>
      <c r="AC1779" s="18"/>
    </row>
    <row r="1780" spans="4:29" x14ac:dyDescent="0.25">
      <c r="D1780" s="3"/>
      <c r="E1780" s="12"/>
      <c r="F1780" s="12"/>
      <c r="G1780" s="12"/>
      <c r="H1780" s="12"/>
      <c r="I1780" s="7"/>
      <c r="J1780" s="7"/>
      <c r="K1780" s="7"/>
      <c r="L1780" s="7"/>
      <c r="M1780" s="7"/>
      <c r="N1780" s="7"/>
      <c r="O1780" s="7"/>
      <c r="P1780" s="7"/>
      <c r="Q1780" s="7"/>
      <c r="R1780" s="7"/>
      <c r="S1780" s="7"/>
      <c r="T1780" s="7"/>
      <c r="U1780" s="7"/>
      <c r="V1780" s="7"/>
      <c r="W1780" s="14"/>
      <c r="X1780" s="10"/>
      <c r="Y1780" s="10"/>
      <c r="AB1780" s="19"/>
      <c r="AC1780" s="18"/>
    </row>
    <row r="1781" spans="4:29" x14ac:dyDescent="0.25">
      <c r="D1781" s="3"/>
      <c r="E1781" s="12"/>
      <c r="F1781" s="12"/>
      <c r="G1781" s="12"/>
      <c r="H1781" s="12"/>
      <c r="I1781" s="7"/>
      <c r="J1781" s="7"/>
      <c r="K1781" s="7"/>
      <c r="L1781" s="7"/>
      <c r="M1781" s="7"/>
      <c r="N1781" s="7"/>
      <c r="O1781" s="7"/>
      <c r="P1781" s="7"/>
      <c r="Q1781" s="7"/>
      <c r="R1781" s="7"/>
      <c r="S1781" s="7"/>
      <c r="T1781" s="7"/>
      <c r="U1781" s="7"/>
      <c r="V1781" s="7"/>
      <c r="W1781" s="14"/>
      <c r="X1781" s="10"/>
      <c r="Y1781" s="10"/>
      <c r="AB1781" s="19"/>
      <c r="AC1781" s="18"/>
    </row>
    <row r="1782" spans="4:29" x14ac:dyDescent="0.25">
      <c r="D1782" s="3"/>
      <c r="E1782" s="12"/>
      <c r="F1782" s="12"/>
      <c r="G1782" s="12"/>
      <c r="H1782" s="12"/>
      <c r="I1782" s="7"/>
      <c r="J1782" s="7"/>
      <c r="K1782" s="7"/>
      <c r="L1782" s="7"/>
      <c r="M1782" s="7"/>
      <c r="N1782" s="7"/>
      <c r="O1782" s="7"/>
      <c r="P1782" s="7"/>
      <c r="Q1782" s="7"/>
      <c r="R1782" s="7"/>
      <c r="S1782" s="7"/>
      <c r="T1782" s="7"/>
      <c r="U1782" s="7"/>
      <c r="V1782" s="7"/>
      <c r="W1782" s="14"/>
      <c r="X1782" s="10"/>
      <c r="Y1782" s="10"/>
      <c r="AB1782" s="19"/>
      <c r="AC1782" s="18"/>
    </row>
    <row r="1783" spans="4:29" x14ac:dyDescent="0.25">
      <c r="D1783" s="3"/>
      <c r="E1783" s="12"/>
      <c r="F1783" s="12"/>
      <c r="G1783" s="12"/>
      <c r="H1783" s="12"/>
      <c r="I1783" s="7"/>
      <c r="J1783" s="7"/>
      <c r="K1783" s="7"/>
      <c r="L1783" s="7"/>
      <c r="M1783" s="7"/>
      <c r="N1783" s="7"/>
      <c r="O1783" s="7"/>
      <c r="P1783" s="7"/>
      <c r="Q1783" s="7"/>
      <c r="R1783" s="7"/>
      <c r="S1783" s="7"/>
      <c r="T1783" s="7"/>
      <c r="U1783" s="7"/>
      <c r="V1783" s="7"/>
      <c r="W1783" s="14"/>
      <c r="X1783" s="10"/>
      <c r="Y1783" s="10"/>
      <c r="AB1783" s="19"/>
      <c r="AC1783" s="18"/>
    </row>
    <row r="1784" spans="4:29" x14ac:dyDescent="0.25">
      <c r="D1784" s="3"/>
      <c r="E1784" s="12"/>
      <c r="F1784" s="12"/>
      <c r="G1784" s="12"/>
      <c r="H1784" s="12"/>
      <c r="I1784" s="7"/>
      <c r="J1784" s="7"/>
      <c r="K1784" s="7"/>
      <c r="L1784" s="7"/>
      <c r="M1784" s="7"/>
      <c r="N1784" s="7"/>
      <c r="O1784" s="7"/>
      <c r="P1784" s="7"/>
      <c r="Q1784" s="7"/>
      <c r="R1784" s="7"/>
      <c r="S1784" s="7"/>
      <c r="T1784" s="7"/>
      <c r="U1784" s="7"/>
      <c r="V1784" s="7"/>
      <c r="W1784" s="14"/>
      <c r="X1784" s="10"/>
      <c r="Y1784" s="10"/>
      <c r="AB1784" s="19"/>
      <c r="AC1784" s="18"/>
    </row>
    <row r="1785" spans="4:29" x14ac:dyDescent="0.25">
      <c r="D1785" s="3"/>
      <c r="E1785" s="12"/>
      <c r="F1785" s="12"/>
      <c r="G1785" s="12"/>
      <c r="H1785" s="12"/>
      <c r="I1785" s="7"/>
      <c r="J1785" s="7"/>
      <c r="K1785" s="7"/>
      <c r="L1785" s="7"/>
      <c r="M1785" s="7"/>
      <c r="N1785" s="7"/>
      <c r="O1785" s="7"/>
      <c r="P1785" s="7"/>
      <c r="Q1785" s="7"/>
      <c r="R1785" s="7"/>
      <c r="S1785" s="7"/>
      <c r="T1785" s="7"/>
      <c r="U1785" s="7"/>
      <c r="V1785" s="7"/>
      <c r="W1785" s="14"/>
      <c r="X1785" s="10"/>
      <c r="Y1785" s="10"/>
      <c r="AB1785" s="19"/>
      <c r="AC1785" s="18"/>
    </row>
    <row r="1786" spans="4:29" x14ac:dyDescent="0.25">
      <c r="D1786" s="3"/>
      <c r="E1786" s="12"/>
      <c r="F1786" s="12"/>
      <c r="G1786" s="12"/>
      <c r="H1786" s="12"/>
      <c r="I1786" s="7"/>
      <c r="J1786" s="7"/>
      <c r="K1786" s="7"/>
      <c r="L1786" s="7"/>
      <c r="M1786" s="7"/>
      <c r="N1786" s="7"/>
      <c r="O1786" s="7"/>
      <c r="P1786" s="7"/>
      <c r="Q1786" s="7"/>
      <c r="R1786" s="7"/>
      <c r="S1786" s="7"/>
      <c r="T1786" s="7"/>
      <c r="U1786" s="7"/>
      <c r="V1786" s="7"/>
      <c r="W1786" s="14"/>
      <c r="X1786" s="10"/>
      <c r="Y1786" s="10"/>
      <c r="AB1786" s="19"/>
      <c r="AC1786" s="18"/>
    </row>
    <row r="1787" spans="4:29" x14ac:dyDescent="0.25">
      <c r="D1787" s="3"/>
      <c r="E1787" s="12"/>
      <c r="F1787" s="12"/>
      <c r="G1787" s="12"/>
      <c r="H1787" s="12"/>
      <c r="I1787" s="7"/>
      <c r="J1787" s="7"/>
      <c r="K1787" s="7"/>
      <c r="L1787" s="7"/>
      <c r="M1787" s="7"/>
      <c r="N1787" s="7"/>
      <c r="O1787" s="7"/>
      <c r="P1787" s="7"/>
      <c r="Q1787" s="7"/>
      <c r="R1787" s="7"/>
      <c r="S1787" s="7"/>
      <c r="T1787" s="7"/>
      <c r="U1787" s="7"/>
      <c r="V1787" s="7"/>
      <c r="W1787" s="14"/>
      <c r="X1787" s="10"/>
      <c r="Y1787" s="10"/>
      <c r="AB1787" s="19"/>
      <c r="AC1787" s="18"/>
    </row>
    <row r="1788" spans="4:29" x14ac:dyDescent="0.25">
      <c r="D1788" s="3"/>
      <c r="E1788" s="12"/>
      <c r="F1788" s="12"/>
      <c r="G1788" s="12"/>
      <c r="H1788" s="12"/>
      <c r="I1788" s="7"/>
      <c r="J1788" s="7"/>
      <c r="K1788" s="7"/>
      <c r="L1788" s="7"/>
      <c r="M1788" s="7"/>
      <c r="N1788" s="7"/>
      <c r="O1788" s="7"/>
      <c r="P1788" s="7"/>
      <c r="Q1788" s="7"/>
      <c r="R1788" s="7"/>
      <c r="S1788" s="7"/>
      <c r="T1788" s="7"/>
      <c r="U1788" s="7"/>
      <c r="V1788" s="7"/>
      <c r="W1788" s="14"/>
      <c r="X1788" s="10"/>
      <c r="Y1788" s="10"/>
      <c r="AB1788" s="19"/>
      <c r="AC1788" s="18"/>
    </row>
    <row r="1789" spans="4:29" x14ac:dyDescent="0.25">
      <c r="D1789" s="3"/>
      <c r="E1789" s="12"/>
      <c r="F1789" s="12"/>
      <c r="G1789" s="12"/>
      <c r="H1789" s="12"/>
      <c r="I1789" s="7"/>
      <c r="J1789" s="7"/>
      <c r="K1789" s="7"/>
      <c r="L1789" s="7"/>
      <c r="M1789" s="7"/>
      <c r="N1789" s="7"/>
      <c r="O1789" s="7"/>
      <c r="P1789" s="7"/>
      <c r="Q1789" s="7"/>
      <c r="R1789" s="7"/>
      <c r="S1789" s="7"/>
      <c r="T1789" s="7"/>
      <c r="U1789" s="7"/>
      <c r="V1789" s="7"/>
      <c r="W1789" s="14"/>
      <c r="X1789" s="10"/>
      <c r="Y1789" s="10"/>
      <c r="AB1789" s="19"/>
      <c r="AC1789" s="18"/>
    </row>
    <row r="1790" spans="4:29" x14ac:dyDescent="0.25">
      <c r="D1790" s="3"/>
      <c r="E1790" s="12"/>
      <c r="F1790" s="12"/>
      <c r="G1790" s="12"/>
      <c r="H1790" s="12"/>
      <c r="I1790" s="7"/>
      <c r="J1790" s="7"/>
      <c r="K1790" s="7"/>
      <c r="L1790" s="7"/>
      <c r="M1790" s="7"/>
      <c r="N1790" s="7"/>
      <c r="O1790" s="7"/>
      <c r="P1790" s="7"/>
      <c r="Q1790" s="7"/>
      <c r="R1790" s="7"/>
      <c r="S1790" s="7"/>
      <c r="T1790" s="7"/>
      <c r="U1790" s="7"/>
      <c r="V1790" s="7"/>
      <c r="W1790" s="14"/>
      <c r="X1790" s="10"/>
      <c r="Y1790" s="10"/>
      <c r="AB1790" s="19"/>
      <c r="AC1790" s="18"/>
    </row>
    <row r="1791" spans="4:29" x14ac:dyDescent="0.25">
      <c r="D1791" s="3"/>
      <c r="E1791" s="12"/>
      <c r="F1791" s="12"/>
      <c r="G1791" s="12"/>
      <c r="H1791" s="12"/>
      <c r="I1791" s="7"/>
      <c r="J1791" s="7"/>
      <c r="K1791" s="7"/>
      <c r="L1791" s="7"/>
      <c r="M1791" s="7"/>
      <c r="N1791" s="7"/>
      <c r="O1791" s="7"/>
      <c r="P1791" s="7"/>
      <c r="Q1791" s="7"/>
      <c r="R1791" s="7"/>
      <c r="S1791" s="7"/>
      <c r="T1791" s="7"/>
      <c r="U1791" s="7"/>
      <c r="V1791" s="7"/>
      <c r="W1791" s="14"/>
      <c r="X1791" s="10"/>
      <c r="Y1791" s="10"/>
      <c r="AB1791" s="19"/>
      <c r="AC1791" s="18"/>
    </row>
    <row r="1792" spans="4:29" x14ac:dyDescent="0.25">
      <c r="D1792" s="3"/>
      <c r="E1792" s="12"/>
      <c r="F1792" s="12"/>
      <c r="G1792" s="12"/>
      <c r="H1792" s="12"/>
      <c r="I1792" s="7"/>
      <c r="J1792" s="7"/>
      <c r="K1792" s="7"/>
      <c r="L1792" s="7"/>
      <c r="M1792" s="7"/>
      <c r="N1792" s="7"/>
      <c r="O1792" s="7"/>
      <c r="P1792" s="7"/>
      <c r="Q1792" s="7"/>
      <c r="R1792" s="7"/>
      <c r="S1792" s="7"/>
      <c r="T1792" s="7"/>
      <c r="U1792" s="7"/>
      <c r="V1792" s="7"/>
      <c r="W1792" s="14"/>
      <c r="X1792" s="10"/>
      <c r="Y1792" s="10"/>
      <c r="AB1792" s="19"/>
      <c r="AC1792" s="18"/>
    </row>
    <row r="1793" spans="4:29" x14ac:dyDescent="0.25">
      <c r="D1793" s="3"/>
      <c r="E1793" s="12"/>
      <c r="F1793" s="12"/>
      <c r="G1793" s="12"/>
      <c r="H1793" s="12"/>
      <c r="I1793" s="7"/>
      <c r="J1793" s="7"/>
      <c r="K1793" s="7"/>
      <c r="L1793" s="7"/>
      <c r="M1793" s="7"/>
      <c r="N1793" s="7"/>
      <c r="O1793" s="7"/>
      <c r="P1793" s="7"/>
      <c r="Q1793" s="7"/>
      <c r="R1793" s="7"/>
      <c r="S1793" s="7"/>
      <c r="T1793" s="7"/>
      <c r="U1793" s="7"/>
      <c r="V1793" s="7"/>
      <c r="W1793" s="14"/>
      <c r="X1793" s="10"/>
      <c r="Y1793" s="10"/>
      <c r="AB1793" s="19"/>
      <c r="AC1793" s="18"/>
    </row>
    <row r="1794" spans="4:29" x14ac:dyDescent="0.25">
      <c r="D1794" s="3"/>
      <c r="E1794" s="12"/>
      <c r="F1794" s="12"/>
      <c r="G1794" s="12"/>
      <c r="H1794" s="12"/>
      <c r="I1794" s="7"/>
      <c r="J1794" s="7"/>
      <c r="K1794" s="7"/>
      <c r="L1794" s="7"/>
      <c r="M1794" s="7"/>
      <c r="N1794" s="7"/>
      <c r="O1794" s="7"/>
      <c r="P1794" s="7"/>
      <c r="Q1794" s="7"/>
      <c r="R1794" s="7"/>
      <c r="S1794" s="7"/>
      <c r="T1794" s="7"/>
      <c r="U1794" s="7"/>
      <c r="V1794" s="7"/>
      <c r="W1794" s="14"/>
      <c r="X1794" s="10"/>
      <c r="Y1794" s="10"/>
      <c r="AB1794" s="19"/>
      <c r="AC1794" s="18"/>
    </row>
    <row r="1795" spans="4:29" x14ac:dyDescent="0.25">
      <c r="D1795" s="3"/>
      <c r="E1795" s="12"/>
      <c r="F1795" s="12"/>
      <c r="G1795" s="12"/>
      <c r="H1795" s="12"/>
      <c r="I1795" s="7"/>
      <c r="J1795" s="7"/>
      <c r="K1795" s="7"/>
      <c r="L1795" s="7"/>
      <c r="M1795" s="7"/>
      <c r="N1795" s="7"/>
      <c r="O1795" s="7"/>
      <c r="P1795" s="7"/>
      <c r="Q1795" s="7"/>
      <c r="R1795" s="7"/>
      <c r="S1795" s="7"/>
      <c r="T1795" s="7"/>
      <c r="U1795" s="7"/>
      <c r="V1795" s="7"/>
      <c r="W1795" s="14"/>
      <c r="X1795" s="10"/>
      <c r="Y1795" s="10"/>
      <c r="AB1795" s="19"/>
      <c r="AC1795" s="18"/>
    </row>
    <row r="1796" spans="4:29" x14ac:dyDescent="0.25">
      <c r="D1796" s="3"/>
      <c r="E1796" s="12"/>
      <c r="F1796" s="12"/>
      <c r="G1796" s="12"/>
      <c r="H1796" s="12"/>
      <c r="I1796" s="7"/>
      <c r="J1796" s="7"/>
      <c r="K1796" s="7"/>
      <c r="L1796" s="7"/>
      <c r="M1796" s="7"/>
      <c r="N1796" s="7"/>
      <c r="O1796" s="7"/>
      <c r="P1796" s="7"/>
      <c r="Q1796" s="7"/>
      <c r="R1796" s="7"/>
      <c r="S1796" s="7"/>
      <c r="T1796" s="7"/>
      <c r="U1796" s="7"/>
      <c r="V1796" s="7"/>
      <c r="W1796" s="14"/>
      <c r="X1796" s="10"/>
      <c r="Y1796" s="10"/>
      <c r="AB1796" s="19"/>
      <c r="AC1796" s="18"/>
    </row>
    <row r="1797" spans="4:29" x14ac:dyDescent="0.25">
      <c r="D1797" s="3"/>
      <c r="E1797" s="12"/>
      <c r="F1797" s="12"/>
      <c r="G1797" s="12"/>
      <c r="H1797" s="12"/>
      <c r="I1797" s="7"/>
      <c r="J1797" s="7"/>
      <c r="K1797" s="7"/>
      <c r="L1797" s="7"/>
      <c r="M1797" s="7"/>
      <c r="N1797" s="7"/>
      <c r="O1797" s="7"/>
      <c r="P1797" s="7"/>
      <c r="Q1797" s="7"/>
      <c r="R1797" s="7"/>
      <c r="S1797" s="7"/>
      <c r="T1797" s="7"/>
      <c r="U1797" s="7"/>
      <c r="V1797" s="7"/>
      <c r="W1797" s="14"/>
      <c r="X1797" s="10"/>
      <c r="Y1797" s="10"/>
      <c r="AB1797" s="19"/>
      <c r="AC1797" s="18"/>
    </row>
    <row r="1798" spans="4:29" x14ac:dyDescent="0.25">
      <c r="D1798" s="3"/>
      <c r="E1798" s="12"/>
      <c r="F1798" s="12"/>
      <c r="G1798" s="12"/>
      <c r="H1798" s="12"/>
      <c r="I1798" s="7"/>
      <c r="J1798" s="7"/>
      <c r="K1798" s="7"/>
      <c r="L1798" s="7"/>
      <c r="M1798" s="7"/>
      <c r="N1798" s="7"/>
      <c r="O1798" s="7"/>
      <c r="P1798" s="7"/>
      <c r="Q1798" s="7"/>
      <c r="R1798" s="7"/>
      <c r="S1798" s="7"/>
      <c r="T1798" s="7"/>
      <c r="U1798" s="7"/>
      <c r="V1798" s="7"/>
      <c r="W1798" s="14"/>
      <c r="X1798" s="10"/>
      <c r="Y1798" s="10"/>
      <c r="AB1798" s="19"/>
      <c r="AC1798" s="18"/>
    </row>
    <row r="1799" spans="4:29" x14ac:dyDescent="0.25">
      <c r="D1799" s="3"/>
      <c r="E1799" s="12"/>
      <c r="F1799" s="12"/>
      <c r="G1799" s="12"/>
      <c r="H1799" s="12"/>
      <c r="I1799" s="7"/>
      <c r="J1799" s="7"/>
      <c r="K1799" s="7"/>
      <c r="L1799" s="7"/>
      <c r="M1799" s="7"/>
      <c r="N1799" s="7"/>
      <c r="O1799" s="7"/>
      <c r="P1799" s="7"/>
      <c r="Q1799" s="7"/>
      <c r="R1799" s="7"/>
      <c r="S1799" s="7"/>
      <c r="T1799" s="7"/>
      <c r="U1799" s="7"/>
      <c r="V1799" s="7"/>
      <c r="W1799" s="14"/>
      <c r="X1799" s="10"/>
      <c r="Y1799" s="10"/>
      <c r="AB1799" s="19"/>
      <c r="AC1799" s="18"/>
    </row>
    <row r="1800" spans="4:29" x14ac:dyDescent="0.25">
      <c r="D1800" s="3"/>
      <c r="E1800" s="12"/>
      <c r="F1800" s="12"/>
      <c r="G1800" s="12"/>
      <c r="H1800" s="12"/>
      <c r="I1800" s="7"/>
      <c r="J1800" s="7"/>
      <c r="K1800" s="7"/>
      <c r="L1800" s="7"/>
      <c r="M1800" s="7"/>
      <c r="N1800" s="7"/>
      <c r="O1800" s="7"/>
      <c r="P1800" s="7"/>
      <c r="Q1800" s="7"/>
      <c r="R1800" s="7"/>
      <c r="S1800" s="7"/>
      <c r="T1800" s="7"/>
      <c r="U1800" s="7"/>
      <c r="V1800" s="7"/>
      <c r="W1800" s="14"/>
      <c r="X1800" s="10"/>
      <c r="Y1800" s="10"/>
      <c r="AB1800" s="19"/>
      <c r="AC1800" s="18"/>
    </row>
    <row r="1801" spans="4:29" x14ac:dyDescent="0.25">
      <c r="D1801" s="3"/>
      <c r="E1801" s="12"/>
      <c r="F1801" s="12"/>
      <c r="G1801" s="12"/>
      <c r="H1801" s="12"/>
      <c r="I1801" s="7"/>
      <c r="J1801" s="7"/>
      <c r="K1801" s="7"/>
      <c r="L1801" s="7"/>
      <c r="M1801" s="7"/>
      <c r="N1801" s="7"/>
      <c r="O1801" s="7"/>
      <c r="P1801" s="7"/>
      <c r="Q1801" s="7"/>
      <c r="R1801" s="7"/>
      <c r="S1801" s="7"/>
      <c r="T1801" s="7"/>
      <c r="U1801" s="7"/>
      <c r="V1801" s="7"/>
      <c r="W1801" s="14"/>
      <c r="X1801" s="10"/>
      <c r="Y1801" s="10"/>
      <c r="AB1801" s="19"/>
      <c r="AC1801" s="18"/>
    </row>
    <row r="1802" spans="4:29" x14ac:dyDescent="0.25">
      <c r="D1802" s="3"/>
      <c r="E1802" s="12"/>
      <c r="F1802" s="12"/>
      <c r="G1802" s="12"/>
      <c r="H1802" s="12"/>
      <c r="I1802" s="7"/>
      <c r="J1802" s="7"/>
      <c r="K1802" s="7"/>
      <c r="L1802" s="7"/>
      <c r="M1802" s="7"/>
      <c r="N1802" s="7"/>
      <c r="O1802" s="7"/>
      <c r="P1802" s="7"/>
      <c r="Q1802" s="7"/>
      <c r="R1802" s="7"/>
      <c r="S1802" s="7"/>
      <c r="T1802" s="7"/>
      <c r="U1802" s="7"/>
      <c r="V1802" s="7"/>
      <c r="W1802" s="14"/>
      <c r="X1802" s="10"/>
      <c r="Y1802" s="10"/>
      <c r="AB1802" s="19"/>
      <c r="AC1802" s="18"/>
    </row>
    <row r="1803" spans="4:29" x14ac:dyDescent="0.25">
      <c r="D1803" s="3"/>
      <c r="E1803" s="12"/>
      <c r="F1803" s="12"/>
      <c r="G1803" s="12"/>
      <c r="H1803" s="12"/>
      <c r="I1803" s="7"/>
      <c r="J1803" s="7"/>
      <c r="K1803" s="7"/>
      <c r="L1803" s="7"/>
      <c r="M1803" s="7"/>
      <c r="N1803" s="7"/>
      <c r="O1803" s="7"/>
      <c r="P1803" s="7"/>
      <c r="Q1803" s="7"/>
      <c r="R1803" s="7"/>
      <c r="S1803" s="7"/>
      <c r="T1803" s="7"/>
      <c r="U1803" s="7"/>
      <c r="V1803" s="7"/>
      <c r="W1803" s="14"/>
      <c r="X1803" s="10"/>
      <c r="Y1803" s="10"/>
      <c r="AB1803" s="19"/>
      <c r="AC1803" s="18"/>
    </row>
    <row r="1804" spans="4:29" x14ac:dyDescent="0.25">
      <c r="D1804" s="3"/>
      <c r="E1804" s="12"/>
      <c r="F1804" s="12"/>
      <c r="G1804" s="12"/>
      <c r="H1804" s="12"/>
      <c r="I1804" s="7"/>
      <c r="J1804" s="7"/>
      <c r="K1804" s="7"/>
      <c r="L1804" s="7"/>
      <c r="M1804" s="7"/>
      <c r="N1804" s="7"/>
      <c r="O1804" s="7"/>
      <c r="P1804" s="7"/>
      <c r="Q1804" s="7"/>
      <c r="R1804" s="7"/>
      <c r="S1804" s="7"/>
      <c r="T1804" s="7"/>
      <c r="U1804" s="7"/>
      <c r="V1804" s="7"/>
      <c r="W1804" s="14"/>
      <c r="X1804" s="10"/>
      <c r="Y1804" s="10"/>
      <c r="AB1804" s="19"/>
      <c r="AC1804" s="18"/>
    </row>
    <row r="1805" spans="4:29" x14ac:dyDescent="0.25">
      <c r="D1805" s="3"/>
      <c r="E1805" s="12"/>
      <c r="F1805" s="12"/>
      <c r="G1805" s="12"/>
      <c r="H1805" s="12"/>
      <c r="I1805" s="7"/>
      <c r="J1805" s="7"/>
      <c r="K1805" s="7"/>
      <c r="L1805" s="7"/>
      <c r="M1805" s="7"/>
      <c r="N1805" s="7"/>
      <c r="O1805" s="7"/>
      <c r="P1805" s="7"/>
      <c r="Q1805" s="7"/>
      <c r="R1805" s="7"/>
      <c r="S1805" s="7"/>
      <c r="T1805" s="7"/>
      <c r="U1805" s="7"/>
      <c r="V1805" s="7"/>
      <c r="W1805" s="14"/>
      <c r="X1805" s="10"/>
      <c r="Y1805" s="10"/>
      <c r="AB1805" s="19"/>
      <c r="AC1805" s="18"/>
    </row>
    <row r="1806" spans="4:29" x14ac:dyDescent="0.25">
      <c r="D1806" s="3"/>
      <c r="E1806" s="12"/>
      <c r="F1806" s="12"/>
      <c r="G1806" s="12"/>
      <c r="H1806" s="12"/>
      <c r="I1806" s="7"/>
      <c r="J1806" s="7"/>
      <c r="K1806" s="7"/>
      <c r="L1806" s="7"/>
      <c r="M1806" s="7"/>
      <c r="N1806" s="7"/>
      <c r="O1806" s="7"/>
      <c r="P1806" s="7"/>
      <c r="Q1806" s="7"/>
      <c r="R1806" s="7"/>
      <c r="S1806" s="7"/>
      <c r="T1806" s="7"/>
      <c r="U1806" s="7"/>
      <c r="V1806" s="7"/>
      <c r="W1806" s="14"/>
      <c r="X1806" s="10"/>
      <c r="Y1806" s="10"/>
      <c r="AB1806" s="19"/>
      <c r="AC1806" s="18"/>
    </row>
    <row r="1807" spans="4:29" x14ac:dyDescent="0.25">
      <c r="D1807" s="3"/>
      <c r="E1807" s="12"/>
      <c r="F1807" s="12"/>
      <c r="G1807" s="12"/>
      <c r="H1807" s="12"/>
      <c r="I1807" s="7"/>
      <c r="J1807" s="7"/>
      <c r="K1807" s="7"/>
      <c r="L1807" s="7"/>
      <c r="M1807" s="7"/>
      <c r="N1807" s="7"/>
      <c r="O1807" s="7"/>
      <c r="P1807" s="7"/>
      <c r="Q1807" s="7"/>
      <c r="R1807" s="7"/>
      <c r="S1807" s="7"/>
      <c r="T1807" s="7"/>
      <c r="U1807" s="7"/>
      <c r="V1807" s="7"/>
      <c r="W1807" s="14"/>
      <c r="X1807" s="10"/>
      <c r="Y1807" s="10"/>
      <c r="AB1807" s="19"/>
      <c r="AC1807" s="18"/>
    </row>
    <row r="1808" spans="4:29" x14ac:dyDescent="0.25">
      <c r="D1808" s="3"/>
      <c r="E1808" s="12"/>
      <c r="F1808" s="12"/>
      <c r="G1808" s="12"/>
      <c r="H1808" s="12"/>
      <c r="I1808" s="7"/>
      <c r="J1808" s="7"/>
      <c r="K1808" s="7"/>
      <c r="L1808" s="7"/>
      <c r="M1808" s="7"/>
      <c r="N1808" s="7"/>
      <c r="O1808" s="7"/>
      <c r="P1808" s="7"/>
      <c r="Q1808" s="7"/>
      <c r="R1808" s="7"/>
      <c r="S1808" s="7"/>
      <c r="T1808" s="7"/>
      <c r="U1808" s="7"/>
      <c r="V1808" s="7"/>
      <c r="W1808" s="14"/>
      <c r="X1808" s="10"/>
      <c r="Y1808" s="10"/>
      <c r="AB1808" s="19"/>
      <c r="AC1808" s="18"/>
    </row>
    <row r="1809" spans="4:29" x14ac:dyDescent="0.25">
      <c r="D1809" s="3"/>
      <c r="E1809" s="12"/>
      <c r="F1809" s="12"/>
      <c r="G1809" s="12"/>
      <c r="H1809" s="12"/>
      <c r="I1809" s="7"/>
      <c r="J1809" s="7"/>
      <c r="K1809" s="7"/>
      <c r="L1809" s="7"/>
      <c r="M1809" s="7"/>
      <c r="N1809" s="7"/>
      <c r="O1809" s="7"/>
      <c r="P1809" s="7"/>
      <c r="Q1809" s="7"/>
      <c r="R1809" s="7"/>
      <c r="S1809" s="7"/>
      <c r="T1809" s="7"/>
      <c r="U1809" s="7"/>
      <c r="V1809" s="7"/>
      <c r="W1809" s="14"/>
      <c r="X1809" s="10"/>
      <c r="Y1809" s="10"/>
      <c r="AB1809" s="19"/>
      <c r="AC1809" s="18"/>
    </row>
    <row r="1810" spans="4:29" x14ac:dyDescent="0.25">
      <c r="D1810" s="3"/>
      <c r="E1810" s="12"/>
      <c r="F1810" s="12"/>
      <c r="G1810" s="12"/>
      <c r="H1810" s="12"/>
      <c r="I1810" s="7"/>
      <c r="J1810" s="7"/>
      <c r="K1810" s="7"/>
      <c r="L1810" s="7"/>
      <c r="M1810" s="7"/>
      <c r="N1810" s="7"/>
      <c r="O1810" s="7"/>
      <c r="P1810" s="7"/>
      <c r="Q1810" s="7"/>
      <c r="R1810" s="7"/>
      <c r="S1810" s="7"/>
      <c r="T1810" s="7"/>
      <c r="U1810" s="7"/>
      <c r="V1810" s="7"/>
      <c r="W1810" s="14"/>
      <c r="X1810" s="10"/>
      <c r="Y1810" s="10"/>
      <c r="AB1810" s="19"/>
      <c r="AC1810" s="18"/>
    </row>
    <row r="1811" spans="4:29" x14ac:dyDescent="0.25">
      <c r="D1811" s="3"/>
      <c r="E1811" s="12"/>
      <c r="F1811" s="12"/>
      <c r="G1811" s="12"/>
      <c r="H1811" s="12"/>
      <c r="I1811" s="7"/>
      <c r="J1811" s="7"/>
      <c r="K1811" s="7"/>
      <c r="L1811" s="7"/>
      <c r="M1811" s="7"/>
      <c r="N1811" s="7"/>
      <c r="O1811" s="7"/>
      <c r="P1811" s="7"/>
      <c r="Q1811" s="7"/>
      <c r="R1811" s="7"/>
      <c r="S1811" s="7"/>
      <c r="T1811" s="7"/>
      <c r="U1811" s="7"/>
      <c r="V1811" s="7"/>
      <c r="W1811" s="14"/>
      <c r="X1811" s="10"/>
      <c r="Y1811" s="10"/>
      <c r="AB1811" s="19"/>
      <c r="AC1811" s="18"/>
    </row>
    <row r="1812" spans="4:29" x14ac:dyDescent="0.25">
      <c r="D1812" s="3"/>
      <c r="E1812" s="12"/>
      <c r="F1812" s="12"/>
      <c r="G1812" s="12"/>
      <c r="H1812" s="12"/>
      <c r="I1812" s="7"/>
      <c r="J1812" s="7"/>
      <c r="K1812" s="7"/>
      <c r="L1812" s="7"/>
      <c r="M1812" s="7"/>
      <c r="N1812" s="7"/>
      <c r="O1812" s="7"/>
      <c r="P1812" s="7"/>
      <c r="Q1812" s="7"/>
      <c r="R1812" s="7"/>
      <c r="S1812" s="7"/>
      <c r="T1812" s="7"/>
      <c r="U1812" s="7"/>
      <c r="V1812" s="7"/>
      <c r="W1812" s="14"/>
      <c r="X1812" s="10"/>
      <c r="Y1812" s="10"/>
      <c r="AB1812" s="19"/>
      <c r="AC1812" s="18"/>
    </row>
    <row r="1813" spans="4:29" x14ac:dyDescent="0.25">
      <c r="D1813" s="3"/>
      <c r="E1813" s="12"/>
      <c r="F1813" s="12"/>
      <c r="G1813" s="12"/>
      <c r="H1813" s="12"/>
      <c r="I1813" s="7"/>
      <c r="J1813" s="7"/>
      <c r="K1813" s="7"/>
      <c r="L1813" s="7"/>
      <c r="M1813" s="7"/>
      <c r="N1813" s="7"/>
      <c r="O1813" s="7"/>
      <c r="P1813" s="7"/>
      <c r="Q1813" s="7"/>
      <c r="R1813" s="7"/>
      <c r="S1813" s="7"/>
      <c r="T1813" s="7"/>
      <c r="U1813" s="7"/>
      <c r="V1813" s="7"/>
      <c r="W1813" s="14"/>
      <c r="X1813" s="10"/>
      <c r="Y1813" s="10"/>
      <c r="AB1813" s="19"/>
      <c r="AC1813" s="18"/>
    </row>
    <row r="1814" spans="4:29" x14ac:dyDescent="0.25">
      <c r="D1814" s="3"/>
      <c r="E1814" s="12"/>
      <c r="F1814" s="12"/>
      <c r="G1814" s="12"/>
      <c r="H1814" s="12"/>
      <c r="I1814" s="7"/>
      <c r="J1814" s="7"/>
      <c r="K1814" s="7"/>
      <c r="L1814" s="7"/>
      <c r="M1814" s="7"/>
      <c r="N1814" s="7"/>
      <c r="O1814" s="7"/>
      <c r="P1814" s="7"/>
      <c r="Q1814" s="7"/>
      <c r="R1814" s="7"/>
      <c r="S1814" s="7"/>
      <c r="T1814" s="7"/>
      <c r="U1814" s="7"/>
      <c r="V1814" s="7"/>
      <c r="W1814" s="14"/>
      <c r="X1814" s="10"/>
      <c r="Y1814" s="10"/>
      <c r="AB1814" s="19"/>
      <c r="AC1814" s="18"/>
    </row>
    <row r="1815" spans="4:29" x14ac:dyDescent="0.25">
      <c r="D1815" s="3"/>
      <c r="E1815" s="12"/>
      <c r="F1815" s="12"/>
      <c r="G1815" s="12"/>
      <c r="H1815" s="12"/>
      <c r="I1815" s="7"/>
      <c r="J1815" s="7"/>
      <c r="K1815" s="7"/>
      <c r="L1815" s="7"/>
      <c r="M1815" s="7"/>
      <c r="N1815" s="7"/>
      <c r="O1815" s="7"/>
      <c r="P1815" s="7"/>
      <c r="Q1815" s="7"/>
      <c r="R1815" s="7"/>
      <c r="S1815" s="7"/>
      <c r="T1815" s="7"/>
      <c r="U1815" s="7"/>
      <c r="V1815" s="7"/>
      <c r="W1815" s="14"/>
      <c r="X1815" s="10"/>
      <c r="Y1815" s="10"/>
      <c r="AB1815" s="19"/>
      <c r="AC1815" s="18"/>
    </row>
    <row r="1816" spans="4:29" x14ac:dyDescent="0.25">
      <c r="D1816" s="3"/>
      <c r="E1816" s="12"/>
      <c r="F1816" s="12"/>
      <c r="G1816" s="12"/>
      <c r="H1816" s="12"/>
      <c r="I1816" s="7"/>
      <c r="J1816" s="7"/>
      <c r="K1816" s="7"/>
      <c r="L1816" s="7"/>
      <c r="M1816" s="7"/>
      <c r="N1816" s="7"/>
      <c r="O1816" s="7"/>
      <c r="P1816" s="7"/>
      <c r="Q1816" s="7"/>
      <c r="R1816" s="7"/>
      <c r="S1816" s="7"/>
      <c r="T1816" s="7"/>
      <c r="U1816" s="7"/>
      <c r="V1816" s="7"/>
      <c r="W1816" s="14"/>
      <c r="X1816" s="10"/>
      <c r="Y1816" s="10"/>
      <c r="AB1816" s="19"/>
      <c r="AC1816" s="18"/>
    </row>
    <row r="1817" spans="4:29" x14ac:dyDescent="0.25">
      <c r="D1817" s="3"/>
      <c r="E1817" s="12"/>
      <c r="F1817" s="12"/>
      <c r="G1817" s="12"/>
      <c r="H1817" s="12"/>
      <c r="I1817" s="7"/>
      <c r="J1817" s="7"/>
      <c r="K1817" s="7"/>
      <c r="L1817" s="7"/>
      <c r="M1817" s="7"/>
      <c r="N1817" s="7"/>
      <c r="O1817" s="7"/>
      <c r="P1817" s="7"/>
      <c r="Q1817" s="7"/>
      <c r="R1817" s="7"/>
      <c r="S1817" s="7"/>
      <c r="T1817" s="7"/>
      <c r="U1817" s="7"/>
      <c r="V1817" s="7"/>
      <c r="W1817" s="14"/>
      <c r="X1817" s="10"/>
      <c r="Y1817" s="10"/>
      <c r="AB1817" s="19"/>
      <c r="AC1817" s="18"/>
    </row>
    <row r="1818" spans="4:29" x14ac:dyDescent="0.25">
      <c r="D1818" s="3"/>
      <c r="E1818" s="12"/>
      <c r="F1818" s="12"/>
      <c r="G1818" s="12"/>
      <c r="H1818" s="12"/>
      <c r="I1818" s="7"/>
      <c r="J1818" s="7"/>
      <c r="K1818" s="7"/>
      <c r="L1818" s="7"/>
      <c r="M1818" s="7"/>
      <c r="N1818" s="7"/>
      <c r="O1818" s="7"/>
      <c r="P1818" s="7"/>
      <c r="Q1818" s="7"/>
      <c r="R1818" s="7"/>
      <c r="S1818" s="7"/>
      <c r="T1818" s="7"/>
      <c r="U1818" s="7"/>
      <c r="V1818" s="7"/>
      <c r="W1818" s="14"/>
      <c r="X1818" s="10"/>
      <c r="Y1818" s="10"/>
      <c r="AB1818" s="19"/>
      <c r="AC1818" s="18"/>
    </row>
    <row r="1819" spans="4:29" x14ac:dyDescent="0.25">
      <c r="D1819" s="3"/>
      <c r="E1819" s="12"/>
      <c r="F1819" s="12"/>
      <c r="G1819" s="12"/>
      <c r="H1819" s="12"/>
      <c r="I1819" s="7"/>
      <c r="J1819" s="7"/>
      <c r="K1819" s="7"/>
      <c r="L1819" s="7"/>
      <c r="M1819" s="7"/>
      <c r="N1819" s="7"/>
      <c r="O1819" s="7"/>
      <c r="P1819" s="7"/>
      <c r="Q1819" s="7"/>
      <c r="R1819" s="7"/>
      <c r="S1819" s="7"/>
      <c r="T1819" s="7"/>
      <c r="U1819" s="7"/>
      <c r="V1819" s="7"/>
      <c r="W1819" s="14"/>
      <c r="X1819" s="10"/>
      <c r="Y1819" s="10"/>
      <c r="AB1819" s="19"/>
      <c r="AC1819" s="18"/>
    </row>
    <row r="1820" spans="4:29" x14ac:dyDescent="0.25">
      <c r="D1820" s="3"/>
      <c r="E1820" s="12"/>
      <c r="F1820" s="12"/>
      <c r="G1820" s="12"/>
      <c r="H1820" s="12"/>
      <c r="I1820" s="7"/>
      <c r="J1820" s="7"/>
      <c r="K1820" s="7"/>
      <c r="L1820" s="7"/>
      <c r="M1820" s="7"/>
      <c r="N1820" s="7"/>
      <c r="O1820" s="7"/>
      <c r="P1820" s="7"/>
      <c r="Q1820" s="7"/>
      <c r="R1820" s="7"/>
      <c r="S1820" s="7"/>
      <c r="T1820" s="7"/>
      <c r="U1820" s="7"/>
      <c r="V1820" s="7"/>
      <c r="W1820" s="14"/>
      <c r="X1820" s="10"/>
      <c r="Y1820" s="10"/>
      <c r="AB1820" s="19"/>
      <c r="AC1820" s="18"/>
    </row>
    <row r="1821" spans="4:29" x14ac:dyDescent="0.25">
      <c r="D1821" s="3"/>
      <c r="E1821" s="12"/>
      <c r="F1821" s="12"/>
      <c r="G1821" s="12"/>
      <c r="H1821" s="12"/>
      <c r="I1821" s="7"/>
      <c r="J1821" s="7"/>
      <c r="K1821" s="7"/>
      <c r="L1821" s="7"/>
      <c r="M1821" s="7"/>
      <c r="N1821" s="7"/>
      <c r="O1821" s="7"/>
      <c r="P1821" s="7"/>
      <c r="Q1821" s="7"/>
      <c r="R1821" s="7"/>
      <c r="S1821" s="7"/>
      <c r="T1821" s="7"/>
      <c r="U1821" s="7"/>
      <c r="V1821" s="7"/>
      <c r="W1821" s="14"/>
      <c r="X1821" s="10"/>
      <c r="Y1821" s="10"/>
      <c r="AB1821" s="19"/>
      <c r="AC1821" s="18"/>
    </row>
    <row r="1822" spans="4:29" x14ac:dyDescent="0.25">
      <c r="D1822" s="3"/>
      <c r="E1822" s="12"/>
      <c r="F1822" s="12"/>
      <c r="G1822" s="12"/>
      <c r="H1822" s="12"/>
      <c r="I1822" s="7"/>
      <c r="J1822" s="7"/>
      <c r="K1822" s="7"/>
      <c r="L1822" s="7"/>
      <c r="M1822" s="7"/>
      <c r="N1822" s="7"/>
      <c r="O1822" s="7"/>
      <c r="P1822" s="7"/>
      <c r="Q1822" s="7"/>
      <c r="R1822" s="7"/>
      <c r="S1822" s="7"/>
      <c r="T1822" s="7"/>
      <c r="U1822" s="7"/>
      <c r="V1822" s="7"/>
      <c r="W1822" s="14"/>
      <c r="X1822" s="10"/>
      <c r="Y1822" s="10"/>
      <c r="AB1822" s="19"/>
      <c r="AC1822" s="18"/>
    </row>
    <row r="1823" spans="4:29" x14ac:dyDescent="0.25">
      <c r="D1823" s="3"/>
      <c r="E1823" s="12"/>
      <c r="F1823" s="12"/>
      <c r="G1823" s="12"/>
      <c r="H1823" s="12"/>
      <c r="I1823" s="7"/>
      <c r="J1823" s="7"/>
      <c r="K1823" s="7"/>
      <c r="L1823" s="7"/>
      <c r="M1823" s="7"/>
      <c r="N1823" s="7"/>
      <c r="O1823" s="7"/>
      <c r="P1823" s="7"/>
      <c r="Q1823" s="7"/>
      <c r="R1823" s="7"/>
      <c r="S1823" s="7"/>
      <c r="T1823" s="7"/>
      <c r="U1823" s="7"/>
      <c r="V1823" s="7"/>
      <c r="W1823" s="14"/>
      <c r="X1823" s="10"/>
      <c r="Y1823" s="10"/>
      <c r="AB1823" s="19"/>
      <c r="AC1823" s="18"/>
    </row>
    <row r="1824" spans="4:29" x14ac:dyDescent="0.25">
      <c r="D1824" s="3"/>
      <c r="E1824" s="12"/>
      <c r="F1824" s="12"/>
      <c r="G1824" s="12"/>
      <c r="H1824" s="12"/>
      <c r="I1824" s="7"/>
      <c r="J1824" s="7"/>
      <c r="K1824" s="7"/>
      <c r="L1824" s="7"/>
      <c r="M1824" s="7"/>
      <c r="N1824" s="7"/>
      <c r="O1824" s="7"/>
      <c r="P1824" s="7"/>
      <c r="Q1824" s="7"/>
      <c r="R1824" s="7"/>
      <c r="S1824" s="7"/>
      <c r="T1824" s="7"/>
      <c r="U1824" s="7"/>
      <c r="V1824" s="7"/>
      <c r="W1824" s="14"/>
      <c r="X1824" s="10"/>
      <c r="Y1824" s="10"/>
      <c r="AB1824" s="19"/>
      <c r="AC1824" s="18"/>
    </row>
    <row r="1825" spans="4:29" x14ac:dyDescent="0.25">
      <c r="D1825" s="3"/>
      <c r="E1825" s="12"/>
      <c r="F1825" s="12"/>
      <c r="G1825" s="12"/>
      <c r="H1825" s="12"/>
      <c r="I1825" s="7"/>
      <c r="J1825" s="7"/>
      <c r="K1825" s="7"/>
      <c r="L1825" s="7"/>
      <c r="M1825" s="7"/>
      <c r="N1825" s="7"/>
      <c r="O1825" s="7"/>
      <c r="P1825" s="7"/>
      <c r="Q1825" s="7"/>
      <c r="R1825" s="7"/>
      <c r="S1825" s="7"/>
      <c r="T1825" s="7"/>
      <c r="U1825" s="7"/>
      <c r="V1825" s="7"/>
      <c r="W1825" s="14"/>
      <c r="X1825" s="10"/>
      <c r="Y1825" s="10"/>
      <c r="AB1825" s="19"/>
      <c r="AC1825" s="18"/>
    </row>
    <row r="1826" spans="4:29" x14ac:dyDescent="0.25">
      <c r="D1826" s="3"/>
      <c r="E1826" s="12"/>
      <c r="F1826" s="12"/>
      <c r="G1826" s="12"/>
      <c r="H1826" s="12"/>
      <c r="I1826" s="7"/>
      <c r="J1826" s="7"/>
      <c r="K1826" s="7"/>
      <c r="L1826" s="7"/>
      <c r="M1826" s="7"/>
      <c r="N1826" s="7"/>
      <c r="O1826" s="7"/>
      <c r="P1826" s="7"/>
      <c r="Q1826" s="7"/>
      <c r="R1826" s="7"/>
      <c r="S1826" s="7"/>
      <c r="T1826" s="7"/>
      <c r="U1826" s="7"/>
      <c r="V1826" s="7"/>
      <c r="W1826" s="14"/>
      <c r="X1826" s="10"/>
      <c r="Y1826" s="10"/>
      <c r="AB1826" s="19"/>
      <c r="AC1826" s="18"/>
    </row>
    <row r="1827" spans="4:29" x14ac:dyDescent="0.25">
      <c r="D1827" s="3"/>
      <c r="E1827" s="12"/>
      <c r="F1827" s="12"/>
      <c r="G1827" s="12"/>
      <c r="H1827" s="12"/>
      <c r="I1827" s="7"/>
      <c r="J1827" s="7"/>
      <c r="K1827" s="7"/>
      <c r="L1827" s="7"/>
      <c r="M1827" s="7"/>
      <c r="N1827" s="7"/>
      <c r="O1827" s="7"/>
      <c r="P1827" s="7"/>
      <c r="Q1827" s="7"/>
      <c r="R1827" s="7"/>
      <c r="S1827" s="7"/>
      <c r="T1827" s="7"/>
      <c r="U1827" s="7"/>
      <c r="V1827" s="7"/>
      <c r="W1827" s="14"/>
      <c r="X1827" s="10"/>
      <c r="Y1827" s="10"/>
      <c r="AB1827" s="19"/>
      <c r="AC1827" s="18"/>
    </row>
    <row r="1828" spans="4:29" x14ac:dyDescent="0.25">
      <c r="D1828" s="3"/>
      <c r="E1828" s="12"/>
      <c r="F1828" s="12"/>
      <c r="G1828" s="12"/>
      <c r="H1828" s="12"/>
      <c r="I1828" s="7"/>
      <c r="J1828" s="7"/>
      <c r="K1828" s="7"/>
      <c r="L1828" s="7"/>
      <c r="M1828" s="7"/>
      <c r="N1828" s="7"/>
      <c r="O1828" s="7"/>
      <c r="P1828" s="7"/>
      <c r="Q1828" s="7"/>
      <c r="R1828" s="7"/>
      <c r="S1828" s="7"/>
      <c r="T1828" s="7"/>
      <c r="U1828" s="7"/>
      <c r="V1828" s="7"/>
      <c r="W1828" s="14"/>
      <c r="X1828" s="10"/>
      <c r="Y1828" s="10"/>
      <c r="AB1828" s="19"/>
      <c r="AC1828" s="18"/>
    </row>
    <row r="1829" spans="4:29" x14ac:dyDescent="0.25">
      <c r="D1829" s="3"/>
      <c r="E1829" s="12"/>
      <c r="F1829" s="12"/>
      <c r="G1829" s="12"/>
      <c r="H1829" s="12"/>
      <c r="I1829" s="7"/>
      <c r="J1829" s="7"/>
      <c r="K1829" s="7"/>
      <c r="L1829" s="7"/>
      <c r="M1829" s="7"/>
      <c r="N1829" s="7"/>
      <c r="O1829" s="7"/>
      <c r="P1829" s="7"/>
      <c r="Q1829" s="7"/>
      <c r="R1829" s="7"/>
      <c r="S1829" s="7"/>
      <c r="T1829" s="7"/>
      <c r="U1829" s="7"/>
      <c r="V1829" s="7"/>
      <c r="W1829" s="14"/>
      <c r="X1829" s="10"/>
      <c r="Y1829" s="10"/>
      <c r="AB1829" s="19"/>
      <c r="AC1829" s="18"/>
    </row>
    <row r="1830" spans="4:29" x14ac:dyDescent="0.25">
      <c r="D1830" s="3"/>
      <c r="E1830" s="12"/>
      <c r="F1830" s="12"/>
      <c r="G1830" s="12"/>
      <c r="H1830" s="12"/>
      <c r="I1830" s="7"/>
      <c r="J1830" s="7"/>
      <c r="K1830" s="7"/>
      <c r="L1830" s="7"/>
      <c r="M1830" s="7"/>
      <c r="N1830" s="7"/>
      <c r="O1830" s="7"/>
      <c r="P1830" s="7"/>
      <c r="Q1830" s="7"/>
      <c r="R1830" s="7"/>
      <c r="S1830" s="7"/>
      <c r="T1830" s="7"/>
      <c r="U1830" s="7"/>
      <c r="V1830" s="7"/>
      <c r="W1830" s="14"/>
      <c r="X1830" s="10"/>
      <c r="Y1830" s="10"/>
      <c r="AB1830" s="19"/>
      <c r="AC1830" s="18"/>
    </row>
    <row r="1831" spans="4:29" x14ac:dyDescent="0.25">
      <c r="D1831" s="3"/>
      <c r="E1831" s="12"/>
      <c r="F1831" s="12"/>
      <c r="G1831" s="12"/>
      <c r="H1831" s="12"/>
      <c r="I1831" s="7"/>
      <c r="J1831" s="7"/>
      <c r="K1831" s="7"/>
      <c r="L1831" s="7"/>
      <c r="M1831" s="7"/>
      <c r="N1831" s="7"/>
      <c r="O1831" s="7"/>
      <c r="P1831" s="7"/>
      <c r="Q1831" s="7"/>
      <c r="R1831" s="7"/>
      <c r="S1831" s="7"/>
      <c r="T1831" s="7"/>
      <c r="U1831" s="7"/>
      <c r="V1831" s="7"/>
      <c r="W1831" s="14"/>
      <c r="X1831" s="10"/>
      <c r="Y1831" s="10"/>
      <c r="AB1831" s="19"/>
      <c r="AC1831" s="18"/>
    </row>
    <row r="1832" spans="4:29" x14ac:dyDescent="0.25">
      <c r="D1832" s="3"/>
      <c r="E1832" s="12"/>
      <c r="F1832" s="12"/>
      <c r="G1832" s="12"/>
      <c r="H1832" s="12"/>
      <c r="I1832" s="7"/>
      <c r="J1832" s="7"/>
      <c r="K1832" s="7"/>
      <c r="L1832" s="7"/>
      <c r="M1832" s="7"/>
      <c r="N1832" s="7"/>
      <c r="O1832" s="7"/>
      <c r="P1832" s="7"/>
      <c r="Q1832" s="7"/>
      <c r="R1832" s="7"/>
      <c r="S1832" s="7"/>
      <c r="T1832" s="7"/>
      <c r="U1832" s="7"/>
      <c r="V1832" s="7"/>
      <c r="W1832" s="14"/>
      <c r="X1832" s="10"/>
      <c r="Y1832" s="10"/>
      <c r="AB1832" s="19"/>
      <c r="AC1832" s="18"/>
    </row>
    <row r="1833" spans="4:29" x14ac:dyDescent="0.25">
      <c r="D1833" s="3"/>
      <c r="E1833" s="12"/>
      <c r="F1833" s="12"/>
      <c r="G1833" s="12"/>
      <c r="H1833" s="12"/>
      <c r="I1833" s="7"/>
      <c r="J1833" s="7"/>
      <c r="K1833" s="7"/>
      <c r="L1833" s="7"/>
      <c r="M1833" s="7"/>
      <c r="N1833" s="7"/>
      <c r="O1833" s="7"/>
      <c r="P1833" s="7"/>
      <c r="Q1833" s="7"/>
      <c r="R1833" s="7"/>
      <c r="S1833" s="7"/>
      <c r="T1833" s="7"/>
      <c r="U1833" s="7"/>
      <c r="V1833" s="7"/>
      <c r="W1833" s="14"/>
      <c r="X1833" s="10"/>
      <c r="Y1833" s="10"/>
      <c r="AB1833" s="19"/>
      <c r="AC1833" s="18"/>
    </row>
    <row r="1834" spans="4:29" x14ac:dyDescent="0.25">
      <c r="D1834" s="3"/>
      <c r="E1834" s="12"/>
      <c r="F1834" s="12"/>
      <c r="G1834" s="12"/>
      <c r="H1834" s="12"/>
      <c r="I1834" s="7"/>
      <c r="J1834" s="7"/>
      <c r="K1834" s="7"/>
      <c r="L1834" s="7"/>
      <c r="M1834" s="7"/>
      <c r="N1834" s="7"/>
      <c r="O1834" s="7"/>
      <c r="P1834" s="7"/>
      <c r="Q1834" s="7"/>
      <c r="R1834" s="7"/>
      <c r="S1834" s="7"/>
      <c r="T1834" s="7"/>
      <c r="U1834" s="7"/>
      <c r="V1834" s="7"/>
      <c r="W1834" s="14"/>
      <c r="X1834" s="10"/>
      <c r="Y1834" s="10"/>
      <c r="AB1834" s="19"/>
      <c r="AC1834" s="18"/>
    </row>
    <row r="1835" spans="4:29" x14ac:dyDescent="0.25">
      <c r="D1835" s="3"/>
      <c r="E1835" s="12"/>
      <c r="F1835" s="12"/>
      <c r="G1835" s="12"/>
      <c r="H1835" s="12"/>
      <c r="I1835" s="7"/>
      <c r="J1835" s="7"/>
      <c r="K1835" s="7"/>
      <c r="L1835" s="7"/>
      <c r="M1835" s="7"/>
      <c r="N1835" s="7"/>
      <c r="O1835" s="7"/>
      <c r="P1835" s="7"/>
      <c r="Q1835" s="7"/>
      <c r="R1835" s="7"/>
      <c r="S1835" s="7"/>
      <c r="T1835" s="7"/>
      <c r="U1835" s="7"/>
      <c r="V1835" s="7"/>
      <c r="W1835" s="14"/>
      <c r="X1835" s="10"/>
      <c r="Y1835" s="10"/>
      <c r="AB1835" s="19"/>
      <c r="AC1835" s="18"/>
    </row>
    <row r="1836" spans="4:29" x14ac:dyDescent="0.25">
      <c r="D1836" s="3"/>
      <c r="E1836" s="12"/>
      <c r="F1836" s="12"/>
      <c r="G1836" s="12"/>
      <c r="H1836" s="12"/>
      <c r="I1836" s="7"/>
      <c r="J1836" s="7"/>
      <c r="K1836" s="7"/>
      <c r="L1836" s="7"/>
      <c r="M1836" s="7"/>
      <c r="N1836" s="7"/>
      <c r="O1836" s="7"/>
      <c r="P1836" s="7"/>
      <c r="Q1836" s="7"/>
      <c r="R1836" s="7"/>
      <c r="S1836" s="7"/>
      <c r="T1836" s="7"/>
      <c r="U1836" s="7"/>
      <c r="V1836" s="7"/>
      <c r="W1836" s="14"/>
      <c r="X1836" s="10"/>
      <c r="Y1836" s="10"/>
      <c r="AB1836" s="19"/>
      <c r="AC1836" s="18"/>
    </row>
    <row r="1837" spans="4:29" x14ac:dyDescent="0.25">
      <c r="D1837" s="3"/>
      <c r="E1837" s="12"/>
      <c r="F1837" s="12"/>
      <c r="G1837" s="12"/>
      <c r="H1837" s="12"/>
      <c r="I1837" s="7"/>
      <c r="J1837" s="7"/>
      <c r="K1837" s="7"/>
      <c r="L1837" s="7"/>
      <c r="M1837" s="7"/>
      <c r="N1837" s="7"/>
      <c r="O1837" s="7"/>
      <c r="P1837" s="7"/>
      <c r="Q1837" s="7"/>
      <c r="R1837" s="7"/>
      <c r="S1837" s="7"/>
      <c r="T1837" s="7"/>
      <c r="U1837" s="7"/>
      <c r="V1837" s="7"/>
      <c r="W1837" s="14"/>
      <c r="X1837" s="10"/>
      <c r="Y1837" s="10"/>
      <c r="AB1837" s="19"/>
      <c r="AC1837" s="18"/>
    </row>
    <row r="1838" spans="4:29" x14ac:dyDescent="0.25">
      <c r="D1838" s="3"/>
      <c r="E1838" s="12"/>
      <c r="F1838" s="12"/>
      <c r="G1838" s="12"/>
      <c r="H1838" s="12"/>
      <c r="I1838" s="7"/>
      <c r="J1838" s="7"/>
      <c r="K1838" s="7"/>
      <c r="L1838" s="7"/>
      <c r="M1838" s="7"/>
      <c r="N1838" s="7"/>
      <c r="O1838" s="7"/>
      <c r="P1838" s="7"/>
      <c r="Q1838" s="7"/>
      <c r="R1838" s="7"/>
      <c r="S1838" s="7"/>
      <c r="T1838" s="7"/>
      <c r="U1838" s="7"/>
      <c r="V1838" s="7"/>
      <c r="W1838" s="14"/>
      <c r="X1838" s="10"/>
      <c r="Y1838" s="10"/>
      <c r="AB1838" s="19"/>
      <c r="AC1838" s="18"/>
    </row>
    <row r="1839" spans="4:29" x14ac:dyDescent="0.25">
      <c r="D1839" s="3"/>
      <c r="E1839" s="12"/>
      <c r="F1839" s="12"/>
      <c r="G1839" s="12"/>
      <c r="H1839" s="12"/>
      <c r="I1839" s="7"/>
      <c r="J1839" s="7"/>
      <c r="K1839" s="7"/>
      <c r="L1839" s="7"/>
      <c r="M1839" s="7"/>
      <c r="N1839" s="7"/>
      <c r="O1839" s="7"/>
      <c r="P1839" s="7"/>
      <c r="Q1839" s="7"/>
      <c r="R1839" s="7"/>
      <c r="S1839" s="7"/>
      <c r="T1839" s="7"/>
      <c r="U1839" s="7"/>
      <c r="V1839" s="7"/>
      <c r="W1839" s="14"/>
      <c r="X1839" s="10"/>
      <c r="Y1839" s="10"/>
      <c r="AB1839" s="19"/>
      <c r="AC1839" s="18"/>
    </row>
    <row r="1840" spans="4:29" x14ac:dyDescent="0.25">
      <c r="D1840" s="3"/>
      <c r="E1840" s="12"/>
      <c r="F1840" s="12"/>
      <c r="G1840" s="12"/>
      <c r="H1840" s="12"/>
      <c r="I1840" s="7"/>
      <c r="J1840" s="7"/>
      <c r="K1840" s="7"/>
      <c r="L1840" s="7"/>
      <c r="M1840" s="7"/>
      <c r="N1840" s="7"/>
      <c r="O1840" s="7"/>
      <c r="P1840" s="7"/>
      <c r="Q1840" s="7"/>
      <c r="R1840" s="7"/>
      <c r="S1840" s="7"/>
      <c r="T1840" s="7"/>
      <c r="U1840" s="7"/>
      <c r="V1840" s="7"/>
      <c r="W1840" s="14"/>
      <c r="X1840" s="10"/>
      <c r="Y1840" s="10"/>
      <c r="AB1840" s="19"/>
      <c r="AC1840" s="18"/>
    </row>
    <row r="1841" spans="4:29" x14ac:dyDescent="0.25">
      <c r="D1841" s="3"/>
      <c r="E1841" s="12"/>
      <c r="F1841" s="12"/>
      <c r="G1841" s="12"/>
      <c r="H1841" s="12"/>
      <c r="I1841" s="7"/>
      <c r="J1841" s="7"/>
      <c r="K1841" s="7"/>
      <c r="L1841" s="7"/>
      <c r="M1841" s="7"/>
      <c r="N1841" s="7"/>
      <c r="O1841" s="7"/>
      <c r="P1841" s="7"/>
      <c r="Q1841" s="7"/>
      <c r="R1841" s="7"/>
      <c r="S1841" s="7"/>
      <c r="T1841" s="7"/>
      <c r="U1841" s="7"/>
      <c r="V1841" s="7"/>
      <c r="W1841" s="14"/>
      <c r="X1841" s="10"/>
      <c r="Y1841" s="10"/>
      <c r="AB1841" s="19"/>
      <c r="AC1841" s="18"/>
    </row>
    <row r="1842" spans="4:29" x14ac:dyDescent="0.25">
      <c r="D1842" s="3"/>
      <c r="E1842" s="12"/>
      <c r="F1842" s="12"/>
      <c r="G1842" s="12"/>
      <c r="H1842" s="12"/>
      <c r="I1842" s="7"/>
      <c r="J1842" s="7"/>
      <c r="K1842" s="7"/>
      <c r="L1842" s="7"/>
      <c r="M1842" s="7"/>
      <c r="N1842" s="7"/>
      <c r="O1842" s="7"/>
      <c r="P1842" s="7"/>
      <c r="Q1842" s="7"/>
      <c r="R1842" s="7"/>
      <c r="S1842" s="7"/>
      <c r="T1842" s="7"/>
      <c r="U1842" s="7"/>
      <c r="V1842" s="7"/>
      <c r="W1842" s="14"/>
      <c r="X1842" s="10"/>
      <c r="Y1842" s="10"/>
      <c r="AB1842" s="19"/>
      <c r="AC1842" s="18"/>
    </row>
    <row r="1843" spans="4:29" x14ac:dyDescent="0.25">
      <c r="D1843" s="3"/>
      <c r="E1843" s="12"/>
      <c r="F1843" s="12"/>
      <c r="G1843" s="12"/>
      <c r="H1843" s="12"/>
      <c r="I1843" s="7"/>
      <c r="J1843" s="7"/>
      <c r="K1843" s="7"/>
      <c r="L1843" s="7"/>
      <c r="M1843" s="7"/>
      <c r="N1843" s="7"/>
      <c r="O1843" s="7"/>
      <c r="P1843" s="7"/>
      <c r="Q1843" s="7"/>
      <c r="R1843" s="7"/>
      <c r="S1843" s="7"/>
      <c r="T1843" s="7"/>
      <c r="U1843" s="7"/>
      <c r="V1843" s="7"/>
      <c r="W1843" s="14"/>
      <c r="X1843" s="10"/>
      <c r="Y1843" s="10"/>
      <c r="AB1843" s="19"/>
      <c r="AC1843" s="18"/>
    </row>
    <row r="1844" spans="4:29" x14ac:dyDescent="0.25">
      <c r="D1844" s="3"/>
      <c r="E1844" s="12"/>
      <c r="F1844" s="12"/>
      <c r="G1844" s="12"/>
      <c r="H1844" s="12"/>
      <c r="I1844" s="7"/>
      <c r="J1844" s="7"/>
      <c r="K1844" s="7"/>
      <c r="L1844" s="7"/>
      <c r="M1844" s="7"/>
      <c r="N1844" s="7"/>
      <c r="O1844" s="7"/>
      <c r="P1844" s="7"/>
      <c r="Q1844" s="7"/>
      <c r="R1844" s="7"/>
      <c r="S1844" s="7"/>
      <c r="T1844" s="7"/>
      <c r="U1844" s="7"/>
      <c r="V1844" s="7"/>
      <c r="W1844" s="14"/>
      <c r="X1844" s="10"/>
      <c r="Y1844" s="10"/>
      <c r="AB1844" s="19"/>
      <c r="AC1844" s="18"/>
    </row>
    <row r="1845" spans="4:29" x14ac:dyDescent="0.25">
      <c r="D1845" s="3"/>
      <c r="E1845" s="12"/>
      <c r="F1845" s="12"/>
      <c r="G1845" s="12"/>
      <c r="H1845" s="12"/>
      <c r="I1845" s="7"/>
      <c r="J1845" s="7"/>
      <c r="K1845" s="7"/>
      <c r="L1845" s="7"/>
      <c r="M1845" s="7"/>
      <c r="N1845" s="7"/>
      <c r="O1845" s="7"/>
      <c r="P1845" s="7"/>
      <c r="Q1845" s="7"/>
      <c r="R1845" s="7"/>
      <c r="S1845" s="7"/>
      <c r="T1845" s="7"/>
      <c r="U1845" s="7"/>
      <c r="V1845" s="7"/>
      <c r="W1845" s="14"/>
      <c r="X1845" s="10"/>
      <c r="Y1845" s="10"/>
      <c r="AB1845" s="19"/>
      <c r="AC1845" s="18"/>
    </row>
    <row r="1846" spans="4:29" x14ac:dyDescent="0.25">
      <c r="D1846" s="3"/>
      <c r="E1846" s="12"/>
      <c r="F1846" s="12"/>
      <c r="G1846" s="12"/>
      <c r="H1846" s="12"/>
      <c r="I1846" s="7"/>
      <c r="J1846" s="7"/>
      <c r="K1846" s="7"/>
      <c r="L1846" s="7"/>
      <c r="M1846" s="7"/>
      <c r="N1846" s="7"/>
      <c r="O1846" s="7"/>
      <c r="P1846" s="7"/>
      <c r="Q1846" s="7"/>
      <c r="R1846" s="7"/>
      <c r="S1846" s="7"/>
      <c r="T1846" s="7"/>
      <c r="U1846" s="7"/>
      <c r="V1846" s="7"/>
      <c r="W1846" s="14"/>
      <c r="X1846" s="10"/>
      <c r="Y1846" s="10"/>
      <c r="AB1846" s="19"/>
      <c r="AC1846" s="18"/>
    </row>
    <row r="1847" spans="4:29" x14ac:dyDescent="0.25">
      <c r="D1847" s="3"/>
      <c r="E1847" s="12"/>
      <c r="F1847" s="12"/>
      <c r="G1847" s="12"/>
      <c r="H1847" s="12"/>
      <c r="I1847" s="7"/>
      <c r="J1847" s="7"/>
      <c r="K1847" s="7"/>
      <c r="L1847" s="7"/>
      <c r="M1847" s="7"/>
      <c r="N1847" s="7"/>
      <c r="O1847" s="7"/>
      <c r="P1847" s="7"/>
      <c r="Q1847" s="7"/>
      <c r="R1847" s="7"/>
      <c r="S1847" s="7"/>
      <c r="T1847" s="7"/>
      <c r="U1847" s="7"/>
      <c r="V1847" s="7"/>
      <c r="W1847" s="14"/>
      <c r="X1847" s="10"/>
      <c r="Y1847" s="10"/>
      <c r="AB1847" s="19"/>
      <c r="AC1847" s="18"/>
    </row>
    <row r="1848" spans="4:29" x14ac:dyDescent="0.25">
      <c r="D1848" s="3"/>
      <c r="E1848" s="12"/>
      <c r="F1848" s="12"/>
      <c r="G1848" s="12"/>
      <c r="H1848" s="12"/>
      <c r="I1848" s="7"/>
      <c r="J1848" s="7"/>
      <c r="K1848" s="7"/>
      <c r="L1848" s="7"/>
      <c r="M1848" s="7"/>
      <c r="N1848" s="7"/>
      <c r="O1848" s="7"/>
      <c r="P1848" s="7"/>
      <c r="Q1848" s="7"/>
      <c r="R1848" s="7"/>
      <c r="S1848" s="7"/>
      <c r="T1848" s="7"/>
      <c r="U1848" s="7"/>
      <c r="V1848" s="7"/>
      <c r="W1848" s="14"/>
      <c r="X1848" s="10"/>
      <c r="Y1848" s="10"/>
      <c r="AB1848" s="19"/>
      <c r="AC1848" s="18"/>
    </row>
    <row r="1849" spans="4:29" x14ac:dyDescent="0.25">
      <c r="D1849" s="3"/>
      <c r="E1849" s="12"/>
      <c r="F1849" s="12"/>
      <c r="G1849" s="12"/>
      <c r="H1849" s="12"/>
      <c r="I1849" s="7"/>
      <c r="J1849" s="7"/>
      <c r="K1849" s="7"/>
      <c r="L1849" s="7"/>
      <c r="M1849" s="7"/>
      <c r="N1849" s="7"/>
      <c r="O1849" s="7"/>
      <c r="P1849" s="7"/>
      <c r="Q1849" s="7"/>
      <c r="R1849" s="7"/>
      <c r="S1849" s="7"/>
      <c r="T1849" s="7"/>
      <c r="U1849" s="7"/>
      <c r="V1849" s="7"/>
      <c r="W1849" s="14"/>
      <c r="X1849" s="10"/>
      <c r="Y1849" s="10"/>
      <c r="AB1849" s="19"/>
      <c r="AC1849" s="18"/>
    </row>
    <row r="1850" spans="4:29" x14ac:dyDescent="0.25">
      <c r="D1850" s="3"/>
      <c r="E1850" s="12"/>
      <c r="F1850" s="12"/>
      <c r="G1850" s="12"/>
      <c r="H1850" s="12"/>
      <c r="I1850" s="7"/>
      <c r="J1850" s="7"/>
      <c r="K1850" s="7"/>
      <c r="L1850" s="7"/>
      <c r="M1850" s="7"/>
      <c r="N1850" s="7"/>
      <c r="O1850" s="7"/>
      <c r="P1850" s="7"/>
      <c r="Q1850" s="7"/>
      <c r="R1850" s="7"/>
      <c r="S1850" s="7"/>
      <c r="T1850" s="7"/>
      <c r="U1850" s="7"/>
      <c r="V1850" s="7"/>
      <c r="W1850" s="14"/>
      <c r="X1850" s="10"/>
      <c r="Y1850" s="10"/>
      <c r="AB1850" s="19"/>
      <c r="AC1850" s="18"/>
    </row>
    <row r="1851" spans="4:29" x14ac:dyDescent="0.25">
      <c r="D1851" s="3"/>
      <c r="E1851" s="12"/>
      <c r="F1851" s="12"/>
      <c r="G1851" s="12"/>
      <c r="H1851" s="12"/>
      <c r="I1851" s="7"/>
      <c r="J1851" s="7"/>
      <c r="K1851" s="7"/>
      <c r="L1851" s="7"/>
      <c r="M1851" s="7"/>
      <c r="N1851" s="7"/>
      <c r="O1851" s="7"/>
      <c r="P1851" s="7"/>
      <c r="Q1851" s="7"/>
      <c r="R1851" s="7"/>
      <c r="S1851" s="7"/>
      <c r="T1851" s="7"/>
      <c r="U1851" s="7"/>
      <c r="V1851" s="7"/>
      <c r="W1851" s="14"/>
      <c r="X1851" s="10"/>
      <c r="Y1851" s="10"/>
      <c r="AB1851" s="19"/>
      <c r="AC1851" s="18"/>
    </row>
    <row r="1852" spans="4:29" x14ac:dyDescent="0.25">
      <c r="D1852" s="3"/>
      <c r="E1852" s="12"/>
      <c r="F1852" s="12"/>
      <c r="G1852" s="12"/>
      <c r="H1852" s="12"/>
      <c r="I1852" s="7"/>
      <c r="J1852" s="7"/>
      <c r="K1852" s="7"/>
      <c r="L1852" s="7"/>
      <c r="M1852" s="7"/>
      <c r="N1852" s="7"/>
      <c r="O1852" s="7"/>
      <c r="P1852" s="7"/>
      <c r="Q1852" s="7"/>
      <c r="R1852" s="7"/>
      <c r="S1852" s="7"/>
      <c r="T1852" s="7"/>
      <c r="U1852" s="7"/>
      <c r="V1852" s="7"/>
      <c r="W1852" s="14"/>
      <c r="X1852" s="10"/>
      <c r="Y1852" s="10"/>
      <c r="AB1852" s="19"/>
      <c r="AC1852" s="18"/>
    </row>
    <row r="1853" spans="4:29" x14ac:dyDescent="0.25">
      <c r="D1853" s="3"/>
      <c r="E1853" s="12"/>
      <c r="F1853" s="12"/>
      <c r="G1853" s="12"/>
      <c r="H1853" s="12"/>
      <c r="I1853" s="7"/>
      <c r="J1853" s="7"/>
      <c r="K1853" s="7"/>
      <c r="L1853" s="7"/>
      <c r="M1853" s="7"/>
      <c r="N1853" s="7"/>
      <c r="O1853" s="7"/>
      <c r="P1853" s="7"/>
      <c r="Q1853" s="7"/>
      <c r="R1853" s="7"/>
      <c r="S1853" s="7"/>
      <c r="T1853" s="7"/>
      <c r="U1853" s="7"/>
      <c r="V1853" s="7"/>
      <c r="W1853" s="14"/>
      <c r="X1853" s="10"/>
      <c r="Y1853" s="10"/>
      <c r="AB1853" s="19"/>
      <c r="AC1853" s="18"/>
    </row>
    <row r="1854" spans="4:29" x14ac:dyDescent="0.25">
      <c r="D1854" s="3"/>
      <c r="E1854" s="12"/>
      <c r="F1854" s="12"/>
      <c r="G1854" s="12"/>
      <c r="H1854" s="12"/>
      <c r="I1854" s="7"/>
      <c r="J1854" s="7"/>
      <c r="K1854" s="7"/>
      <c r="L1854" s="7"/>
      <c r="M1854" s="7"/>
      <c r="N1854" s="7"/>
      <c r="O1854" s="7"/>
      <c r="P1854" s="7"/>
      <c r="Q1854" s="7"/>
      <c r="R1854" s="7"/>
      <c r="S1854" s="7"/>
      <c r="T1854" s="7"/>
      <c r="U1854" s="7"/>
      <c r="V1854" s="7"/>
      <c r="W1854" s="14"/>
      <c r="X1854" s="10"/>
      <c r="Y1854" s="10"/>
      <c r="AB1854" s="19"/>
      <c r="AC1854" s="18"/>
    </row>
    <row r="1855" spans="4:29" x14ac:dyDescent="0.25">
      <c r="D1855" s="3"/>
      <c r="E1855" s="12"/>
      <c r="F1855" s="12"/>
      <c r="G1855" s="12"/>
      <c r="H1855" s="12"/>
      <c r="I1855" s="7"/>
      <c r="J1855" s="7"/>
      <c r="K1855" s="7"/>
      <c r="L1855" s="7"/>
      <c r="M1855" s="7"/>
      <c r="N1855" s="7"/>
      <c r="O1855" s="7"/>
      <c r="P1855" s="7"/>
      <c r="Q1855" s="7"/>
      <c r="R1855" s="7"/>
      <c r="S1855" s="7"/>
      <c r="T1855" s="7"/>
      <c r="U1855" s="7"/>
      <c r="V1855" s="7"/>
      <c r="W1855" s="14"/>
      <c r="X1855" s="10"/>
      <c r="Y1855" s="10"/>
      <c r="AB1855" s="19"/>
      <c r="AC1855" s="18"/>
    </row>
    <row r="1856" spans="4:29" x14ac:dyDescent="0.25">
      <c r="D1856" s="3"/>
      <c r="E1856" s="12"/>
      <c r="F1856" s="12"/>
      <c r="G1856" s="12"/>
      <c r="H1856" s="12"/>
      <c r="I1856" s="7"/>
      <c r="J1856" s="7"/>
      <c r="K1856" s="7"/>
      <c r="L1856" s="7"/>
      <c r="M1856" s="7"/>
      <c r="N1856" s="7"/>
      <c r="O1856" s="7"/>
      <c r="P1856" s="7"/>
      <c r="Q1856" s="7"/>
      <c r="R1856" s="7"/>
      <c r="S1856" s="7"/>
      <c r="T1856" s="7"/>
      <c r="U1856" s="7"/>
      <c r="V1856" s="7"/>
      <c r="W1856" s="14"/>
      <c r="X1856" s="10"/>
      <c r="Y1856" s="10"/>
      <c r="AB1856" s="19"/>
      <c r="AC1856" s="18"/>
    </row>
    <row r="1857" spans="4:29" x14ac:dyDescent="0.25">
      <c r="D1857" s="3"/>
      <c r="E1857" s="12"/>
      <c r="F1857" s="12"/>
      <c r="G1857" s="12"/>
      <c r="H1857" s="12"/>
      <c r="I1857" s="7"/>
      <c r="J1857" s="7"/>
      <c r="K1857" s="7"/>
      <c r="L1857" s="7"/>
      <c r="M1857" s="7"/>
      <c r="N1857" s="7"/>
      <c r="O1857" s="7"/>
      <c r="P1857" s="7"/>
      <c r="Q1857" s="7"/>
      <c r="R1857" s="7"/>
      <c r="S1857" s="7"/>
      <c r="T1857" s="7"/>
      <c r="U1857" s="7"/>
      <c r="V1857" s="7"/>
      <c r="W1857" s="14"/>
      <c r="X1857" s="10"/>
      <c r="Y1857" s="10"/>
      <c r="AB1857" s="19"/>
      <c r="AC1857" s="18"/>
    </row>
    <row r="1858" spans="4:29" x14ac:dyDescent="0.25">
      <c r="D1858" s="3"/>
      <c r="E1858" s="12"/>
      <c r="F1858" s="12"/>
      <c r="G1858" s="12"/>
      <c r="H1858" s="12"/>
      <c r="I1858" s="7"/>
      <c r="J1858" s="7"/>
      <c r="K1858" s="7"/>
      <c r="L1858" s="7"/>
      <c r="M1858" s="7"/>
      <c r="N1858" s="7"/>
      <c r="O1858" s="7"/>
      <c r="P1858" s="7"/>
      <c r="Q1858" s="7"/>
      <c r="R1858" s="7"/>
      <c r="S1858" s="7"/>
      <c r="T1858" s="7"/>
      <c r="U1858" s="7"/>
      <c r="V1858" s="7"/>
      <c r="W1858" s="14"/>
      <c r="X1858" s="10"/>
      <c r="Y1858" s="10"/>
      <c r="AB1858" s="19"/>
      <c r="AC1858" s="18"/>
    </row>
    <row r="1859" spans="4:29" x14ac:dyDescent="0.25">
      <c r="D1859" s="3"/>
      <c r="E1859" s="12"/>
      <c r="F1859" s="12"/>
      <c r="G1859" s="12"/>
      <c r="H1859" s="12"/>
      <c r="I1859" s="7"/>
      <c r="J1859" s="7"/>
      <c r="K1859" s="7"/>
      <c r="L1859" s="7"/>
      <c r="M1859" s="7"/>
      <c r="N1859" s="7"/>
      <c r="O1859" s="7"/>
      <c r="P1859" s="7"/>
      <c r="Q1859" s="7"/>
      <c r="R1859" s="7"/>
      <c r="S1859" s="7"/>
      <c r="T1859" s="7"/>
      <c r="U1859" s="7"/>
      <c r="V1859" s="7"/>
      <c r="W1859" s="14"/>
      <c r="X1859" s="10"/>
      <c r="Y1859" s="10"/>
      <c r="AB1859" s="19"/>
      <c r="AC1859" s="18"/>
    </row>
    <row r="1860" spans="4:29" x14ac:dyDescent="0.25">
      <c r="D1860" s="3"/>
      <c r="E1860" s="12"/>
      <c r="F1860" s="12"/>
      <c r="G1860" s="12"/>
      <c r="H1860" s="12"/>
      <c r="I1860" s="7"/>
      <c r="J1860" s="7"/>
      <c r="K1860" s="7"/>
      <c r="L1860" s="7"/>
      <c r="M1860" s="7"/>
      <c r="N1860" s="7"/>
      <c r="O1860" s="7"/>
      <c r="P1860" s="7"/>
      <c r="Q1860" s="7"/>
      <c r="R1860" s="7"/>
      <c r="S1860" s="7"/>
      <c r="T1860" s="7"/>
      <c r="U1860" s="7"/>
      <c r="V1860" s="7"/>
      <c r="W1860" s="14"/>
      <c r="X1860" s="10"/>
      <c r="Y1860" s="10"/>
      <c r="AB1860" s="19"/>
      <c r="AC1860" s="18"/>
    </row>
    <row r="1861" spans="4:29" x14ac:dyDescent="0.25">
      <c r="D1861" s="3"/>
      <c r="E1861" s="12"/>
      <c r="F1861" s="12"/>
      <c r="G1861" s="12"/>
      <c r="H1861" s="12"/>
      <c r="I1861" s="7"/>
      <c r="J1861" s="7"/>
      <c r="K1861" s="7"/>
      <c r="L1861" s="7"/>
      <c r="M1861" s="7"/>
      <c r="N1861" s="7"/>
      <c r="O1861" s="7"/>
      <c r="P1861" s="7"/>
      <c r="Q1861" s="7"/>
      <c r="R1861" s="7"/>
      <c r="S1861" s="7"/>
      <c r="T1861" s="7"/>
      <c r="U1861" s="7"/>
      <c r="V1861" s="7"/>
      <c r="W1861" s="14"/>
      <c r="X1861" s="10"/>
      <c r="Y1861" s="10"/>
      <c r="AB1861" s="19"/>
      <c r="AC1861" s="18"/>
    </row>
    <row r="1862" spans="4:29" x14ac:dyDescent="0.25">
      <c r="D1862" s="3"/>
      <c r="E1862" s="12"/>
      <c r="F1862" s="12"/>
      <c r="G1862" s="12"/>
      <c r="H1862" s="12"/>
      <c r="I1862" s="7"/>
      <c r="J1862" s="7"/>
      <c r="K1862" s="7"/>
      <c r="L1862" s="7"/>
      <c r="M1862" s="7"/>
      <c r="N1862" s="7"/>
      <c r="O1862" s="7"/>
      <c r="P1862" s="7"/>
      <c r="Q1862" s="7"/>
      <c r="R1862" s="7"/>
      <c r="S1862" s="7"/>
      <c r="T1862" s="7"/>
      <c r="U1862" s="7"/>
      <c r="V1862" s="7"/>
      <c r="W1862" s="14"/>
      <c r="X1862" s="10"/>
      <c r="Y1862" s="10"/>
      <c r="AB1862" s="19"/>
      <c r="AC1862" s="18"/>
    </row>
    <row r="1863" spans="4:29" x14ac:dyDescent="0.25">
      <c r="D1863" s="3"/>
      <c r="E1863" s="12"/>
      <c r="F1863" s="12"/>
      <c r="G1863" s="12"/>
      <c r="H1863" s="12"/>
      <c r="I1863" s="7"/>
      <c r="J1863" s="7"/>
      <c r="K1863" s="7"/>
      <c r="L1863" s="7"/>
      <c r="M1863" s="7"/>
      <c r="N1863" s="7"/>
      <c r="O1863" s="7"/>
      <c r="P1863" s="7"/>
      <c r="Q1863" s="7"/>
      <c r="R1863" s="7"/>
      <c r="S1863" s="7"/>
      <c r="T1863" s="7"/>
      <c r="U1863" s="7"/>
      <c r="V1863" s="7"/>
      <c r="W1863" s="14"/>
      <c r="X1863" s="10"/>
      <c r="Y1863" s="10"/>
      <c r="AB1863" s="19"/>
      <c r="AC1863" s="18"/>
    </row>
    <row r="1864" spans="4:29" x14ac:dyDescent="0.25">
      <c r="D1864" s="3"/>
      <c r="E1864" s="12"/>
      <c r="F1864" s="12"/>
      <c r="G1864" s="12"/>
      <c r="H1864" s="12"/>
      <c r="I1864" s="7"/>
      <c r="J1864" s="7"/>
      <c r="K1864" s="7"/>
      <c r="L1864" s="7"/>
      <c r="M1864" s="7"/>
      <c r="N1864" s="7"/>
      <c r="O1864" s="7"/>
      <c r="P1864" s="7"/>
      <c r="Q1864" s="7"/>
      <c r="R1864" s="7"/>
      <c r="S1864" s="7"/>
      <c r="T1864" s="7"/>
      <c r="U1864" s="7"/>
      <c r="V1864" s="7"/>
      <c r="W1864" s="14"/>
      <c r="X1864" s="10"/>
      <c r="Y1864" s="10"/>
      <c r="AB1864" s="19"/>
      <c r="AC1864" s="18"/>
    </row>
    <row r="1865" spans="4:29" x14ac:dyDescent="0.25">
      <c r="D1865" s="3"/>
      <c r="E1865" s="12"/>
      <c r="F1865" s="12"/>
      <c r="G1865" s="12"/>
      <c r="H1865" s="12"/>
      <c r="I1865" s="7"/>
      <c r="J1865" s="7"/>
      <c r="K1865" s="7"/>
      <c r="L1865" s="7"/>
      <c r="M1865" s="7"/>
      <c r="N1865" s="7"/>
      <c r="O1865" s="7"/>
      <c r="P1865" s="7"/>
      <c r="Q1865" s="7"/>
      <c r="R1865" s="7"/>
      <c r="S1865" s="7"/>
      <c r="T1865" s="7"/>
      <c r="U1865" s="7"/>
      <c r="V1865" s="7"/>
      <c r="W1865" s="14"/>
      <c r="X1865" s="10"/>
      <c r="Y1865" s="10"/>
      <c r="AB1865" s="19"/>
      <c r="AC1865" s="18"/>
    </row>
    <row r="1866" spans="4:29" x14ac:dyDescent="0.25">
      <c r="D1866" s="3"/>
      <c r="E1866" s="12"/>
      <c r="F1866" s="12"/>
      <c r="G1866" s="12"/>
      <c r="H1866" s="12"/>
      <c r="I1866" s="7"/>
      <c r="J1866" s="7"/>
      <c r="K1866" s="7"/>
      <c r="L1866" s="7"/>
      <c r="M1866" s="7"/>
      <c r="N1866" s="7"/>
      <c r="O1866" s="7"/>
      <c r="P1866" s="7"/>
      <c r="Q1866" s="7"/>
      <c r="R1866" s="7"/>
      <c r="S1866" s="7"/>
      <c r="T1866" s="7"/>
      <c r="U1866" s="7"/>
      <c r="V1866" s="7"/>
      <c r="W1866" s="14"/>
      <c r="X1866" s="10"/>
      <c r="Y1866" s="10"/>
      <c r="AB1866" s="19"/>
      <c r="AC1866" s="18"/>
    </row>
    <row r="1867" spans="4:29" x14ac:dyDescent="0.25">
      <c r="D1867" s="3"/>
      <c r="E1867" s="12"/>
      <c r="F1867" s="12"/>
      <c r="G1867" s="12"/>
      <c r="H1867" s="12"/>
      <c r="I1867" s="7"/>
      <c r="J1867" s="7"/>
      <c r="K1867" s="7"/>
      <c r="L1867" s="7"/>
      <c r="M1867" s="7"/>
      <c r="N1867" s="7"/>
      <c r="O1867" s="7"/>
      <c r="P1867" s="7"/>
      <c r="Q1867" s="7"/>
      <c r="R1867" s="7"/>
      <c r="S1867" s="7"/>
      <c r="T1867" s="7"/>
      <c r="U1867" s="7"/>
      <c r="V1867" s="7"/>
      <c r="W1867" s="14"/>
      <c r="X1867" s="10"/>
      <c r="Y1867" s="10"/>
      <c r="AB1867" s="19"/>
      <c r="AC1867" s="18"/>
    </row>
    <row r="1868" spans="4:29" x14ac:dyDescent="0.25">
      <c r="D1868" s="3"/>
      <c r="E1868" s="12"/>
      <c r="F1868" s="12"/>
      <c r="G1868" s="12"/>
      <c r="H1868" s="12"/>
      <c r="I1868" s="7"/>
      <c r="J1868" s="7"/>
      <c r="K1868" s="7"/>
      <c r="L1868" s="7"/>
      <c r="M1868" s="7"/>
      <c r="N1868" s="7"/>
      <c r="O1868" s="7"/>
      <c r="P1868" s="7"/>
      <c r="Q1868" s="7"/>
      <c r="R1868" s="7"/>
      <c r="S1868" s="7"/>
      <c r="T1868" s="7"/>
      <c r="U1868" s="7"/>
      <c r="V1868" s="7"/>
      <c r="W1868" s="14"/>
      <c r="X1868" s="10"/>
      <c r="Y1868" s="10"/>
      <c r="AB1868" s="19"/>
      <c r="AC1868" s="18"/>
    </row>
    <row r="1869" spans="4:29" x14ac:dyDescent="0.25">
      <c r="D1869" s="3"/>
      <c r="E1869" s="12"/>
      <c r="F1869" s="12"/>
      <c r="G1869" s="12"/>
      <c r="H1869" s="12"/>
      <c r="I1869" s="7"/>
      <c r="J1869" s="7"/>
      <c r="K1869" s="7"/>
      <c r="L1869" s="7"/>
      <c r="M1869" s="7"/>
      <c r="N1869" s="7"/>
      <c r="O1869" s="7"/>
      <c r="P1869" s="7"/>
      <c r="Q1869" s="7"/>
      <c r="R1869" s="7"/>
      <c r="S1869" s="7"/>
      <c r="T1869" s="7"/>
      <c r="U1869" s="7"/>
      <c r="V1869" s="7"/>
      <c r="W1869" s="14"/>
      <c r="X1869" s="10"/>
      <c r="Y1869" s="10"/>
      <c r="AB1869" s="19"/>
      <c r="AC1869" s="18"/>
    </row>
    <row r="1870" spans="4:29" x14ac:dyDescent="0.25">
      <c r="D1870" s="3"/>
      <c r="E1870" s="12"/>
      <c r="F1870" s="12"/>
      <c r="G1870" s="12"/>
      <c r="H1870" s="12"/>
      <c r="I1870" s="7"/>
      <c r="J1870" s="7"/>
      <c r="K1870" s="7"/>
      <c r="L1870" s="7"/>
      <c r="M1870" s="7"/>
      <c r="N1870" s="7"/>
      <c r="O1870" s="7"/>
      <c r="P1870" s="7"/>
      <c r="Q1870" s="7"/>
      <c r="R1870" s="7"/>
      <c r="S1870" s="7"/>
      <c r="T1870" s="7"/>
      <c r="U1870" s="7"/>
      <c r="V1870" s="7"/>
      <c r="W1870" s="14"/>
      <c r="X1870" s="10"/>
      <c r="Y1870" s="10"/>
      <c r="AB1870" s="19"/>
      <c r="AC1870" s="18"/>
    </row>
    <row r="1871" spans="4:29" x14ac:dyDescent="0.25">
      <c r="D1871" s="3"/>
      <c r="E1871" s="12"/>
      <c r="F1871" s="12"/>
      <c r="G1871" s="12"/>
      <c r="H1871" s="12"/>
      <c r="I1871" s="7"/>
      <c r="J1871" s="7"/>
      <c r="K1871" s="7"/>
      <c r="L1871" s="7"/>
      <c r="M1871" s="7"/>
      <c r="N1871" s="7"/>
      <c r="O1871" s="7"/>
      <c r="P1871" s="7"/>
      <c r="Q1871" s="7"/>
      <c r="R1871" s="7"/>
      <c r="S1871" s="7"/>
      <c r="T1871" s="7"/>
      <c r="U1871" s="7"/>
      <c r="V1871" s="7"/>
      <c r="W1871" s="14"/>
      <c r="X1871" s="10"/>
      <c r="Y1871" s="10"/>
      <c r="AB1871" s="19"/>
      <c r="AC1871" s="18"/>
    </row>
    <row r="1872" spans="4:29" x14ac:dyDescent="0.25">
      <c r="D1872" s="3"/>
      <c r="E1872" s="12"/>
      <c r="F1872" s="12"/>
      <c r="G1872" s="12"/>
      <c r="H1872" s="12"/>
      <c r="I1872" s="7"/>
      <c r="J1872" s="7"/>
      <c r="K1872" s="7"/>
      <c r="L1872" s="7"/>
      <c r="M1872" s="7"/>
      <c r="N1872" s="7"/>
      <c r="O1872" s="7"/>
      <c r="P1872" s="7"/>
      <c r="Q1872" s="7"/>
      <c r="R1872" s="7"/>
      <c r="S1872" s="7"/>
      <c r="T1872" s="7"/>
      <c r="U1872" s="7"/>
      <c r="V1872" s="7"/>
      <c r="W1872" s="14"/>
      <c r="X1872" s="10"/>
      <c r="Y1872" s="10"/>
      <c r="AB1872" s="19"/>
      <c r="AC1872" s="18"/>
    </row>
    <row r="1873" spans="4:29" x14ac:dyDescent="0.25">
      <c r="D1873" s="3"/>
      <c r="E1873" s="12"/>
      <c r="F1873" s="12"/>
      <c r="G1873" s="12"/>
      <c r="H1873" s="12"/>
      <c r="I1873" s="7"/>
      <c r="J1873" s="7"/>
      <c r="K1873" s="7"/>
      <c r="L1873" s="7"/>
      <c r="M1873" s="7"/>
      <c r="N1873" s="7"/>
      <c r="O1873" s="7"/>
      <c r="P1873" s="7"/>
      <c r="Q1873" s="7"/>
      <c r="R1873" s="7"/>
      <c r="S1873" s="7"/>
      <c r="T1873" s="7"/>
      <c r="U1873" s="7"/>
      <c r="V1873" s="7"/>
      <c r="W1873" s="14"/>
      <c r="X1873" s="10"/>
      <c r="Y1873" s="10"/>
      <c r="AB1873" s="19"/>
      <c r="AC1873" s="18"/>
    </row>
    <row r="1874" spans="4:29" x14ac:dyDescent="0.25">
      <c r="D1874" s="3"/>
      <c r="E1874" s="12"/>
      <c r="F1874" s="12"/>
      <c r="G1874" s="12"/>
      <c r="H1874" s="12"/>
      <c r="I1874" s="7"/>
      <c r="J1874" s="7"/>
      <c r="K1874" s="7"/>
      <c r="L1874" s="7"/>
      <c r="M1874" s="7"/>
      <c r="N1874" s="7"/>
      <c r="O1874" s="7"/>
      <c r="P1874" s="7"/>
      <c r="Q1874" s="7"/>
      <c r="R1874" s="7"/>
      <c r="S1874" s="7"/>
      <c r="T1874" s="7"/>
      <c r="U1874" s="7"/>
      <c r="V1874" s="7"/>
      <c r="W1874" s="14"/>
      <c r="X1874" s="10"/>
      <c r="Y1874" s="10"/>
      <c r="AB1874" s="19"/>
      <c r="AC1874" s="18"/>
    </row>
    <row r="1875" spans="4:29" x14ac:dyDescent="0.25">
      <c r="D1875" s="3"/>
      <c r="E1875" s="12"/>
      <c r="F1875" s="12"/>
      <c r="G1875" s="12"/>
      <c r="H1875" s="12"/>
      <c r="I1875" s="7"/>
      <c r="J1875" s="7"/>
      <c r="K1875" s="7"/>
      <c r="L1875" s="7"/>
      <c r="M1875" s="7"/>
      <c r="N1875" s="7"/>
      <c r="O1875" s="7"/>
      <c r="P1875" s="7"/>
      <c r="Q1875" s="7"/>
      <c r="R1875" s="7"/>
      <c r="S1875" s="7"/>
      <c r="T1875" s="7"/>
      <c r="U1875" s="7"/>
      <c r="V1875" s="7"/>
      <c r="W1875" s="14"/>
      <c r="X1875" s="10"/>
      <c r="Y1875" s="10"/>
      <c r="AB1875" s="19"/>
      <c r="AC1875" s="18"/>
    </row>
    <row r="1876" spans="4:29" x14ac:dyDescent="0.25">
      <c r="D1876" s="3"/>
      <c r="E1876" s="12"/>
      <c r="F1876" s="12"/>
      <c r="G1876" s="12"/>
      <c r="H1876" s="12"/>
      <c r="I1876" s="7"/>
      <c r="J1876" s="7"/>
      <c r="K1876" s="7"/>
      <c r="L1876" s="7"/>
      <c r="M1876" s="7"/>
      <c r="N1876" s="7"/>
      <c r="O1876" s="7"/>
      <c r="P1876" s="7"/>
      <c r="Q1876" s="7"/>
      <c r="R1876" s="7"/>
      <c r="S1876" s="7"/>
      <c r="T1876" s="7"/>
      <c r="U1876" s="7"/>
      <c r="V1876" s="7"/>
      <c r="W1876" s="14"/>
      <c r="X1876" s="10"/>
      <c r="Y1876" s="10"/>
      <c r="AB1876" s="19"/>
      <c r="AC1876" s="18"/>
    </row>
    <row r="1877" spans="4:29" x14ac:dyDescent="0.25">
      <c r="D1877" s="3"/>
      <c r="E1877" s="12"/>
      <c r="F1877" s="12"/>
      <c r="G1877" s="12"/>
      <c r="H1877" s="12"/>
      <c r="I1877" s="7"/>
      <c r="J1877" s="7"/>
      <c r="K1877" s="7"/>
      <c r="L1877" s="7"/>
      <c r="M1877" s="7"/>
      <c r="N1877" s="7"/>
      <c r="O1877" s="7"/>
      <c r="P1877" s="7"/>
      <c r="Q1877" s="7"/>
      <c r="R1877" s="7"/>
      <c r="S1877" s="7"/>
      <c r="T1877" s="7"/>
      <c r="U1877" s="7"/>
      <c r="V1877" s="7"/>
      <c r="W1877" s="14"/>
      <c r="X1877" s="10"/>
      <c r="Y1877" s="10"/>
      <c r="AB1877" s="19"/>
      <c r="AC1877" s="18"/>
    </row>
    <row r="1878" spans="4:29" x14ac:dyDescent="0.25">
      <c r="D1878" s="3"/>
      <c r="E1878" s="12"/>
      <c r="F1878" s="12"/>
      <c r="G1878" s="12"/>
      <c r="H1878" s="12"/>
      <c r="I1878" s="7"/>
      <c r="J1878" s="7"/>
      <c r="K1878" s="7"/>
      <c r="L1878" s="7"/>
      <c r="M1878" s="7"/>
      <c r="N1878" s="7"/>
      <c r="O1878" s="7"/>
      <c r="P1878" s="7"/>
      <c r="Q1878" s="7"/>
      <c r="R1878" s="7"/>
      <c r="S1878" s="7"/>
      <c r="T1878" s="7"/>
      <c r="U1878" s="7"/>
      <c r="V1878" s="7"/>
      <c r="W1878" s="14"/>
      <c r="X1878" s="10"/>
      <c r="Y1878" s="10"/>
      <c r="AB1878" s="19"/>
      <c r="AC1878" s="18"/>
    </row>
    <row r="1879" spans="4:29" x14ac:dyDescent="0.25">
      <c r="D1879" s="3"/>
      <c r="E1879" s="12"/>
      <c r="F1879" s="12"/>
      <c r="G1879" s="12"/>
      <c r="H1879" s="12"/>
      <c r="I1879" s="7"/>
      <c r="J1879" s="7"/>
      <c r="K1879" s="7"/>
      <c r="L1879" s="7"/>
      <c r="M1879" s="7"/>
      <c r="N1879" s="7"/>
      <c r="O1879" s="7"/>
      <c r="P1879" s="7"/>
      <c r="Q1879" s="7"/>
      <c r="R1879" s="7"/>
      <c r="S1879" s="7"/>
      <c r="T1879" s="7"/>
      <c r="U1879" s="7"/>
      <c r="V1879" s="7"/>
      <c r="W1879" s="14"/>
      <c r="X1879" s="10"/>
      <c r="Y1879" s="10"/>
      <c r="AB1879" s="19"/>
      <c r="AC1879" s="18"/>
    </row>
    <row r="1880" spans="4:29" x14ac:dyDescent="0.25">
      <c r="D1880" s="3"/>
      <c r="E1880" s="12"/>
      <c r="F1880" s="12"/>
      <c r="G1880" s="12"/>
      <c r="H1880" s="12"/>
      <c r="I1880" s="7"/>
      <c r="J1880" s="7"/>
      <c r="K1880" s="7"/>
      <c r="L1880" s="7"/>
      <c r="M1880" s="7"/>
      <c r="N1880" s="7"/>
      <c r="O1880" s="7"/>
      <c r="P1880" s="7"/>
      <c r="Q1880" s="7"/>
      <c r="R1880" s="7"/>
      <c r="S1880" s="7"/>
      <c r="T1880" s="7"/>
      <c r="U1880" s="7"/>
      <c r="V1880" s="7"/>
      <c r="W1880" s="14"/>
      <c r="X1880" s="10"/>
      <c r="Y1880" s="10"/>
      <c r="AB1880" s="19"/>
      <c r="AC1880" s="18"/>
    </row>
    <row r="1881" spans="4:29" x14ac:dyDescent="0.25">
      <c r="D1881" s="3"/>
      <c r="E1881" s="12"/>
      <c r="F1881" s="12"/>
      <c r="G1881" s="12"/>
      <c r="H1881" s="12"/>
      <c r="I1881" s="7"/>
      <c r="J1881" s="7"/>
      <c r="K1881" s="7"/>
      <c r="L1881" s="7"/>
      <c r="M1881" s="7"/>
      <c r="N1881" s="7"/>
      <c r="O1881" s="7"/>
      <c r="P1881" s="7"/>
      <c r="Q1881" s="7"/>
      <c r="R1881" s="7"/>
      <c r="S1881" s="7"/>
      <c r="T1881" s="7"/>
      <c r="U1881" s="7"/>
      <c r="V1881" s="7"/>
      <c r="W1881" s="14"/>
      <c r="X1881" s="10"/>
      <c r="Y1881" s="10"/>
      <c r="AB1881" s="19"/>
      <c r="AC1881" s="18"/>
    </row>
    <row r="1882" spans="4:29" x14ac:dyDescent="0.25">
      <c r="D1882" s="3"/>
      <c r="E1882" s="12"/>
      <c r="F1882" s="12"/>
      <c r="G1882" s="12"/>
      <c r="H1882" s="12"/>
      <c r="I1882" s="7"/>
      <c r="J1882" s="7"/>
      <c r="K1882" s="7"/>
      <c r="L1882" s="7"/>
      <c r="M1882" s="7"/>
      <c r="N1882" s="7"/>
      <c r="O1882" s="7"/>
      <c r="P1882" s="7"/>
      <c r="Q1882" s="7"/>
      <c r="R1882" s="7"/>
      <c r="S1882" s="7"/>
      <c r="T1882" s="7"/>
      <c r="U1882" s="7"/>
      <c r="V1882" s="7"/>
      <c r="W1882" s="14"/>
      <c r="X1882" s="10"/>
      <c r="Y1882" s="10"/>
      <c r="AB1882" s="19"/>
      <c r="AC1882" s="18"/>
    </row>
    <row r="1883" spans="4:29" x14ac:dyDescent="0.25">
      <c r="D1883" s="3"/>
      <c r="E1883" s="12"/>
      <c r="F1883" s="12"/>
      <c r="G1883" s="12"/>
      <c r="H1883" s="12"/>
      <c r="I1883" s="7"/>
      <c r="J1883" s="7"/>
      <c r="K1883" s="7"/>
      <c r="L1883" s="7"/>
      <c r="M1883" s="7"/>
      <c r="N1883" s="7"/>
      <c r="O1883" s="7"/>
      <c r="P1883" s="7"/>
      <c r="Q1883" s="7"/>
      <c r="R1883" s="7"/>
      <c r="S1883" s="7"/>
      <c r="T1883" s="7"/>
      <c r="U1883" s="7"/>
      <c r="V1883" s="7"/>
      <c r="W1883" s="14"/>
      <c r="X1883" s="10"/>
      <c r="Y1883" s="10"/>
      <c r="AB1883" s="19"/>
      <c r="AC1883" s="18"/>
    </row>
    <row r="1884" spans="4:29" x14ac:dyDescent="0.25">
      <c r="D1884" s="3"/>
      <c r="E1884" s="12"/>
      <c r="F1884" s="12"/>
      <c r="G1884" s="12"/>
      <c r="H1884" s="12"/>
      <c r="I1884" s="7"/>
      <c r="J1884" s="7"/>
      <c r="K1884" s="7"/>
      <c r="L1884" s="7"/>
      <c r="M1884" s="7"/>
      <c r="N1884" s="7"/>
      <c r="O1884" s="7"/>
      <c r="P1884" s="7"/>
      <c r="Q1884" s="7"/>
      <c r="R1884" s="7"/>
      <c r="S1884" s="7"/>
      <c r="T1884" s="7"/>
      <c r="U1884" s="7"/>
      <c r="V1884" s="7"/>
      <c r="W1884" s="14"/>
      <c r="X1884" s="10"/>
      <c r="Y1884" s="10"/>
      <c r="AB1884" s="19"/>
      <c r="AC1884" s="18"/>
    </row>
    <row r="1885" spans="4:29" x14ac:dyDescent="0.25">
      <c r="D1885" s="3"/>
      <c r="E1885" s="12"/>
      <c r="F1885" s="12"/>
      <c r="G1885" s="12"/>
      <c r="H1885" s="12"/>
      <c r="I1885" s="7"/>
      <c r="J1885" s="7"/>
      <c r="K1885" s="7"/>
      <c r="L1885" s="7"/>
      <c r="M1885" s="7"/>
      <c r="N1885" s="7"/>
      <c r="O1885" s="7"/>
      <c r="P1885" s="7"/>
      <c r="Q1885" s="7"/>
      <c r="R1885" s="7"/>
      <c r="S1885" s="7"/>
      <c r="T1885" s="7"/>
      <c r="U1885" s="7"/>
      <c r="V1885" s="7"/>
      <c r="W1885" s="14"/>
      <c r="X1885" s="10"/>
      <c r="Y1885" s="10"/>
      <c r="AB1885" s="19"/>
      <c r="AC1885" s="18"/>
    </row>
    <row r="1886" spans="4:29" x14ac:dyDescent="0.25">
      <c r="D1886" s="3"/>
      <c r="E1886" s="12"/>
      <c r="F1886" s="12"/>
      <c r="G1886" s="12"/>
      <c r="H1886" s="12"/>
      <c r="I1886" s="7"/>
      <c r="J1886" s="7"/>
      <c r="K1886" s="7"/>
      <c r="L1886" s="7"/>
      <c r="M1886" s="7"/>
      <c r="N1886" s="7"/>
      <c r="O1886" s="7"/>
      <c r="P1886" s="7"/>
      <c r="Q1886" s="7"/>
      <c r="R1886" s="7"/>
      <c r="S1886" s="7"/>
      <c r="T1886" s="7"/>
      <c r="U1886" s="7"/>
      <c r="V1886" s="7"/>
      <c r="W1886" s="14"/>
      <c r="X1886" s="10"/>
      <c r="Y1886" s="10"/>
      <c r="AB1886" s="19"/>
      <c r="AC1886" s="18"/>
    </row>
    <row r="1887" spans="4:29" x14ac:dyDescent="0.25">
      <c r="D1887" s="3"/>
      <c r="E1887" s="12"/>
      <c r="F1887" s="12"/>
      <c r="G1887" s="12"/>
      <c r="H1887" s="12"/>
      <c r="I1887" s="7"/>
      <c r="J1887" s="7"/>
      <c r="K1887" s="7"/>
      <c r="L1887" s="7"/>
      <c r="M1887" s="7"/>
      <c r="N1887" s="7"/>
      <c r="O1887" s="7"/>
      <c r="P1887" s="7"/>
      <c r="Q1887" s="7"/>
      <c r="R1887" s="7"/>
      <c r="S1887" s="7"/>
      <c r="T1887" s="7"/>
      <c r="U1887" s="7"/>
      <c r="V1887" s="7"/>
      <c r="W1887" s="14"/>
      <c r="X1887" s="10"/>
      <c r="Y1887" s="10"/>
      <c r="AB1887" s="19"/>
      <c r="AC1887" s="18"/>
    </row>
    <row r="1888" spans="4:29" x14ac:dyDescent="0.25">
      <c r="D1888" s="3"/>
      <c r="E1888" s="12"/>
      <c r="F1888" s="12"/>
      <c r="G1888" s="12"/>
      <c r="H1888" s="12"/>
      <c r="I1888" s="7"/>
      <c r="J1888" s="7"/>
      <c r="K1888" s="7"/>
      <c r="L1888" s="7"/>
      <c r="M1888" s="7"/>
      <c r="N1888" s="7"/>
      <c r="O1888" s="7"/>
      <c r="P1888" s="7"/>
      <c r="Q1888" s="7"/>
      <c r="R1888" s="7"/>
      <c r="S1888" s="7"/>
      <c r="T1888" s="7"/>
      <c r="U1888" s="7"/>
      <c r="V1888" s="7"/>
      <c r="W1888" s="14"/>
      <c r="X1888" s="10"/>
      <c r="Y1888" s="10"/>
      <c r="AB1888" s="19"/>
      <c r="AC1888" s="18"/>
    </row>
    <row r="1889" spans="4:29" x14ac:dyDescent="0.25">
      <c r="D1889" s="3"/>
      <c r="E1889" s="12"/>
      <c r="F1889" s="12"/>
      <c r="G1889" s="12"/>
      <c r="H1889" s="12"/>
      <c r="I1889" s="7"/>
      <c r="J1889" s="7"/>
      <c r="K1889" s="7"/>
      <c r="L1889" s="7"/>
      <c r="M1889" s="7"/>
      <c r="N1889" s="7"/>
      <c r="O1889" s="7"/>
      <c r="P1889" s="7"/>
      <c r="Q1889" s="7"/>
      <c r="R1889" s="7"/>
      <c r="S1889" s="7"/>
      <c r="T1889" s="7"/>
      <c r="U1889" s="7"/>
      <c r="V1889" s="7"/>
      <c r="W1889" s="14"/>
      <c r="X1889" s="10"/>
      <c r="Y1889" s="10"/>
      <c r="AB1889" s="19"/>
      <c r="AC1889" s="18"/>
    </row>
    <row r="1890" spans="4:29" x14ac:dyDescent="0.25">
      <c r="D1890" s="3"/>
      <c r="E1890" s="12"/>
      <c r="F1890" s="12"/>
      <c r="G1890" s="12"/>
      <c r="H1890" s="12"/>
      <c r="I1890" s="7"/>
      <c r="J1890" s="7"/>
      <c r="K1890" s="7"/>
      <c r="L1890" s="7"/>
      <c r="M1890" s="7"/>
      <c r="N1890" s="7"/>
      <c r="O1890" s="7"/>
      <c r="P1890" s="7"/>
      <c r="Q1890" s="7"/>
      <c r="R1890" s="7"/>
      <c r="S1890" s="7"/>
      <c r="T1890" s="7"/>
      <c r="U1890" s="7"/>
      <c r="V1890" s="7"/>
      <c r="W1890" s="14"/>
      <c r="X1890" s="10"/>
      <c r="Y1890" s="10"/>
      <c r="AB1890" s="19"/>
      <c r="AC1890" s="18"/>
    </row>
    <row r="1891" spans="4:29" x14ac:dyDescent="0.25">
      <c r="D1891" s="3"/>
      <c r="E1891" s="12"/>
      <c r="F1891" s="12"/>
      <c r="G1891" s="12"/>
      <c r="H1891" s="12"/>
      <c r="I1891" s="7"/>
      <c r="J1891" s="7"/>
      <c r="K1891" s="7"/>
      <c r="L1891" s="7"/>
      <c r="M1891" s="7"/>
      <c r="N1891" s="7"/>
      <c r="O1891" s="7"/>
      <c r="P1891" s="7"/>
      <c r="Q1891" s="7"/>
      <c r="R1891" s="7"/>
      <c r="S1891" s="7"/>
      <c r="T1891" s="7"/>
      <c r="U1891" s="7"/>
      <c r="V1891" s="7"/>
      <c r="W1891" s="14"/>
      <c r="X1891" s="10"/>
      <c r="Y1891" s="10"/>
      <c r="AB1891" s="19"/>
      <c r="AC1891" s="18"/>
    </row>
    <row r="1892" spans="4:29" x14ac:dyDescent="0.25">
      <c r="D1892" s="3"/>
      <c r="E1892" s="12"/>
      <c r="F1892" s="12"/>
      <c r="G1892" s="12"/>
      <c r="H1892" s="12"/>
      <c r="I1892" s="7"/>
      <c r="J1892" s="7"/>
      <c r="K1892" s="7"/>
      <c r="L1892" s="7"/>
      <c r="M1892" s="7"/>
      <c r="N1892" s="7"/>
      <c r="O1892" s="7"/>
      <c r="P1892" s="7"/>
      <c r="Q1892" s="7"/>
      <c r="R1892" s="7"/>
      <c r="S1892" s="7"/>
      <c r="T1892" s="7"/>
      <c r="U1892" s="7"/>
      <c r="V1892" s="7"/>
      <c r="W1892" s="14"/>
      <c r="X1892" s="10"/>
      <c r="Y1892" s="10"/>
      <c r="AB1892" s="19"/>
      <c r="AC1892" s="18"/>
    </row>
    <row r="1893" spans="4:29" x14ac:dyDescent="0.25">
      <c r="D1893" s="3"/>
      <c r="E1893" s="12"/>
      <c r="F1893" s="12"/>
      <c r="G1893" s="12"/>
      <c r="H1893" s="12"/>
      <c r="I1893" s="7"/>
      <c r="J1893" s="7"/>
      <c r="K1893" s="7"/>
      <c r="L1893" s="7"/>
      <c r="M1893" s="7"/>
      <c r="N1893" s="7"/>
      <c r="O1893" s="7"/>
      <c r="P1893" s="7"/>
      <c r="Q1893" s="7"/>
      <c r="R1893" s="7"/>
      <c r="S1893" s="7"/>
      <c r="T1893" s="7"/>
      <c r="U1893" s="7"/>
      <c r="V1893" s="7"/>
      <c r="W1893" s="14"/>
      <c r="X1893" s="10"/>
      <c r="Y1893" s="10"/>
      <c r="AB1893" s="19"/>
      <c r="AC1893" s="18"/>
    </row>
    <row r="1894" spans="4:29" x14ac:dyDescent="0.25">
      <c r="D1894" s="3"/>
      <c r="E1894" s="12"/>
      <c r="F1894" s="12"/>
      <c r="G1894" s="12"/>
      <c r="H1894" s="12"/>
      <c r="I1894" s="7"/>
      <c r="J1894" s="7"/>
      <c r="K1894" s="7"/>
      <c r="L1894" s="7"/>
      <c r="M1894" s="7"/>
      <c r="N1894" s="7"/>
      <c r="O1894" s="7"/>
      <c r="P1894" s="7"/>
      <c r="Q1894" s="7"/>
      <c r="R1894" s="7"/>
      <c r="S1894" s="7"/>
      <c r="T1894" s="7"/>
      <c r="U1894" s="7"/>
      <c r="V1894" s="7"/>
      <c r="W1894" s="14"/>
      <c r="X1894" s="10"/>
      <c r="Y1894" s="10"/>
      <c r="AB1894" s="19"/>
      <c r="AC1894" s="18"/>
    </row>
    <row r="1895" spans="4:29" x14ac:dyDescent="0.25">
      <c r="D1895" s="3"/>
      <c r="E1895" s="12"/>
      <c r="F1895" s="12"/>
      <c r="G1895" s="12"/>
      <c r="H1895" s="12"/>
      <c r="I1895" s="7"/>
      <c r="J1895" s="7"/>
      <c r="K1895" s="7"/>
      <c r="L1895" s="7"/>
      <c r="M1895" s="7"/>
      <c r="N1895" s="7"/>
      <c r="O1895" s="7"/>
      <c r="P1895" s="7"/>
      <c r="Q1895" s="7"/>
      <c r="R1895" s="7"/>
      <c r="S1895" s="7"/>
      <c r="T1895" s="7"/>
      <c r="U1895" s="7"/>
      <c r="V1895" s="7"/>
      <c r="W1895" s="14"/>
      <c r="X1895" s="10"/>
      <c r="Y1895" s="10"/>
      <c r="AB1895" s="19"/>
      <c r="AC1895" s="18"/>
    </row>
    <row r="1896" spans="4:29" x14ac:dyDescent="0.25">
      <c r="D1896" s="3"/>
      <c r="E1896" s="12"/>
      <c r="F1896" s="12"/>
      <c r="G1896" s="12"/>
      <c r="H1896" s="12"/>
      <c r="I1896" s="7"/>
      <c r="J1896" s="7"/>
      <c r="K1896" s="7"/>
      <c r="L1896" s="7"/>
      <c r="M1896" s="7"/>
      <c r="N1896" s="7"/>
      <c r="O1896" s="7"/>
      <c r="P1896" s="7"/>
      <c r="Q1896" s="7"/>
      <c r="R1896" s="7"/>
      <c r="S1896" s="7"/>
      <c r="T1896" s="7"/>
      <c r="U1896" s="7"/>
      <c r="V1896" s="7"/>
      <c r="W1896" s="14"/>
      <c r="X1896" s="10"/>
      <c r="Y1896" s="10"/>
      <c r="AB1896" s="19"/>
      <c r="AC1896" s="18"/>
    </row>
    <row r="1897" spans="4:29" x14ac:dyDescent="0.25">
      <c r="D1897" s="3"/>
      <c r="E1897" s="12"/>
      <c r="F1897" s="12"/>
      <c r="G1897" s="12"/>
      <c r="H1897" s="12"/>
      <c r="I1897" s="7"/>
      <c r="J1897" s="7"/>
      <c r="K1897" s="7"/>
      <c r="L1897" s="7"/>
      <c r="M1897" s="7"/>
      <c r="N1897" s="7"/>
      <c r="O1897" s="7"/>
      <c r="P1897" s="7"/>
      <c r="Q1897" s="7"/>
      <c r="R1897" s="7"/>
      <c r="S1897" s="7"/>
      <c r="T1897" s="7"/>
      <c r="U1897" s="7"/>
      <c r="V1897" s="7"/>
      <c r="W1897" s="14"/>
      <c r="X1897" s="10"/>
      <c r="Y1897" s="10"/>
      <c r="AB1897" s="19"/>
      <c r="AC1897" s="18"/>
    </row>
    <row r="1898" spans="4:29" x14ac:dyDescent="0.25">
      <c r="D1898" s="3"/>
      <c r="E1898" s="12"/>
      <c r="F1898" s="12"/>
      <c r="G1898" s="12"/>
      <c r="H1898" s="12"/>
      <c r="I1898" s="7"/>
      <c r="J1898" s="7"/>
      <c r="K1898" s="7"/>
      <c r="L1898" s="7"/>
      <c r="M1898" s="7"/>
      <c r="N1898" s="7"/>
      <c r="O1898" s="7"/>
      <c r="P1898" s="7"/>
      <c r="Q1898" s="7"/>
      <c r="R1898" s="7"/>
      <c r="S1898" s="7"/>
      <c r="T1898" s="7"/>
      <c r="U1898" s="7"/>
      <c r="V1898" s="7"/>
      <c r="W1898" s="14"/>
      <c r="X1898" s="10"/>
      <c r="Y1898" s="10"/>
      <c r="AB1898" s="19"/>
      <c r="AC1898" s="18"/>
    </row>
    <row r="1899" spans="4:29" x14ac:dyDescent="0.25">
      <c r="D1899" s="3"/>
      <c r="E1899" s="12"/>
      <c r="F1899" s="12"/>
      <c r="G1899" s="12"/>
      <c r="H1899" s="12"/>
      <c r="I1899" s="7"/>
      <c r="J1899" s="7"/>
      <c r="K1899" s="7"/>
      <c r="L1899" s="7"/>
      <c r="M1899" s="7"/>
      <c r="N1899" s="7"/>
      <c r="O1899" s="7"/>
      <c r="P1899" s="7"/>
      <c r="Q1899" s="7"/>
      <c r="R1899" s="7"/>
      <c r="S1899" s="7"/>
      <c r="T1899" s="7"/>
      <c r="U1899" s="7"/>
      <c r="V1899" s="7"/>
      <c r="W1899" s="14"/>
      <c r="X1899" s="10"/>
      <c r="Y1899" s="10"/>
      <c r="AB1899" s="19"/>
      <c r="AC1899" s="18"/>
    </row>
    <row r="1900" spans="4:29" x14ac:dyDescent="0.25">
      <c r="D1900" s="3"/>
      <c r="E1900" s="12"/>
      <c r="F1900" s="12"/>
      <c r="G1900" s="12"/>
      <c r="H1900" s="12"/>
      <c r="I1900" s="7"/>
      <c r="J1900" s="7"/>
      <c r="K1900" s="7"/>
      <c r="L1900" s="7"/>
      <c r="M1900" s="7"/>
      <c r="N1900" s="7"/>
      <c r="O1900" s="7"/>
      <c r="P1900" s="7"/>
      <c r="Q1900" s="7"/>
      <c r="R1900" s="7"/>
      <c r="S1900" s="7"/>
      <c r="T1900" s="7"/>
      <c r="U1900" s="7"/>
      <c r="V1900" s="7"/>
      <c r="W1900" s="14"/>
      <c r="X1900" s="10"/>
      <c r="Y1900" s="10"/>
      <c r="AB1900" s="19"/>
      <c r="AC1900" s="18"/>
    </row>
    <row r="1901" spans="4:29" x14ac:dyDescent="0.25">
      <c r="D1901" s="3"/>
      <c r="E1901" s="12"/>
      <c r="F1901" s="12"/>
      <c r="G1901" s="12"/>
      <c r="H1901" s="12"/>
      <c r="I1901" s="7"/>
      <c r="J1901" s="7"/>
      <c r="K1901" s="7"/>
      <c r="L1901" s="7"/>
      <c r="M1901" s="7"/>
      <c r="N1901" s="7"/>
      <c r="O1901" s="7"/>
      <c r="P1901" s="7"/>
      <c r="Q1901" s="7"/>
      <c r="R1901" s="7"/>
      <c r="S1901" s="7"/>
      <c r="T1901" s="7"/>
      <c r="U1901" s="7"/>
      <c r="V1901" s="7"/>
      <c r="W1901" s="14"/>
      <c r="X1901" s="10"/>
      <c r="Y1901" s="10"/>
      <c r="AB1901" s="19"/>
      <c r="AC1901" s="18"/>
    </row>
    <row r="1902" spans="4:29" x14ac:dyDescent="0.25">
      <c r="D1902" s="3"/>
      <c r="E1902" s="12"/>
      <c r="F1902" s="12"/>
      <c r="G1902" s="12"/>
      <c r="H1902" s="12"/>
      <c r="I1902" s="7"/>
      <c r="J1902" s="7"/>
      <c r="K1902" s="7"/>
      <c r="L1902" s="7"/>
      <c r="M1902" s="7"/>
      <c r="N1902" s="7"/>
      <c r="O1902" s="7"/>
      <c r="P1902" s="7"/>
      <c r="Q1902" s="7"/>
      <c r="R1902" s="7"/>
      <c r="S1902" s="7"/>
      <c r="T1902" s="7"/>
      <c r="U1902" s="7"/>
      <c r="V1902" s="7"/>
      <c r="W1902" s="14"/>
      <c r="X1902" s="10"/>
      <c r="Y1902" s="10"/>
      <c r="AB1902" s="19"/>
      <c r="AC1902" s="18"/>
    </row>
    <row r="1903" spans="4:29" x14ac:dyDescent="0.25">
      <c r="D1903" s="3"/>
      <c r="E1903" s="12"/>
      <c r="F1903" s="12"/>
      <c r="G1903" s="12"/>
      <c r="H1903" s="12"/>
      <c r="I1903" s="7"/>
      <c r="J1903" s="7"/>
      <c r="K1903" s="7"/>
      <c r="L1903" s="7"/>
      <c r="M1903" s="7"/>
      <c r="N1903" s="7"/>
      <c r="O1903" s="7"/>
      <c r="P1903" s="7"/>
      <c r="Q1903" s="7"/>
      <c r="R1903" s="7"/>
      <c r="S1903" s="7"/>
      <c r="T1903" s="7"/>
      <c r="U1903" s="7"/>
      <c r="V1903" s="7"/>
      <c r="W1903" s="14"/>
      <c r="X1903" s="10"/>
      <c r="Y1903" s="10"/>
      <c r="AB1903" s="19"/>
      <c r="AC1903" s="18"/>
    </row>
    <row r="1904" spans="4:29" x14ac:dyDescent="0.25">
      <c r="D1904" s="3"/>
      <c r="E1904" s="12"/>
      <c r="F1904" s="12"/>
      <c r="G1904" s="12"/>
      <c r="H1904" s="12"/>
      <c r="I1904" s="7"/>
      <c r="J1904" s="7"/>
      <c r="K1904" s="7"/>
      <c r="L1904" s="7"/>
      <c r="M1904" s="7"/>
      <c r="N1904" s="7"/>
      <c r="O1904" s="7"/>
      <c r="P1904" s="7"/>
      <c r="Q1904" s="7"/>
      <c r="R1904" s="7"/>
      <c r="S1904" s="7"/>
      <c r="T1904" s="7"/>
      <c r="U1904" s="7"/>
      <c r="V1904" s="7"/>
      <c r="W1904" s="14"/>
      <c r="X1904" s="10"/>
      <c r="Y1904" s="10"/>
      <c r="AB1904" s="19"/>
      <c r="AC1904" s="18"/>
    </row>
    <row r="1905" spans="4:29" x14ac:dyDescent="0.25">
      <c r="D1905" s="3"/>
      <c r="E1905" s="12"/>
      <c r="F1905" s="12"/>
      <c r="G1905" s="12"/>
      <c r="H1905" s="12"/>
      <c r="I1905" s="7"/>
      <c r="J1905" s="7"/>
      <c r="K1905" s="7"/>
      <c r="L1905" s="7"/>
      <c r="M1905" s="7"/>
      <c r="N1905" s="7"/>
      <c r="O1905" s="7"/>
      <c r="P1905" s="7"/>
      <c r="Q1905" s="7"/>
      <c r="R1905" s="7"/>
      <c r="S1905" s="7"/>
      <c r="T1905" s="7"/>
      <c r="U1905" s="7"/>
      <c r="V1905" s="7"/>
      <c r="W1905" s="14"/>
      <c r="X1905" s="10"/>
      <c r="Y1905" s="10"/>
      <c r="AB1905" s="19"/>
      <c r="AC1905" s="18"/>
    </row>
    <row r="1906" spans="4:29" x14ac:dyDescent="0.25">
      <c r="D1906" s="3"/>
      <c r="E1906" s="12"/>
      <c r="F1906" s="12"/>
      <c r="G1906" s="12"/>
      <c r="H1906" s="12"/>
      <c r="I1906" s="7"/>
      <c r="J1906" s="7"/>
      <c r="K1906" s="7"/>
      <c r="L1906" s="7"/>
      <c r="M1906" s="7"/>
      <c r="N1906" s="7"/>
      <c r="O1906" s="7"/>
      <c r="P1906" s="7"/>
      <c r="Q1906" s="7"/>
      <c r="R1906" s="7"/>
      <c r="S1906" s="7"/>
      <c r="T1906" s="7"/>
      <c r="U1906" s="7"/>
      <c r="V1906" s="7"/>
      <c r="W1906" s="14"/>
      <c r="X1906" s="10"/>
      <c r="Y1906" s="10"/>
      <c r="AB1906" s="19"/>
      <c r="AC1906" s="18"/>
    </row>
    <row r="1907" spans="4:29" x14ac:dyDescent="0.25">
      <c r="D1907" s="3"/>
      <c r="E1907" s="12"/>
      <c r="F1907" s="12"/>
      <c r="G1907" s="12"/>
      <c r="H1907" s="12"/>
      <c r="I1907" s="7"/>
      <c r="J1907" s="7"/>
      <c r="K1907" s="7"/>
      <c r="L1907" s="7"/>
      <c r="M1907" s="7"/>
      <c r="N1907" s="7"/>
      <c r="O1907" s="7"/>
      <c r="P1907" s="7"/>
      <c r="Q1907" s="7"/>
      <c r="R1907" s="7"/>
      <c r="S1907" s="7"/>
      <c r="T1907" s="7"/>
      <c r="U1907" s="7"/>
      <c r="V1907" s="7"/>
      <c r="W1907" s="14"/>
      <c r="X1907" s="10"/>
      <c r="Y1907" s="10"/>
      <c r="AB1907" s="19"/>
      <c r="AC1907" s="18"/>
    </row>
    <row r="1908" spans="4:29" x14ac:dyDescent="0.25">
      <c r="D1908" s="3"/>
      <c r="E1908" s="12"/>
      <c r="F1908" s="12"/>
      <c r="G1908" s="12"/>
      <c r="H1908" s="12"/>
      <c r="I1908" s="7"/>
      <c r="J1908" s="7"/>
      <c r="K1908" s="7"/>
      <c r="L1908" s="7"/>
      <c r="M1908" s="7"/>
      <c r="N1908" s="7"/>
      <c r="O1908" s="7"/>
      <c r="P1908" s="7"/>
      <c r="Q1908" s="7"/>
      <c r="R1908" s="7"/>
      <c r="S1908" s="7"/>
      <c r="T1908" s="7"/>
      <c r="U1908" s="7"/>
      <c r="V1908" s="7"/>
      <c r="W1908" s="14"/>
      <c r="X1908" s="10"/>
      <c r="Y1908" s="10"/>
      <c r="AB1908" s="19"/>
      <c r="AC1908" s="18"/>
    </row>
    <row r="1909" spans="4:29" x14ac:dyDescent="0.25">
      <c r="D1909" s="3"/>
      <c r="E1909" s="12"/>
      <c r="F1909" s="12"/>
      <c r="G1909" s="12"/>
      <c r="H1909" s="12"/>
      <c r="I1909" s="7"/>
      <c r="J1909" s="7"/>
      <c r="K1909" s="7"/>
      <c r="L1909" s="7"/>
      <c r="M1909" s="7"/>
      <c r="N1909" s="7"/>
      <c r="O1909" s="7"/>
      <c r="P1909" s="7"/>
      <c r="Q1909" s="7"/>
      <c r="R1909" s="7"/>
      <c r="S1909" s="7"/>
      <c r="T1909" s="7"/>
      <c r="U1909" s="7"/>
      <c r="V1909" s="7"/>
      <c r="W1909" s="14"/>
      <c r="X1909" s="10"/>
      <c r="Y1909" s="10"/>
      <c r="AB1909" s="19"/>
      <c r="AC1909" s="18"/>
    </row>
    <row r="1910" spans="4:29" x14ac:dyDescent="0.25">
      <c r="D1910" s="3"/>
      <c r="E1910" s="12"/>
      <c r="F1910" s="12"/>
      <c r="G1910" s="12"/>
      <c r="H1910" s="12"/>
      <c r="I1910" s="7"/>
      <c r="J1910" s="7"/>
      <c r="K1910" s="7"/>
      <c r="L1910" s="7"/>
      <c r="M1910" s="7"/>
      <c r="N1910" s="7"/>
      <c r="O1910" s="7"/>
      <c r="P1910" s="7"/>
      <c r="Q1910" s="7"/>
      <c r="R1910" s="7"/>
      <c r="S1910" s="7"/>
      <c r="T1910" s="7"/>
      <c r="U1910" s="7"/>
      <c r="V1910" s="7"/>
      <c r="W1910" s="14"/>
      <c r="X1910" s="10"/>
      <c r="Y1910" s="10"/>
      <c r="AB1910" s="19"/>
      <c r="AC1910" s="18"/>
    </row>
    <row r="1911" spans="4:29" x14ac:dyDescent="0.25">
      <c r="D1911" s="3"/>
      <c r="E1911" s="12"/>
      <c r="F1911" s="12"/>
      <c r="G1911" s="12"/>
      <c r="H1911" s="12"/>
      <c r="I1911" s="7"/>
      <c r="J1911" s="7"/>
      <c r="K1911" s="7"/>
      <c r="L1911" s="7"/>
      <c r="M1911" s="7"/>
      <c r="N1911" s="7"/>
      <c r="O1911" s="7"/>
      <c r="P1911" s="7"/>
      <c r="Q1911" s="7"/>
      <c r="R1911" s="7"/>
      <c r="S1911" s="7"/>
      <c r="T1911" s="7"/>
      <c r="U1911" s="7"/>
      <c r="V1911" s="7"/>
      <c r="W1911" s="14"/>
      <c r="X1911" s="10"/>
      <c r="Y1911" s="10"/>
      <c r="AB1911" s="19"/>
      <c r="AC1911" s="18"/>
    </row>
    <row r="1912" spans="4:29" x14ac:dyDescent="0.25">
      <c r="D1912" s="3"/>
      <c r="E1912" s="12"/>
      <c r="F1912" s="12"/>
      <c r="G1912" s="12"/>
      <c r="H1912" s="12"/>
      <c r="I1912" s="7"/>
      <c r="J1912" s="7"/>
      <c r="K1912" s="7"/>
      <c r="L1912" s="7"/>
      <c r="M1912" s="7"/>
      <c r="N1912" s="7"/>
      <c r="O1912" s="7"/>
      <c r="P1912" s="7"/>
      <c r="Q1912" s="7"/>
      <c r="R1912" s="7"/>
      <c r="S1912" s="7"/>
      <c r="T1912" s="7"/>
      <c r="U1912" s="7"/>
      <c r="V1912" s="7"/>
      <c r="W1912" s="14"/>
      <c r="X1912" s="10"/>
      <c r="Y1912" s="10"/>
      <c r="AB1912" s="19"/>
      <c r="AC1912" s="18"/>
    </row>
    <row r="1913" spans="4:29" x14ac:dyDescent="0.25">
      <c r="D1913" s="3"/>
      <c r="E1913" s="12"/>
      <c r="F1913" s="12"/>
      <c r="G1913" s="12"/>
      <c r="H1913" s="12"/>
      <c r="I1913" s="7"/>
      <c r="J1913" s="7"/>
      <c r="K1913" s="7"/>
      <c r="L1913" s="7"/>
      <c r="M1913" s="7"/>
      <c r="N1913" s="7"/>
      <c r="O1913" s="7"/>
      <c r="P1913" s="7"/>
      <c r="Q1913" s="7"/>
      <c r="R1913" s="7"/>
      <c r="S1913" s="7"/>
      <c r="T1913" s="7"/>
      <c r="U1913" s="7"/>
      <c r="V1913" s="7"/>
      <c r="W1913" s="14"/>
      <c r="X1913" s="10"/>
      <c r="Y1913" s="10"/>
      <c r="AB1913" s="19"/>
      <c r="AC1913" s="18"/>
    </row>
    <row r="1914" spans="4:29" x14ac:dyDescent="0.25">
      <c r="D1914" s="3"/>
      <c r="E1914" s="12"/>
      <c r="F1914" s="12"/>
      <c r="G1914" s="12"/>
      <c r="H1914" s="12"/>
      <c r="I1914" s="7"/>
      <c r="J1914" s="7"/>
      <c r="K1914" s="7"/>
      <c r="L1914" s="7"/>
      <c r="M1914" s="7"/>
      <c r="N1914" s="7"/>
      <c r="O1914" s="7"/>
      <c r="P1914" s="7"/>
      <c r="Q1914" s="7"/>
      <c r="R1914" s="7"/>
      <c r="S1914" s="7"/>
      <c r="T1914" s="7"/>
      <c r="U1914" s="7"/>
      <c r="V1914" s="7"/>
      <c r="W1914" s="14"/>
      <c r="X1914" s="10"/>
      <c r="Y1914" s="10"/>
      <c r="AB1914" s="19"/>
      <c r="AC1914" s="18"/>
    </row>
    <row r="1915" spans="4:29" x14ac:dyDescent="0.25">
      <c r="D1915" s="3"/>
      <c r="E1915" s="12"/>
      <c r="F1915" s="12"/>
      <c r="G1915" s="12"/>
      <c r="H1915" s="12"/>
      <c r="I1915" s="7"/>
      <c r="J1915" s="7"/>
      <c r="K1915" s="7"/>
      <c r="L1915" s="7"/>
      <c r="M1915" s="7"/>
      <c r="N1915" s="7"/>
      <c r="O1915" s="7"/>
      <c r="P1915" s="7"/>
      <c r="Q1915" s="7"/>
      <c r="R1915" s="7"/>
      <c r="S1915" s="7"/>
      <c r="T1915" s="7"/>
      <c r="U1915" s="7"/>
      <c r="V1915" s="7"/>
      <c r="W1915" s="14"/>
      <c r="X1915" s="10"/>
      <c r="Y1915" s="10"/>
      <c r="AB1915" s="19"/>
      <c r="AC1915" s="18"/>
    </row>
    <row r="1916" spans="4:29" x14ac:dyDescent="0.25">
      <c r="D1916" s="3"/>
      <c r="E1916" s="12"/>
      <c r="F1916" s="12"/>
      <c r="G1916" s="12"/>
      <c r="H1916" s="12"/>
      <c r="I1916" s="7"/>
      <c r="J1916" s="7"/>
      <c r="K1916" s="7"/>
      <c r="L1916" s="7"/>
      <c r="M1916" s="7"/>
      <c r="N1916" s="7"/>
      <c r="O1916" s="7"/>
      <c r="P1916" s="7"/>
      <c r="Q1916" s="7"/>
      <c r="R1916" s="7"/>
      <c r="S1916" s="7"/>
      <c r="T1916" s="7"/>
      <c r="U1916" s="7"/>
      <c r="V1916" s="7"/>
      <c r="W1916" s="14"/>
      <c r="X1916" s="10"/>
      <c r="Y1916" s="10"/>
      <c r="AB1916" s="19"/>
      <c r="AC1916" s="18"/>
    </row>
    <row r="1917" spans="4:29" x14ac:dyDescent="0.25">
      <c r="D1917" s="3"/>
      <c r="E1917" s="12"/>
      <c r="F1917" s="12"/>
      <c r="G1917" s="12"/>
      <c r="H1917" s="12"/>
      <c r="I1917" s="7"/>
      <c r="J1917" s="7"/>
      <c r="K1917" s="7"/>
      <c r="L1917" s="7"/>
      <c r="M1917" s="7"/>
      <c r="N1917" s="7"/>
      <c r="O1917" s="7"/>
      <c r="P1917" s="7"/>
      <c r="Q1917" s="7"/>
      <c r="R1917" s="7"/>
      <c r="S1917" s="7"/>
      <c r="T1917" s="7"/>
      <c r="U1917" s="7"/>
      <c r="V1917" s="7"/>
      <c r="W1917" s="14"/>
      <c r="X1917" s="10"/>
      <c r="Y1917" s="10"/>
      <c r="AB1917" s="19"/>
      <c r="AC1917" s="18"/>
    </row>
    <row r="1918" spans="4:29" x14ac:dyDescent="0.25">
      <c r="D1918" s="3"/>
      <c r="E1918" s="12"/>
      <c r="F1918" s="12"/>
      <c r="G1918" s="12"/>
      <c r="H1918" s="12"/>
      <c r="I1918" s="7"/>
      <c r="J1918" s="7"/>
      <c r="K1918" s="7"/>
      <c r="L1918" s="7"/>
      <c r="M1918" s="7"/>
      <c r="N1918" s="7"/>
      <c r="O1918" s="7"/>
      <c r="P1918" s="7"/>
      <c r="Q1918" s="7"/>
      <c r="R1918" s="7"/>
      <c r="S1918" s="7"/>
      <c r="T1918" s="7"/>
      <c r="U1918" s="7"/>
      <c r="V1918" s="7"/>
      <c r="W1918" s="14"/>
      <c r="X1918" s="10"/>
      <c r="Y1918" s="10"/>
      <c r="AB1918" s="19"/>
      <c r="AC1918" s="18"/>
    </row>
    <row r="1919" spans="4:29" x14ac:dyDescent="0.25">
      <c r="D1919" s="3"/>
      <c r="E1919" s="12"/>
      <c r="F1919" s="12"/>
      <c r="G1919" s="12"/>
      <c r="H1919" s="12"/>
      <c r="I1919" s="7"/>
      <c r="J1919" s="7"/>
      <c r="K1919" s="7"/>
      <c r="L1919" s="7"/>
      <c r="M1919" s="7"/>
      <c r="N1919" s="7"/>
      <c r="O1919" s="7"/>
      <c r="P1919" s="7"/>
      <c r="Q1919" s="7"/>
      <c r="R1919" s="7"/>
      <c r="S1919" s="7"/>
      <c r="T1919" s="7"/>
      <c r="U1919" s="7"/>
      <c r="V1919" s="7"/>
      <c r="W1919" s="14"/>
      <c r="X1919" s="10"/>
      <c r="Y1919" s="10"/>
      <c r="AB1919" s="19"/>
      <c r="AC1919" s="18"/>
    </row>
    <row r="1920" spans="4:29" x14ac:dyDescent="0.25">
      <c r="D1920" s="3"/>
      <c r="E1920" s="12"/>
      <c r="F1920" s="12"/>
      <c r="G1920" s="12"/>
      <c r="H1920" s="12"/>
      <c r="I1920" s="7"/>
      <c r="J1920" s="7"/>
      <c r="K1920" s="7"/>
      <c r="L1920" s="7"/>
      <c r="M1920" s="7"/>
      <c r="N1920" s="7"/>
      <c r="O1920" s="7"/>
      <c r="P1920" s="7"/>
      <c r="Q1920" s="7"/>
      <c r="R1920" s="7"/>
      <c r="S1920" s="7"/>
      <c r="T1920" s="7"/>
      <c r="U1920" s="7"/>
      <c r="V1920" s="7"/>
      <c r="W1920" s="14"/>
      <c r="X1920" s="10"/>
      <c r="Y1920" s="10"/>
      <c r="AB1920" s="19"/>
      <c r="AC1920" s="18"/>
    </row>
    <row r="1921" spans="4:29" x14ac:dyDescent="0.25">
      <c r="D1921" s="3"/>
      <c r="E1921" s="12"/>
      <c r="F1921" s="12"/>
      <c r="G1921" s="12"/>
      <c r="H1921" s="12"/>
      <c r="I1921" s="7"/>
      <c r="J1921" s="7"/>
      <c r="K1921" s="7"/>
      <c r="L1921" s="7"/>
      <c r="M1921" s="7"/>
      <c r="N1921" s="7"/>
      <c r="O1921" s="7"/>
      <c r="P1921" s="7"/>
      <c r="Q1921" s="7"/>
      <c r="R1921" s="7"/>
      <c r="S1921" s="7"/>
      <c r="T1921" s="7"/>
      <c r="U1921" s="7"/>
      <c r="V1921" s="7"/>
      <c r="W1921" s="14"/>
      <c r="X1921" s="10"/>
      <c r="Y1921" s="10"/>
      <c r="AB1921" s="19"/>
      <c r="AC1921" s="18"/>
    </row>
    <row r="1922" spans="4:29" x14ac:dyDescent="0.25">
      <c r="D1922" s="3"/>
      <c r="E1922" s="12"/>
      <c r="F1922" s="12"/>
      <c r="G1922" s="12"/>
      <c r="H1922" s="12"/>
      <c r="I1922" s="7"/>
      <c r="J1922" s="7"/>
      <c r="K1922" s="7"/>
      <c r="L1922" s="7"/>
      <c r="M1922" s="7"/>
      <c r="N1922" s="7"/>
      <c r="O1922" s="7"/>
      <c r="P1922" s="7"/>
      <c r="Q1922" s="7"/>
      <c r="R1922" s="7"/>
      <c r="S1922" s="7"/>
      <c r="T1922" s="7"/>
      <c r="U1922" s="7"/>
      <c r="V1922" s="7"/>
      <c r="W1922" s="14"/>
      <c r="X1922" s="10"/>
      <c r="Y1922" s="10"/>
      <c r="AB1922" s="19"/>
      <c r="AC1922" s="18"/>
    </row>
    <row r="1923" spans="4:29" x14ac:dyDescent="0.25">
      <c r="D1923" s="3"/>
      <c r="E1923" s="12"/>
      <c r="F1923" s="12"/>
      <c r="G1923" s="12"/>
      <c r="H1923" s="12"/>
      <c r="I1923" s="7"/>
      <c r="J1923" s="7"/>
      <c r="K1923" s="7"/>
      <c r="L1923" s="7"/>
      <c r="M1923" s="7"/>
      <c r="N1923" s="7"/>
      <c r="O1923" s="7"/>
      <c r="P1923" s="7"/>
      <c r="Q1923" s="7"/>
      <c r="R1923" s="7"/>
      <c r="S1923" s="7"/>
      <c r="T1923" s="7"/>
      <c r="U1923" s="7"/>
      <c r="V1923" s="7"/>
      <c r="W1923" s="14"/>
      <c r="X1923" s="10"/>
      <c r="Y1923" s="10"/>
      <c r="AB1923" s="19"/>
      <c r="AC1923" s="18"/>
    </row>
    <row r="1924" spans="4:29" x14ac:dyDescent="0.25">
      <c r="D1924" s="3"/>
      <c r="E1924" s="12"/>
      <c r="F1924" s="12"/>
      <c r="G1924" s="12"/>
      <c r="H1924" s="12"/>
      <c r="I1924" s="7"/>
      <c r="J1924" s="7"/>
      <c r="K1924" s="7"/>
      <c r="L1924" s="7"/>
      <c r="M1924" s="7"/>
      <c r="N1924" s="7"/>
      <c r="O1924" s="7"/>
      <c r="P1924" s="7"/>
      <c r="Q1924" s="7"/>
      <c r="R1924" s="7"/>
      <c r="S1924" s="7"/>
      <c r="T1924" s="7"/>
      <c r="U1924" s="7"/>
      <c r="V1924" s="7"/>
      <c r="W1924" s="14"/>
      <c r="X1924" s="10"/>
      <c r="Y1924" s="10"/>
      <c r="AB1924" s="19"/>
      <c r="AC1924" s="18"/>
    </row>
    <row r="1925" spans="4:29" x14ac:dyDescent="0.25">
      <c r="D1925" s="3"/>
      <c r="E1925" s="12"/>
      <c r="F1925" s="12"/>
      <c r="G1925" s="12"/>
      <c r="H1925" s="12"/>
      <c r="I1925" s="7"/>
      <c r="J1925" s="7"/>
      <c r="K1925" s="7"/>
      <c r="L1925" s="7"/>
      <c r="M1925" s="7"/>
      <c r="N1925" s="7"/>
      <c r="O1925" s="7"/>
      <c r="P1925" s="7"/>
      <c r="Q1925" s="7"/>
      <c r="R1925" s="7"/>
      <c r="S1925" s="7"/>
      <c r="T1925" s="7"/>
      <c r="U1925" s="7"/>
      <c r="V1925" s="7"/>
      <c r="W1925" s="14"/>
      <c r="X1925" s="10"/>
      <c r="Y1925" s="10"/>
      <c r="AB1925" s="19"/>
      <c r="AC1925" s="18"/>
    </row>
    <row r="1926" spans="4:29" x14ac:dyDescent="0.25">
      <c r="D1926" s="3"/>
      <c r="E1926" s="12"/>
      <c r="F1926" s="12"/>
      <c r="G1926" s="12"/>
      <c r="H1926" s="12"/>
      <c r="I1926" s="7"/>
      <c r="J1926" s="7"/>
      <c r="K1926" s="7"/>
      <c r="L1926" s="7"/>
      <c r="M1926" s="7"/>
      <c r="N1926" s="7"/>
      <c r="O1926" s="7"/>
      <c r="P1926" s="7"/>
      <c r="Q1926" s="7"/>
      <c r="R1926" s="7"/>
      <c r="S1926" s="7"/>
      <c r="T1926" s="7"/>
      <c r="U1926" s="7"/>
      <c r="V1926" s="7"/>
      <c r="W1926" s="14"/>
      <c r="X1926" s="10"/>
      <c r="Y1926" s="10"/>
      <c r="AB1926" s="19"/>
      <c r="AC1926" s="18"/>
    </row>
    <row r="1927" spans="4:29" x14ac:dyDescent="0.25">
      <c r="D1927" s="3"/>
      <c r="E1927" s="12"/>
      <c r="F1927" s="12"/>
      <c r="G1927" s="12"/>
      <c r="H1927" s="12"/>
      <c r="I1927" s="7"/>
      <c r="J1927" s="7"/>
      <c r="K1927" s="7"/>
      <c r="L1927" s="7"/>
      <c r="M1927" s="7"/>
      <c r="N1927" s="7"/>
      <c r="O1927" s="7"/>
      <c r="P1927" s="7"/>
      <c r="Q1927" s="7"/>
      <c r="R1927" s="7"/>
      <c r="S1927" s="7"/>
      <c r="T1927" s="7"/>
      <c r="U1927" s="7"/>
      <c r="V1927" s="7"/>
      <c r="W1927" s="14"/>
      <c r="X1927" s="10"/>
      <c r="Y1927" s="10"/>
      <c r="AB1927" s="19"/>
      <c r="AC1927" s="18"/>
    </row>
    <row r="1928" spans="4:29" x14ac:dyDescent="0.25">
      <c r="D1928" s="3"/>
      <c r="E1928" s="12"/>
      <c r="F1928" s="12"/>
      <c r="G1928" s="12"/>
      <c r="H1928" s="12"/>
      <c r="I1928" s="7"/>
      <c r="J1928" s="7"/>
      <c r="K1928" s="7"/>
      <c r="L1928" s="7"/>
      <c r="M1928" s="7"/>
      <c r="N1928" s="7"/>
      <c r="O1928" s="7"/>
      <c r="P1928" s="7"/>
      <c r="Q1928" s="7"/>
      <c r="R1928" s="7"/>
      <c r="S1928" s="7"/>
      <c r="T1928" s="7"/>
      <c r="U1928" s="7"/>
      <c r="V1928" s="7"/>
      <c r="W1928" s="14"/>
      <c r="X1928" s="10"/>
      <c r="Y1928" s="10"/>
      <c r="AB1928" s="19"/>
      <c r="AC1928" s="18"/>
    </row>
    <row r="1929" spans="4:29" x14ac:dyDescent="0.25">
      <c r="D1929" s="3"/>
      <c r="E1929" s="12"/>
      <c r="F1929" s="12"/>
      <c r="G1929" s="12"/>
      <c r="H1929" s="12"/>
      <c r="I1929" s="7"/>
      <c r="J1929" s="7"/>
      <c r="K1929" s="7"/>
      <c r="L1929" s="7"/>
      <c r="M1929" s="7"/>
      <c r="N1929" s="7"/>
      <c r="O1929" s="7"/>
      <c r="P1929" s="7"/>
      <c r="Q1929" s="7"/>
      <c r="R1929" s="7"/>
      <c r="S1929" s="7"/>
      <c r="T1929" s="7"/>
      <c r="U1929" s="7"/>
      <c r="V1929" s="7"/>
      <c r="W1929" s="14"/>
      <c r="X1929" s="10"/>
      <c r="Y1929" s="10"/>
      <c r="AB1929" s="19"/>
      <c r="AC1929" s="18"/>
    </row>
    <row r="1930" spans="4:29" x14ac:dyDescent="0.25">
      <c r="D1930" s="3"/>
      <c r="E1930" s="12"/>
      <c r="F1930" s="12"/>
      <c r="G1930" s="12"/>
      <c r="H1930" s="12"/>
      <c r="I1930" s="7"/>
      <c r="J1930" s="7"/>
      <c r="K1930" s="7"/>
      <c r="L1930" s="7"/>
      <c r="M1930" s="7"/>
      <c r="N1930" s="7"/>
      <c r="O1930" s="7"/>
      <c r="P1930" s="7"/>
      <c r="Q1930" s="7"/>
      <c r="R1930" s="7"/>
      <c r="S1930" s="7"/>
      <c r="T1930" s="7"/>
      <c r="U1930" s="7"/>
      <c r="V1930" s="7"/>
      <c r="W1930" s="14"/>
      <c r="X1930" s="10"/>
      <c r="Y1930" s="10"/>
      <c r="AB1930" s="19"/>
      <c r="AC1930" s="18"/>
    </row>
    <row r="1931" spans="4:29" x14ac:dyDescent="0.25">
      <c r="D1931" s="3"/>
      <c r="E1931" s="12"/>
      <c r="F1931" s="12"/>
      <c r="G1931" s="12"/>
      <c r="H1931" s="12"/>
      <c r="I1931" s="7"/>
      <c r="J1931" s="7"/>
      <c r="K1931" s="7"/>
      <c r="L1931" s="7"/>
      <c r="M1931" s="7"/>
      <c r="N1931" s="7"/>
      <c r="O1931" s="7"/>
      <c r="P1931" s="7"/>
      <c r="Q1931" s="7"/>
      <c r="R1931" s="7"/>
      <c r="S1931" s="7"/>
      <c r="T1931" s="7"/>
      <c r="U1931" s="7"/>
      <c r="V1931" s="7"/>
      <c r="W1931" s="14"/>
      <c r="X1931" s="10"/>
      <c r="Y1931" s="10"/>
      <c r="AB1931" s="19"/>
      <c r="AC1931" s="18"/>
    </row>
    <row r="1932" spans="4:29" x14ac:dyDescent="0.25">
      <c r="D1932" s="3"/>
      <c r="E1932" s="12"/>
      <c r="F1932" s="12"/>
      <c r="G1932" s="12"/>
      <c r="H1932" s="12"/>
      <c r="I1932" s="7"/>
      <c r="J1932" s="7"/>
      <c r="K1932" s="7"/>
      <c r="L1932" s="7"/>
      <c r="M1932" s="7"/>
      <c r="N1932" s="7"/>
      <c r="O1932" s="7"/>
      <c r="P1932" s="7"/>
      <c r="Q1932" s="7"/>
      <c r="R1932" s="7"/>
      <c r="S1932" s="7"/>
      <c r="T1932" s="7"/>
      <c r="U1932" s="7"/>
      <c r="V1932" s="7"/>
      <c r="W1932" s="14"/>
      <c r="X1932" s="10"/>
      <c r="Y1932" s="10"/>
      <c r="AB1932" s="19"/>
      <c r="AC1932" s="18"/>
    </row>
    <row r="1933" spans="4:29" x14ac:dyDescent="0.25">
      <c r="D1933" s="3"/>
      <c r="E1933" s="12"/>
      <c r="F1933" s="12"/>
      <c r="G1933" s="12"/>
      <c r="H1933" s="12"/>
      <c r="I1933" s="7"/>
      <c r="J1933" s="7"/>
      <c r="K1933" s="7"/>
      <c r="L1933" s="7"/>
      <c r="M1933" s="7"/>
      <c r="N1933" s="7"/>
      <c r="O1933" s="7"/>
      <c r="P1933" s="7"/>
      <c r="Q1933" s="7"/>
      <c r="R1933" s="7"/>
      <c r="S1933" s="7"/>
      <c r="T1933" s="7"/>
      <c r="U1933" s="7"/>
      <c r="V1933" s="7"/>
      <c r="W1933" s="14"/>
      <c r="X1933" s="10"/>
      <c r="Y1933" s="10"/>
      <c r="AB1933" s="19"/>
      <c r="AC1933" s="18"/>
    </row>
    <row r="1934" spans="4:29" x14ac:dyDescent="0.25">
      <c r="D1934" s="3"/>
      <c r="E1934" s="12"/>
      <c r="F1934" s="12"/>
      <c r="G1934" s="12"/>
      <c r="H1934" s="12"/>
      <c r="I1934" s="7"/>
      <c r="J1934" s="7"/>
      <c r="K1934" s="7"/>
      <c r="L1934" s="7"/>
      <c r="M1934" s="7"/>
      <c r="N1934" s="7"/>
      <c r="O1934" s="7"/>
      <c r="P1934" s="7"/>
      <c r="Q1934" s="7"/>
      <c r="R1934" s="7"/>
      <c r="S1934" s="7"/>
      <c r="T1934" s="7"/>
      <c r="U1934" s="7"/>
      <c r="V1934" s="7"/>
      <c r="W1934" s="14"/>
      <c r="X1934" s="10"/>
      <c r="Y1934" s="10"/>
      <c r="AB1934" s="19"/>
      <c r="AC1934" s="18"/>
    </row>
    <row r="1935" spans="4:29" x14ac:dyDescent="0.25">
      <c r="D1935" s="3"/>
      <c r="E1935" s="12"/>
      <c r="F1935" s="12"/>
      <c r="G1935" s="12"/>
      <c r="H1935" s="12"/>
      <c r="I1935" s="7"/>
      <c r="J1935" s="7"/>
      <c r="K1935" s="7"/>
      <c r="L1935" s="7"/>
      <c r="M1935" s="7"/>
      <c r="N1935" s="7"/>
      <c r="O1935" s="7"/>
      <c r="P1935" s="7"/>
      <c r="Q1935" s="7"/>
      <c r="R1935" s="7"/>
      <c r="S1935" s="7"/>
      <c r="T1935" s="7"/>
      <c r="U1935" s="7"/>
      <c r="V1935" s="7"/>
      <c r="W1935" s="14"/>
      <c r="X1935" s="10"/>
      <c r="Y1935" s="10"/>
      <c r="AB1935" s="19"/>
      <c r="AC1935" s="18"/>
    </row>
    <row r="1936" spans="4:29" x14ac:dyDescent="0.25">
      <c r="D1936" s="3"/>
      <c r="E1936" s="12"/>
      <c r="F1936" s="12"/>
      <c r="G1936" s="12"/>
      <c r="H1936" s="12"/>
      <c r="I1936" s="7"/>
      <c r="J1936" s="7"/>
      <c r="K1936" s="7"/>
      <c r="L1936" s="7"/>
      <c r="M1936" s="7"/>
      <c r="N1936" s="7"/>
      <c r="O1936" s="7"/>
      <c r="P1936" s="7"/>
      <c r="Q1936" s="7"/>
      <c r="R1936" s="7"/>
      <c r="S1936" s="7"/>
      <c r="T1936" s="7"/>
      <c r="U1936" s="7"/>
      <c r="V1936" s="7"/>
      <c r="W1936" s="14"/>
      <c r="X1936" s="10"/>
      <c r="Y1936" s="10"/>
      <c r="AB1936" s="19"/>
      <c r="AC1936" s="18"/>
    </row>
    <row r="1937" spans="4:29" x14ac:dyDescent="0.25">
      <c r="D1937" s="3"/>
      <c r="E1937" s="12"/>
      <c r="F1937" s="12"/>
      <c r="G1937" s="12"/>
      <c r="H1937" s="12"/>
      <c r="I1937" s="7"/>
      <c r="J1937" s="7"/>
      <c r="K1937" s="7"/>
      <c r="L1937" s="7"/>
      <c r="M1937" s="7"/>
      <c r="N1937" s="7"/>
      <c r="O1937" s="7"/>
      <c r="P1937" s="7"/>
      <c r="Q1937" s="7"/>
      <c r="R1937" s="7"/>
      <c r="S1937" s="7"/>
      <c r="T1937" s="7"/>
      <c r="U1937" s="7"/>
      <c r="V1937" s="7"/>
      <c r="W1937" s="14"/>
      <c r="X1937" s="10"/>
      <c r="Y1937" s="10"/>
      <c r="AB1937" s="19"/>
      <c r="AC1937" s="18"/>
    </row>
    <row r="1938" spans="4:29" x14ac:dyDescent="0.25">
      <c r="D1938" s="3"/>
      <c r="E1938" s="12"/>
      <c r="F1938" s="12"/>
      <c r="G1938" s="12"/>
      <c r="H1938" s="12"/>
      <c r="I1938" s="7"/>
      <c r="J1938" s="7"/>
      <c r="K1938" s="7"/>
      <c r="L1938" s="7"/>
      <c r="M1938" s="7"/>
      <c r="N1938" s="7"/>
      <c r="O1938" s="7"/>
      <c r="P1938" s="7"/>
      <c r="Q1938" s="7"/>
      <c r="R1938" s="7"/>
      <c r="S1938" s="7"/>
      <c r="T1938" s="7"/>
      <c r="U1938" s="7"/>
      <c r="V1938" s="7"/>
      <c r="W1938" s="14"/>
      <c r="X1938" s="10"/>
      <c r="Y1938" s="10"/>
      <c r="AB1938" s="19"/>
      <c r="AC1938" s="18"/>
    </row>
    <row r="1939" spans="4:29" x14ac:dyDescent="0.25">
      <c r="D1939" s="3"/>
      <c r="E1939" s="12"/>
      <c r="F1939" s="12"/>
      <c r="G1939" s="12"/>
      <c r="H1939" s="12"/>
      <c r="I1939" s="7"/>
      <c r="J1939" s="7"/>
      <c r="K1939" s="7"/>
      <c r="L1939" s="7"/>
      <c r="M1939" s="7"/>
      <c r="N1939" s="7"/>
      <c r="O1939" s="7"/>
      <c r="P1939" s="7"/>
      <c r="Q1939" s="7"/>
      <c r="R1939" s="7"/>
      <c r="S1939" s="7"/>
      <c r="T1939" s="7"/>
      <c r="U1939" s="7"/>
      <c r="V1939" s="7"/>
      <c r="W1939" s="14"/>
      <c r="X1939" s="10"/>
      <c r="Y1939" s="10"/>
      <c r="AB1939" s="19"/>
      <c r="AC1939" s="18"/>
    </row>
    <row r="1940" spans="4:29" x14ac:dyDescent="0.25">
      <c r="D1940" s="3"/>
      <c r="E1940" s="12"/>
      <c r="F1940" s="12"/>
      <c r="G1940" s="12"/>
      <c r="H1940" s="12"/>
      <c r="I1940" s="7"/>
      <c r="J1940" s="7"/>
      <c r="K1940" s="7"/>
      <c r="L1940" s="7"/>
      <c r="M1940" s="7"/>
      <c r="N1940" s="7"/>
      <c r="O1940" s="7"/>
      <c r="P1940" s="7"/>
      <c r="Q1940" s="7"/>
      <c r="R1940" s="7"/>
      <c r="S1940" s="7"/>
      <c r="T1940" s="7"/>
      <c r="U1940" s="7"/>
      <c r="V1940" s="7"/>
      <c r="W1940" s="14"/>
      <c r="X1940" s="10"/>
      <c r="Y1940" s="10"/>
      <c r="AB1940" s="19"/>
      <c r="AC1940" s="18"/>
    </row>
    <row r="1941" spans="4:29" x14ac:dyDescent="0.25">
      <c r="D1941" s="3"/>
      <c r="E1941" s="12"/>
      <c r="F1941" s="12"/>
      <c r="G1941" s="12"/>
      <c r="H1941" s="12"/>
      <c r="I1941" s="7"/>
      <c r="J1941" s="7"/>
      <c r="K1941" s="7"/>
      <c r="L1941" s="7"/>
      <c r="M1941" s="7"/>
      <c r="N1941" s="7"/>
      <c r="O1941" s="7"/>
      <c r="P1941" s="7"/>
      <c r="Q1941" s="7"/>
      <c r="R1941" s="7"/>
      <c r="S1941" s="7"/>
      <c r="T1941" s="7"/>
      <c r="U1941" s="7"/>
      <c r="V1941" s="7"/>
      <c r="W1941" s="14"/>
      <c r="X1941" s="10"/>
      <c r="Y1941" s="10"/>
      <c r="AB1941" s="19"/>
      <c r="AC1941" s="18"/>
    </row>
    <row r="1942" spans="4:29" x14ac:dyDescent="0.25">
      <c r="D1942" s="3"/>
      <c r="E1942" s="12"/>
      <c r="F1942" s="12"/>
      <c r="G1942" s="12"/>
      <c r="H1942" s="12"/>
      <c r="I1942" s="7"/>
      <c r="J1942" s="7"/>
      <c r="K1942" s="7"/>
      <c r="L1942" s="7"/>
      <c r="M1942" s="7"/>
      <c r="N1942" s="7"/>
      <c r="O1942" s="7"/>
      <c r="P1942" s="7"/>
      <c r="Q1942" s="7"/>
      <c r="R1942" s="7"/>
      <c r="S1942" s="7"/>
      <c r="T1942" s="7"/>
      <c r="U1942" s="7"/>
      <c r="V1942" s="7"/>
      <c r="W1942" s="14"/>
      <c r="X1942" s="10"/>
      <c r="Y1942" s="10"/>
      <c r="AB1942" s="19"/>
      <c r="AC1942" s="18"/>
    </row>
    <row r="1943" spans="4:29" x14ac:dyDescent="0.25">
      <c r="D1943" s="3"/>
      <c r="E1943" s="12"/>
      <c r="F1943" s="12"/>
      <c r="G1943" s="12"/>
      <c r="H1943" s="12"/>
      <c r="I1943" s="7"/>
      <c r="J1943" s="7"/>
      <c r="K1943" s="7"/>
      <c r="L1943" s="7"/>
      <c r="M1943" s="7"/>
      <c r="N1943" s="7"/>
      <c r="O1943" s="7"/>
      <c r="P1943" s="7"/>
      <c r="Q1943" s="7"/>
      <c r="R1943" s="7"/>
      <c r="S1943" s="7"/>
      <c r="T1943" s="7"/>
      <c r="U1943" s="7"/>
      <c r="V1943" s="7"/>
      <c r="W1943" s="14"/>
      <c r="X1943" s="10"/>
      <c r="Y1943" s="10"/>
      <c r="AB1943" s="19"/>
      <c r="AC1943" s="18"/>
    </row>
    <row r="1944" spans="4:29" x14ac:dyDescent="0.25">
      <c r="D1944" s="3"/>
      <c r="E1944" s="12"/>
      <c r="F1944" s="12"/>
      <c r="G1944" s="12"/>
      <c r="H1944" s="12"/>
      <c r="I1944" s="7"/>
      <c r="J1944" s="7"/>
      <c r="K1944" s="7"/>
      <c r="L1944" s="7"/>
      <c r="M1944" s="7"/>
      <c r="N1944" s="7"/>
      <c r="O1944" s="7"/>
      <c r="P1944" s="7"/>
      <c r="Q1944" s="7"/>
      <c r="R1944" s="7"/>
      <c r="S1944" s="7"/>
      <c r="T1944" s="7"/>
      <c r="U1944" s="7"/>
      <c r="V1944" s="7"/>
      <c r="W1944" s="14"/>
      <c r="X1944" s="10"/>
      <c r="Y1944" s="10"/>
      <c r="AB1944" s="19"/>
      <c r="AC1944" s="18"/>
    </row>
    <row r="1945" spans="4:29" x14ac:dyDescent="0.25">
      <c r="D1945" s="3"/>
      <c r="E1945" s="12"/>
      <c r="F1945" s="12"/>
      <c r="G1945" s="12"/>
      <c r="H1945" s="12"/>
      <c r="I1945" s="7"/>
      <c r="J1945" s="7"/>
      <c r="K1945" s="7"/>
      <c r="L1945" s="7"/>
      <c r="M1945" s="7"/>
      <c r="N1945" s="7"/>
      <c r="O1945" s="7"/>
      <c r="P1945" s="7"/>
      <c r="Q1945" s="7"/>
      <c r="R1945" s="7"/>
      <c r="S1945" s="7"/>
      <c r="T1945" s="7"/>
      <c r="U1945" s="7"/>
      <c r="V1945" s="7"/>
      <c r="W1945" s="14"/>
      <c r="X1945" s="10"/>
      <c r="Y1945" s="10"/>
      <c r="AB1945" s="19"/>
      <c r="AC1945" s="18"/>
    </row>
    <row r="1946" spans="4:29" x14ac:dyDescent="0.25">
      <c r="D1946" s="3"/>
      <c r="E1946" s="12"/>
      <c r="F1946" s="12"/>
      <c r="G1946" s="12"/>
      <c r="H1946" s="12"/>
      <c r="I1946" s="7"/>
      <c r="J1946" s="7"/>
      <c r="K1946" s="7"/>
      <c r="L1946" s="7"/>
      <c r="M1946" s="7"/>
      <c r="N1946" s="7"/>
      <c r="O1946" s="7"/>
      <c r="P1946" s="7"/>
      <c r="Q1946" s="7"/>
      <c r="R1946" s="7"/>
      <c r="S1946" s="7"/>
      <c r="T1946" s="7"/>
      <c r="U1946" s="7"/>
      <c r="V1946" s="7"/>
      <c r="W1946" s="14"/>
      <c r="X1946" s="10"/>
      <c r="Y1946" s="10"/>
      <c r="AB1946" s="19"/>
      <c r="AC1946" s="18"/>
    </row>
    <row r="1947" spans="4:29" x14ac:dyDescent="0.25">
      <c r="D1947" s="3"/>
      <c r="E1947" s="12"/>
      <c r="F1947" s="12"/>
      <c r="G1947" s="12"/>
      <c r="H1947" s="12"/>
      <c r="I1947" s="7"/>
      <c r="J1947" s="7"/>
      <c r="K1947" s="7"/>
      <c r="L1947" s="7"/>
      <c r="M1947" s="7"/>
      <c r="N1947" s="7"/>
      <c r="O1947" s="7"/>
      <c r="P1947" s="7"/>
      <c r="Q1947" s="7"/>
      <c r="R1947" s="7"/>
      <c r="S1947" s="7"/>
      <c r="T1947" s="7"/>
      <c r="U1947" s="7"/>
      <c r="V1947" s="7"/>
      <c r="W1947" s="14"/>
      <c r="X1947" s="10"/>
      <c r="Y1947" s="10"/>
      <c r="AB1947" s="19"/>
      <c r="AC1947" s="18"/>
    </row>
    <row r="1948" spans="4:29" x14ac:dyDescent="0.25">
      <c r="D1948" s="3"/>
      <c r="E1948" s="12"/>
      <c r="F1948" s="12"/>
      <c r="G1948" s="12"/>
      <c r="H1948" s="12"/>
      <c r="I1948" s="7"/>
      <c r="J1948" s="7"/>
      <c r="K1948" s="7"/>
      <c r="L1948" s="7"/>
      <c r="M1948" s="7"/>
      <c r="N1948" s="7"/>
      <c r="O1948" s="7"/>
      <c r="P1948" s="7"/>
      <c r="Q1948" s="7"/>
      <c r="R1948" s="7"/>
      <c r="S1948" s="7"/>
      <c r="T1948" s="7"/>
      <c r="U1948" s="7"/>
      <c r="V1948" s="7"/>
      <c r="W1948" s="14"/>
      <c r="X1948" s="10"/>
      <c r="Y1948" s="10"/>
      <c r="AB1948" s="19"/>
      <c r="AC1948" s="18"/>
    </row>
    <row r="1949" spans="4:29" x14ac:dyDescent="0.25">
      <c r="D1949" s="3"/>
      <c r="E1949" s="12"/>
      <c r="F1949" s="12"/>
      <c r="G1949" s="12"/>
      <c r="H1949" s="12"/>
      <c r="I1949" s="7"/>
      <c r="J1949" s="7"/>
      <c r="K1949" s="7"/>
      <c r="L1949" s="7"/>
      <c r="M1949" s="7"/>
      <c r="N1949" s="7"/>
      <c r="O1949" s="7"/>
      <c r="P1949" s="7"/>
      <c r="Q1949" s="7"/>
      <c r="R1949" s="7"/>
      <c r="S1949" s="7"/>
      <c r="T1949" s="7"/>
      <c r="U1949" s="7"/>
      <c r="V1949" s="7"/>
      <c r="W1949" s="14"/>
      <c r="X1949" s="10"/>
      <c r="Y1949" s="10"/>
      <c r="AB1949" s="19"/>
      <c r="AC1949" s="18"/>
    </row>
    <row r="1950" spans="4:29" x14ac:dyDescent="0.25">
      <c r="D1950" s="3"/>
      <c r="E1950" s="12"/>
      <c r="F1950" s="12"/>
      <c r="G1950" s="12"/>
      <c r="H1950" s="12"/>
      <c r="I1950" s="7"/>
      <c r="J1950" s="7"/>
      <c r="K1950" s="7"/>
      <c r="L1950" s="7"/>
      <c r="M1950" s="7"/>
      <c r="N1950" s="7"/>
      <c r="O1950" s="7"/>
      <c r="P1950" s="7"/>
      <c r="Q1950" s="7"/>
      <c r="R1950" s="7"/>
      <c r="S1950" s="7"/>
      <c r="T1950" s="7"/>
      <c r="U1950" s="7"/>
      <c r="V1950" s="7"/>
      <c r="W1950" s="14"/>
      <c r="X1950" s="10"/>
      <c r="Y1950" s="10"/>
      <c r="AB1950" s="19"/>
      <c r="AC1950" s="18"/>
    </row>
    <row r="1951" spans="4:29" x14ac:dyDescent="0.25">
      <c r="D1951" s="3"/>
      <c r="E1951" s="12"/>
      <c r="F1951" s="12"/>
      <c r="G1951" s="12"/>
      <c r="H1951" s="12"/>
      <c r="I1951" s="7"/>
      <c r="J1951" s="7"/>
      <c r="K1951" s="7"/>
      <c r="L1951" s="7"/>
      <c r="M1951" s="7"/>
      <c r="N1951" s="7"/>
      <c r="O1951" s="7"/>
      <c r="P1951" s="7"/>
      <c r="Q1951" s="7"/>
      <c r="R1951" s="7"/>
      <c r="S1951" s="7"/>
      <c r="T1951" s="7"/>
      <c r="U1951" s="7"/>
      <c r="V1951" s="7"/>
      <c r="W1951" s="14"/>
      <c r="X1951" s="10"/>
      <c r="Y1951" s="10"/>
      <c r="AB1951" s="19"/>
      <c r="AC1951" s="18"/>
    </row>
    <row r="1952" spans="4:29" x14ac:dyDescent="0.25">
      <c r="D1952" s="3"/>
      <c r="E1952" s="12"/>
      <c r="F1952" s="12"/>
      <c r="G1952" s="12"/>
      <c r="H1952" s="12"/>
      <c r="I1952" s="7"/>
      <c r="J1952" s="7"/>
      <c r="K1952" s="7"/>
      <c r="L1952" s="7"/>
      <c r="M1952" s="7"/>
      <c r="N1952" s="7"/>
      <c r="O1952" s="7"/>
      <c r="P1952" s="7"/>
      <c r="Q1952" s="7"/>
      <c r="R1952" s="7"/>
      <c r="S1952" s="7"/>
      <c r="T1952" s="7"/>
      <c r="U1952" s="7"/>
      <c r="V1952" s="7"/>
      <c r="W1952" s="14"/>
      <c r="X1952" s="10"/>
      <c r="Y1952" s="10"/>
      <c r="AB1952" s="19"/>
      <c r="AC1952" s="18"/>
    </row>
    <row r="1953" spans="4:29" x14ac:dyDescent="0.25">
      <c r="D1953" s="3"/>
      <c r="E1953" s="12"/>
      <c r="F1953" s="12"/>
      <c r="G1953" s="12"/>
      <c r="H1953" s="12"/>
      <c r="I1953" s="7"/>
      <c r="J1953" s="7"/>
      <c r="K1953" s="7"/>
      <c r="L1953" s="7"/>
      <c r="M1953" s="7"/>
      <c r="N1953" s="7"/>
      <c r="O1953" s="7"/>
      <c r="P1953" s="7"/>
      <c r="Q1953" s="7"/>
      <c r="R1953" s="7"/>
      <c r="S1953" s="7"/>
      <c r="T1953" s="7"/>
      <c r="U1953" s="7"/>
      <c r="V1953" s="7"/>
      <c r="W1953" s="14"/>
      <c r="X1953" s="10"/>
      <c r="Y1953" s="10"/>
      <c r="AB1953" s="19"/>
      <c r="AC1953" s="18"/>
    </row>
    <row r="1954" spans="4:29" x14ac:dyDescent="0.25">
      <c r="D1954" s="3"/>
      <c r="E1954" s="12"/>
      <c r="F1954" s="12"/>
      <c r="G1954" s="12"/>
      <c r="H1954" s="12"/>
      <c r="I1954" s="7"/>
      <c r="J1954" s="7"/>
      <c r="K1954" s="7"/>
      <c r="L1954" s="7"/>
      <c r="M1954" s="7"/>
      <c r="N1954" s="7"/>
      <c r="O1954" s="7"/>
      <c r="P1954" s="7"/>
      <c r="Q1954" s="7"/>
      <c r="R1954" s="7"/>
      <c r="S1954" s="7"/>
      <c r="T1954" s="7"/>
      <c r="U1954" s="7"/>
      <c r="V1954" s="7"/>
      <c r="W1954" s="14"/>
      <c r="X1954" s="10"/>
      <c r="Y1954" s="10"/>
      <c r="AB1954" s="19"/>
      <c r="AC1954" s="18"/>
    </row>
    <row r="1955" spans="4:29" x14ac:dyDescent="0.25">
      <c r="D1955" s="3"/>
      <c r="E1955" s="12"/>
      <c r="F1955" s="12"/>
      <c r="G1955" s="12"/>
      <c r="H1955" s="12"/>
      <c r="I1955" s="7"/>
      <c r="J1955" s="7"/>
      <c r="K1955" s="7"/>
      <c r="L1955" s="7"/>
      <c r="M1955" s="7"/>
      <c r="N1955" s="7"/>
      <c r="O1955" s="7"/>
      <c r="P1955" s="7"/>
      <c r="Q1955" s="7"/>
      <c r="R1955" s="7"/>
      <c r="S1955" s="7"/>
      <c r="T1955" s="7"/>
      <c r="U1955" s="7"/>
      <c r="V1955" s="7"/>
      <c r="W1955" s="14"/>
      <c r="X1955" s="10"/>
      <c r="Y1955" s="10"/>
      <c r="AB1955" s="19"/>
      <c r="AC1955" s="18"/>
    </row>
    <row r="1956" spans="4:29" x14ac:dyDescent="0.25">
      <c r="D1956" s="3"/>
      <c r="E1956" s="12"/>
      <c r="F1956" s="12"/>
      <c r="G1956" s="12"/>
      <c r="H1956" s="12"/>
      <c r="I1956" s="7"/>
      <c r="J1956" s="7"/>
      <c r="K1956" s="7"/>
      <c r="L1956" s="7"/>
      <c r="M1956" s="7"/>
      <c r="N1956" s="7"/>
      <c r="O1956" s="7"/>
      <c r="P1956" s="7"/>
      <c r="Q1956" s="7"/>
      <c r="R1956" s="7"/>
      <c r="S1956" s="7"/>
      <c r="T1956" s="7"/>
      <c r="U1956" s="7"/>
      <c r="V1956" s="7"/>
      <c r="W1956" s="14"/>
      <c r="X1956" s="10"/>
      <c r="Y1956" s="10"/>
      <c r="AB1956" s="19"/>
      <c r="AC1956" s="18"/>
    </row>
    <row r="1957" spans="4:29" x14ac:dyDescent="0.25">
      <c r="D1957" s="3"/>
      <c r="E1957" s="12"/>
      <c r="F1957" s="12"/>
      <c r="G1957" s="12"/>
      <c r="H1957" s="12"/>
      <c r="I1957" s="7"/>
      <c r="J1957" s="7"/>
      <c r="K1957" s="7"/>
      <c r="L1957" s="7"/>
      <c r="M1957" s="7"/>
      <c r="N1957" s="7"/>
      <c r="O1957" s="7"/>
      <c r="P1957" s="7"/>
      <c r="Q1957" s="7"/>
      <c r="R1957" s="7"/>
      <c r="S1957" s="7"/>
      <c r="T1957" s="7"/>
      <c r="U1957" s="7"/>
      <c r="V1957" s="7"/>
      <c r="W1957" s="14"/>
      <c r="X1957" s="10"/>
      <c r="Y1957" s="10"/>
      <c r="AB1957" s="19"/>
      <c r="AC1957" s="18"/>
    </row>
    <row r="1958" spans="4:29" x14ac:dyDescent="0.25">
      <c r="D1958" s="3"/>
      <c r="E1958" s="12"/>
      <c r="F1958" s="12"/>
      <c r="G1958" s="12"/>
      <c r="H1958" s="12"/>
      <c r="I1958" s="7"/>
      <c r="J1958" s="7"/>
      <c r="K1958" s="7"/>
      <c r="L1958" s="7"/>
      <c r="M1958" s="7"/>
      <c r="N1958" s="7"/>
      <c r="O1958" s="7"/>
      <c r="P1958" s="7"/>
      <c r="Q1958" s="7"/>
      <c r="R1958" s="7"/>
      <c r="S1958" s="7"/>
      <c r="T1958" s="7"/>
      <c r="U1958" s="7"/>
      <c r="V1958" s="7"/>
      <c r="W1958" s="14"/>
      <c r="X1958" s="10"/>
      <c r="Y1958" s="10"/>
      <c r="AB1958" s="19"/>
      <c r="AC1958" s="18"/>
    </row>
    <row r="1959" spans="4:29" x14ac:dyDescent="0.25">
      <c r="D1959" s="3"/>
      <c r="E1959" s="12"/>
      <c r="F1959" s="12"/>
      <c r="G1959" s="12"/>
      <c r="H1959" s="12"/>
      <c r="I1959" s="7"/>
      <c r="J1959" s="7"/>
      <c r="K1959" s="7"/>
      <c r="L1959" s="7"/>
      <c r="M1959" s="7"/>
      <c r="N1959" s="7"/>
      <c r="O1959" s="7"/>
      <c r="P1959" s="7"/>
      <c r="Q1959" s="7"/>
      <c r="R1959" s="7"/>
      <c r="S1959" s="7"/>
      <c r="T1959" s="7"/>
      <c r="U1959" s="7"/>
      <c r="V1959" s="7"/>
      <c r="W1959" s="14"/>
      <c r="X1959" s="10"/>
      <c r="Y1959" s="10"/>
      <c r="AB1959" s="19"/>
      <c r="AC1959" s="18"/>
    </row>
    <row r="1960" spans="4:29" x14ac:dyDescent="0.25">
      <c r="D1960" s="3"/>
      <c r="E1960" s="12"/>
      <c r="F1960" s="12"/>
      <c r="G1960" s="12"/>
      <c r="H1960" s="12"/>
      <c r="I1960" s="7"/>
      <c r="J1960" s="7"/>
      <c r="K1960" s="7"/>
      <c r="L1960" s="7"/>
      <c r="M1960" s="7"/>
      <c r="N1960" s="7"/>
      <c r="O1960" s="7"/>
      <c r="P1960" s="7"/>
      <c r="Q1960" s="7"/>
      <c r="R1960" s="7"/>
      <c r="S1960" s="7"/>
      <c r="T1960" s="7"/>
      <c r="U1960" s="7"/>
      <c r="V1960" s="7"/>
      <c r="W1960" s="14"/>
      <c r="X1960" s="10"/>
      <c r="Y1960" s="10"/>
      <c r="AB1960" s="19"/>
      <c r="AC1960" s="18"/>
    </row>
    <row r="1961" spans="4:29" x14ac:dyDescent="0.25">
      <c r="D1961" s="3"/>
      <c r="E1961" s="12"/>
      <c r="F1961" s="12"/>
      <c r="G1961" s="12"/>
      <c r="H1961" s="12"/>
      <c r="I1961" s="7"/>
      <c r="J1961" s="7"/>
      <c r="K1961" s="7"/>
      <c r="L1961" s="7"/>
      <c r="M1961" s="7"/>
      <c r="N1961" s="7"/>
      <c r="O1961" s="7"/>
      <c r="P1961" s="7"/>
      <c r="Q1961" s="7"/>
      <c r="R1961" s="7"/>
      <c r="S1961" s="7"/>
      <c r="T1961" s="7"/>
      <c r="U1961" s="7"/>
      <c r="V1961" s="7"/>
      <c r="W1961" s="14"/>
      <c r="X1961" s="10"/>
      <c r="Y1961" s="10"/>
      <c r="AB1961" s="19"/>
      <c r="AC1961" s="18"/>
    </row>
    <row r="1962" spans="4:29" x14ac:dyDescent="0.25">
      <c r="D1962" s="3"/>
      <c r="E1962" s="12"/>
      <c r="F1962" s="12"/>
      <c r="G1962" s="12"/>
      <c r="H1962" s="12"/>
      <c r="I1962" s="7"/>
      <c r="J1962" s="7"/>
      <c r="K1962" s="7"/>
      <c r="L1962" s="7"/>
      <c r="M1962" s="7"/>
      <c r="N1962" s="7"/>
      <c r="O1962" s="7"/>
      <c r="P1962" s="7"/>
      <c r="Q1962" s="7"/>
      <c r="R1962" s="7"/>
      <c r="S1962" s="7"/>
      <c r="T1962" s="7"/>
      <c r="U1962" s="7"/>
      <c r="V1962" s="7"/>
      <c r="W1962" s="14"/>
      <c r="X1962" s="10"/>
      <c r="Y1962" s="10"/>
      <c r="AB1962" s="19"/>
      <c r="AC1962" s="18"/>
    </row>
    <row r="1963" spans="4:29" x14ac:dyDescent="0.25">
      <c r="D1963" s="3"/>
      <c r="E1963" s="12"/>
      <c r="F1963" s="12"/>
      <c r="G1963" s="12"/>
      <c r="H1963" s="12"/>
      <c r="I1963" s="7"/>
      <c r="J1963" s="7"/>
      <c r="K1963" s="7"/>
      <c r="L1963" s="7"/>
      <c r="M1963" s="7"/>
      <c r="N1963" s="7"/>
      <c r="O1963" s="7"/>
      <c r="P1963" s="7"/>
      <c r="Q1963" s="7"/>
      <c r="R1963" s="7"/>
      <c r="S1963" s="7"/>
      <c r="T1963" s="7"/>
      <c r="U1963" s="7"/>
      <c r="V1963" s="7"/>
      <c r="W1963" s="14"/>
      <c r="X1963" s="10"/>
      <c r="Y1963" s="10"/>
      <c r="AB1963" s="19"/>
      <c r="AC1963" s="18"/>
    </row>
    <row r="1964" spans="4:29" x14ac:dyDescent="0.25">
      <c r="D1964" s="3"/>
      <c r="E1964" s="12"/>
      <c r="F1964" s="12"/>
      <c r="G1964" s="12"/>
      <c r="H1964" s="12"/>
      <c r="I1964" s="7"/>
      <c r="J1964" s="7"/>
      <c r="K1964" s="7"/>
      <c r="L1964" s="7"/>
      <c r="M1964" s="7"/>
      <c r="N1964" s="7"/>
      <c r="O1964" s="7"/>
      <c r="P1964" s="7"/>
      <c r="Q1964" s="7"/>
      <c r="R1964" s="7"/>
      <c r="S1964" s="7"/>
      <c r="T1964" s="7"/>
      <c r="U1964" s="7"/>
      <c r="V1964" s="7"/>
      <c r="W1964" s="14"/>
      <c r="X1964" s="10"/>
      <c r="Y1964" s="10"/>
      <c r="AB1964" s="19"/>
      <c r="AC1964" s="18"/>
    </row>
    <row r="1965" spans="4:29" x14ac:dyDescent="0.25">
      <c r="D1965" s="3"/>
      <c r="E1965" s="12"/>
      <c r="F1965" s="12"/>
      <c r="G1965" s="12"/>
      <c r="H1965" s="12"/>
      <c r="I1965" s="7"/>
      <c r="J1965" s="7"/>
      <c r="K1965" s="7"/>
      <c r="L1965" s="7"/>
      <c r="M1965" s="7"/>
      <c r="N1965" s="7"/>
      <c r="O1965" s="7"/>
      <c r="P1965" s="7"/>
      <c r="Q1965" s="7"/>
      <c r="R1965" s="7"/>
      <c r="S1965" s="7"/>
      <c r="T1965" s="7"/>
      <c r="U1965" s="7"/>
      <c r="V1965" s="7"/>
      <c r="W1965" s="14"/>
      <c r="X1965" s="10"/>
      <c r="Y1965" s="10"/>
      <c r="AB1965" s="19"/>
      <c r="AC1965" s="18"/>
    </row>
    <row r="1966" spans="4:29" x14ac:dyDescent="0.25">
      <c r="D1966" s="3"/>
      <c r="E1966" s="12"/>
      <c r="F1966" s="12"/>
      <c r="G1966" s="12"/>
      <c r="H1966" s="12"/>
      <c r="I1966" s="7"/>
      <c r="J1966" s="7"/>
      <c r="K1966" s="7"/>
      <c r="L1966" s="7"/>
      <c r="M1966" s="7"/>
      <c r="N1966" s="7"/>
      <c r="O1966" s="7"/>
      <c r="P1966" s="7"/>
      <c r="Q1966" s="7"/>
      <c r="R1966" s="7"/>
      <c r="S1966" s="7"/>
      <c r="T1966" s="7"/>
      <c r="U1966" s="7"/>
      <c r="V1966" s="7"/>
      <c r="W1966" s="14"/>
      <c r="X1966" s="10"/>
      <c r="Y1966" s="10"/>
      <c r="AB1966" s="19"/>
      <c r="AC1966" s="18"/>
    </row>
    <row r="1967" spans="4:29" x14ac:dyDescent="0.25">
      <c r="D1967" s="3"/>
      <c r="E1967" s="12"/>
      <c r="F1967" s="12"/>
      <c r="G1967" s="12"/>
      <c r="H1967" s="12"/>
      <c r="I1967" s="7"/>
      <c r="J1967" s="7"/>
      <c r="K1967" s="7"/>
      <c r="L1967" s="7"/>
      <c r="M1967" s="7"/>
      <c r="N1967" s="7"/>
      <c r="O1967" s="7"/>
      <c r="P1967" s="7"/>
      <c r="Q1967" s="7"/>
      <c r="R1967" s="7"/>
      <c r="S1967" s="7"/>
      <c r="T1967" s="7"/>
      <c r="U1967" s="7"/>
      <c r="V1967" s="7"/>
      <c r="W1967" s="14"/>
      <c r="X1967" s="10"/>
      <c r="Y1967" s="10"/>
      <c r="AB1967" s="19"/>
      <c r="AC1967" s="18"/>
    </row>
    <row r="1968" spans="4:29" x14ac:dyDescent="0.25">
      <c r="D1968" s="3"/>
      <c r="E1968" s="12"/>
      <c r="F1968" s="12"/>
      <c r="G1968" s="12"/>
      <c r="H1968" s="12"/>
      <c r="I1968" s="7"/>
      <c r="J1968" s="7"/>
      <c r="K1968" s="7"/>
      <c r="L1968" s="7"/>
      <c r="M1968" s="7"/>
      <c r="N1968" s="7"/>
      <c r="O1968" s="7"/>
      <c r="P1968" s="7"/>
      <c r="Q1968" s="7"/>
      <c r="R1968" s="7"/>
      <c r="S1968" s="7"/>
      <c r="T1968" s="7"/>
      <c r="U1968" s="7"/>
      <c r="V1968" s="7"/>
      <c r="W1968" s="14"/>
      <c r="X1968" s="10"/>
      <c r="Y1968" s="10"/>
      <c r="AB1968" s="19"/>
      <c r="AC1968" s="18"/>
    </row>
    <row r="1969" spans="4:29" x14ac:dyDescent="0.25">
      <c r="D1969" s="3"/>
      <c r="E1969" s="12"/>
      <c r="F1969" s="12"/>
      <c r="G1969" s="12"/>
      <c r="H1969" s="12"/>
      <c r="I1969" s="7"/>
      <c r="J1969" s="7"/>
      <c r="K1969" s="7"/>
      <c r="L1969" s="7"/>
      <c r="M1969" s="7"/>
      <c r="N1969" s="7"/>
      <c r="O1969" s="7"/>
      <c r="P1969" s="7"/>
      <c r="Q1969" s="7"/>
      <c r="R1969" s="7"/>
      <c r="S1969" s="7"/>
      <c r="T1969" s="7"/>
      <c r="U1969" s="7"/>
      <c r="V1969" s="7"/>
      <c r="W1969" s="14"/>
      <c r="X1969" s="10"/>
      <c r="Y1969" s="10"/>
      <c r="AB1969" s="19"/>
      <c r="AC1969" s="18"/>
    </row>
    <row r="1970" spans="4:29" x14ac:dyDescent="0.25">
      <c r="D1970" s="3"/>
      <c r="E1970" s="12"/>
      <c r="F1970" s="12"/>
      <c r="G1970" s="12"/>
      <c r="H1970" s="12"/>
      <c r="I1970" s="7"/>
      <c r="J1970" s="7"/>
      <c r="K1970" s="7"/>
      <c r="L1970" s="7"/>
      <c r="M1970" s="7"/>
      <c r="N1970" s="7"/>
      <c r="O1970" s="7"/>
      <c r="P1970" s="7"/>
      <c r="Q1970" s="7"/>
      <c r="R1970" s="7"/>
      <c r="S1970" s="7"/>
      <c r="T1970" s="7"/>
      <c r="U1970" s="7"/>
      <c r="V1970" s="7"/>
      <c r="W1970" s="14"/>
      <c r="X1970" s="10"/>
      <c r="Y1970" s="10"/>
      <c r="AB1970" s="19"/>
      <c r="AC1970" s="18"/>
    </row>
    <row r="1971" spans="4:29" x14ac:dyDescent="0.25">
      <c r="D1971" s="3"/>
      <c r="E1971" s="12"/>
      <c r="F1971" s="12"/>
      <c r="G1971" s="12"/>
      <c r="H1971" s="12"/>
      <c r="I1971" s="7"/>
      <c r="J1971" s="7"/>
      <c r="K1971" s="7"/>
      <c r="L1971" s="7"/>
      <c r="M1971" s="7"/>
      <c r="N1971" s="7"/>
      <c r="O1971" s="7"/>
      <c r="P1971" s="7"/>
      <c r="Q1971" s="7"/>
      <c r="R1971" s="7"/>
      <c r="S1971" s="7"/>
      <c r="T1971" s="7"/>
      <c r="U1971" s="7"/>
      <c r="V1971" s="7"/>
      <c r="W1971" s="14"/>
      <c r="X1971" s="10"/>
      <c r="Y1971" s="10"/>
      <c r="AB1971" s="19"/>
      <c r="AC1971" s="18"/>
    </row>
    <row r="1972" spans="4:29" x14ac:dyDescent="0.25">
      <c r="D1972" s="3"/>
      <c r="E1972" s="12"/>
      <c r="F1972" s="12"/>
      <c r="G1972" s="12"/>
      <c r="H1972" s="12"/>
      <c r="I1972" s="7"/>
      <c r="J1972" s="7"/>
      <c r="K1972" s="7"/>
      <c r="L1972" s="7"/>
      <c r="M1972" s="7"/>
      <c r="N1972" s="7"/>
      <c r="O1972" s="7"/>
      <c r="P1972" s="7"/>
      <c r="Q1972" s="7"/>
      <c r="R1972" s="7"/>
      <c r="S1972" s="7"/>
      <c r="T1972" s="7"/>
      <c r="U1972" s="7"/>
      <c r="V1972" s="7"/>
      <c r="W1972" s="14"/>
      <c r="X1972" s="10"/>
      <c r="Y1972" s="10"/>
      <c r="AB1972" s="19"/>
      <c r="AC1972" s="18"/>
    </row>
    <row r="1973" spans="4:29" x14ac:dyDescent="0.25">
      <c r="D1973" s="3"/>
      <c r="E1973" s="12"/>
      <c r="F1973" s="12"/>
      <c r="G1973" s="12"/>
      <c r="H1973" s="12"/>
      <c r="I1973" s="7"/>
      <c r="J1973" s="7"/>
      <c r="K1973" s="7"/>
      <c r="L1973" s="7"/>
      <c r="M1973" s="7"/>
      <c r="N1973" s="7"/>
      <c r="O1973" s="7"/>
      <c r="P1973" s="7"/>
      <c r="Q1973" s="7"/>
      <c r="R1973" s="7"/>
      <c r="S1973" s="7"/>
      <c r="T1973" s="7"/>
      <c r="U1973" s="7"/>
      <c r="V1973" s="7"/>
      <c r="W1973" s="14"/>
      <c r="X1973" s="10"/>
      <c r="Y1973" s="10"/>
      <c r="AB1973" s="19"/>
      <c r="AC1973" s="18"/>
    </row>
    <row r="1974" spans="4:29" x14ac:dyDescent="0.25">
      <c r="D1974" s="3"/>
      <c r="E1974" s="12"/>
      <c r="F1974" s="12"/>
      <c r="G1974" s="12"/>
      <c r="H1974" s="12"/>
      <c r="I1974" s="7"/>
      <c r="J1974" s="7"/>
      <c r="K1974" s="7"/>
      <c r="L1974" s="7"/>
      <c r="M1974" s="7"/>
      <c r="N1974" s="7"/>
      <c r="O1974" s="7"/>
      <c r="P1974" s="7"/>
      <c r="Q1974" s="7"/>
      <c r="R1974" s="7"/>
      <c r="S1974" s="7"/>
      <c r="T1974" s="7"/>
      <c r="U1974" s="7"/>
      <c r="V1974" s="7"/>
      <c r="W1974" s="14"/>
      <c r="X1974" s="10"/>
      <c r="Y1974" s="10"/>
      <c r="AB1974" s="19"/>
      <c r="AC1974" s="18"/>
    </row>
    <row r="1975" spans="4:29" x14ac:dyDescent="0.25">
      <c r="D1975" s="3"/>
      <c r="E1975" s="12"/>
      <c r="F1975" s="12"/>
      <c r="G1975" s="12"/>
      <c r="H1975" s="12"/>
      <c r="I1975" s="7"/>
      <c r="J1975" s="7"/>
      <c r="K1975" s="7"/>
      <c r="L1975" s="7"/>
      <c r="M1975" s="7"/>
      <c r="N1975" s="7"/>
      <c r="O1975" s="7"/>
      <c r="P1975" s="7"/>
      <c r="Q1975" s="7"/>
      <c r="R1975" s="7"/>
      <c r="S1975" s="7"/>
      <c r="T1975" s="7"/>
      <c r="U1975" s="7"/>
      <c r="V1975" s="7"/>
      <c r="W1975" s="14"/>
      <c r="X1975" s="10"/>
      <c r="Y1975" s="10"/>
      <c r="AB1975" s="19"/>
      <c r="AC1975" s="18"/>
    </row>
    <row r="1976" spans="4:29" x14ac:dyDescent="0.25">
      <c r="D1976" s="3"/>
      <c r="E1976" s="12"/>
      <c r="F1976" s="12"/>
      <c r="G1976" s="12"/>
      <c r="H1976" s="12"/>
      <c r="I1976" s="7"/>
      <c r="J1976" s="7"/>
      <c r="K1976" s="7"/>
      <c r="L1976" s="7"/>
      <c r="M1976" s="7"/>
      <c r="N1976" s="7"/>
      <c r="O1976" s="7"/>
      <c r="P1976" s="7"/>
      <c r="Q1976" s="7"/>
      <c r="R1976" s="7"/>
      <c r="S1976" s="7"/>
      <c r="T1976" s="7"/>
      <c r="U1976" s="7"/>
      <c r="V1976" s="7"/>
      <c r="W1976" s="14"/>
      <c r="X1976" s="10"/>
      <c r="Y1976" s="10"/>
      <c r="AB1976" s="19"/>
      <c r="AC1976" s="18"/>
    </row>
    <row r="1977" spans="4:29" x14ac:dyDescent="0.25">
      <c r="D1977" s="3"/>
      <c r="E1977" s="12"/>
      <c r="F1977" s="12"/>
      <c r="G1977" s="12"/>
      <c r="H1977" s="12"/>
      <c r="I1977" s="7"/>
      <c r="J1977" s="7"/>
      <c r="K1977" s="7"/>
      <c r="L1977" s="7"/>
      <c r="M1977" s="7"/>
      <c r="N1977" s="7"/>
      <c r="O1977" s="7"/>
      <c r="P1977" s="7"/>
      <c r="Q1977" s="7"/>
      <c r="R1977" s="7"/>
      <c r="S1977" s="7"/>
      <c r="T1977" s="7"/>
      <c r="U1977" s="7"/>
      <c r="V1977" s="7"/>
      <c r="W1977" s="14"/>
      <c r="X1977" s="10"/>
      <c r="Y1977" s="10"/>
      <c r="AB1977" s="19"/>
      <c r="AC1977" s="18"/>
    </row>
    <row r="1978" spans="4:29" x14ac:dyDescent="0.25">
      <c r="D1978" s="3"/>
      <c r="E1978" s="12"/>
      <c r="F1978" s="12"/>
      <c r="G1978" s="12"/>
      <c r="H1978" s="12"/>
      <c r="I1978" s="7"/>
      <c r="J1978" s="7"/>
      <c r="K1978" s="7"/>
      <c r="L1978" s="7"/>
      <c r="M1978" s="7"/>
      <c r="N1978" s="7"/>
      <c r="O1978" s="7"/>
      <c r="P1978" s="7"/>
      <c r="Q1978" s="7"/>
      <c r="R1978" s="7"/>
      <c r="S1978" s="7"/>
      <c r="T1978" s="7"/>
      <c r="U1978" s="7"/>
      <c r="V1978" s="7"/>
      <c r="W1978" s="14"/>
      <c r="X1978" s="10"/>
      <c r="Y1978" s="10"/>
      <c r="AB1978" s="19"/>
      <c r="AC1978" s="18"/>
    </row>
    <row r="1979" spans="4:29" x14ac:dyDescent="0.25">
      <c r="D1979" s="3"/>
      <c r="E1979" s="12"/>
      <c r="F1979" s="12"/>
      <c r="G1979" s="12"/>
      <c r="H1979" s="12"/>
      <c r="I1979" s="7"/>
      <c r="J1979" s="7"/>
      <c r="K1979" s="7"/>
      <c r="L1979" s="7"/>
      <c r="M1979" s="7"/>
      <c r="N1979" s="7"/>
      <c r="O1979" s="7"/>
      <c r="P1979" s="7"/>
      <c r="Q1979" s="7"/>
      <c r="R1979" s="7"/>
      <c r="S1979" s="7"/>
      <c r="T1979" s="7"/>
      <c r="U1979" s="7"/>
      <c r="V1979" s="7"/>
      <c r="W1979" s="14"/>
      <c r="X1979" s="10"/>
      <c r="Y1979" s="10"/>
      <c r="AB1979" s="19"/>
      <c r="AC1979" s="18"/>
    </row>
    <row r="1980" spans="4:29" x14ac:dyDescent="0.25">
      <c r="D1980" s="3"/>
      <c r="E1980" s="12"/>
      <c r="F1980" s="12"/>
      <c r="G1980" s="12"/>
      <c r="H1980" s="12"/>
      <c r="I1980" s="7"/>
      <c r="J1980" s="7"/>
      <c r="K1980" s="7"/>
      <c r="L1980" s="7"/>
      <c r="M1980" s="7"/>
      <c r="N1980" s="7"/>
      <c r="O1980" s="7"/>
      <c r="P1980" s="7"/>
      <c r="Q1980" s="7"/>
      <c r="R1980" s="7"/>
      <c r="S1980" s="7"/>
      <c r="T1980" s="7"/>
      <c r="U1980" s="7"/>
      <c r="V1980" s="7"/>
      <c r="W1980" s="14"/>
      <c r="X1980" s="10"/>
      <c r="Y1980" s="10"/>
      <c r="AB1980" s="19"/>
      <c r="AC1980" s="18"/>
    </row>
    <row r="1981" spans="4:29" x14ac:dyDescent="0.25">
      <c r="D1981" s="3"/>
      <c r="E1981" s="12"/>
      <c r="F1981" s="12"/>
      <c r="G1981" s="12"/>
      <c r="H1981" s="12"/>
      <c r="I1981" s="7"/>
      <c r="J1981" s="7"/>
      <c r="K1981" s="7"/>
      <c r="L1981" s="7"/>
      <c r="M1981" s="7"/>
      <c r="N1981" s="7"/>
      <c r="O1981" s="7"/>
      <c r="P1981" s="7"/>
      <c r="Q1981" s="7"/>
      <c r="R1981" s="7"/>
      <c r="S1981" s="7"/>
      <c r="T1981" s="7"/>
      <c r="U1981" s="7"/>
      <c r="V1981" s="7"/>
      <c r="W1981" s="14"/>
      <c r="X1981" s="10"/>
      <c r="Y1981" s="10"/>
      <c r="AB1981" s="19"/>
      <c r="AC1981" s="18"/>
    </row>
    <row r="1982" spans="4:29" x14ac:dyDescent="0.25">
      <c r="D1982" s="3"/>
      <c r="E1982" s="12"/>
      <c r="F1982" s="12"/>
      <c r="G1982" s="12"/>
      <c r="H1982" s="12"/>
      <c r="I1982" s="7"/>
      <c r="J1982" s="7"/>
      <c r="K1982" s="7"/>
      <c r="L1982" s="7"/>
      <c r="M1982" s="7"/>
      <c r="N1982" s="7"/>
      <c r="O1982" s="7"/>
      <c r="P1982" s="7"/>
      <c r="Q1982" s="7"/>
      <c r="R1982" s="7"/>
      <c r="S1982" s="7"/>
      <c r="T1982" s="7"/>
      <c r="U1982" s="7"/>
      <c r="V1982" s="7"/>
      <c r="W1982" s="14"/>
      <c r="X1982" s="10"/>
      <c r="Y1982" s="10"/>
      <c r="AB1982" s="19"/>
      <c r="AC1982" s="18"/>
    </row>
    <row r="1983" spans="4:29" x14ac:dyDescent="0.25">
      <c r="D1983" s="3"/>
      <c r="E1983" s="12"/>
      <c r="F1983" s="12"/>
      <c r="G1983" s="12"/>
      <c r="H1983" s="12"/>
      <c r="I1983" s="7"/>
      <c r="J1983" s="7"/>
      <c r="K1983" s="7"/>
      <c r="L1983" s="7"/>
      <c r="M1983" s="7"/>
      <c r="N1983" s="7"/>
      <c r="O1983" s="7"/>
      <c r="P1983" s="7"/>
      <c r="Q1983" s="7"/>
      <c r="R1983" s="7"/>
      <c r="S1983" s="7"/>
      <c r="T1983" s="7"/>
      <c r="U1983" s="7"/>
      <c r="V1983" s="7"/>
      <c r="W1983" s="14"/>
      <c r="X1983" s="10"/>
      <c r="Y1983" s="10"/>
      <c r="AB1983" s="19"/>
      <c r="AC1983" s="18"/>
    </row>
    <row r="1984" spans="4:29" x14ac:dyDescent="0.25">
      <c r="D1984" s="3"/>
      <c r="E1984" s="12"/>
      <c r="F1984" s="12"/>
      <c r="G1984" s="12"/>
      <c r="H1984" s="12"/>
      <c r="I1984" s="7"/>
      <c r="J1984" s="7"/>
      <c r="K1984" s="7"/>
      <c r="L1984" s="7"/>
      <c r="M1984" s="7"/>
      <c r="N1984" s="7"/>
      <c r="O1984" s="7"/>
      <c r="P1984" s="7"/>
      <c r="Q1984" s="7"/>
      <c r="R1984" s="7"/>
      <c r="S1984" s="7"/>
      <c r="T1984" s="7"/>
      <c r="U1984" s="7"/>
      <c r="V1984" s="7"/>
      <c r="W1984" s="14"/>
      <c r="X1984" s="10"/>
      <c r="Y1984" s="10"/>
      <c r="AB1984" s="19"/>
      <c r="AC1984" s="18"/>
    </row>
    <row r="1985" spans="4:29" x14ac:dyDescent="0.25">
      <c r="D1985" s="3"/>
      <c r="E1985" s="12"/>
      <c r="F1985" s="12"/>
      <c r="G1985" s="12"/>
      <c r="H1985" s="12"/>
      <c r="I1985" s="7"/>
      <c r="J1985" s="7"/>
      <c r="K1985" s="7"/>
      <c r="L1985" s="7"/>
      <c r="M1985" s="7"/>
      <c r="N1985" s="7"/>
      <c r="O1985" s="7"/>
      <c r="P1985" s="7"/>
      <c r="Q1985" s="7"/>
      <c r="R1985" s="7"/>
      <c r="S1985" s="7"/>
      <c r="T1985" s="7"/>
      <c r="U1985" s="7"/>
      <c r="V1985" s="7"/>
      <c r="W1985" s="14"/>
      <c r="X1985" s="10"/>
      <c r="Y1985" s="10"/>
      <c r="AB1985" s="19"/>
      <c r="AC1985" s="18"/>
    </row>
    <row r="1986" spans="4:29" x14ac:dyDescent="0.25">
      <c r="D1986" s="3"/>
      <c r="E1986" s="12"/>
      <c r="F1986" s="12"/>
      <c r="G1986" s="12"/>
      <c r="H1986" s="12"/>
      <c r="I1986" s="7"/>
      <c r="J1986" s="7"/>
      <c r="K1986" s="7"/>
      <c r="L1986" s="7"/>
      <c r="M1986" s="7"/>
      <c r="N1986" s="7"/>
      <c r="O1986" s="7"/>
      <c r="P1986" s="7"/>
      <c r="Q1986" s="7"/>
      <c r="R1986" s="7"/>
      <c r="S1986" s="7"/>
      <c r="T1986" s="7"/>
      <c r="U1986" s="7"/>
      <c r="V1986" s="7"/>
      <c r="W1986" s="14"/>
      <c r="X1986" s="10"/>
      <c r="Y1986" s="10"/>
      <c r="AB1986" s="19"/>
      <c r="AC1986" s="18"/>
    </row>
    <row r="1987" spans="4:29" x14ac:dyDescent="0.25">
      <c r="D1987" s="3"/>
      <c r="E1987" s="12"/>
      <c r="F1987" s="12"/>
      <c r="G1987" s="12"/>
      <c r="H1987" s="12"/>
      <c r="I1987" s="7"/>
      <c r="J1987" s="7"/>
      <c r="K1987" s="7"/>
      <c r="L1987" s="7"/>
      <c r="M1987" s="7"/>
      <c r="N1987" s="7"/>
      <c r="O1987" s="7"/>
      <c r="P1987" s="7"/>
      <c r="Q1987" s="7"/>
      <c r="R1987" s="7"/>
      <c r="S1987" s="7"/>
      <c r="T1987" s="7"/>
      <c r="U1987" s="7"/>
      <c r="V1987" s="7"/>
      <c r="W1987" s="14"/>
      <c r="X1987" s="10"/>
      <c r="Y1987" s="10"/>
      <c r="AB1987" s="19"/>
      <c r="AC1987" s="18"/>
    </row>
    <row r="1988" spans="4:29" x14ac:dyDescent="0.25">
      <c r="D1988" s="3"/>
      <c r="E1988" s="12"/>
      <c r="F1988" s="12"/>
      <c r="G1988" s="12"/>
      <c r="H1988" s="12"/>
      <c r="I1988" s="7"/>
      <c r="J1988" s="7"/>
      <c r="K1988" s="7"/>
      <c r="L1988" s="7"/>
      <c r="M1988" s="7"/>
      <c r="N1988" s="7"/>
      <c r="O1988" s="7"/>
      <c r="P1988" s="7"/>
      <c r="Q1988" s="7"/>
      <c r="R1988" s="7"/>
      <c r="S1988" s="7"/>
      <c r="T1988" s="7"/>
      <c r="U1988" s="7"/>
      <c r="V1988" s="7"/>
      <c r="W1988" s="14"/>
      <c r="X1988" s="10"/>
      <c r="Y1988" s="10"/>
      <c r="AB1988" s="19"/>
      <c r="AC1988" s="18"/>
    </row>
    <row r="1989" spans="4:29" x14ac:dyDescent="0.25">
      <c r="D1989" s="3"/>
      <c r="E1989" s="12"/>
      <c r="F1989" s="12"/>
      <c r="G1989" s="12"/>
      <c r="H1989" s="12"/>
      <c r="I1989" s="7"/>
      <c r="J1989" s="7"/>
      <c r="K1989" s="7"/>
      <c r="L1989" s="7"/>
      <c r="M1989" s="7"/>
      <c r="N1989" s="7"/>
      <c r="O1989" s="7"/>
      <c r="P1989" s="7"/>
      <c r="Q1989" s="7"/>
      <c r="R1989" s="7"/>
      <c r="S1989" s="7"/>
      <c r="T1989" s="7"/>
      <c r="U1989" s="7"/>
      <c r="V1989" s="7"/>
      <c r="W1989" s="14"/>
      <c r="X1989" s="10"/>
      <c r="Y1989" s="10"/>
      <c r="AB1989" s="19"/>
      <c r="AC1989" s="18"/>
    </row>
    <row r="1990" spans="4:29" x14ac:dyDescent="0.25">
      <c r="D1990" s="3"/>
      <c r="E1990" s="12"/>
      <c r="F1990" s="12"/>
      <c r="G1990" s="12"/>
      <c r="H1990" s="12"/>
      <c r="I1990" s="7"/>
      <c r="J1990" s="7"/>
      <c r="K1990" s="7"/>
      <c r="L1990" s="7"/>
      <c r="M1990" s="7"/>
      <c r="N1990" s="7"/>
      <c r="O1990" s="7"/>
      <c r="P1990" s="7"/>
      <c r="Q1990" s="7"/>
      <c r="R1990" s="7"/>
      <c r="S1990" s="7"/>
      <c r="T1990" s="7"/>
      <c r="U1990" s="7"/>
      <c r="V1990" s="7"/>
      <c r="W1990" s="14"/>
      <c r="X1990" s="10"/>
      <c r="Y1990" s="10"/>
      <c r="AB1990" s="19"/>
      <c r="AC1990" s="18"/>
    </row>
    <row r="1991" spans="4:29" x14ac:dyDescent="0.25">
      <c r="D1991" s="3"/>
      <c r="E1991" s="12"/>
      <c r="F1991" s="12"/>
      <c r="G1991" s="12"/>
      <c r="H1991" s="12"/>
      <c r="I1991" s="7"/>
      <c r="J1991" s="7"/>
      <c r="K1991" s="7"/>
      <c r="L1991" s="7"/>
      <c r="M1991" s="7"/>
      <c r="N1991" s="7"/>
      <c r="O1991" s="7"/>
      <c r="P1991" s="7"/>
      <c r="Q1991" s="7"/>
      <c r="R1991" s="7"/>
      <c r="S1991" s="7"/>
      <c r="T1991" s="7"/>
      <c r="U1991" s="7"/>
      <c r="V1991" s="7"/>
      <c r="W1991" s="14"/>
      <c r="X1991" s="10"/>
      <c r="Y1991" s="10"/>
      <c r="AB1991" s="19"/>
      <c r="AC1991" s="18"/>
    </row>
    <row r="1992" spans="4:29" x14ac:dyDescent="0.25">
      <c r="D1992" s="3"/>
      <c r="E1992" s="12"/>
      <c r="F1992" s="12"/>
      <c r="G1992" s="12"/>
      <c r="H1992" s="12"/>
      <c r="I1992" s="7"/>
      <c r="J1992" s="7"/>
      <c r="K1992" s="7"/>
      <c r="L1992" s="7"/>
      <c r="M1992" s="7"/>
      <c r="N1992" s="7"/>
      <c r="O1992" s="7"/>
      <c r="P1992" s="7"/>
      <c r="Q1992" s="7"/>
      <c r="R1992" s="7"/>
      <c r="S1992" s="7"/>
      <c r="T1992" s="7"/>
      <c r="U1992" s="7"/>
      <c r="V1992" s="7"/>
      <c r="W1992" s="14"/>
      <c r="X1992" s="10"/>
      <c r="Y1992" s="10"/>
      <c r="AB1992" s="19"/>
      <c r="AC1992" s="18"/>
    </row>
    <row r="1993" spans="4:29" x14ac:dyDescent="0.25">
      <c r="D1993" s="3"/>
      <c r="E1993" s="12"/>
      <c r="F1993" s="12"/>
      <c r="G1993" s="12"/>
      <c r="H1993" s="12"/>
      <c r="I1993" s="7"/>
      <c r="J1993" s="7"/>
      <c r="K1993" s="7"/>
      <c r="L1993" s="7"/>
      <c r="M1993" s="7"/>
      <c r="N1993" s="7"/>
      <c r="O1993" s="7"/>
      <c r="P1993" s="7"/>
      <c r="Q1993" s="7"/>
      <c r="R1993" s="7"/>
      <c r="S1993" s="7"/>
      <c r="T1993" s="7"/>
      <c r="U1993" s="7"/>
      <c r="V1993" s="7"/>
      <c r="W1993" s="14"/>
      <c r="X1993" s="10"/>
      <c r="Y1993" s="10"/>
      <c r="AB1993" s="19"/>
      <c r="AC1993" s="18"/>
    </row>
    <row r="1994" spans="4:29" x14ac:dyDescent="0.25">
      <c r="D1994" s="3"/>
      <c r="E1994" s="12"/>
      <c r="F1994" s="12"/>
      <c r="G1994" s="12"/>
      <c r="H1994" s="12"/>
      <c r="I1994" s="7"/>
      <c r="J1994" s="7"/>
      <c r="K1994" s="7"/>
      <c r="L1994" s="7"/>
      <c r="M1994" s="7"/>
      <c r="N1994" s="7"/>
      <c r="O1994" s="7"/>
      <c r="P1994" s="7"/>
      <c r="Q1994" s="7"/>
      <c r="R1994" s="7"/>
      <c r="S1994" s="7"/>
      <c r="T1994" s="7"/>
      <c r="U1994" s="7"/>
      <c r="V1994" s="7"/>
      <c r="W1994" s="14"/>
      <c r="X1994" s="10"/>
      <c r="Y1994" s="10"/>
      <c r="AB1994" s="19"/>
      <c r="AC1994" s="18"/>
    </row>
    <row r="1995" spans="4:29" x14ac:dyDescent="0.25">
      <c r="D1995" s="3"/>
      <c r="E1995" s="12"/>
      <c r="F1995" s="12"/>
      <c r="G1995" s="12"/>
      <c r="H1995" s="12"/>
      <c r="I1995" s="7"/>
      <c r="J1995" s="7"/>
      <c r="K1995" s="7"/>
      <c r="L1995" s="7"/>
      <c r="M1995" s="7"/>
      <c r="N1995" s="7"/>
      <c r="O1995" s="7"/>
      <c r="P1995" s="7"/>
      <c r="Q1995" s="7"/>
      <c r="R1995" s="7"/>
      <c r="S1995" s="7"/>
      <c r="T1995" s="7"/>
      <c r="U1995" s="7"/>
      <c r="V1995" s="7"/>
      <c r="W1995" s="14"/>
      <c r="X1995" s="10"/>
      <c r="Y1995" s="10"/>
      <c r="AB1995" s="19"/>
      <c r="AC1995" s="18"/>
    </row>
    <row r="1996" spans="4:29" x14ac:dyDescent="0.25">
      <c r="D1996" s="3"/>
      <c r="E1996" s="12"/>
      <c r="F1996" s="12"/>
      <c r="G1996" s="12"/>
      <c r="H1996" s="12"/>
      <c r="I1996" s="7"/>
      <c r="J1996" s="7"/>
      <c r="K1996" s="7"/>
      <c r="L1996" s="7"/>
      <c r="M1996" s="7"/>
      <c r="N1996" s="7"/>
      <c r="O1996" s="7"/>
      <c r="P1996" s="7"/>
      <c r="Q1996" s="7"/>
      <c r="R1996" s="7"/>
      <c r="S1996" s="7"/>
      <c r="T1996" s="7"/>
      <c r="U1996" s="7"/>
      <c r="V1996" s="7"/>
      <c r="W1996" s="14"/>
      <c r="X1996" s="10"/>
      <c r="Y1996" s="10"/>
      <c r="AB1996" s="19"/>
      <c r="AC1996" s="18"/>
    </row>
    <row r="1997" spans="4:29" x14ac:dyDescent="0.25">
      <c r="D1997" s="3"/>
      <c r="E1997" s="12"/>
      <c r="F1997" s="12"/>
      <c r="G1997" s="12"/>
      <c r="H1997" s="12"/>
      <c r="I1997" s="7"/>
      <c r="J1997" s="7"/>
      <c r="K1997" s="7"/>
      <c r="L1997" s="7"/>
      <c r="M1997" s="7"/>
      <c r="N1997" s="7"/>
      <c r="O1997" s="7"/>
      <c r="P1997" s="7"/>
      <c r="Q1997" s="7"/>
      <c r="R1997" s="7"/>
      <c r="S1997" s="7"/>
      <c r="T1997" s="7"/>
      <c r="U1997" s="7"/>
      <c r="V1997" s="7"/>
      <c r="W1997" s="14"/>
      <c r="X1997" s="10"/>
      <c r="Y1997" s="10"/>
      <c r="AB1997" s="19"/>
      <c r="AC1997" s="18"/>
    </row>
    <row r="1998" spans="4:29" x14ac:dyDescent="0.25">
      <c r="D1998" s="3"/>
      <c r="E1998" s="12"/>
      <c r="F1998" s="12"/>
      <c r="G1998" s="12"/>
      <c r="H1998" s="12"/>
      <c r="I1998" s="7"/>
      <c r="J1998" s="7"/>
      <c r="K1998" s="7"/>
      <c r="L1998" s="7"/>
      <c r="M1998" s="7"/>
      <c r="N1998" s="7"/>
      <c r="O1998" s="7"/>
      <c r="P1998" s="7"/>
      <c r="Q1998" s="7"/>
      <c r="R1998" s="7"/>
      <c r="S1998" s="7"/>
      <c r="T1998" s="7"/>
      <c r="U1998" s="7"/>
      <c r="V1998" s="7"/>
      <c r="W1998" s="14"/>
      <c r="X1998" s="10"/>
      <c r="Y1998" s="10"/>
      <c r="AB1998" s="19"/>
      <c r="AC1998" s="18"/>
    </row>
    <row r="1999" spans="4:29" x14ac:dyDescent="0.25">
      <c r="D1999" s="3"/>
      <c r="E1999" s="12"/>
      <c r="F1999" s="12"/>
      <c r="G1999" s="12"/>
      <c r="H1999" s="12"/>
      <c r="I1999" s="7"/>
      <c r="J1999" s="7"/>
      <c r="K1999" s="7"/>
      <c r="L1999" s="7"/>
      <c r="M1999" s="7"/>
      <c r="N1999" s="7"/>
      <c r="O1999" s="7"/>
      <c r="P1999" s="7"/>
      <c r="Q1999" s="7"/>
      <c r="R1999" s="7"/>
      <c r="S1999" s="7"/>
      <c r="T1999" s="7"/>
      <c r="U1999" s="7"/>
      <c r="V1999" s="7"/>
      <c r="W1999" s="14"/>
      <c r="X1999" s="10"/>
      <c r="Y1999" s="10"/>
      <c r="AB1999" s="19"/>
      <c r="AC1999" s="18"/>
    </row>
    <row r="2000" spans="4:29" x14ac:dyDescent="0.25">
      <c r="D2000" s="3"/>
      <c r="E2000" s="12"/>
      <c r="F2000" s="12"/>
      <c r="G2000" s="12"/>
      <c r="H2000" s="12"/>
      <c r="I2000" s="7"/>
      <c r="J2000" s="7"/>
      <c r="K2000" s="7"/>
      <c r="L2000" s="7"/>
      <c r="M2000" s="7"/>
      <c r="N2000" s="7"/>
      <c r="O2000" s="7"/>
      <c r="P2000" s="7"/>
      <c r="Q2000" s="7"/>
      <c r="R2000" s="7"/>
      <c r="S2000" s="7"/>
      <c r="T2000" s="7"/>
      <c r="U2000" s="7"/>
      <c r="V2000" s="7"/>
      <c r="W2000" s="14"/>
      <c r="X2000" s="10"/>
      <c r="Y2000" s="10"/>
      <c r="AB2000" s="19"/>
      <c r="AC2000" s="18"/>
    </row>
    <row r="2001" spans="4:29" x14ac:dyDescent="0.25">
      <c r="D2001" s="3"/>
      <c r="E2001" s="12"/>
      <c r="F2001" s="12"/>
      <c r="G2001" s="12"/>
      <c r="H2001" s="12"/>
      <c r="I2001" s="7"/>
      <c r="J2001" s="7"/>
      <c r="K2001" s="7"/>
      <c r="L2001" s="7"/>
      <c r="M2001" s="7"/>
      <c r="N2001" s="7"/>
      <c r="O2001" s="7"/>
      <c r="P2001" s="7"/>
      <c r="Q2001" s="7"/>
      <c r="R2001" s="7"/>
      <c r="S2001" s="7"/>
      <c r="T2001" s="7"/>
      <c r="U2001" s="7"/>
      <c r="V2001" s="7"/>
      <c r="W2001" s="14"/>
      <c r="X2001" s="10"/>
      <c r="Y2001" s="10"/>
      <c r="AB2001" s="19"/>
      <c r="AC2001" s="18"/>
    </row>
    <row r="2002" spans="4:29" x14ac:dyDescent="0.25">
      <c r="D2002" s="3"/>
      <c r="E2002" s="12"/>
      <c r="F2002" s="12"/>
      <c r="G2002" s="12"/>
      <c r="H2002" s="12"/>
      <c r="I2002" s="7"/>
      <c r="J2002" s="7"/>
      <c r="K2002" s="7"/>
      <c r="L2002" s="7"/>
      <c r="M2002" s="7"/>
      <c r="N2002" s="7"/>
      <c r="O2002" s="7"/>
      <c r="P2002" s="7"/>
      <c r="Q2002" s="7"/>
      <c r="R2002" s="7"/>
      <c r="S2002" s="7"/>
      <c r="T2002" s="7"/>
      <c r="U2002" s="7"/>
      <c r="V2002" s="7"/>
      <c r="W2002" s="14"/>
      <c r="X2002" s="10"/>
      <c r="Y2002" s="10"/>
      <c r="AB2002" s="19"/>
      <c r="AC2002" s="18"/>
    </row>
    <row r="2003" spans="4:29" x14ac:dyDescent="0.25">
      <c r="D2003" s="3"/>
      <c r="E2003" s="12"/>
      <c r="F2003" s="12"/>
      <c r="G2003" s="12"/>
      <c r="H2003" s="12"/>
      <c r="I2003" s="7"/>
      <c r="J2003" s="7"/>
      <c r="K2003" s="7"/>
      <c r="L2003" s="7"/>
      <c r="M2003" s="7"/>
      <c r="N2003" s="7"/>
      <c r="O2003" s="7"/>
      <c r="P2003" s="7"/>
      <c r="Q2003" s="7"/>
      <c r="R2003" s="7"/>
      <c r="S2003" s="7"/>
      <c r="T2003" s="7"/>
      <c r="U2003" s="7"/>
      <c r="V2003" s="7"/>
      <c r="W2003" s="14"/>
      <c r="X2003" s="10"/>
      <c r="Y2003" s="10"/>
      <c r="AB2003" s="19"/>
      <c r="AC2003" s="18"/>
    </row>
    <row r="2004" spans="4:29" x14ac:dyDescent="0.25">
      <c r="D2004" s="3"/>
      <c r="E2004" s="12"/>
      <c r="F2004" s="12"/>
      <c r="G2004" s="12"/>
      <c r="H2004" s="12"/>
      <c r="I2004" s="7"/>
      <c r="J2004" s="7"/>
      <c r="K2004" s="7"/>
      <c r="L2004" s="7"/>
      <c r="M2004" s="7"/>
      <c r="N2004" s="7"/>
      <c r="O2004" s="7"/>
      <c r="P2004" s="7"/>
      <c r="Q2004" s="7"/>
      <c r="R2004" s="7"/>
      <c r="S2004" s="7"/>
      <c r="T2004" s="7"/>
      <c r="U2004" s="7"/>
      <c r="V2004" s="7"/>
      <c r="W2004" s="14"/>
      <c r="X2004" s="10"/>
      <c r="Y2004" s="10"/>
      <c r="AB2004" s="19"/>
      <c r="AC2004" s="18"/>
    </row>
    <row r="2005" spans="4:29" x14ac:dyDescent="0.25">
      <c r="D2005" s="3"/>
      <c r="E2005" s="12"/>
      <c r="F2005" s="12"/>
      <c r="G2005" s="12"/>
      <c r="H2005" s="12"/>
      <c r="I2005" s="7"/>
      <c r="J2005" s="7"/>
      <c r="K2005" s="7"/>
      <c r="L2005" s="7"/>
      <c r="M2005" s="7"/>
      <c r="N2005" s="7"/>
      <c r="O2005" s="7"/>
      <c r="P2005" s="7"/>
      <c r="Q2005" s="7"/>
      <c r="R2005" s="7"/>
      <c r="S2005" s="7"/>
      <c r="T2005" s="7"/>
      <c r="U2005" s="7"/>
      <c r="V2005" s="7"/>
      <c r="W2005" s="14"/>
      <c r="X2005" s="10"/>
      <c r="Y2005" s="10"/>
      <c r="AB2005" s="19"/>
      <c r="AC2005" s="18"/>
    </row>
    <row r="2006" spans="4:29" x14ac:dyDescent="0.25">
      <c r="D2006" s="3"/>
      <c r="E2006" s="12"/>
      <c r="F2006" s="12"/>
      <c r="G2006" s="12"/>
      <c r="H2006" s="12"/>
      <c r="I2006" s="7"/>
      <c r="J2006" s="7"/>
      <c r="K2006" s="7"/>
      <c r="L2006" s="7"/>
      <c r="M2006" s="7"/>
      <c r="N2006" s="7"/>
      <c r="O2006" s="7"/>
      <c r="P2006" s="7"/>
      <c r="Q2006" s="7"/>
      <c r="R2006" s="7"/>
      <c r="S2006" s="7"/>
      <c r="T2006" s="7"/>
      <c r="U2006" s="7"/>
      <c r="V2006" s="7"/>
      <c r="W2006" s="14"/>
      <c r="X2006" s="10"/>
      <c r="Y2006" s="10"/>
      <c r="AB2006" s="19"/>
      <c r="AC2006" s="18"/>
    </row>
    <row r="2007" spans="4:29" x14ac:dyDescent="0.25">
      <c r="D2007" s="3"/>
      <c r="E2007" s="12"/>
      <c r="F2007" s="12"/>
      <c r="G2007" s="12"/>
      <c r="H2007" s="12"/>
      <c r="I2007" s="7"/>
      <c r="J2007" s="7"/>
      <c r="K2007" s="7"/>
      <c r="L2007" s="7"/>
      <c r="M2007" s="7"/>
      <c r="N2007" s="7"/>
      <c r="O2007" s="7"/>
      <c r="P2007" s="7"/>
      <c r="Q2007" s="7"/>
      <c r="R2007" s="7"/>
      <c r="S2007" s="7"/>
      <c r="T2007" s="7"/>
      <c r="U2007" s="7"/>
      <c r="V2007" s="7"/>
      <c r="W2007" s="14"/>
      <c r="X2007" s="10"/>
      <c r="Y2007" s="10"/>
      <c r="AB2007" s="19"/>
      <c r="AC2007" s="18"/>
    </row>
    <row r="2008" spans="4:29" x14ac:dyDescent="0.25">
      <c r="D2008" s="3"/>
      <c r="E2008" s="12"/>
      <c r="F2008" s="12"/>
      <c r="G2008" s="12"/>
      <c r="H2008" s="12"/>
      <c r="I2008" s="7"/>
      <c r="J2008" s="7"/>
      <c r="K2008" s="7"/>
      <c r="L2008" s="7"/>
      <c r="M2008" s="7"/>
      <c r="N2008" s="7"/>
      <c r="O2008" s="7"/>
      <c r="P2008" s="7"/>
      <c r="Q2008" s="7"/>
      <c r="R2008" s="7"/>
      <c r="S2008" s="7"/>
      <c r="T2008" s="7"/>
      <c r="U2008" s="7"/>
      <c r="V2008" s="7"/>
      <c r="W2008" s="14"/>
      <c r="X2008" s="10"/>
      <c r="Y2008" s="10"/>
      <c r="AB2008" s="19"/>
      <c r="AC2008" s="18"/>
    </row>
    <row r="2009" spans="4:29" x14ac:dyDescent="0.25">
      <c r="D2009" s="3"/>
      <c r="E2009" s="12"/>
      <c r="F2009" s="12"/>
      <c r="G2009" s="12"/>
      <c r="H2009" s="12"/>
      <c r="I2009" s="7"/>
      <c r="J2009" s="7"/>
      <c r="K2009" s="7"/>
      <c r="L2009" s="7"/>
      <c r="M2009" s="7"/>
      <c r="N2009" s="7"/>
      <c r="O2009" s="7"/>
      <c r="P2009" s="7"/>
      <c r="Q2009" s="7"/>
      <c r="R2009" s="7"/>
      <c r="S2009" s="7"/>
      <c r="T2009" s="7"/>
      <c r="U2009" s="7"/>
      <c r="V2009" s="7"/>
      <c r="W2009" s="14"/>
      <c r="X2009" s="10"/>
      <c r="Y2009" s="10"/>
      <c r="AB2009" s="19"/>
      <c r="AC2009" s="18"/>
    </row>
    <row r="2010" spans="4:29" x14ac:dyDescent="0.25">
      <c r="D2010" s="3"/>
      <c r="E2010" s="12"/>
      <c r="F2010" s="12"/>
      <c r="G2010" s="12"/>
      <c r="H2010" s="12"/>
      <c r="I2010" s="7"/>
      <c r="J2010" s="7"/>
      <c r="K2010" s="7"/>
      <c r="L2010" s="7"/>
      <c r="M2010" s="7"/>
      <c r="N2010" s="7"/>
      <c r="O2010" s="7"/>
      <c r="P2010" s="7"/>
      <c r="Q2010" s="7"/>
      <c r="R2010" s="7"/>
      <c r="S2010" s="7"/>
      <c r="T2010" s="7"/>
      <c r="U2010" s="7"/>
      <c r="V2010" s="7"/>
      <c r="W2010" s="14"/>
      <c r="X2010" s="10"/>
      <c r="Y2010" s="10"/>
      <c r="AB2010" s="19"/>
      <c r="AC2010" s="18"/>
    </row>
    <row r="2011" spans="4:29" x14ac:dyDescent="0.25">
      <c r="D2011" s="3"/>
      <c r="E2011" s="12"/>
      <c r="F2011" s="12"/>
      <c r="G2011" s="12"/>
      <c r="H2011" s="12"/>
      <c r="I2011" s="7"/>
      <c r="J2011" s="7"/>
      <c r="K2011" s="7"/>
      <c r="L2011" s="7"/>
      <c r="M2011" s="7"/>
      <c r="N2011" s="7"/>
      <c r="O2011" s="7"/>
      <c r="P2011" s="7"/>
      <c r="Q2011" s="7"/>
      <c r="R2011" s="7"/>
      <c r="S2011" s="7"/>
      <c r="T2011" s="7"/>
      <c r="U2011" s="7"/>
      <c r="V2011" s="7"/>
      <c r="W2011" s="14"/>
      <c r="X2011" s="10"/>
      <c r="Y2011" s="10"/>
      <c r="AB2011" s="19"/>
      <c r="AC2011" s="18"/>
    </row>
    <row r="2012" spans="4:29" x14ac:dyDescent="0.25">
      <c r="D2012" s="3"/>
      <c r="E2012" s="12"/>
      <c r="F2012" s="12"/>
      <c r="G2012" s="12"/>
      <c r="H2012" s="12"/>
      <c r="I2012" s="7"/>
      <c r="J2012" s="7"/>
      <c r="K2012" s="7"/>
      <c r="L2012" s="7"/>
      <c r="M2012" s="7"/>
      <c r="N2012" s="7"/>
      <c r="O2012" s="7"/>
      <c r="P2012" s="7"/>
      <c r="Q2012" s="7"/>
      <c r="R2012" s="7"/>
      <c r="S2012" s="7"/>
      <c r="T2012" s="7"/>
      <c r="U2012" s="7"/>
      <c r="V2012" s="7"/>
      <c r="W2012" s="14"/>
      <c r="X2012" s="10"/>
      <c r="Y2012" s="10"/>
      <c r="AB2012" s="19"/>
      <c r="AC2012" s="18"/>
    </row>
    <row r="2013" spans="4:29" x14ac:dyDescent="0.25">
      <c r="D2013" s="3"/>
      <c r="E2013" s="12"/>
      <c r="F2013" s="12"/>
      <c r="G2013" s="12"/>
      <c r="H2013" s="12"/>
      <c r="I2013" s="7"/>
      <c r="J2013" s="7"/>
      <c r="K2013" s="7"/>
      <c r="L2013" s="7"/>
      <c r="M2013" s="7"/>
      <c r="N2013" s="7"/>
      <c r="O2013" s="7"/>
      <c r="P2013" s="7"/>
      <c r="Q2013" s="7"/>
      <c r="R2013" s="7"/>
      <c r="S2013" s="7"/>
      <c r="T2013" s="7"/>
      <c r="U2013" s="7"/>
      <c r="V2013" s="7"/>
      <c r="W2013" s="14"/>
      <c r="X2013" s="10"/>
      <c r="Y2013" s="10"/>
      <c r="AB2013" s="19"/>
      <c r="AC2013" s="18"/>
    </row>
    <row r="2014" spans="4:29" x14ac:dyDescent="0.25">
      <c r="D2014" s="3"/>
      <c r="E2014" s="12"/>
      <c r="F2014" s="12"/>
      <c r="G2014" s="12"/>
      <c r="H2014" s="12"/>
      <c r="I2014" s="7"/>
      <c r="J2014" s="7"/>
      <c r="K2014" s="7"/>
      <c r="L2014" s="7"/>
      <c r="M2014" s="7"/>
      <c r="N2014" s="7"/>
      <c r="O2014" s="7"/>
      <c r="P2014" s="7"/>
      <c r="Q2014" s="7"/>
      <c r="R2014" s="7"/>
      <c r="S2014" s="7"/>
      <c r="T2014" s="7"/>
      <c r="U2014" s="7"/>
      <c r="V2014" s="7"/>
      <c r="W2014" s="14"/>
      <c r="X2014" s="10"/>
      <c r="Y2014" s="10"/>
      <c r="AB2014" s="19"/>
      <c r="AC2014" s="18"/>
    </row>
    <row r="2015" spans="4:29" x14ac:dyDescent="0.25">
      <c r="D2015" s="3"/>
      <c r="E2015" s="12"/>
      <c r="F2015" s="12"/>
      <c r="G2015" s="12"/>
      <c r="H2015" s="12"/>
      <c r="I2015" s="7"/>
      <c r="J2015" s="7"/>
      <c r="K2015" s="7"/>
      <c r="L2015" s="7"/>
      <c r="M2015" s="7"/>
      <c r="N2015" s="7"/>
      <c r="O2015" s="7"/>
      <c r="P2015" s="7"/>
      <c r="Q2015" s="7"/>
      <c r="R2015" s="7"/>
      <c r="S2015" s="7"/>
      <c r="T2015" s="7"/>
      <c r="U2015" s="7"/>
      <c r="V2015" s="7"/>
      <c r="W2015" s="14"/>
      <c r="X2015" s="10"/>
      <c r="Y2015" s="10"/>
      <c r="AB2015" s="19"/>
      <c r="AC2015" s="18"/>
    </row>
    <row r="2016" spans="4:29" x14ac:dyDescent="0.25">
      <c r="D2016" s="3"/>
      <c r="E2016" s="12"/>
      <c r="F2016" s="12"/>
      <c r="G2016" s="12"/>
      <c r="H2016" s="12"/>
      <c r="I2016" s="7"/>
      <c r="J2016" s="7"/>
      <c r="K2016" s="7"/>
      <c r="L2016" s="7"/>
      <c r="M2016" s="7"/>
      <c r="N2016" s="7"/>
      <c r="O2016" s="7"/>
      <c r="P2016" s="7"/>
      <c r="Q2016" s="7"/>
      <c r="R2016" s="7"/>
      <c r="S2016" s="7"/>
      <c r="T2016" s="7"/>
      <c r="U2016" s="7"/>
      <c r="V2016" s="7"/>
      <c r="W2016" s="14"/>
      <c r="X2016" s="10"/>
      <c r="Y2016" s="10"/>
      <c r="AB2016" s="19"/>
      <c r="AC2016" s="18"/>
    </row>
    <row r="2017" spans="4:29" x14ac:dyDescent="0.25">
      <c r="D2017" s="3"/>
      <c r="E2017" s="12"/>
      <c r="F2017" s="12"/>
      <c r="G2017" s="12"/>
      <c r="H2017" s="12"/>
      <c r="I2017" s="7"/>
      <c r="J2017" s="7"/>
      <c r="K2017" s="7"/>
      <c r="L2017" s="7"/>
      <c r="M2017" s="7"/>
      <c r="N2017" s="7"/>
      <c r="O2017" s="7"/>
      <c r="P2017" s="7"/>
      <c r="Q2017" s="7"/>
      <c r="R2017" s="7"/>
      <c r="S2017" s="7"/>
      <c r="T2017" s="7"/>
      <c r="U2017" s="7"/>
      <c r="V2017" s="7"/>
      <c r="W2017" s="14"/>
      <c r="X2017" s="10"/>
      <c r="Y2017" s="10"/>
      <c r="AB2017" s="19"/>
      <c r="AC2017" s="18"/>
    </row>
    <row r="2018" spans="4:29" x14ac:dyDescent="0.25">
      <c r="D2018" s="3"/>
      <c r="E2018" s="12"/>
      <c r="F2018" s="12"/>
      <c r="G2018" s="12"/>
      <c r="H2018" s="12"/>
      <c r="I2018" s="7"/>
      <c r="J2018" s="7"/>
      <c r="K2018" s="7"/>
      <c r="L2018" s="7"/>
      <c r="M2018" s="7"/>
      <c r="N2018" s="7"/>
      <c r="O2018" s="7"/>
      <c r="P2018" s="7"/>
      <c r="Q2018" s="7"/>
      <c r="R2018" s="7"/>
      <c r="S2018" s="7"/>
      <c r="T2018" s="7"/>
      <c r="U2018" s="7"/>
      <c r="V2018" s="7"/>
      <c r="W2018" s="14"/>
      <c r="X2018" s="10"/>
      <c r="Y2018" s="10"/>
      <c r="AB2018" s="19"/>
      <c r="AC2018" s="18"/>
    </row>
    <row r="2019" spans="4:29" x14ac:dyDescent="0.25">
      <c r="D2019" s="3"/>
      <c r="E2019" s="12"/>
      <c r="F2019" s="12"/>
      <c r="G2019" s="12"/>
      <c r="H2019" s="12"/>
      <c r="I2019" s="7"/>
      <c r="J2019" s="7"/>
      <c r="K2019" s="7"/>
      <c r="L2019" s="7"/>
      <c r="M2019" s="7"/>
      <c r="N2019" s="7"/>
      <c r="O2019" s="7"/>
      <c r="P2019" s="7"/>
      <c r="Q2019" s="7"/>
      <c r="R2019" s="7"/>
      <c r="S2019" s="7"/>
      <c r="T2019" s="7"/>
      <c r="U2019" s="7"/>
      <c r="V2019" s="7"/>
      <c r="W2019" s="14"/>
      <c r="X2019" s="10"/>
      <c r="Y2019" s="10"/>
      <c r="AB2019" s="19"/>
      <c r="AC2019" s="18"/>
    </row>
    <row r="2020" spans="4:29" x14ac:dyDescent="0.25">
      <c r="D2020" s="3"/>
      <c r="E2020" s="12"/>
      <c r="F2020" s="12"/>
      <c r="G2020" s="12"/>
      <c r="H2020" s="12"/>
      <c r="I2020" s="7"/>
      <c r="J2020" s="7"/>
      <c r="K2020" s="7"/>
      <c r="L2020" s="7"/>
      <c r="M2020" s="7"/>
      <c r="N2020" s="7"/>
      <c r="O2020" s="7"/>
      <c r="P2020" s="7"/>
      <c r="Q2020" s="7"/>
      <c r="R2020" s="7"/>
      <c r="S2020" s="7"/>
      <c r="T2020" s="7"/>
      <c r="U2020" s="7"/>
      <c r="V2020" s="7"/>
      <c r="W2020" s="14"/>
      <c r="X2020" s="10"/>
      <c r="Y2020" s="10"/>
      <c r="AB2020" s="19"/>
      <c r="AC2020" s="18"/>
    </row>
    <row r="2021" spans="4:29" x14ac:dyDescent="0.25">
      <c r="D2021" s="3"/>
      <c r="E2021" s="12"/>
      <c r="F2021" s="12"/>
      <c r="G2021" s="12"/>
      <c r="H2021" s="12"/>
      <c r="I2021" s="7"/>
      <c r="J2021" s="7"/>
      <c r="K2021" s="7"/>
      <c r="L2021" s="7"/>
      <c r="M2021" s="7"/>
      <c r="N2021" s="7"/>
      <c r="O2021" s="7"/>
      <c r="P2021" s="7"/>
      <c r="Q2021" s="7"/>
      <c r="R2021" s="7"/>
      <c r="S2021" s="7"/>
      <c r="T2021" s="7"/>
      <c r="U2021" s="7"/>
      <c r="V2021" s="7"/>
      <c r="W2021" s="14"/>
      <c r="X2021" s="10"/>
      <c r="Y2021" s="10"/>
      <c r="AB2021" s="19"/>
      <c r="AC2021" s="18"/>
    </row>
    <row r="2022" spans="4:29" x14ac:dyDescent="0.25">
      <c r="D2022" s="3"/>
      <c r="E2022" s="12"/>
      <c r="F2022" s="12"/>
      <c r="G2022" s="12"/>
      <c r="H2022" s="12"/>
      <c r="I2022" s="7"/>
      <c r="J2022" s="7"/>
      <c r="K2022" s="7"/>
      <c r="L2022" s="7"/>
      <c r="M2022" s="7"/>
      <c r="N2022" s="7"/>
      <c r="O2022" s="7"/>
      <c r="P2022" s="7"/>
      <c r="Q2022" s="7"/>
      <c r="R2022" s="7"/>
      <c r="S2022" s="7"/>
      <c r="T2022" s="7"/>
      <c r="U2022" s="7"/>
      <c r="V2022" s="7"/>
      <c r="W2022" s="14"/>
      <c r="X2022" s="10"/>
      <c r="Y2022" s="10"/>
      <c r="AB2022" s="19"/>
      <c r="AC2022" s="18"/>
    </row>
    <row r="2023" spans="4:29" x14ac:dyDescent="0.25">
      <c r="D2023" s="3"/>
      <c r="E2023" s="12"/>
      <c r="F2023" s="12"/>
      <c r="G2023" s="12"/>
      <c r="H2023" s="12"/>
      <c r="I2023" s="7"/>
      <c r="J2023" s="7"/>
      <c r="K2023" s="7"/>
      <c r="L2023" s="7"/>
      <c r="M2023" s="7"/>
      <c r="N2023" s="7"/>
      <c r="O2023" s="7"/>
      <c r="P2023" s="7"/>
      <c r="Q2023" s="7"/>
      <c r="R2023" s="7"/>
      <c r="S2023" s="7"/>
      <c r="T2023" s="7"/>
      <c r="U2023" s="7"/>
      <c r="V2023" s="7"/>
      <c r="W2023" s="14"/>
      <c r="X2023" s="10"/>
      <c r="Y2023" s="10"/>
      <c r="AB2023" s="19"/>
      <c r="AC2023" s="18"/>
    </row>
    <row r="2024" spans="4:29" x14ac:dyDescent="0.25">
      <c r="D2024" s="3"/>
      <c r="E2024" s="12"/>
      <c r="F2024" s="12"/>
      <c r="G2024" s="12"/>
      <c r="H2024" s="12"/>
      <c r="I2024" s="7"/>
      <c r="J2024" s="7"/>
      <c r="K2024" s="7"/>
      <c r="L2024" s="7"/>
      <c r="M2024" s="7"/>
      <c r="N2024" s="7"/>
      <c r="O2024" s="7"/>
      <c r="P2024" s="7"/>
      <c r="Q2024" s="7"/>
      <c r="R2024" s="7"/>
      <c r="S2024" s="7"/>
      <c r="T2024" s="7"/>
      <c r="U2024" s="7"/>
      <c r="V2024" s="7"/>
      <c r="W2024" s="14"/>
      <c r="X2024" s="10"/>
      <c r="Y2024" s="10"/>
      <c r="AB2024" s="19"/>
      <c r="AC2024" s="18"/>
    </row>
    <row r="2025" spans="4:29" x14ac:dyDescent="0.25">
      <c r="D2025" s="3"/>
      <c r="E2025" s="12"/>
      <c r="F2025" s="12"/>
      <c r="G2025" s="12"/>
      <c r="H2025" s="12"/>
      <c r="I2025" s="7"/>
      <c r="J2025" s="7"/>
      <c r="K2025" s="7"/>
      <c r="L2025" s="7"/>
      <c r="M2025" s="7"/>
      <c r="N2025" s="7"/>
      <c r="O2025" s="7"/>
      <c r="P2025" s="7"/>
      <c r="Q2025" s="7"/>
      <c r="R2025" s="7"/>
      <c r="S2025" s="7"/>
      <c r="T2025" s="7"/>
      <c r="U2025" s="7"/>
      <c r="V2025" s="7"/>
      <c r="W2025" s="14"/>
      <c r="X2025" s="10"/>
      <c r="Y2025" s="10"/>
      <c r="AB2025" s="19"/>
      <c r="AC2025" s="18"/>
    </row>
    <row r="2026" spans="4:29" x14ac:dyDescent="0.25">
      <c r="D2026" s="3"/>
      <c r="E2026" s="12"/>
      <c r="F2026" s="12"/>
      <c r="G2026" s="12"/>
      <c r="H2026" s="12"/>
      <c r="I2026" s="7"/>
      <c r="J2026" s="7"/>
      <c r="K2026" s="7"/>
      <c r="L2026" s="7"/>
      <c r="M2026" s="7"/>
      <c r="N2026" s="7"/>
      <c r="O2026" s="7"/>
      <c r="P2026" s="7"/>
      <c r="Q2026" s="7"/>
      <c r="R2026" s="7"/>
      <c r="S2026" s="7"/>
      <c r="T2026" s="7"/>
      <c r="U2026" s="7"/>
      <c r="V2026" s="7"/>
      <c r="W2026" s="14"/>
      <c r="X2026" s="10"/>
      <c r="Y2026" s="10"/>
      <c r="AB2026" s="19"/>
      <c r="AC2026" s="18"/>
    </row>
    <row r="2027" spans="4:29" x14ac:dyDescent="0.25">
      <c r="D2027" s="3"/>
      <c r="E2027" s="12"/>
      <c r="F2027" s="12"/>
      <c r="G2027" s="12"/>
      <c r="H2027" s="12"/>
      <c r="I2027" s="7"/>
      <c r="J2027" s="7"/>
      <c r="K2027" s="7"/>
      <c r="L2027" s="7"/>
      <c r="M2027" s="7"/>
      <c r="N2027" s="7"/>
      <c r="O2027" s="7"/>
      <c r="P2027" s="7"/>
      <c r="Q2027" s="7"/>
      <c r="R2027" s="7"/>
      <c r="S2027" s="7"/>
      <c r="T2027" s="7"/>
      <c r="U2027" s="7"/>
      <c r="V2027" s="7"/>
      <c r="W2027" s="14"/>
      <c r="X2027" s="10"/>
      <c r="Y2027" s="10"/>
      <c r="AB2027" s="19"/>
      <c r="AC2027" s="18"/>
    </row>
    <row r="2028" spans="4:29" x14ac:dyDescent="0.25">
      <c r="D2028" s="3"/>
      <c r="E2028" s="12"/>
      <c r="F2028" s="12"/>
      <c r="G2028" s="12"/>
      <c r="H2028" s="12"/>
      <c r="I2028" s="7"/>
      <c r="J2028" s="7"/>
      <c r="K2028" s="7"/>
      <c r="L2028" s="7"/>
      <c r="M2028" s="7"/>
      <c r="N2028" s="7"/>
      <c r="O2028" s="7"/>
      <c r="P2028" s="7"/>
      <c r="Q2028" s="7"/>
      <c r="R2028" s="7"/>
      <c r="S2028" s="7"/>
      <c r="T2028" s="7"/>
      <c r="U2028" s="7"/>
      <c r="V2028" s="7"/>
      <c r="W2028" s="14"/>
      <c r="X2028" s="10"/>
      <c r="Y2028" s="10"/>
      <c r="AB2028" s="19"/>
      <c r="AC2028" s="18"/>
    </row>
    <row r="2029" spans="4:29" x14ac:dyDescent="0.25">
      <c r="D2029" s="3"/>
      <c r="E2029" s="12"/>
      <c r="F2029" s="12"/>
      <c r="G2029" s="12"/>
      <c r="H2029" s="12"/>
      <c r="I2029" s="7"/>
      <c r="J2029" s="7"/>
      <c r="K2029" s="7"/>
      <c r="L2029" s="7"/>
      <c r="M2029" s="7"/>
      <c r="N2029" s="7"/>
      <c r="O2029" s="7"/>
      <c r="P2029" s="7"/>
      <c r="Q2029" s="7"/>
      <c r="R2029" s="7"/>
      <c r="S2029" s="7"/>
      <c r="T2029" s="7"/>
      <c r="U2029" s="7"/>
      <c r="V2029" s="7"/>
      <c r="W2029" s="14"/>
      <c r="X2029" s="10"/>
      <c r="Y2029" s="10"/>
      <c r="AB2029" s="19"/>
      <c r="AC2029" s="18"/>
    </row>
    <row r="2030" spans="4:29" x14ac:dyDescent="0.25">
      <c r="D2030" s="3"/>
      <c r="E2030" s="12"/>
      <c r="F2030" s="12"/>
      <c r="G2030" s="12"/>
      <c r="H2030" s="12"/>
      <c r="I2030" s="7"/>
      <c r="J2030" s="7"/>
      <c r="K2030" s="7"/>
      <c r="L2030" s="7"/>
      <c r="M2030" s="7"/>
      <c r="N2030" s="7"/>
      <c r="O2030" s="7"/>
      <c r="P2030" s="7"/>
      <c r="Q2030" s="7"/>
      <c r="R2030" s="7"/>
      <c r="S2030" s="7"/>
      <c r="T2030" s="7"/>
      <c r="U2030" s="7"/>
      <c r="V2030" s="7"/>
      <c r="W2030" s="14"/>
      <c r="X2030" s="10"/>
      <c r="Y2030" s="10"/>
      <c r="AB2030" s="19"/>
      <c r="AC2030" s="18"/>
    </row>
    <row r="2031" spans="4:29" x14ac:dyDescent="0.25">
      <c r="D2031" s="3"/>
      <c r="E2031" s="12"/>
      <c r="F2031" s="12"/>
      <c r="G2031" s="12"/>
      <c r="H2031" s="12"/>
      <c r="I2031" s="7"/>
      <c r="J2031" s="7"/>
      <c r="K2031" s="7"/>
      <c r="L2031" s="7"/>
      <c r="M2031" s="7"/>
      <c r="N2031" s="7"/>
      <c r="O2031" s="7"/>
      <c r="P2031" s="7"/>
      <c r="Q2031" s="7"/>
      <c r="R2031" s="7"/>
      <c r="S2031" s="7"/>
      <c r="T2031" s="7"/>
      <c r="U2031" s="7"/>
      <c r="V2031" s="7"/>
      <c r="W2031" s="14"/>
      <c r="X2031" s="10"/>
      <c r="Y2031" s="10"/>
      <c r="AB2031" s="19"/>
      <c r="AC2031" s="18"/>
    </row>
    <row r="2032" spans="4:29" x14ac:dyDescent="0.25">
      <c r="D2032" s="3"/>
      <c r="E2032" s="12"/>
      <c r="F2032" s="12"/>
      <c r="G2032" s="12"/>
      <c r="H2032" s="12"/>
      <c r="I2032" s="7"/>
      <c r="J2032" s="7"/>
      <c r="K2032" s="7"/>
      <c r="L2032" s="7"/>
      <c r="M2032" s="7"/>
      <c r="N2032" s="7"/>
      <c r="O2032" s="7"/>
      <c r="P2032" s="7"/>
      <c r="Q2032" s="7"/>
      <c r="R2032" s="7"/>
      <c r="S2032" s="7"/>
      <c r="T2032" s="7"/>
      <c r="U2032" s="7"/>
      <c r="V2032" s="7"/>
      <c r="W2032" s="14"/>
      <c r="X2032" s="10"/>
      <c r="Y2032" s="10"/>
      <c r="AB2032" s="19"/>
      <c r="AC2032" s="18"/>
    </row>
    <row r="2033" spans="4:29" x14ac:dyDescent="0.25">
      <c r="D2033" s="3"/>
      <c r="E2033" s="12"/>
      <c r="F2033" s="12"/>
      <c r="G2033" s="12"/>
      <c r="H2033" s="12"/>
      <c r="I2033" s="7"/>
      <c r="J2033" s="7"/>
      <c r="K2033" s="7"/>
      <c r="L2033" s="7"/>
      <c r="M2033" s="7"/>
      <c r="N2033" s="7"/>
      <c r="O2033" s="7"/>
      <c r="P2033" s="7"/>
      <c r="Q2033" s="7"/>
      <c r="R2033" s="7"/>
      <c r="S2033" s="7"/>
      <c r="T2033" s="7"/>
      <c r="U2033" s="7"/>
      <c r="V2033" s="7"/>
      <c r="W2033" s="14"/>
      <c r="X2033" s="10"/>
      <c r="Y2033" s="10"/>
      <c r="AB2033" s="19"/>
      <c r="AC2033" s="18"/>
    </row>
    <row r="2034" spans="4:29" x14ac:dyDescent="0.25">
      <c r="D2034" s="3"/>
      <c r="E2034" s="12"/>
      <c r="F2034" s="12"/>
      <c r="G2034" s="12"/>
      <c r="H2034" s="12"/>
      <c r="I2034" s="7"/>
      <c r="J2034" s="7"/>
      <c r="K2034" s="7"/>
      <c r="L2034" s="7"/>
      <c r="M2034" s="7"/>
      <c r="N2034" s="7"/>
      <c r="O2034" s="7"/>
      <c r="P2034" s="7"/>
      <c r="Q2034" s="7"/>
      <c r="R2034" s="7"/>
      <c r="S2034" s="7"/>
      <c r="T2034" s="7"/>
      <c r="U2034" s="7"/>
      <c r="V2034" s="7"/>
      <c r="W2034" s="14"/>
      <c r="X2034" s="10"/>
      <c r="Y2034" s="10"/>
      <c r="AB2034" s="19"/>
      <c r="AC2034" s="18"/>
    </row>
    <row r="2035" spans="4:29" x14ac:dyDescent="0.25">
      <c r="D2035" s="3"/>
      <c r="E2035" s="12"/>
      <c r="F2035" s="12"/>
      <c r="G2035" s="12"/>
      <c r="H2035" s="12"/>
      <c r="I2035" s="7"/>
      <c r="J2035" s="7"/>
      <c r="K2035" s="7"/>
      <c r="L2035" s="7"/>
      <c r="M2035" s="7"/>
      <c r="N2035" s="7"/>
      <c r="O2035" s="7"/>
      <c r="P2035" s="7"/>
      <c r="Q2035" s="7"/>
      <c r="R2035" s="7"/>
      <c r="S2035" s="7"/>
      <c r="T2035" s="7"/>
      <c r="U2035" s="7"/>
      <c r="V2035" s="7"/>
      <c r="W2035" s="14"/>
      <c r="X2035" s="10"/>
      <c r="Y2035" s="10"/>
      <c r="AB2035" s="19"/>
      <c r="AC2035" s="18"/>
    </row>
    <row r="2036" spans="4:29" x14ac:dyDescent="0.25">
      <c r="D2036" s="3"/>
      <c r="E2036" s="12"/>
      <c r="F2036" s="12"/>
      <c r="G2036" s="12"/>
      <c r="H2036" s="12"/>
      <c r="I2036" s="7"/>
      <c r="J2036" s="7"/>
      <c r="K2036" s="7"/>
      <c r="L2036" s="7"/>
      <c r="M2036" s="7"/>
      <c r="N2036" s="7"/>
      <c r="O2036" s="7"/>
      <c r="P2036" s="7"/>
      <c r="Q2036" s="7"/>
      <c r="R2036" s="7"/>
      <c r="S2036" s="7"/>
      <c r="T2036" s="7"/>
      <c r="U2036" s="7"/>
      <c r="V2036" s="7"/>
      <c r="W2036" s="14"/>
      <c r="X2036" s="10"/>
      <c r="Y2036" s="10"/>
      <c r="AB2036" s="19"/>
      <c r="AC2036" s="18"/>
    </row>
    <row r="2037" spans="4:29" x14ac:dyDescent="0.25">
      <c r="D2037" s="3"/>
      <c r="E2037" s="12"/>
      <c r="F2037" s="12"/>
      <c r="G2037" s="12"/>
      <c r="H2037" s="12"/>
      <c r="I2037" s="7"/>
      <c r="J2037" s="7"/>
      <c r="K2037" s="7"/>
      <c r="L2037" s="7"/>
      <c r="M2037" s="7"/>
      <c r="N2037" s="7"/>
      <c r="O2037" s="7"/>
      <c r="P2037" s="7"/>
      <c r="Q2037" s="7"/>
      <c r="R2037" s="7"/>
      <c r="S2037" s="7"/>
      <c r="T2037" s="7"/>
      <c r="U2037" s="7"/>
      <c r="V2037" s="7"/>
      <c r="W2037" s="14"/>
      <c r="X2037" s="10"/>
      <c r="Y2037" s="10"/>
      <c r="AB2037" s="19"/>
      <c r="AC2037" s="18"/>
    </row>
    <row r="2038" spans="4:29" x14ac:dyDescent="0.25">
      <c r="D2038" s="3"/>
      <c r="E2038" s="12"/>
      <c r="F2038" s="12"/>
      <c r="G2038" s="12"/>
      <c r="H2038" s="12"/>
      <c r="I2038" s="7"/>
      <c r="J2038" s="7"/>
      <c r="K2038" s="7"/>
      <c r="L2038" s="7"/>
      <c r="M2038" s="7"/>
      <c r="N2038" s="7"/>
      <c r="O2038" s="7"/>
      <c r="P2038" s="7"/>
      <c r="Q2038" s="7"/>
      <c r="R2038" s="7"/>
      <c r="S2038" s="7"/>
      <c r="T2038" s="7"/>
      <c r="U2038" s="7"/>
      <c r="V2038" s="7"/>
      <c r="W2038" s="14"/>
      <c r="X2038" s="10"/>
      <c r="Y2038" s="10"/>
      <c r="AB2038" s="19"/>
      <c r="AC2038" s="18"/>
    </row>
    <row r="2039" spans="4:29" x14ac:dyDescent="0.25">
      <c r="D2039" s="3"/>
      <c r="E2039" s="12"/>
      <c r="F2039" s="12"/>
      <c r="G2039" s="12"/>
      <c r="H2039" s="12"/>
      <c r="I2039" s="7"/>
      <c r="J2039" s="7"/>
      <c r="K2039" s="7"/>
      <c r="L2039" s="7"/>
      <c r="M2039" s="7"/>
      <c r="N2039" s="7"/>
      <c r="O2039" s="7"/>
      <c r="P2039" s="7"/>
      <c r="Q2039" s="7"/>
      <c r="R2039" s="7"/>
      <c r="S2039" s="7"/>
      <c r="T2039" s="7"/>
      <c r="U2039" s="7"/>
      <c r="V2039" s="7"/>
      <c r="W2039" s="14"/>
      <c r="X2039" s="10"/>
      <c r="Y2039" s="10"/>
      <c r="AB2039" s="19"/>
      <c r="AC2039" s="18"/>
    </row>
    <row r="2040" spans="4:29" x14ac:dyDescent="0.25">
      <c r="D2040" s="3"/>
      <c r="E2040" s="12"/>
      <c r="F2040" s="12"/>
      <c r="G2040" s="12"/>
      <c r="H2040" s="12"/>
      <c r="I2040" s="7"/>
      <c r="J2040" s="7"/>
      <c r="K2040" s="7"/>
      <c r="L2040" s="7"/>
      <c r="M2040" s="7"/>
      <c r="N2040" s="7"/>
      <c r="O2040" s="7"/>
      <c r="P2040" s="7"/>
      <c r="Q2040" s="7"/>
      <c r="R2040" s="7"/>
      <c r="S2040" s="7"/>
      <c r="T2040" s="7"/>
      <c r="U2040" s="7"/>
      <c r="V2040" s="7"/>
      <c r="W2040" s="14"/>
      <c r="X2040" s="10"/>
      <c r="Y2040" s="10"/>
      <c r="AB2040" s="19"/>
      <c r="AC2040" s="18"/>
    </row>
    <row r="2041" spans="4:29" x14ac:dyDescent="0.25">
      <c r="D2041" s="3"/>
      <c r="E2041" s="12"/>
      <c r="F2041" s="12"/>
      <c r="G2041" s="12"/>
      <c r="H2041" s="12"/>
      <c r="I2041" s="7"/>
      <c r="J2041" s="7"/>
      <c r="K2041" s="7"/>
      <c r="L2041" s="7"/>
      <c r="M2041" s="7"/>
      <c r="N2041" s="7"/>
      <c r="O2041" s="7"/>
      <c r="P2041" s="7"/>
      <c r="Q2041" s="7"/>
      <c r="R2041" s="7"/>
      <c r="S2041" s="7"/>
      <c r="T2041" s="7"/>
      <c r="U2041" s="7"/>
      <c r="V2041" s="7"/>
      <c r="W2041" s="14"/>
      <c r="X2041" s="10"/>
      <c r="Y2041" s="10"/>
      <c r="AB2041" s="19"/>
      <c r="AC2041" s="18"/>
    </row>
    <row r="2042" spans="4:29" x14ac:dyDescent="0.25">
      <c r="D2042" s="3"/>
      <c r="E2042" s="12"/>
      <c r="F2042" s="12"/>
      <c r="G2042" s="12"/>
      <c r="H2042" s="12"/>
      <c r="I2042" s="7"/>
      <c r="J2042" s="7"/>
      <c r="K2042" s="7"/>
      <c r="L2042" s="7"/>
      <c r="M2042" s="7"/>
      <c r="N2042" s="7"/>
      <c r="O2042" s="7"/>
      <c r="P2042" s="7"/>
      <c r="Q2042" s="7"/>
      <c r="R2042" s="7"/>
      <c r="S2042" s="7"/>
      <c r="T2042" s="7"/>
      <c r="U2042" s="7"/>
      <c r="V2042" s="7"/>
      <c r="W2042" s="14"/>
      <c r="X2042" s="10"/>
      <c r="Y2042" s="10"/>
      <c r="AB2042" s="19"/>
      <c r="AC2042" s="18"/>
    </row>
    <row r="2043" spans="4:29" x14ac:dyDescent="0.25">
      <c r="D2043" s="3"/>
      <c r="E2043" s="12"/>
      <c r="F2043" s="12"/>
      <c r="G2043" s="12"/>
      <c r="H2043" s="12"/>
      <c r="I2043" s="7"/>
      <c r="J2043" s="7"/>
      <c r="K2043" s="7"/>
      <c r="L2043" s="7"/>
      <c r="M2043" s="7"/>
      <c r="N2043" s="7"/>
      <c r="O2043" s="7"/>
      <c r="P2043" s="7"/>
      <c r="Q2043" s="7"/>
      <c r="R2043" s="7"/>
      <c r="S2043" s="7"/>
      <c r="T2043" s="7"/>
      <c r="U2043" s="7"/>
      <c r="V2043" s="7"/>
      <c r="W2043" s="14"/>
      <c r="X2043" s="10"/>
      <c r="Y2043" s="10"/>
      <c r="AB2043" s="19"/>
      <c r="AC2043" s="18"/>
    </row>
    <row r="2044" spans="4:29" x14ac:dyDescent="0.25">
      <c r="D2044" s="3"/>
      <c r="E2044" s="12"/>
      <c r="F2044" s="12"/>
      <c r="G2044" s="12"/>
      <c r="H2044" s="12"/>
      <c r="I2044" s="7"/>
      <c r="J2044" s="7"/>
      <c r="K2044" s="7"/>
      <c r="L2044" s="7"/>
      <c r="M2044" s="7"/>
      <c r="N2044" s="7"/>
      <c r="O2044" s="7"/>
      <c r="P2044" s="7"/>
      <c r="Q2044" s="7"/>
      <c r="R2044" s="7"/>
      <c r="S2044" s="7"/>
      <c r="T2044" s="7"/>
      <c r="U2044" s="7"/>
      <c r="V2044" s="7"/>
      <c r="W2044" s="14"/>
      <c r="X2044" s="10"/>
      <c r="Y2044" s="10"/>
      <c r="AB2044" s="19"/>
      <c r="AC2044" s="18"/>
    </row>
    <row r="2045" spans="4:29" x14ac:dyDescent="0.25">
      <c r="D2045" s="3"/>
      <c r="E2045" s="12"/>
      <c r="F2045" s="12"/>
      <c r="G2045" s="12"/>
      <c r="H2045" s="12"/>
      <c r="I2045" s="7"/>
      <c r="J2045" s="7"/>
      <c r="K2045" s="7"/>
      <c r="L2045" s="7"/>
      <c r="M2045" s="7"/>
      <c r="N2045" s="7"/>
      <c r="O2045" s="7"/>
      <c r="P2045" s="7"/>
      <c r="Q2045" s="7"/>
      <c r="R2045" s="7"/>
      <c r="S2045" s="7"/>
      <c r="T2045" s="7"/>
      <c r="U2045" s="7"/>
      <c r="V2045" s="7"/>
      <c r="W2045" s="14"/>
      <c r="X2045" s="10"/>
      <c r="Y2045" s="10"/>
      <c r="AB2045" s="19"/>
      <c r="AC2045" s="18"/>
    </row>
    <row r="2046" spans="4:29" x14ac:dyDescent="0.25">
      <c r="D2046" s="3"/>
      <c r="E2046" s="12"/>
      <c r="F2046" s="12"/>
      <c r="G2046" s="12"/>
      <c r="H2046" s="12"/>
      <c r="I2046" s="7"/>
      <c r="J2046" s="7"/>
      <c r="K2046" s="7"/>
      <c r="L2046" s="7"/>
      <c r="M2046" s="7"/>
      <c r="N2046" s="7"/>
      <c r="O2046" s="7"/>
      <c r="P2046" s="7"/>
      <c r="Q2046" s="7"/>
      <c r="R2046" s="7"/>
      <c r="S2046" s="7"/>
      <c r="T2046" s="7"/>
      <c r="U2046" s="7"/>
      <c r="V2046" s="7"/>
      <c r="W2046" s="14"/>
      <c r="X2046" s="10"/>
      <c r="Y2046" s="10"/>
      <c r="AB2046" s="19"/>
      <c r="AC2046" s="18"/>
    </row>
    <row r="2047" spans="4:29" x14ac:dyDescent="0.25">
      <c r="D2047" s="3"/>
      <c r="E2047" s="12"/>
      <c r="F2047" s="12"/>
      <c r="G2047" s="12"/>
      <c r="H2047" s="12"/>
      <c r="I2047" s="7"/>
      <c r="J2047" s="7"/>
      <c r="K2047" s="7"/>
      <c r="L2047" s="7"/>
      <c r="M2047" s="7"/>
      <c r="N2047" s="7"/>
      <c r="O2047" s="7"/>
      <c r="P2047" s="7"/>
      <c r="Q2047" s="7"/>
      <c r="R2047" s="7"/>
      <c r="S2047" s="7"/>
      <c r="T2047" s="7"/>
      <c r="U2047" s="7"/>
      <c r="V2047" s="7"/>
      <c r="W2047" s="14"/>
      <c r="X2047" s="10"/>
      <c r="Y2047" s="10"/>
      <c r="AB2047" s="19"/>
      <c r="AC2047" s="18"/>
    </row>
    <row r="2048" spans="4:29" x14ac:dyDescent="0.25">
      <c r="D2048" s="3"/>
      <c r="E2048" s="12"/>
      <c r="F2048" s="12"/>
      <c r="G2048" s="12"/>
      <c r="H2048" s="12"/>
      <c r="I2048" s="7"/>
      <c r="J2048" s="7"/>
      <c r="K2048" s="7"/>
      <c r="L2048" s="7"/>
      <c r="M2048" s="7"/>
      <c r="N2048" s="7"/>
      <c r="O2048" s="7"/>
      <c r="P2048" s="7"/>
      <c r="Q2048" s="7"/>
      <c r="R2048" s="7"/>
      <c r="S2048" s="7"/>
      <c r="T2048" s="7"/>
      <c r="U2048" s="7"/>
      <c r="V2048" s="7"/>
      <c r="W2048" s="14"/>
      <c r="X2048" s="10"/>
      <c r="Y2048" s="10"/>
      <c r="AB2048" s="19"/>
      <c r="AC2048" s="18"/>
    </row>
    <row r="2049" spans="4:29" x14ac:dyDescent="0.25">
      <c r="D2049" s="3"/>
      <c r="E2049" s="12"/>
      <c r="F2049" s="12"/>
      <c r="G2049" s="12"/>
      <c r="H2049" s="12"/>
      <c r="I2049" s="7"/>
      <c r="J2049" s="7"/>
      <c r="K2049" s="7"/>
      <c r="L2049" s="7"/>
      <c r="M2049" s="7"/>
      <c r="N2049" s="7"/>
      <c r="O2049" s="7"/>
      <c r="P2049" s="7"/>
      <c r="Q2049" s="7"/>
      <c r="R2049" s="7"/>
      <c r="S2049" s="7"/>
      <c r="T2049" s="7"/>
      <c r="U2049" s="7"/>
      <c r="V2049" s="7"/>
      <c r="W2049" s="14"/>
      <c r="X2049" s="10"/>
      <c r="Y2049" s="10"/>
      <c r="AB2049" s="19"/>
      <c r="AC2049" s="18"/>
    </row>
    <row r="2050" spans="4:29" x14ac:dyDescent="0.25">
      <c r="D2050" s="3"/>
      <c r="E2050" s="12"/>
      <c r="F2050" s="12"/>
      <c r="G2050" s="12"/>
      <c r="H2050" s="12"/>
      <c r="I2050" s="7"/>
      <c r="J2050" s="7"/>
      <c r="K2050" s="7"/>
      <c r="L2050" s="7"/>
      <c r="M2050" s="7"/>
      <c r="N2050" s="7"/>
      <c r="O2050" s="7"/>
      <c r="P2050" s="7"/>
      <c r="Q2050" s="7"/>
      <c r="R2050" s="7"/>
      <c r="S2050" s="7"/>
      <c r="T2050" s="7"/>
      <c r="U2050" s="7"/>
      <c r="V2050" s="7"/>
      <c r="W2050" s="14"/>
      <c r="X2050" s="10"/>
      <c r="Y2050" s="10"/>
      <c r="AB2050" s="19"/>
      <c r="AC2050" s="18"/>
    </row>
    <row r="2051" spans="4:29" x14ac:dyDescent="0.25">
      <c r="D2051" s="3"/>
      <c r="E2051" s="12"/>
      <c r="F2051" s="12"/>
      <c r="G2051" s="12"/>
      <c r="H2051" s="12"/>
      <c r="I2051" s="7"/>
      <c r="J2051" s="7"/>
      <c r="K2051" s="7"/>
      <c r="L2051" s="7"/>
      <c r="M2051" s="7"/>
      <c r="N2051" s="7"/>
      <c r="O2051" s="7"/>
      <c r="P2051" s="7"/>
      <c r="Q2051" s="7"/>
      <c r="R2051" s="7"/>
      <c r="S2051" s="7"/>
      <c r="T2051" s="7"/>
      <c r="U2051" s="7"/>
      <c r="V2051" s="7"/>
      <c r="W2051" s="14"/>
      <c r="X2051" s="10"/>
      <c r="Y2051" s="10"/>
      <c r="AB2051" s="19"/>
      <c r="AC2051" s="18"/>
    </row>
    <row r="2052" spans="4:29" x14ac:dyDescent="0.25">
      <c r="D2052" s="3"/>
      <c r="E2052" s="12"/>
      <c r="F2052" s="12"/>
      <c r="G2052" s="12"/>
      <c r="H2052" s="12"/>
      <c r="I2052" s="7"/>
      <c r="J2052" s="7"/>
      <c r="K2052" s="7"/>
      <c r="L2052" s="7"/>
      <c r="M2052" s="7"/>
      <c r="N2052" s="7"/>
      <c r="O2052" s="7"/>
      <c r="P2052" s="7"/>
      <c r="Q2052" s="7"/>
      <c r="R2052" s="7"/>
      <c r="S2052" s="7"/>
      <c r="T2052" s="7"/>
      <c r="U2052" s="7"/>
      <c r="V2052" s="7"/>
      <c r="W2052" s="14"/>
      <c r="X2052" s="10"/>
      <c r="Y2052" s="10"/>
      <c r="AB2052" s="19"/>
      <c r="AC2052" s="18"/>
    </row>
    <row r="2053" spans="4:29" x14ac:dyDescent="0.25">
      <c r="D2053" s="3"/>
      <c r="E2053" s="12"/>
      <c r="F2053" s="12"/>
      <c r="G2053" s="12"/>
      <c r="H2053" s="12"/>
      <c r="I2053" s="7"/>
      <c r="J2053" s="7"/>
      <c r="K2053" s="7"/>
      <c r="L2053" s="7"/>
      <c r="M2053" s="7"/>
      <c r="N2053" s="7"/>
      <c r="O2053" s="7"/>
      <c r="P2053" s="7"/>
      <c r="Q2053" s="7"/>
      <c r="R2053" s="7"/>
      <c r="S2053" s="7"/>
      <c r="T2053" s="7"/>
      <c r="U2053" s="7"/>
      <c r="V2053" s="7"/>
      <c r="W2053" s="14"/>
      <c r="X2053" s="10"/>
      <c r="Y2053" s="10"/>
      <c r="AB2053" s="19"/>
      <c r="AC2053" s="18"/>
    </row>
    <row r="2054" spans="4:29" x14ac:dyDescent="0.25">
      <c r="D2054" s="3"/>
      <c r="E2054" s="12"/>
      <c r="F2054" s="12"/>
      <c r="G2054" s="12"/>
      <c r="H2054" s="12"/>
      <c r="I2054" s="7"/>
      <c r="J2054" s="7"/>
      <c r="K2054" s="7"/>
      <c r="L2054" s="7"/>
      <c r="M2054" s="7"/>
      <c r="N2054" s="7"/>
      <c r="O2054" s="7"/>
      <c r="P2054" s="7"/>
      <c r="Q2054" s="7"/>
      <c r="R2054" s="7"/>
      <c r="S2054" s="7"/>
      <c r="T2054" s="7"/>
      <c r="U2054" s="7"/>
      <c r="V2054" s="7"/>
      <c r="W2054" s="14"/>
      <c r="X2054" s="10"/>
      <c r="Y2054" s="10"/>
      <c r="AB2054" s="19"/>
      <c r="AC2054" s="18"/>
    </row>
    <row r="2055" spans="4:29" x14ac:dyDescent="0.25">
      <c r="D2055" s="3"/>
      <c r="E2055" s="12"/>
      <c r="F2055" s="12"/>
      <c r="G2055" s="12"/>
      <c r="H2055" s="12"/>
      <c r="I2055" s="7"/>
      <c r="J2055" s="7"/>
      <c r="K2055" s="7"/>
      <c r="L2055" s="7"/>
      <c r="M2055" s="7"/>
      <c r="N2055" s="7"/>
      <c r="O2055" s="7"/>
      <c r="P2055" s="7"/>
      <c r="Q2055" s="7"/>
      <c r="R2055" s="7"/>
      <c r="S2055" s="7"/>
      <c r="T2055" s="7"/>
      <c r="U2055" s="7"/>
      <c r="V2055" s="7"/>
      <c r="W2055" s="14"/>
      <c r="X2055" s="10"/>
      <c r="Y2055" s="10"/>
      <c r="AB2055" s="19"/>
      <c r="AC2055" s="18"/>
    </row>
    <row r="2056" spans="4:29" x14ac:dyDescent="0.25">
      <c r="D2056" s="3"/>
      <c r="E2056" s="12"/>
      <c r="F2056" s="12"/>
      <c r="G2056" s="12"/>
      <c r="H2056" s="12"/>
      <c r="I2056" s="7"/>
      <c r="J2056" s="7"/>
      <c r="K2056" s="7"/>
      <c r="L2056" s="7"/>
      <c r="M2056" s="7"/>
      <c r="N2056" s="7"/>
      <c r="O2056" s="7"/>
      <c r="P2056" s="7"/>
      <c r="Q2056" s="7"/>
      <c r="R2056" s="7"/>
      <c r="S2056" s="7"/>
      <c r="T2056" s="7"/>
      <c r="U2056" s="7"/>
      <c r="V2056" s="7"/>
      <c r="W2056" s="14"/>
      <c r="X2056" s="10"/>
      <c r="Y2056" s="10"/>
      <c r="AB2056" s="19"/>
      <c r="AC2056" s="18"/>
    </row>
    <row r="2057" spans="4:29" x14ac:dyDescent="0.25">
      <c r="D2057" s="3"/>
      <c r="E2057" s="12"/>
      <c r="F2057" s="12"/>
      <c r="G2057" s="12"/>
      <c r="H2057" s="12"/>
      <c r="I2057" s="7"/>
      <c r="J2057" s="7"/>
      <c r="K2057" s="7"/>
      <c r="L2057" s="7"/>
      <c r="M2057" s="7"/>
      <c r="N2057" s="7"/>
      <c r="O2057" s="7"/>
      <c r="P2057" s="7"/>
      <c r="Q2057" s="7"/>
      <c r="R2057" s="7"/>
      <c r="S2057" s="7"/>
      <c r="T2057" s="7"/>
      <c r="U2057" s="7"/>
      <c r="V2057" s="7"/>
      <c r="W2057" s="14"/>
      <c r="X2057" s="10"/>
      <c r="Y2057" s="10"/>
      <c r="AB2057" s="19"/>
      <c r="AC2057" s="18"/>
    </row>
    <row r="2058" spans="4:29" x14ac:dyDescent="0.25">
      <c r="D2058" s="3"/>
      <c r="E2058" s="12"/>
      <c r="F2058" s="12"/>
      <c r="G2058" s="12"/>
      <c r="H2058" s="12"/>
      <c r="I2058" s="7"/>
      <c r="J2058" s="7"/>
      <c r="K2058" s="7"/>
      <c r="L2058" s="7"/>
      <c r="M2058" s="7"/>
      <c r="N2058" s="7"/>
      <c r="O2058" s="7"/>
      <c r="P2058" s="7"/>
      <c r="Q2058" s="7"/>
      <c r="R2058" s="7"/>
      <c r="S2058" s="7"/>
      <c r="T2058" s="7"/>
      <c r="U2058" s="7"/>
      <c r="V2058" s="7"/>
      <c r="W2058" s="14"/>
      <c r="X2058" s="10"/>
      <c r="Y2058" s="10"/>
      <c r="AB2058" s="19"/>
      <c r="AC2058" s="18"/>
    </row>
    <row r="2059" spans="4:29" x14ac:dyDescent="0.25">
      <c r="D2059" s="3"/>
      <c r="E2059" s="12"/>
      <c r="F2059" s="12"/>
      <c r="G2059" s="12"/>
      <c r="H2059" s="12"/>
      <c r="I2059" s="7"/>
      <c r="J2059" s="7"/>
      <c r="K2059" s="7"/>
      <c r="L2059" s="7"/>
      <c r="M2059" s="7"/>
      <c r="N2059" s="7"/>
      <c r="O2059" s="7"/>
      <c r="P2059" s="7"/>
      <c r="Q2059" s="7"/>
      <c r="R2059" s="7"/>
      <c r="S2059" s="7"/>
      <c r="T2059" s="7"/>
      <c r="U2059" s="7"/>
      <c r="V2059" s="7"/>
      <c r="W2059" s="14"/>
      <c r="X2059" s="10"/>
      <c r="Y2059" s="10"/>
      <c r="AB2059" s="19"/>
      <c r="AC2059" s="18"/>
    </row>
    <row r="2060" spans="4:29" x14ac:dyDescent="0.25">
      <c r="D2060" s="3"/>
      <c r="E2060" s="12"/>
      <c r="F2060" s="12"/>
      <c r="G2060" s="12"/>
      <c r="H2060" s="12"/>
      <c r="I2060" s="7"/>
      <c r="J2060" s="7"/>
      <c r="K2060" s="7"/>
      <c r="L2060" s="7"/>
      <c r="M2060" s="7"/>
      <c r="N2060" s="7"/>
      <c r="O2060" s="7"/>
      <c r="P2060" s="7"/>
      <c r="Q2060" s="7"/>
      <c r="R2060" s="7"/>
      <c r="S2060" s="7"/>
      <c r="T2060" s="7"/>
      <c r="U2060" s="7"/>
      <c r="V2060" s="7"/>
      <c r="W2060" s="14"/>
      <c r="X2060" s="10"/>
      <c r="Y2060" s="10"/>
      <c r="AB2060" s="19"/>
      <c r="AC2060" s="18"/>
    </row>
    <row r="2061" spans="4:29" x14ac:dyDescent="0.25">
      <c r="D2061" s="3"/>
      <c r="E2061" s="12"/>
      <c r="F2061" s="12"/>
      <c r="G2061" s="12"/>
      <c r="H2061" s="12"/>
      <c r="I2061" s="7"/>
      <c r="J2061" s="7"/>
      <c r="K2061" s="7"/>
      <c r="L2061" s="7"/>
      <c r="M2061" s="7"/>
      <c r="N2061" s="7"/>
      <c r="O2061" s="7"/>
      <c r="P2061" s="7"/>
      <c r="Q2061" s="7"/>
      <c r="R2061" s="7"/>
      <c r="S2061" s="7"/>
      <c r="T2061" s="7"/>
      <c r="U2061" s="7"/>
      <c r="V2061" s="7"/>
      <c r="W2061" s="14"/>
      <c r="X2061" s="10"/>
      <c r="Y2061" s="10"/>
      <c r="AB2061" s="19"/>
      <c r="AC2061" s="18"/>
    </row>
    <row r="2062" spans="4:29" x14ac:dyDescent="0.25">
      <c r="D2062" s="3"/>
      <c r="E2062" s="12"/>
      <c r="F2062" s="12"/>
      <c r="G2062" s="12"/>
      <c r="H2062" s="12"/>
      <c r="I2062" s="7"/>
      <c r="J2062" s="7"/>
      <c r="K2062" s="7"/>
      <c r="L2062" s="7"/>
      <c r="M2062" s="7"/>
      <c r="N2062" s="7"/>
      <c r="O2062" s="7"/>
      <c r="P2062" s="7"/>
      <c r="Q2062" s="7"/>
      <c r="R2062" s="7"/>
      <c r="S2062" s="7"/>
      <c r="T2062" s="7"/>
      <c r="U2062" s="7"/>
      <c r="V2062" s="7"/>
      <c r="W2062" s="14"/>
      <c r="X2062" s="10"/>
      <c r="Y2062" s="10"/>
      <c r="AB2062" s="19"/>
      <c r="AC2062" s="18"/>
    </row>
    <row r="2063" spans="4:29" x14ac:dyDescent="0.25">
      <c r="D2063" s="3"/>
      <c r="E2063" s="12"/>
      <c r="F2063" s="12"/>
      <c r="G2063" s="12"/>
      <c r="H2063" s="12"/>
      <c r="I2063" s="7"/>
      <c r="J2063" s="7"/>
      <c r="K2063" s="7"/>
      <c r="L2063" s="7"/>
      <c r="M2063" s="7"/>
      <c r="N2063" s="7"/>
      <c r="O2063" s="7"/>
      <c r="P2063" s="7"/>
      <c r="Q2063" s="7"/>
      <c r="R2063" s="7"/>
      <c r="S2063" s="7"/>
      <c r="T2063" s="7"/>
      <c r="U2063" s="7"/>
      <c r="V2063" s="7"/>
      <c r="W2063" s="14"/>
      <c r="X2063" s="10"/>
      <c r="Y2063" s="10"/>
      <c r="AB2063" s="19"/>
      <c r="AC2063" s="18"/>
    </row>
    <row r="2064" spans="4:29" x14ac:dyDescent="0.25">
      <c r="D2064" s="3"/>
      <c r="E2064" s="12"/>
      <c r="F2064" s="12"/>
      <c r="G2064" s="12"/>
      <c r="H2064" s="12"/>
      <c r="I2064" s="7"/>
      <c r="J2064" s="7"/>
      <c r="K2064" s="7"/>
      <c r="L2064" s="7"/>
      <c r="M2064" s="7"/>
      <c r="N2064" s="7"/>
      <c r="O2064" s="7"/>
      <c r="P2064" s="7"/>
      <c r="Q2064" s="7"/>
      <c r="R2064" s="7"/>
      <c r="S2064" s="7"/>
      <c r="T2064" s="7"/>
      <c r="U2064" s="7"/>
      <c r="V2064" s="7"/>
      <c r="W2064" s="14"/>
      <c r="X2064" s="10"/>
      <c r="Y2064" s="10"/>
      <c r="AB2064" s="19"/>
      <c r="AC2064" s="18"/>
    </row>
    <row r="2065" spans="4:29" x14ac:dyDescent="0.25">
      <c r="D2065" s="3"/>
      <c r="E2065" s="12"/>
      <c r="F2065" s="12"/>
      <c r="G2065" s="12"/>
      <c r="H2065" s="12"/>
      <c r="I2065" s="7"/>
      <c r="J2065" s="7"/>
      <c r="K2065" s="7"/>
      <c r="L2065" s="7"/>
      <c r="M2065" s="7"/>
      <c r="N2065" s="7"/>
      <c r="O2065" s="7"/>
      <c r="P2065" s="7"/>
      <c r="Q2065" s="7"/>
      <c r="R2065" s="7"/>
      <c r="S2065" s="7"/>
      <c r="T2065" s="7"/>
      <c r="U2065" s="7"/>
      <c r="V2065" s="7"/>
      <c r="W2065" s="14"/>
      <c r="X2065" s="10"/>
      <c r="Y2065" s="10"/>
      <c r="AB2065" s="19"/>
      <c r="AC2065" s="18"/>
    </row>
    <row r="2066" spans="4:29" x14ac:dyDescent="0.25">
      <c r="D2066" s="3"/>
      <c r="E2066" s="12"/>
      <c r="F2066" s="12"/>
      <c r="G2066" s="12"/>
      <c r="H2066" s="12"/>
      <c r="I2066" s="7"/>
      <c r="J2066" s="7"/>
      <c r="K2066" s="7"/>
      <c r="L2066" s="7"/>
      <c r="M2066" s="7"/>
      <c r="N2066" s="7"/>
      <c r="O2066" s="7"/>
      <c r="P2066" s="7"/>
      <c r="Q2066" s="7"/>
      <c r="R2066" s="7"/>
      <c r="S2066" s="7"/>
      <c r="T2066" s="7"/>
      <c r="U2066" s="7"/>
      <c r="V2066" s="7"/>
      <c r="W2066" s="14"/>
      <c r="X2066" s="10"/>
      <c r="Y2066" s="10"/>
      <c r="AB2066" s="19"/>
      <c r="AC2066" s="18"/>
    </row>
    <row r="2067" spans="4:29" x14ac:dyDescent="0.25">
      <c r="D2067" s="3"/>
      <c r="E2067" s="12"/>
      <c r="F2067" s="12"/>
      <c r="G2067" s="12"/>
      <c r="H2067" s="12"/>
      <c r="I2067" s="7"/>
      <c r="J2067" s="7"/>
      <c r="K2067" s="7"/>
      <c r="L2067" s="7"/>
      <c r="M2067" s="7"/>
      <c r="N2067" s="7"/>
      <c r="O2067" s="7"/>
      <c r="P2067" s="7"/>
      <c r="Q2067" s="7"/>
      <c r="R2067" s="7"/>
      <c r="S2067" s="7"/>
      <c r="T2067" s="7"/>
      <c r="U2067" s="7"/>
      <c r="V2067" s="7"/>
      <c r="W2067" s="14"/>
      <c r="X2067" s="10"/>
      <c r="Y2067" s="10"/>
      <c r="AB2067" s="19"/>
      <c r="AC2067" s="18"/>
    </row>
    <row r="2068" spans="4:29" x14ac:dyDescent="0.25">
      <c r="D2068" s="3"/>
      <c r="E2068" s="12"/>
      <c r="F2068" s="12"/>
      <c r="G2068" s="12"/>
      <c r="H2068" s="12"/>
      <c r="I2068" s="7"/>
      <c r="J2068" s="7"/>
      <c r="K2068" s="7"/>
      <c r="L2068" s="7"/>
      <c r="M2068" s="7"/>
      <c r="N2068" s="7"/>
      <c r="O2068" s="7"/>
      <c r="P2068" s="7"/>
      <c r="Q2068" s="7"/>
      <c r="R2068" s="7"/>
      <c r="S2068" s="7"/>
      <c r="T2068" s="7"/>
      <c r="U2068" s="7"/>
      <c r="V2068" s="7"/>
      <c r="W2068" s="14"/>
      <c r="X2068" s="10"/>
      <c r="Y2068" s="10"/>
      <c r="AB2068" s="19"/>
      <c r="AC2068" s="18"/>
    </row>
    <row r="2069" spans="4:29" x14ac:dyDescent="0.25">
      <c r="D2069" s="3"/>
      <c r="E2069" s="12"/>
      <c r="F2069" s="12"/>
      <c r="G2069" s="12"/>
      <c r="H2069" s="12"/>
      <c r="I2069" s="7"/>
      <c r="J2069" s="7"/>
      <c r="K2069" s="7"/>
      <c r="L2069" s="7"/>
      <c r="M2069" s="7"/>
      <c r="N2069" s="7"/>
      <c r="O2069" s="7"/>
      <c r="P2069" s="7"/>
      <c r="Q2069" s="7"/>
      <c r="R2069" s="7"/>
      <c r="S2069" s="7"/>
      <c r="T2069" s="7"/>
      <c r="U2069" s="7"/>
      <c r="V2069" s="7"/>
      <c r="W2069" s="14"/>
      <c r="X2069" s="10"/>
      <c r="Y2069" s="10"/>
      <c r="AB2069" s="19"/>
      <c r="AC2069" s="18"/>
    </row>
    <row r="2070" spans="4:29" x14ac:dyDescent="0.25">
      <c r="D2070" s="3"/>
      <c r="E2070" s="12"/>
      <c r="F2070" s="12"/>
      <c r="G2070" s="12"/>
      <c r="H2070" s="12"/>
      <c r="I2070" s="7"/>
      <c r="J2070" s="7"/>
      <c r="K2070" s="7"/>
      <c r="L2070" s="7"/>
      <c r="M2070" s="7"/>
      <c r="N2070" s="7"/>
      <c r="O2070" s="7"/>
      <c r="P2070" s="7"/>
      <c r="Q2070" s="7"/>
      <c r="R2070" s="7"/>
      <c r="S2070" s="7"/>
      <c r="T2070" s="7"/>
      <c r="U2070" s="7"/>
      <c r="V2070" s="7"/>
      <c r="W2070" s="14"/>
      <c r="X2070" s="10"/>
      <c r="Y2070" s="10"/>
      <c r="AB2070" s="19"/>
      <c r="AC2070" s="18"/>
    </row>
    <row r="2071" spans="4:29" x14ac:dyDescent="0.25">
      <c r="D2071" s="3"/>
      <c r="E2071" s="12"/>
      <c r="F2071" s="12"/>
      <c r="G2071" s="12"/>
      <c r="H2071" s="12"/>
      <c r="I2071" s="7"/>
      <c r="J2071" s="7"/>
      <c r="K2071" s="7"/>
      <c r="L2071" s="7"/>
      <c r="M2071" s="7"/>
      <c r="N2071" s="7"/>
      <c r="O2071" s="7"/>
      <c r="P2071" s="7"/>
      <c r="Q2071" s="7"/>
      <c r="R2071" s="7"/>
      <c r="S2071" s="7"/>
      <c r="T2071" s="7"/>
      <c r="U2071" s="7"/>
      <c r="V2071" s="7"/>
      <c r="W2071" s="14"/>
      <c r="X2071" s="10"/>
      <c r="Y2071" s="10"/>
      <c r="AB2071" s="19"/>
      <c r="AC2071" s="18"/>
    </row>
    <row r="2072" spans="4:29" x14ac:dyDescent="0.25">
      <c r="D2072" s="3"/>
      <c r="E2072" s="12"/>
      <c r="F2072" s="12"/>
      <c r="G2072" s="12"/>
      <c r="H2072" s="12"/>
      <c r="I2072" s="7"/>
      <c r="J2072" s="7"/>
      <c r="K2072" s="7"/>
      <c r="L2072" s="7"/>
      <c r="M2072" s="7"/>
      <c r="N2072" s="7"/>
      <c r="O2072" s="7"/>
      <c r="P2072" s="7"/>
      <c r="Q2072" s="7"/>
      <c r="R2072" s="7"/>
      <c r="S2072" s="7"/>
      <c r="T2072" s="7"/>
      <c r="U2072" s="7"/>
      <c r="V2072" s="7"/>
      <c r="W2072" s="14"/>
      <c r="X2072" s="10"/>
      <c r="Y2072" s="10"/>
      <c r="AB2072" s="19"/>
      <c r="AC2072" s="18"/>
    </row>
    <row r="2073" spans="4:29" x14ac:dyDescent="0.25">
      <c r="D2073" s="3"/>
      <c r="E2073" s="12"/>
      <c r="F2073" s="12"/>
      <c r="G2073" s="12"/>
      <c r="H2073" s="12"/>
      <c r="I2073" s="7"/>
      <c r="J2073" s="7"/>
      <c r="K2073" s="7"/>
      <c r="L2073" s="7"/>
      <c r="M2073" s="7"/>
      <c r="N2073" s="7"/>
      <c r="O2073" s="7"/>
      <c r="P2073" s="7"/>
      <c r="Q2073" s="7"/>
      <c r="R2073" s="7"/>
      <c r="S2073" s="7"/>
      <c r="T2073" s="7"/>
      <c r="U2073" s="7"/>
      <c r="V2073" s="7"/>
      <c r="W2073" s="14"/>
      <c r="X2073" s="10"/>
      <c r="Y2073" s="10"/>
      <c r="AB2073" s="19"/>
      <c r="AC2073" s="18"/>
    </row>
    <row r="2074" spans="4:29" x14ac:dyDescent="0.25">
      <c r="D2074" s="3"/>
      <c r="E2074" s="12"/>
      <c r="F2074" s="12"/>
      <c r="G2074" s="12"/>
      <c r="H2074" s="12"/>
      <c r="I2074" s="7"/>
      <c r="J2074" s="7"/>
      <c r="K2074" s="7"/>
      <c r="L2074" s="7"/>
      <c r="M2074" s="7"/>
      <c r="N2074" s="7"/>
      <c r="O2074" s="7"/>
      <c r="P2074" s="7"/>
      <c r="Q2074" s="7"/>
      <c r="R2074" s="7"/>
      <c r="S2074" s="7"/>
      <c r="T2074" s="7"/>
      <c r="U2074" s="7"/>
      <c r="V2074" s="7"/>
      <c r="W2074" s="14"/>
      <c r="X2074" s="10"/>
      <c r="Y2074" s="10"/>
      <c r="AB2074" s="19"/>
      <c r="AC2074" s="18"/>
    </row>
    <row r="2075" spans="4:29" x14ac:dyDescent="0.25">
      <c r="D2075" s="3"/>
      <c r="E2075" s="12"/>
      <c r="F2075" s="12"/>
      <c r="G2075" s="12"/>
      <c r="H2075" s="12"/>
      <c r="I2075" s="7"/>
      <c r="J2075" s="7"/>
      <c r="K2075" s="7"/>
      <c r="L2075" s="7"/>
      <c r="M2075" s="7"/>
      <c r="N2075" s="7"/>
      <c r="O2075" s="7"/>
      <c r="P2075" s="7"/>
      <c r="Q2075" s="7"/>
      <c r="R2075" s="7"/>
      <c r="S2075" s="7"/>
      <c r="T2075" s="7"/>
      <c r="U2075" s="7"/>
      <c r="V2075" s="7"/>
      <c r="W2075" s="14"/>
      <c r="X2075" s="10"/>
      <c r="Y2075" s="10"/>
      <c r="AB2075" s="19"/>
      <c r="AC2075" s="18"/>
    </row>
    <row r="2076" spans="4:29" x14ac:dyDescent="0.25">
      <c r="D2076" s="3"/>
      <c r="E2076" s="12"/>
      <c r="F2076" s="12"/>
      <c r="G2076" s="12"/>
      <c r="H2076" s="12"/>
      <c r="I2076" s="7"/>
      <c r="J2076" s="7"/>
      <c r="K2076" s="7"/>
      <c r="L2076" s="7"/>
      <c r="M2076" s="7"/>
      <c r="N2076" s="7"/>
      <c r="O2076" s="7"/>
      <c r="P2076" s="7"/>
      <c r="Q2076" s="7"/>
      <c r="R2076" s="7"/>
      <c r="S2076" s="7"/>
      <c r="T2076" s="7"/>
      <c r="U2076" s="7"/>
      <c r="V2076" s="7"/>
      <c r="W2076" s="14"/>
      <c r="X2076" s="10"/>
      <c r="Y2076" s="10"/>
      <c r="AB2076" s="19"/>
      <c r="AC2076" s="18"/>
    </row>
    <row r="2077" spans="4:29" x14ac:dyDescent="0.25">
      <c r="D2077" s="3"/>
      <c r="E2077" s="12"/>
      <c r="F2077" s="12"/>
      <c r="G2077" s="12"/>
      <c r="H2077" s="12"/>
      <c r="I2077" s="7"/>
      <c r="J2077" s="7"/>
      <c r="K2077" s="7"/>
      <c r="L2077" s="7"/>
      <c r="M2077" s="7"/>
      <c r="N2077" s="7"/>
      <c r="O2077" s="7"/>
      <c r="P2077" s="7"/>
      <c r="Q2077" s="7"/>
      <c r="R2077" s="7"/>
      <c r="S2077" s="7"/>
      <c r="T2077" s="7"/>
      <c r="U2077" s="7"/>
      <c r="V2077" s="7"/>
      <c r="W2077" s="14"/>
      <c r="X2077" s="10"/>
      <c r="Y2077" s="10"/>
      <c r="AB2077" s="19"/>
      <c r="AC2077" s="18"/>
    </row>
    <row r="2078" spans="4:29" x14ac:dyDescent="0.25">
      <c r="D2078" s="3"/>
      <c r="E2078" s="12"/>
      <c r="F2078" s="12"/>
      <c r="G2078" s="12"/>
      <c r="H2078" s="12"/>
      <c r="I2078" s="7"/>
      <c r="J2078" s="7"/>
      <c r="K2078" s="7"/>
      <c r="L2078" s="7"/>
      <c r="M2078" s="7"/>
      <c r="N2078" s="7"/>
      <c r="O2078" s="7"/>
      <c r="P2078" s="7"/>
      <c r="Q2078" s="7"/>
      <c r="R2078" s="7"/>
      <c r="S2078" s="7"/>
      <c r="T2078" s="7"/>
      <c r="U2078" s="7"/>
      <c r="V2078" s="7"/>
      <c r="W2078" s="14"/>
      <c r="X2078" s="10"/>
      <c r="Y2078" s="10"/>
      <c r="AB2078" s="19"/>
      <c r="AC2078" s="18"/>
    </row>
    <row r="2079" spans="4:29" x14ac:dyDescent="0.25">
      <c r="D2079" s="3"/>
      <c r="E2079" s="12"/>
      <c r="F2079" s="12"/>
      <c r="G2079" s="12"/>
      <c r="H2079" s="12"/>
      <c r="I2079" s="7"/>
      <c r="J2079" s="7"/>
      <c r="K2079" s="7"/>
      <c r="L2079" s="7"/>
      <c r="M2079" s="7"/>
      <c r="N2079" s="7"/>
      <c r="O2079" s="7"/>
      <c r="P2079" s="7"/>
      <c r="Q2079" s="7"/>
      <c r="R2079" s="7"/>
      <c r="S2079" s="7"/>
      <c r="T2079" s="7"/>
      <c r="U2079" s="7"/>
      <c r="V2079" s="7"/>
      <c r="W2079" s="14"/>
      <c r="X2079" s="10"/>
      <c r="Y2079" s="10"/>
      <c r="AB2079" s="19"/>
      <c r="AC2079" s="18"/>
    </row>
    <row r="2080" spans="4:29" x14ac:dyDescent="0.25">
      <c r="D2080" s="3"/>
      <c r="E2080" s="12"/>
      <c r="F2080" s="12"/>
      <c r="G2080" s="12"/>
      <c r="H2080" s="12"/>
      <c r="I2080" s="7"/>
      <c r="J2080" s="7"/>
      <c r="K2080" s="7"/>
      <c r="L2080" s="7"/>
      <c r="M2080" s="7"/>
      <c r="N2080" s="7"/>
      <c r="O2080" s="7"/>
      <c r="P2080" s="7"/>
      <c r="Q2080" s="7"/>
      <c r="R2080" s="7"/>
      <c r="S2080" s="7"/>
      <c r="T2080" s="7"/>
      <c r="U2080" s="7"/>
      <c r="V2080" s="7"/>
      <c r="W2080" s="14"/>
      <c r="X2080" s="10"/>
      <c r="Y2080" s="10"/>
      <c r="AB2080" s="19"/>
      <c r="AC2080" s="18"/>
    </row>
    <row r="2081" spans="4:29" x14ac:dyDescent="0.25">
      <c r="D2081" s="3"/>
      <c r="E2081" s="12"/>
      <c r="F2081" s="12"/>
      <c r="G2081" s="12"/>
      <c r="H2081" s="12"/>
      <c r="I2081" s="7"/>
      <c r="J2081" s="7"/>
      <c r="K2081" s="7"/>
      <c r="L2081" s="7"/>
      <c r="M2081" s="7"/>
      <c r="N2081" s="7"/>
      <c r="O2081" s="7"/>
      <c r="P2081" s="7"/>
      <c r="Q2081" s="7"/>
      <c r="R2081" s="7"/>
      <c r="S2081" s="7"/>
      <c r="T2081" s="7"/>
      <c r="U2081" s="7"/>
      <c r="V2081" s="7"/>
      <c r="W2081" s="14"/>
      <c r="X2081" s="10"/>
      <c r="Y2081" s="10"/>
      <c r="AB2081" s="19"/>
      <c r="AC2081" s="18"/>
    </row>
    <row r="2082" spans="4:29" x14ac:dyDescent="0.25">
      <c r="D2082" s="3"/>
      <c r="E2082" s="12"/>
      <c r="F2082" s="12"/>
      <c r="G2082" s="12"/>
      <c r="H2082" s="12"/>
      <c r="I2082" s="7"/>
      <c r="J2082" s="7"/>
      <c r="K2082" s="7"/>
      <c r="L2082" s="7"/>
      <c r="M2082" s="7"/>
      <c r="N2082" s="7"/>
      <c r="O2082" s="7"/>
      <c r="P2082" s="7"/>
      <c r="Q2082" s="7"/>
      <c r="R2082" s="7"/>
      <c r="S2082" s="7"/>
      <c r="T2082" s="7"/>
      <c r="U2082" s="7"/>
      <c r="V2082" s="7"/>
      <c r="W2082" s="14"/>
      <c r="X2082" s="10"/>
      <c r="Y2082" s="10"/>
      <c r="AB2082" s="19"/>
      <c r="AC2082" s="18"/>
    </row>
    <row r="2083" spans="4:29" x14ac:dyDescent="0.25">
      <c r="D2083" s="3"/>
      <c r="E2083" s="12"/>
      <c r="F2083" s="12"/>
      <c r="G2083" s="12"/>
      <c r="H2083" s="12"/>
      <c r="I2083" s="7"/>
      <c r="J2083" s="7"/>
      <c r="K2083" s="7"/>
      <c r="L2083" s="7"/>
      <c r="M2083" s="7"/>
      <c r="N2083" s="7"/>
      <c r="O2083" s="7"/>
      <c r="P2083" s="7"/>
      <c r="Q2083" s="7"/>
      <c r="R2083" s="7"/>
      <c r="S2083" s="7"/>
      <c r="T2083" s="7"/>
      <c r="U2083" s="7"/>
      <c r="V2083" s="7"/>
      <c r="W2083" s="14"/>
      <c r="X2083" s="10"/>
      <c r="Y2083" s="10"/>
      <c r="AB2083" s="19"/>
      <c r="AC2083" s="18"/>
    </row>
    <row r="2084" spans="4:29" x14ac:dyDescent="0.25">
      <c r="D2084" s="3"/>
      <c r="E2084" s="12"/>
      <c r="F2084" s="12"/>
      <c r="G2084" s="12"/>
      <c r="H2084" s="12"/>
      <c r="I2084" s="7"/>
      <c r="J2084" s="7"/>
      <c r="K2084" s="7"/>
      <c r="L2084" s="7"/>
      <c r="M2084" s="7"/>
      <c r="N2084" s="7"/>
      <c r="O2084" s="7"/>
      <c r="P2084" s="7"/>
      <c r="Q2084" s="7"/>
      <c r="R2084" s="7"/>
      <c r="S2084" s="7"/>
      <c r="T2084" s="7"/>
      <c r="U2084" s="7"/>
      <c r="V2084" s="7"/>
      <c r="W2084" s="14"/>
      <c r="X2084" s="10"/>
      <c r="Y2084" s="10"/>
      <c r="AB2084" s="19"/>
      <c r="AC2084" s="18"/>
    </row>
    <row r="2085" spans="4:29" x14ac:dyDescent="0.25">
      <c r="D2085" s="3"/>
      <c r="E2085" s="12"/>
      <c r="F2085" s="12"/>
      <c r="G2085" s="12"/>
      <c r="H2085" s="12"/>
      <c r="I2085" s="7"/>
      <c r="J2085" s="7"/>
      <c r="K2085" s="7"/>
      <c r="L2085" s="7"/>
      <c r="M2085" s="7"/>
      <c r="N2085" s="7"/>
      <c r="O2085" s="7"/>
      <c r="P2085" s="7"/>
      <c r="Q2085" s="7"/>
      <c r="R2085" s="7"/>
      <c r="S2085" s="7"/>
      <c r="T2085" s="7"/>
      <c r="U2085" s="7"/>
      <c r="V2085" s="7"/>
      <c r="W2085" s="14"/>
      <c r="X2085" s="10"/>
      <c r="Y2085" s="10"/>
      <c r="AB2085" s="19"/>
      <c r="AC2085" s="18"/>
    </row>
    <row r="2086" spans="4:29" x14ac:dyDescent="0.25">
      <c r="D2086" s="3"/>
      <c r="E2086" s="12"/>
      <c r="F2086" s="12"/>
      <c r="G2086" s="12"/>
      <c r="H2086" s="12"/>
      <c r="I2086" s="7"/>
      <c r="J2086" s="7"/>
      <c r="K2086" s="7"/>
      <c r="L2086" s="7"/>
      <c r="M2086" s="7"/>
      <c r="N2086" s="7"/>
      <c r="O2086" s="7"/>
      <c r="P2086" s="7"/>
      <c r="Q2086" s="7"/>
      <c r="R2086" s="7"/>
      <c r="S2086" s="7"/>
      <c r="T2086" s="7"/>
      <c r="U2086" s="7"/>
      <c r="V2086" s="7"/>
      <c r="W2086" s="14"/>
      <c r="X2086" s="10"/>
      <c r="Y2086" s="10"/>
      <c r="AB2086" s="19"/>
      <c r="AC2086" s="18"/>
    </row>
    <row r="2087" spans="4:29" x14ac:dyDescent="0.25">
      <c r="D2087" s="3"/>
      <c r="E2087" s="12"/>
      <c r="F2087" s="12"/>
      <c r="G2087" s="12"/>
      <c r="H2087" s="12"/>
      <c r="I2087" s="7"/>
      <c r="J2087" s="7"/>
      <c r="K2087" s="7"/>
      <c r="L2087" s="7"/>
      <c r="M2087" s="7"/>
      <c r="N2087" s="7"/>
      <c r="O2087" s="7"/>
      <c r="P2087" s="7"/>
      <c r="Q2087" s="7"/>
      <c r="R2087" s="7"/>
      <c r="S2087" s="7"/>
      <c r="T2087" s="7"/>
      <c r="U2087" s="7"/>
      <c r="V2087" s="7"/>
      <c r="W2087" s="14"/>
      <c r="X2087" s="10"/>
      <c r="Y2087" s="10"/>
      <c r="AB2087" s="19"/>
      <c r="AC2087" s="18"/>
    </row>
    <row r="2088" spans="4:29" x14ac:dyDescent="0.25">
      <c r="D2088" s="3"/>
      <c r="E2088" s="12"/>
      <c r="F2088" s="12"/>
      <c r="G2088" s="12"/>
      <c r="H2088" s="12"/>
      <c r="I2088" s="7"/>
      <c r="J2088" s="7"/>
      <c r="K2088" s="7"/>
      <c r="L2088" s="7"/>
      <c r="M2088" s="7"/>
      <c r="N2088" s="7"/>
      <c r="O2088" s="7"/>
      <c r="P2088" s="7"/>
      <c r="Q2088" s="7"/>
      <c r="R2088" s="7"/>
      <c r="S2088" s="7"/>
      <c r="T2088" s="7"/>
      <c r="U2088" s="7"/>
      <c r="V2088" s="7"/>
      <c r="W2088" s="14"/>
      <c r="X2088" s="10"/>
      <c r="Y2088" s="10"/>
      <c r="AB2088" s="19"/>
      <c r="AC2088" s="18"/>
    </row>
    <row r="2089" spans="4:29" x14ac:dyDescent="0.25">
      <c r="D2089" s="3"/>
      <c r="E2089" s="12"/>
      <c r="F2089" s="12"/>
      <c r="G2089" s="12"/>
      <c r="H2089" s="12"/>
      <c r="I2089" s="7"/>
      <c r="J2089" s="7"/>
      <c r="K2089" s="7"/>
      <c r="L2089" s="7"/>
      <c r="M2089" s="7"/>
      <c r="N2089" s="7"/>
      <c r="O2089" s="7"/>
      <c r="P2089" s="7"/>
      <c r="Q2089" s="7"/>
      <c r="R2089" s="7"/>
      <c r="S2089" s="7"/>
      <c r="T2089" s="7"/>
      <c r="U2089" s="7"/>
      <c r="V2089" s="7"/>
      <c r="W2089" s="14"/>
      <c r="X2089" s="10"/>
      <c r="Y2089" s="10"/>
      <c r="AB2089" s="19"/>
      <c r="AC2089" s="18"/>
    </row>
    <row r="2090" spans="4:29" x14ac:dyDescent="0.25">
      <c r="D2090" s="3"/>
      <c r="E2090" s="12"/>
      <c r="F2090" s="12"/>
      <c r="G2090" s="12"/>
      <c r="H2090" s="12"/>
      <c r="I2090" s="7"/>
      <c r="J2090" s="7"/>
      <c r="K2090" s="7"/>
      <c r="L2090" s="7"/>
      <c r="M2090" s="7"/>
      <c r="N2090" s="7"/>
      <c r="O2090" s="7"/>
      <c r="P2090" s="7"/>
      <c r="Q2090" s="7"/>
      <c r="R2090" s="7"/>
      <c r="S2090" s="7"/>
      <c r="T2090" s="7"/>
      <c r="U2090" s="7"/>
      <c r="V2090" s="7"/>
      <c r="W2090" s="14"/>
      <c r="X2090" s="10"/>
      <c r="Y2090" s="10"/>
      <c r="AB2090" s="19"/>
      <c r="AC2090" s="18"/>
    </row>
    <row r="2091" spans="4:29" x14ac:dyDescent="0.25">
      <c r="D2091" s="3"/>
      <c r="E2091" s="12"/>
      <c r="F2091" s="12"/>
      <c r="G2091" s="12"/>
      <c r="H2091" s="12"/>
      <c r="I2091" s="7"/>
      <c r="J2091" s="7"/>
      <c r="K2091" s="7"/>
      <c r="L2091" s="7"/>
      <c r="M2091" s="7"/>
      <c r="N2091" s="7"/>
      <c r="O2091" s="7"/>
      <c r="P2091" s="7"/>
      <c r="Q2091" s="7"/>
      <c r="R2091" s="7"/>
      <c r="S2091" s="7"/>
      <c r="T2091" s="7"/>
      <c r="U2091" s="7"/>
      <c r="V2091" s="7"/>
      <c r="W2091" s="14"/>
      <c r="X2091" s="10"/>
      <c r="Y2091" s="10"/>
      <c r="AB2091" s="19"/>
      <c r="AC2091" s="18"/>
    </row>
    <row r="2092" spans="4:29" x14ac:dyDescent="0.25">
      <c r="D2092" s="3"/>
      <c r="E2092" s="12"/>
      <c r="F2092" s="12"/>
      <c r="G2092" s="12"/>
      <c r="H2092" s="12"/>
      <c r="I2092" s="7"/>
      <c r="J2092" s="7"/>
      <c r="K2092" s="7"/>
      <c r="L2092" s="7"/>
      <c r="M2092" s="7"/>
      <c r="N2092" s="7"/>
      <c r="O2092" s="7"/>
      <c r="P2092" s="7"/>
      <c r="Q2092" s="7"/>
      <c r="R2092" s="7"/>
      <c r="S2092" s="7"/>
      <c r="T2092" s="7"/>
      <c r="U2092" s="7"/>
      <c r="V2092" s="7"/>
      <c r="W2092" s="14"/>
      <c r="X2092" s="10"/>
      <c r="Y2092" s="10"/>
      <c r="AB2092" s="19"/>
      <c r="AC2092" s="18"/>
    </row>
    <row r="2093" spans="4:29" x14ac:dyDescent="0.25">
      <c r="D2093" s="3"/>
      <c r="E2093" s="12"/>
      <c r="F2093" s="12"/>
      <c r="G2093" s="12"/>
      <c r="H2093" s="12"/>
      <c r="I2093" s="7"/>
      <c r="J2093" s="7"/>
      <c r="K2093" s="7"/>
      <c r="L2093" s="7"/>
      <c r="M2093" s="7"/>
      <c r="N2093" s="7"/>
      <c r="O2093" s="7"/>
      <c r="P2093" s="7"/>
      <c r="Q2093" s="7"/>
      <c r="R2093" s="7"/>
      <c r="S2093" s="7"/>
      <c r="T2093" s="7"/>
      <c r="U2093" s="7"/>
      <c r="V2093" s="7"/>
      <c r="W2093" s="14"/>
      <c r="X2093" s="10"/>
      <c r="Y2093" s="10"/>
      <c r="AB2093" s="19"/>
      <c r="AC2093" s="18"/>
    </row>
    <row r="2094" spans="4:29" x14ac:dyDescent="0.25">
      <c r="D2094" s="3"/>
      <c r="E2094" s="12"/>
      <c r="F2094" s="12"/>
      <c r="G2094" s="12"/>
      <c r="H2094" s="12"/>
      <c r="I2094" s="7"/>
      <c r="J2094" s="7"/>
      <c r="K2094" s="7"/>
      <c r="L2094" s="7"/>
      <c r="M2094" s="7"/>
      <c r="N2094" s="7"/>
      <c r="O2094" s="7"/>
      <c r="P2094" s="7"/>
      <c r="Q2094" s="7"/>
      <c r="R2094" s="7"/>
      <c r="S2094" s="7"/>
      <c r="T2094" s="7"/>
      <c r="U2094" s="7"/>
      <c r="V2094" s="7"/>
      <c r="W2094" s="14"/>
      <c r="X2094" s="10"/>
      <c r="Y2094" s="10"/>
      <c r="AB2094" s="19"/>
      <c r="AC2094" s="18"/>
    </row>
    <row r="2095" spans="4:29" x14ac:dyDescent="0.25">
      <c r="D2095" s="3"/>
      <c r="E2095" s="12"/>
      <c r="F2095" s="12"/>
      <c r="G2095" s="12"/>
      <c r="H2095" s="12"/>
      <c r="I2095" s="7"/>
      <c r="J2095" s="7"/>
      <c r="K2095" s="7"/>
      <c r="L2095" s="7"/>
      <c r="M2095" s="7"/>
      <c r="N2095" s="7"/>
      <c r="O2095" s="7"/>
      <c r="P2095" s="7"/>
      <c r="Q2095" s="7"/>
      <c r="R2095" s="7"/>
      <c r="S2095" s="7"/>
      <c r="T2095" s="7"/>
      <c r="U2095" s="7"/>
      <c r="V2095" s="7"/>
      <c r="W2095" s="14"/>
      <c r="X2095" s="10"/>
      <c r="Y2095" s="10"/>
      <c r="AB2095" s="19"/>
      <c r="AC2095" s="18"/>
    </row>
    <row r="2096" spans="4:29" x14ac:dyDescent="0.25">
      <c r="D2096" s="3"/>
      <c r="E2096" s="12"/>
      <c r="F2096" s="12"/>
      <c r="G2096" s="12"/>
      <c r="H2096" s="12"/>
      <c r="I2096" s="7"/>
      <c r="J2096" s="7"/>
      <c r="K2096" s="7"/>
      <c r="L2096" s="7"/>
      <c r="M2096" s="7"/>
      <c r="N2096" s="7"/>
      <c r="O2096" s="7"/>
      <c r="P2096" s="7"/>
      <c r="Q2096" s="7"/>
      <c r="R2096" s="7"/>
      <c r="S2096" s="7"/>
      <c r="T2096" s="7"/>
      <c r="U2096" s="7"/>
      <c r="V2096" s="7"/>
      <c r="W2096" s="14"/>
      <c r="X2096" s="10"/>
      <c r="Y2096" s="10"/>
      <c r="AB2096" s="19"/>
      <c r="AC2096" s="18"/>
    </row>
    <row r="2097" spans="4:29" x14ac:dyDescent="0.25">
      <c r="D2097" s="3"/>
      <c r="E2097" s="12"/>
      <c r="F2097" s="12"/>
      <c r="G2097" s="12"/>
      <c r="H2097" s="12"/>
      <c r="I2097" s="7"/>
      <c r="J2097" s="7"/>
      <c r="K2097" s="7"/>
      <c r="L2097" s="7"/>
      <c r="M2097" s="7"/>
      <c r="N2097" s="7"/>
      <c r="O2097" s="7"/>
      <c r="P2097" s="7"/>
      <c r="Q2097" s="7"/>
      <c r="R2097" s="7"/>
      <c r="S2097" s="7"/>
      <c r="T2097" s="7"/>
      <c r="U2097" s="7"/>
      <c r="V2097" s="7"/>
      <c r="W2097" s="14"/>
      <c r="X2097" s="10"/>
      <c r="Y2097" s="10"/>
      <c r="AB2097" s="19"/>
      <c r="AC2097" s="18"/>
    </row>
    <row r="2098" spans="4:29" x14ac:dyDescent="0.25">
      <c r="D2098" s="3"/>
      <c r="E2098" s="12"/>
      <c r="F2098" s="12"/>
      <c r="G2098" s="12"/>
      <c r="H2098" s="12"/>
      <c r="I2098" s="7"/>
      <c r="J2098" s="7"/>
      <c r="K2098" s="7"/>
      <c r="L2098" s="7"/>
      <c r="M2098" s="7"/>
      <c r="N2098" s="7"/>
      <c r="O2098" s="7"/>
      <c r="P2098" s="7"/>
      <c r="Q2098" s="7"/>
      <c r="R2098" s="7"/>
      <c r="S2098" s="7"/>
      <c r="T2098" s="7"/>
      <c r="U2098" s="7"/>
      <c r="V2098" s="7"/>
      <c r="W2098" s="14"/>
      <c r="X2098" s="10"/>
      <c r="Y2098" s="10"/>
      <c r="AB2098" s="19"/>
      <c r="AC2098" s="18"/>
    </row>
    <row r="2099" spans="4:29" x14ac:dyDescent="0.25">
      <c r="D2099" s="3"/>
      <c r="E2099" s="12"/>
      <c r="F2099" s="12"/>
      <c r="G2099" s="12"/>
      <c r="H2099" s="12"/>
      <c r="I2099" s="7"/>
      <c r="J2099" s="7"/>
      <c r="K2099" s="7"/>
      <c r="L2099" s="7"/>
      <c r="M2099" s="7"/>
      <c r="N2099" s="7"/>
      <c r="O2099" s="7"/>
      <c r="P2099" s="7"/>
      <c r="Q2099" s="7"/>
      <c r="R2099" s="7"/>
      <c r="S2099" s="7"/>
      <c r="T2099" s="7"/>
      <c r="U2099" s="7"/>
      <c r="V2099" s="7"/>
      <c r="W2099" s="14"/>
      <c r="X2099" s="10"/>
      <c r="Y2099" s="10"/>
      <c r="AB2099" s="19"/>
      <c r="AC2099" s="18"/>
    </row>
    <row r="2100" spans="4:29" x14ac:dyDescent="0.25">
      <c r="D2100" s="3"/>
      <c r="E2100" s="12"/>
      <c r="F2100" s="12"/>
      <c r="G2100" s="12"/>
      <c r="H2100" s="12"/>
      <c r="I2100" s="7"/>
      <c r="J2100" s="7"/>
      <c r="K2100" s="7"/>
      <c r="L2100" s="7"/>
      <c r="M2100" s="7"/>
      <c r="N2100" s="7"/>
      <c r="O2100" s="7"/>
      <c r="P2100" s="7"/>
      <c r="Q2100" s="7"/>
      <c r="R2100" s="7"/>
      <c r="S2100" s="7"/>
      <c r="T2100" s="7"/>
      <c r="U2100" s="7"/>
      <c r="V2100" s="7"/>
      <c r="W2100" s="14"/>
      <c r="X2100" s="10"/>
      <c r="Y2100" s="10"/>
      <c r="AB2100" s="19"/>
      <c r="AC2100" s="18"/>
    </row>
    <row r="2101" spans="4:29" x14ac:dyDescent="0.25">
      <c r="D2101" s="3"/>
      <c r="E2101" s="12"/>
      <c r="F2101" s="12"/>
      <c r="G2101" s="12"/>
      <c r="H2101" s="12"/>
      <c r="I2101" s="7"/>
      <c r="J2101" s="7"/>
      <c r="K2101" s="7"/>
      <c r="L2101" s="7"/>
      <c r="M2101" s="7"/>
      <c r="N2101" s="7"/>
      <c r="O2101" s="7"/>
      <c r="P2101" s="7"/>
      <c r="Q2101" s="7"/>
      <c r="R2101" s="7"/>
      <c r="S2101" s="7"/>
      <c r="T2101" s="7"/>
      <c r="U2101" s="7"/>
      <c r="V2101" s="7"/>
      <c r="W2101" s="14"/>
      <c r="X2101" s="10"/>
      <c r="Y2101" s="10"/>
      <c r="AB2101" s="19"/>
      <c r="AC2101" s="18"/>
    </row>
    <row r="2102" spans="4:29" x14ac:dyDescent="0.25">
      <c r="D2102" s="3"/>
      <c r="E2102" s="12"/>
      <c r="F2102" s="12"/>
      <c r="G2102" s="12"/>
      <c r="H2102" s="12"/>
      <c r="I2102" s="7"/>
      <c r="J2102" s="7"/>
      <c r="K2102" s="7"/>
      <c r="L2102" s="7"/>
      <c r="M2102" s="7"/>
      <c r="N2102" s="7"/>
      <c r="O2102" s="7"/>
      <c r="P2102" s="7"/>
      <c r="Q2102" s="7"/>
      <c r="R2102" s="7"/>
      <c r="S2102" s="7"/>
      <c r="T2102" s="7"/>
      <c r="U2102" s="7"/>
      <c r="V2102" s="7"/>
      <c r="W2102" s="14"/>
      <c r="X2102" s="10"/>
      <c r="Y2102" s="10"/>
      <c r="AB2102" s="19"/>
      <c r="AC2102" s="18"/>
    </row>
    <row r="2103" spans="4:29" x14ac:dyDescent="0.25">
      <c r="D2103" s="3"/>
      <c r="E2103" s="12"/>
      <c r="F2103" s="12"/>
      <c r="G2103" s="12"/>
      <c r="H2103" s="12"/>
      <c r="I2103" s="7"/>
      <c r="J2103" s="7"/>
      <c r="K2103" s="7"/>
      <c r="L2103" s="7"/>
      <c r="M2103" s="7"/>
      <c r="N2103" s="7"/>
      <c r="O2103" s="7"/>
      <c r="P2103" s="7"/>
      <c r="Q2103" s="7"/>
      <c r="R2103" s="7"/>
      <c r="S2103" s="7"/>
      <c r="T2103" s="7"/>
      <c r="U2103" s="7"/>
      <c r="V2103" s="7"/>
      <c r="W2103" s="14"/>
      <c r="X2103" s="10"/>
      <c r="Y2103" s="10"/>
      <c r="AB2103" s="19"/>
      <c r="AC2103" s="18"/>
    </row>
    <row r="2104" spans="4:29" x14ac:dyDescent="0.25">
      <c r="D2104" s="3"/>
      <c r="E2104" s="12"/>
      <c r="F2104" s="12"/>
      <c r="G2104" s="12"/>
      <c r="H2104" s="12"/>
      <c r="I2104" s="7"/>
      <c r="J2104" s="7"/>
      <c r="K2104" s="7"/>
      <c r="L2104" s="7"/>
      <c r="M2104" s="7"/>
      <c r="N2104" s="7"/>
      <c r="O2104" s="7"/>
      <c r="P2104" s="7"/>
      <c r="Q2104" s="7"/>
      <c r="R2104" s="7"/>
      <c r="S2104" s="7"/>
      <c r="T2104" s="7"/>
      <c r="U2104" s="7"/>
      <c r="V2104" s="7"/>
      <c r="W2104" s="14"/>
      <c r="X2104" s="10"/>
      <c r="Y2104" s="10"/>
      <c r="AB2104" s="19"/>
      <c r="AC2104" s="18"/>
    </row>
    <row r="2105" spans="4:29" x14ac:dyDescent="0.25">
      <c r="D2105" s="3"/>
      <c r="E2105" s="12"/>
      <c r="F2105" s="12"/>
      <c r="G2105" s="12"/>
      <c r="H2105" s="12"/>
      <c r="I2105" s="7"/>
      <c r="J2105" s="7"/>
      <c r="K2105" s="7"/>
      <c r="L2105" s="7"/>
      <c r="M2105" s="7"/>
      <c r="N2105" s="7"/>
      <c r="O2105" s="7"/>
      <c r="P2105" s="7"/>
      <c r="Q2105" s="7"/>
      <c r="R2105" s="7"/>
      <c r="S2105" s="7"/>
      <c r="T2105" s="7"/>
      <c r="U2105" s="7"/>
      <c r="V2105" s="7"/>
      <c r="W2105" s="14"/>
      <c r="X2105" s="10"/>
      <c r="Y2105" s="10"/>
      <c r="AB2105" s="19"/>
      <c r="AC2105" s="18"/>
    </row>
    <row r="2106" spans="4:29" x14ac:dyDescent="0.25">
      <c r="D2106" s="3"/>
      <c r="E2106" s="12"/>
      <c r="F2106" s="12"/>
      <c r="G2106" s="12"/>
      <c r="H2106" s="12"/>
      <c r="I2106" s="7"/>
      <c r="J2106" s="7"/>
      <c r="K2106" s="7"/>
      <c r="L2106" s="7"/>
      <c r="M2106" s="7"/>
      <c r="N2106" s="7"/>
      <c r="O2106" s="7"/>
      <c r="P2106" s="7"/>
      <c r="Q2106" s="7"/>
      <c r="R2106" s="7"/>
      <c r="S2106" s="7"/>
      <c r="T2106" s="7"/>
      <c r="U2106" s="7"/>
      <c r="V2106" s="7"/>
      <c r="W2106" s="14"/>
      <c r="X2106" s="10"/>
      <c r="Y2106" s="10"/>
      <c r="AB2106" s="19"/>
      <c r="AC2106" s="18"/>
    </row>
    <row r="2107" spans="4:29" x14ac:dyDescent="0.25">
      <c r="D2107" s="3"/>
      <c r="E2107" s="12"/>
      <c r="F2107" s="12"/>
      <c r="G2107" s="12"/>
      <c r="H2107" s="12"/>
      <c r="I2107" s="7"/>
      <c r="J2107" s="7"/>
      <c r="K2107" s="7"/>
      <c r="L2107" s="7"/>
      <c r="M2107" s="7"/>
      <c r="N2107" s="7"/>
      <c r="O2107" s="7"/>
      <c r="P2107" s="7"/>
      <c r="Q2107" s="7"/>
      <c r="R2107" s="7"/>
      <c r="S2107" s="7"/>
      <c r="T2107" s="7"/>
      <c r="U2107" s="7"/>
      <c r="V2107" s="7"/>
      <c r="W2107" s="14"/>
      <c r="X2107" s="10"/>
      <c r="Y2107" s="10"/>
      <c r="AB2107" s="19"/>
      <c r="AC2107" s="18"/>
    </row>
    <row r="2108" spans="4:29" x14ac:dyDescent="0.25">
      <c r="D2108" s="3"/>
      <c r="E2108" s="12"/>
      <c r="F2108" s="12"/>
      <c r="G2108" s="12"/>
      <c r="H2108" s="12"/>
      <c r="I2108" s="7"/>
      <c r="J2108" s="7"/>
      <c r="K2108" s="7"/>
      <c r="L2108" s="7"/>
      <c r="M2108" s="7"/>
      <c r="N2108" s="7"/>
      <c r="O2108" s="7"/>
      <c r="P2108" s="7"/>
      <c r="Q2108" s="7"/>
      <c r="R2108" s="7"/>
      <c r="S2108" s="7"/>
      <c r="T2108" s="7"/>
      <c r="U2108" s="7"/>
      <c r="V2108" s="7"/>
      <c r="W2108" s="14"/>
      <c r="X2108" s="10"/>
      <c r="Y2108" s="10"/>
      <c r="AB2108" s="19"/>
      <c r="AC2108" s="18"/>
    </row>
    <row r="2109" spans="4:29" x14ac:dyDescent="0.25">
      <c r="D2109" s="3"/>
      <c r="E2109" s="12"/>
      <c r="F2109" s="12"/>
      <c r="G2109" s="12"/>
      <c r="H2109" s="12"/>
      <c r="I2109" s="7"/>
      <c r="J2109" s="7"/>
      <c r="K2109" s="7"/>
      <c r="L2109" s="7"/>
      <c r="M2109" s="7"/>
      <c r="N2109" s="7"/>
      <c r="O2109" s="7"/>
      <c r="P2109" s="7"/>
      <c r="Q2109" s="7"/>
      <c r="R2109" s="7"/>
      <c r="S2109" s="7"/>
      <c r="T2109" s="7"/>
      <c r="U2109" s="7"/>
      <c r="V2109" s="7"/>
      <c r="W2109" s="14"/>
      <c r="X2109" s="10"/>
      <c r="Y2109" s="10"/>
      <c r="AB2109" s="19"/>
      <c r="AC2109" s="18"/>
    </row>
    <row r="2110" spans="4:29" x14ac:dyDescent="0.25">
      <c r="D2110" s="3"/>
      <c r="E2110" s="12"/>
      <c r="F2110" s="12"/>
      <c r="G2110" s="12"/>
      <c r="H2110" s="12"/>
      <c r="I2110" s="7"/>
      <c r="J2110" s="7"/>
      <c r="K2110" s="7"/>
      <c r="L2110" s="7"/>
      <c r="M2110" s="7"/>
      <c r="N2110" s="7"/>
      <c r="O2110" s="7"/>
      <c r="P2110" s="7"/>
      <c r="Q2110" s="7"/>
      <c r="R2110" s="7"/>
      <c r="S2110" s="7"/>
      <c r="T2110" s="7"/>
      <c r="U2110" s="7"/>
      <c r="V2110" s="7"/>
      <c r="W2110" s="14"/>
      <c r="X2110" s="10"/>
      <c r="Y2110" s="10"/>
      <c r="AB2110" s="19"/>
      <c r="AC2110" s="18"/>
    </row>
    <row r="2111" spans="4:29" x14ac:dyDescent="0.25">
      <c r="D2111" s="3"/>
      <c r="E2111" s="12"/>
      <c r="F2111" s="12"/>
      <c r="G2111" s="12"/>
      <c r="H2111" s="12"/>
      <c r="I2111" s="7"/>
      <c r="J2111" s="7"/>
      <c r="K2111" s="7"/>
      <c r="L2111" s="7"/>
      <c r="M2111" s="7"/>
      <c r="N2111" s="7"/>
      <c r="O2111" s="7"/>
      <c r="P2111" s="7"/>
      <c r="Q2111" s="7"/>
      <c r="R2111" s="7"/>
      <c r="S2111" s="7"/>
      <c r="T2111" s="7"/>
      <c r="U2111" s="7"/>
      <c r="V2111" s="7"/>
      <c r="W2111" s="14"/>
      <c r="X2111" s="10"/>
      <c r="Y2111" s="10"/>
      <c r="AB2111" s="19"/>
      <c r="AC2111" s="18"/>
    </row>
    <row r="2112" spans="4:29" x14ac:dyDescent="0.25">
      <c r="D2112" s="3"/>
      <c r="E2112" s="12"/>
      <c r="F2112" s="12"/>
      <c r="G2112" s="12"/>
      <c r="H2112" s="12"/>
      <c r="I2112" s="7"/>
      <c r="J2112" s="7"/>
      <c r="K2112" s="7"/>
      <c r="L2112" s="7"/>
      <c r="M2112" s="7"/>
      <c r="N2112" s="7"/>
      <c r="O2112" s="7"/>
      <c r="P2112" s="7"/>
      <c r="Q2112" s="7"/>
      <c r="R2112" s="7"/>
      <c r="S2112" s="7"/>
      <c r="T2112" s="7"/>
      <c r="U2112" s="7"/>
      <c r="V2112" s="7"/>
      <c r="W2112" s="14"/>
      <c r="X2112" s="10"/>
      <c r="Y2112" s="10"/>
      <c r="AB2112" s="19"/>
      <c r="AC2112" s="18"/>
    </row>
    <row r="2113" spans="4:29" x14ac:dyDescent="0.25">
      <c r="D2113" s="3"/>
      <c r="E2113" s="12"/>
      <c r="F2113" s="12"/>
      <c r="G2113" s="12"/>
      <c r="H2113" s="12"/>
      <c r="I2113" s="7"/>
      <c r="J2113" s="7"/>
      <c r="K2113" s="7"/>
      <c r="L2113" s="7"/>
      <c r="M2113" s="7"/>
      <c r="N2113" s="7"/>
      <c r="O2113" s="7"/>
      <c r="P2113" s="7"/>
      <c r="Q2113" s="7"/>
      <c r="R2113" s="7"/>
      <c r="S2113" s="7"/>
      <c r="T2113" s="7"/>
      <c r="U2113" s="7"/>
      <c r="V2113" s="7"/>
      <c r="W2113" s="14"/>
      <c r="X2113" s="10"/>
      <c r="Y2113" s="10"/>
      <c r="AB2113" s="19"/>
      <c r="AC2113" s="18"/>
    </row>
    <row r="2114" spans="4:29" x14ac:dyDescent="0.25">
      <c r="D2114" s="3"/>
      <c r="E2114" s="12"/>
      <c r="F2114" s="12"/>
      <c r="G2114" s="12"/>
      <c r="H2114" s="12"/>
      <c r="I2114" s="7"/>
      <c r="J2114" s="7"/>
      <c r="K2114" s="7"/>
      <c r="L2114" s="7"/>
      <c r="M2114" s="7"/>
      <c r="N2114" s="7"/>
      <c r="O2114" s="7"/>
      <c r="P2114" s="7"/>
      <c r="Q2114" s="7"/>
      <c r="R2114" s="7"/>
      <c r="S2114" s="7"/>
      <c r="T2114" s="7"/>
      <c r="U2114" s="7"/>
      <c r="V2114" s="7"/>
      <c r="W2114" s="14"/>
      <c r="X2114" s="10"/>
      <c r="Y2114" s="10"/>
      <c r="AB2114" s="19"/>
      <c r="AC2114" s="18"/>
    </row>
    <row r="2115" spans="4:29" x14ac:dyDescent="0.25">
      <c r="D2115" s="3"/>
      <c r="E2115" s="12"/>
      <c r="F2115" s="12"/>
      <c r="G2115" s="12"/>
      <c r="H2115" s="12"/>
      <c r="I2115" s="7"/>
      <c r="J2115" s="7"/>
      <c r="K2115" s="7"/>
      <c r="L2115" s="7"/>
      <c r="M2115" s="7"/>
      <c r="N2115" s="7"/>
      <c r="O2115" s="7"/>
      <c r="P2115" s="7"/>
      <c r="Q2115" s="7"/>
      <c r="R2115" s="7"/>
      <c r="S2115" s="7"/>
      <c r="T2115" s="7"/>
      <c r="U2115" s="7"/>
      <c r="V2115" s="7"/>
      <c r="W2115" s="14"/>
      <c r="X2115" s="10"/>
      <c r="Y2115" s="10"/>
      <c r="AB2115" s="19"/>
      <c r="AC2115" s="18"/>
    </row>
    <row r="2116" spans="4:29" x14ac:dyDescent="0.25">
      <c r="D2116" s="3"/>
      <c r="E2116" s="12"/>
      <c r="F2116" s="12"/>
      <c r="G2116" s="12"/>
      <c r="H2116" s="12"/>
      <c r="I2116" s="7"/>
      <c r="J2116" s="7"/>
      <c r="K2116" s="7"/>
      <c r="L2116" s="7"/>
      <c r="M2116" s="7"/>
      <c r="N2116" s="7"/>
      <c r="O2116" s="7"/>
      <c r="P2116" s="7"/>
      <c r="Q2116" s="7"/>
      <c r="R2116" s="7"/>
      <c r="S2116" s="7"/>
      <c r="T2116" s="7"/>
      <c r="U2116" s="7"/>
      <c r="V2116" s="7"/>
      <c r="W2116" s="14"/>
      <c r="X2116" s="10"/>
      <c r="Y2116" s="10"/>
      <c r="AB2116" s="19"/>
      <c r="AC2116" s="18"/>
    </row>
    <row r="2117" spans="4:29" x14ac:dyDescent="0.25">
      <c r="D2117" s="3"/>
      <c r="E2117" s="12"/>
      <c r="F2117" s="12"/>
      <c r="G2117" s="12"/>
      <c r="H2117" s="12"/>
      <c r="I2117" s="7"/>
      <c r="J2117" s="7"/>
      <c r="K2117" s="7"/>
      <c r="L2117" s="7"/>
      <c r="M2117" s="7"/>
      <c r="N2117" s="7"/>
      <c r="O2117" s="7"/>
      <c r="P2117" s="7"/>
      <c r="Q2117" s="7"/>
      <c r="R2117" s="7"/>
      <c r="S2117" s="7"/>
      <c r="T2117" s="7"/>
      <c r="U2117" s="7"/>
      <c r="V2117" s="7"/>
      <c r="W2117" s="14"/>
      <c r="X2117" s="10"/>
      <c r="Y2117" s="10"/>
      <c r="AB2117" s="19"/>
      <c r="AC2117" s="18"/>
    </row>
    <row r="2118" spans="4:29" x14ac:dyDescent="0.25">
      <c r="D2118" s="3"/>
      <c r="E2118" s="12"/>
      <c r="F2118" s="12"/>
      <c r="G2118" s="12"/>
      <c r="H2118" s="12"/>
      <c r="I2118" s="7"/>
      <c r="J2118" s="7"/>
      <c r="K2118" s="7"/>
      <c r="L2118" s="7"/>
      <c r="M2118" s="7"/>
      <c r="N2118" s="7"/>
      <c r="O2118" s="7"/>
      <c r="P2118" s="7"/>
      <c r="Q2118" s="7"/>
      <c r="R2118" s="7"/>
      <c r="S2118" s="7"/>
      <c r="T2118" s="7"/>
      <c r="U2118" s="7"/>
      <c r="V2118" s="7"/>
      <c r="W2118" s="14"/>
      <c r="X2118" s="10"/>
      <c r="Y2118" s="10"/>
      <c r="AB2118" s="19"/>
      <c r="AC2118" s="18"/>
    </row>
    <row r="2119" spans="4:29" x14ac:dyDescent="0.25">
      <c r="D2119" s="3"/>
      <c r="E2119" s="12"/>
      <c r="F2119" s="12"/>
      <c r="G2119" s="12"/>
      <c r="H2119" s="12"/>
      <c r="I2119" s="7"/>
      <c r="J2119" s="7"/>
      <c r="K2119" s="7"/>
      <c r="L2119" s="7"/>
      <c r="M2119" s="7"/>
      <c r="N2119" s="7"/>
      <c r="O2119" s="7"/>
      <c r="P2119" s="7"/>
      <c r="Q2119" s="7"/>
      <c r="R2119" s="7"/>
      <c r="S2119" s="7"/>
      <c r="T2119" s="7"/>
      <c r="U2119" s="7"/>
      <c r="V2119" s="7"/>
      <c r="W2119" s="14"/>
      <c r="X2119" s="10"/>
      <c r="Y2119" s="10"/>
      <c r="AB2119" s="19"/>
      <c r="AC2119" s="18"/>
    </row>
    <row r="2120" spans="4:29" x14ac:dyDescent="0.25">
      <c r="D2120" s="3"/>
      <c r="E2120" s="12"/>
      <c r="F2120" s="12"/>
      <c r="G2120" s="12"/>
      <c r="H2120" s="12"/>
      <c r="I2120" s="7"/>
      <c r="J2120" s="7"/>
      <c r="K2120" s="7"/>
      <c r="L2120" s="7"/>
      <c r="M2120" s="7"/>
      <c r="N2120" s="7"/>
      <c r="O2120" s="7"/>
      <c r="P2120" s="7"/>
      <c r="Q2120" s="7"/>
      <c r="R2120" s="7"/>
      <c r="S2120" s="7"/>
      <c r="T2120" s="7"/>
      <c r="U2120" s="7"/>
      <c r="V2120" s="7"/>
      <c r="W2120" s="14"/>
      <c r="X2120" s="10"/>
      <c r="Y2120" s="10"/>
      <c r="AB2120" s="19"/>
      <c r="AC2120" s="18"/>
    </row>
    <row r="2121" spans="4:29" x14ac:dyDescent="0.25">
      <c r="D2121" s="3"/>
      <c r="E2121" s="12"/>
      <c r="F2121" s="12"/>
      <c r="G2121" s="12"/>
      <c r="H2121" s="12"/>
      <c r="I2121" s="7"/>
      <c r="J2121" s="7"/>
      <c r="K2121" s="7"/>
      <c r="L2121" s="7"/>
      <c r="M2121" s="7"/>
      <c r="N2121" s="7"/>
      <c r="O2121" s="7"/>
      <c r="P2121" s="7"/>
      <c r="Q2121" s="7"/>
      <c r="R2121" s="7"/>
      <c r="S2121" s="7"/>
      <c r="T2121" s="7"/>
      <c r="U2121" s="7"/>
      <c r="V2121" s="7"/>
      <c r="W2121" s="14"/>
      <c r="X2121" s="10"/>
      <c r="Y2121" s="10"/>
      <c r="AB2121" s="19"/>
      <c r="AC2121" s="18"/>
    </row>
    <row r="2122" spans="4:29" x14ac:dyDescent="0.25">
      <c r="D2122" s="3"/>
      <c r="E2122" s="12"/>
      <c r="F2122" s="12"/>
      <c r="G2122" s="12"/>
      <c r="H2122" s="12"/>
      <c r="I2122" s="7"/>
      <c r="J2122" s="7"/>
      <c r="K2122" s="7"/>
      <c r="L2122" s="7"/>
      <c r="M2122" s="7"/>
      <c r="N2122" s="7"/>
      <c r="O2122" s="7"/>
      <c r="P2122" s="7"/>
      <c r="Q2122" s="7"/>
      <c r="R2122" s="7"/>
      <c r="S2122" s="7"/>
      <c r="T2122" s="7"/>
      <c r="U2122" s="7"/>
      <c r="V2122" s="7"/>
      <c r="W2122" s="14"/>
      <c r="X2122" s="10"/>
      <c r="Y2122" s="10"/>
      <c r="AB2122" s="19"/>
      <c r="AC2122" s="18"/>
    </row>
    <row r="2123" spans="4:29" x14ac:dyDescent="0.25">
      <c r="D2123" s="3"/>
      <c r="E2123" s="12"/>
      <c r="F2123" s="12"/>
      <c r="G2123" s="12"/>
      <c r="H2123" s="12"/>
      <c r="I2123" s="7"/>
      <c r="J2123" s="7"/>
      <c r="K2123" s="7"/>
      <c r="L2123" s="7"/>
      <c r="M2123" s="7"/>
      <c r="N2123" s="7"/>
      <c r="O2123" s="7"/>
      <c r="P2123" s="7"/>
      <c r="Q2123" s="7"/>
      <c r="R2123" s="7"/>
      <c r="S2123" s="7"/>
      <c r="T2123" s="7"/>
      <c r="U2123" s="7"/>
      <c r="V2123" s="7"/>
      <c r="W2123" s="14"/>
      <c r="X2123" s="10"/>
      <c r="Y2123" s="10"/>
      <c r="AB2123" s="19"/>
      <c r="AC2123" s="18"/>
    </row>
    <row r="2124" spans="4:29" x14ac:dyDescent="0.25">
      <c r="D2124" s="3"/>
      <c r="E2124" s="12"/>
      <c r="F2124" s="12"/>
      <c r="G2124" s="12"/>
      <c r="H2124" s="12"/>
      <c r="I2124" s="7"/>
      <c r="J2124" s="7"/>
      <c r="K2124" s="7"/>
      <c r="L2124" s="7"/>
      <c r="M2124" s="7"/>
      <c r="N2124" s="7"/>
      <c r="O2124" s="7"/>
      <c r="P2124" s="7"/>
      <c r="Q2124" s="7"/>
      <c r="R2124" s="7"/>
      <c r="S2124" s="7"/>
      <c r="T2124" s="7"/>
      <c r="U2124" s="7"/>
      <c r="V2124" s="7"/>
      <c r="W2124" s="14"/>
      <c r="X2124" s="10"/>
      <c r="Y2124" s="10"/>
      <c r="AB2124" s="19"/>
      <c r="AC2124" s="18"/>
    </row>
    <row r="2125" spans="4:29" x14ac:dyDescent="0.25">
      <c r="D2125" s="3"/>
      <c r="E2125" s="12"/>
      <c r="F2125" s="12"/>
      <c r="G2125" s="12"/>
      <c r="H2125" s="12"/>
      <c r="I2125" s="7"/>
      <c r="J2125" s="7"/>
      <c r="K2125" s="7"/>
      <c r="L2125" s="7"/>
      <c r="M2125" s="7"/>
      <c r="N2125" s="7"/>
      <c r="O2125" s="7"/>
      <c r="P2125" s="7"/>
      <c r="Q2125" s="7"/>
      <c r="R2125" s="7"/>
      <c r="S2125" s="7"/>
      <c r="T2125" s="7"/>
      <c r="U2125" s="7"/>
      <c r="V2125" s="7"/>
      <c r="W2125" s="14"/>
      <c r="X2125" s="10"/>
      <c r="Y2125" s="10"/>
      <c r="AB2125" s="19"/>
      <c r="AC2125" s="18"/>
    </row>
    <row r="2126" spans="4:29" x14ac:dyDescent="0.25">
      <c r="D2126" s="3"/>
      <c r="E2126" s="12"/>
      <c r="F2126" s="12"/>
      <c r="G2126" s="12"/>
      <c r="H2126" s="12"/>
      <c r="I2126" s="7"/>
      <c r="J2126" s="7"/>
      <c r="K2126" s="7"/>
      <c r="L2126" s="7"/>
      <c r="M2126" s="7"/>
      <c r="N2126" s="7"/>
      <c r="O2126" s="7"/>
      <c r="P2126" s="7"/>
      <c r="Q2126" s="7"/>
      <c r="R2126" s="7"/>
      <c r="S2126" s="7"/>
      <c r="T2126" s="7"/>
      <c r="U2126" s="7"/>
      <c r="V2126" s="7"/>
      <c r="W2126" s="14"/>
      <c r="X2126" s="10"/>
      <c r="Y2126" s="10"/>
      <c r="AB2126" s="19"/>
      <c r="AC2126" s="18"/>
    </row>
    <row r="2127" spans="4:29" x14ac:dyDescent="0.25">
      <c r="D2127" s="3"/>
      <c r="E2127" s="12"/>
      <c r="F2127" s="12"/>
      <c r="G2127" s="12"/>
      <c r="H2127" s="12"/>
      <c r="I2127" s="7"/>
      <c r="J2127" s="7"/>
      <c r="K2127" s="7"/>
      <c r="L2127" s="7"/>
      <c r="M2127" s="7"/>
      <c r="N2127" s="7"/>
      <c r="O2127" s="7"/>
      <c r="P2127" s="7"/>
      <c r="Q2127" s="7"/>
      <c r="R2127" s="7"/>
      <c r="S2127" s="7"/>
      <c r="T2127" s="7"/>
      <c r="U2127" s="7"/>
      <c r="V2127" s="7"/>
      <c r="W2127" s="14"/>
      <c r="X2127" s="10"/>
      <c r="Y2127" s="10"/>
      <c r="AB2127" s="19"/>
      <c r="AC2127" s="18"/>
    </row>
    <row r="2128" spans="4:29" x14ac:dyDescent="0.25">
      <c r="D2128" s="3"/>
      <c r="E2128" s="12"/>
      <c r="F2128" s="12"/>
      <c r="G2128" s="12"/>
      <c r="H2128" s="12"/>
      <c r="I2128" s="7"/>
      <c r="J2128" s="7"/>
      <c r="K2128" s="7"/>
      <c r="L2128" s="7"/>
      <c r="M2128" s="7"/>
      <c r="N2128" s="7"/>
      <c r="O2128" s="7"/>
      <c r="P2128" s="7"/>
      <c r="Q2128" s="7"/>
      <c r="R2128" s="7"/>
      <c r="S2128" s="7"/>
      <c r="T2128" s="7"/>
      <c r="U2128" s="7"/>
      <c r="V2128" s="7"/>
      <c r="W2128" s="14"/>
      <c r="X2128" s="10"/>
      <c r="Y2128" s="10"/>
      <c r="AB2128" s="19"/>
      <c r="AC2128" s="18"/>
    </row>
    <row r="2129" spans="4:29" x14ac:dyDescent="0.25">
      <c r="D2129" s="3"/>
      <c r="E2129" s="12"/>
      <c r="F2129" s="12"/>
      <c r="G2129" s="12"/>
      <c r="H2129" s="12"/>
      <c r="I2129" s="7"/>
      <c r="J2129" s="7"/>
      <c r="K2129" s="7"/>
      <c r="L2129" s="7"/>
      <c r="M2129" s="7"/>
      <c r="N2129" s="7"/>
      <c r="O2129" s="7"/>
      <c r="P2129" s="7"/>
      <c r="Q2129" s="7"/>
      <c r="R2129" s="7"/>
      <c r="S2129" s="7"/>
      <c r="T2129" s="7"/>
      <c r="U2129" s="7"/>
      <c r="V2129" s="7"/>
      <c r="W2129" s="14"/>
      <c r="X2129" s="10"/>
      <c r="Y2129" s="10"/>
      <c r="AB2129" s="19"/>
      <c r="AC2129" s="18"/>
    </row>
    <row r="2130" spans="4:29" x14ac:dyDescent="0.25">
      <c r="D2130" s="3"/>
      <c r="E2130" s="12"/>
      <c r="F2130" s="12"/>
      <c r="G2130" s="12"/>
      <c r="H2130" s="12"/>
      <c r="I2130" s="7"/>
      <c r="J2130" s="7"/>
      <c r="K2130" s="7"/>
      <c r="L2130" s="7"/>
      <c r="M2130" s="7"/>
      <c r="N2130" s="7"/>
      <c r="O2130" s="7"/>
      <c r="P2130" s="7"/>
      <c r="Q2130" s="7"/>
      <c r="R2130" s="7"/>
      <c r="S2130" s="7"/>
      <c r="T2130" s="7"/>
      <c r="U2130" s="7"/>
      <c r="V2130" s="7"/>
      <c r="W2130" s="14"/>
      <c r="X2130" s="10"/>
      <c r="Y2130" s="10"/>
      <c r="AB2130" s="19"/>
      <c r="AC2130" s="18"/>
    </row>
    <row r="2131" spans="4:29" x14ac:dyDescent="0.25">
      <c r="D2131" s="3"/>
      <c r="E2131" s="12"/>
      <c r="F2131" s="12"/>
      <c r="G2131" s="12"/>
      <c r="H2131" s="12"/>
      <c r="I2131" s="7"/>
      <c r="J2131" s="7"/>
      <c r="K2131" s="7"/>
      <c r="L2131" s="7"/>
      <c r="M2131" s="7"/>
      <c r="N2131" s="7"/>
      <c r="O2131" s="7"/>
      <c r="P2131" s="7"/>
      <c r="Q2131" s="7"/>
      <c r="R2131" s="7"/>
      <c r="S2131" s="7"/>
      <c r="T2131" s="7"/>
      <c r="U2131" s="7"/>
      <c r="V2131" s="7"/>
      <c r="W2131" s="14"/>
      <c r="X2131" s="10"/>
      <c r="Y2131" s="10"/>
      <c r="AB2131" s="19"/>
      <c r="AC2131" s="18"/>
    </row>
    <row r="2132" spans="4:29" x14ac:dyDescent="0.25">
      <c r="D2132" s="3"/>
      <c r="E2132" s="12"/>
      <c r="F2132" s="12"/>
      <c r="G2132" s="12"/>
      <c r="H2132" s="12"/>
      <c r="I2132" s="7"/>
      <c r="J2132" s="7"/>
      <c r="K2132" s="7"/>
      <c r="L2132" s="7"/>
      <c r="M2132" s="7"/>
      <c r="N2132" s="7"/>
      <c r="O2132" s="7"/>
      <c r="P2132" s="7"/>
      <c r="Q2132" s="7"/>
      <c r="R2132" s="7"/>
      <c r="S2132" s="7"/>
      <c r="T2132" s="7"/>
      <c r="U2132" s="7"/>
      <c r="V2132" s="7"/>
      <c r="W2132" s="14"/>
      <c r="X2132" s="10"/>
      <c r="Y2132" s="10"/>
      <c r="AB2132" s="19"/>
      <c r="AC2132" s="18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>
      <selection activeCell="E24" sqref="E24"/>
    </sheetView>
  </sheetViews>
  <sheetFormatPr defaultColWidth="8.875" defaultRowHeight="15.75" x14ac:dyDescent="0.25"/>
  <cols>
    <col min="1" max="1" width="14.75" style="1" customWidth="1"/>
    <col min="2" max="2" width="9.25" style="1" customWidth="1"/>
    <col min="3" max="16384" width="8.875" style="1"/>
  </cols>
  <sheetData>
    <row r="1" spans="1:2" x14ac:dyDescent="0.25">
      <c r="A1" s="1" t="s">
        <v>8</v>
      </c>
      <c r="B1" s="1" t="s">
        <v>13</v>
      </c>
    </row>
    <row r="2" spans="1:2" x14ac:dyDescent="0.25">
      <c r="A2" s="1" t="s">
        <v>9</v>
      </c>
    </row>
    <row r="3" spans="1:2" x14ac:dyDescent="0.25">
      <c r="A3" s="1" t="s">
        <v>0</v>
      </c>
    </row>
    <row r="4" spans="1:2" x14ac:dyDescent="0.25">
      <c r="A4" s="1" t="s">
        <v>7</v>
      </c>
    </row>
    <row r="5" spans="1:2" x14ac:dyDescent="0.25">
      <c r="A5" s="1" t="s">
        <v>5</v>
      </c>
    </row>
    <row r="6" spans="1:2" x14ac:dyDescent="0.25">
      <c r="A6" s="1" t="s">
        <v>1</v>
      </c>
    </row>
    <row r="7" spans="1:2" x14ac:dyDescent="0.25">
      <c r="A7" s="1" t="s">
        <v>2</v>
      </c>
      <c r="B7" s="1" t="b">
        <v>0</v>
      </c>
    </row>
    <row r="8" spans="1:2" x14ac:dyDescent="0.25">
      <c r="A8" s="1" t="s">
        <v>3</v>
      </c>
      <c r="B8" s="1" t="b">
        <v>0</v>
      </c>
    </row>
    <row r="9" spans="1:2" x14ac:dyDescent="0.25">
      <c r="A9" s="1" t="s">
        <v>14</v>
      </c>
      <c r="B9" s="1" t="b">
        <v>0</v>
      </c>
    </row>
    <row r="13" spans="1:2" x14ac:dyDescent="0.25">
      <c r="A13" s="2" t="s">
        <v>4</v>
      </c>
    </row>
    <row r="14" spans="1:2" x14ac:dyDescent="0.25">
      <c r="A14" s="1" t="s">
        <v>10</v>
      </c>
    </row>
    <row r="15" spans="1:2" x14ac:dyDescent="0.25">
      <c r="A15" s="1" t="s">
        <v>11</v>
      </c>
    </row>
    <row r="16" spans="1:2" x14ac:dyDescent="0.25">
      <c r="A16" s="1" t="s">
        <v>6</v>
      </c>
    </row>
    <row r="17" spans="1:1" x14ac:dyDescent="0.25">
      <c r="A17" s="1" t="s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M1</vt:lpstr>
      <vt:lpstr>_xlwings.conf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Jeroen Sweerts</cp:lastModifiedBy>
  <dcterms:created xsi:type="dcterms:W3CDTF">2015-01-25T11:31:25Z</dcterms:created>
  <dcterms:modified xsi:type="dcterms:W3CDTF">2021-04-16T20:40:59Z</dcterms:modified>
</cp:coreProperties>
</file>